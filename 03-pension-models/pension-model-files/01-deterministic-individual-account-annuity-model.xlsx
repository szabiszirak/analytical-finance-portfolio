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gyetem\6.félév\Fej biz\"/>
    </mc:Choice>
  </mc:AlternateContent>
  <xr:revisionPtr revIDLastSave="0" documentId="13_ncr:1_{26C440BE-EF9E-4B4E-BE34-F13E8F403196}" xr6:coauthVersionLast="47" xr6:coauthVersionMax="47" xr10:uidLastSave="{00000000-0000-0000-0000-000000000000}"/>
  <bookViews>
    <workbookView xWindow="-108" yWindow="-108" windowWidth="23256" windowHeight="12456" firstSheet="3" activeTab="7" xr2:uid="{4C652508-E29B-48E8-93E7-A289FFF7DF05}"/>
  </bookViews>
  <sheets>
    <sheet name="Eredmények" sheetId="1" r:id="rId1"/>
    <sheet name="Havi számolás" sheetId="5" r:id="rId2"/>
    <sheet name="Számla egyenleg nyugdíj alatt" sheetId="9" r:id="rId3"/>
    <sheet name="Érzékenység vizsgálat" sheetId="8" r:id="rId4"/>
    <sheet name="Eredmények konzervatív" sheetId="6" r:id="rId5"/>
    <sheet name="Havi számolás konzervatív" sheetId="7" r:id="rId6"/>
    <sheet name="Tábla 2020" sheetId="4" r:id="rId7"/>
    <sheet name="Teljes Tábla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9" l="1"/>
  <c r="C30" i="9"/>
  <c r="C37" i="9"/>
  <c r="C38" i="9"/>
  <c r="C45" i="9"/>
  <c r="C24" i="9"/>
  <c r="C21" i="9"/>
  <c r="C5" i="9"/>
  <c r="C6" i="9"/>
  <c r="C7" i="9"/>
  <c r="C8" i="9"/>
  <c r="C13" i="9"/>
  <c r="C14" i="9"/>
  <c r="C2" i="9"/>
  <c r="I11" i="8"/>
  <c r="J12" i="8"/>
  <c r="I8" i="8"/>
  <c r="I7" i="8"/>
  <c r="I6" i="8"/>
  <c r="I5" i="8"/>
  <c r="I4" i="8"/>
  <c r="J3" i="8"/>
  <c r="F71" i="4"/>
  <c r="C4" i="9" s="1"/>
  <c r="F72" i="4"/>
  <c r="F73" i="4"/>
  <c r="F74" i="4"/>
  <c r="F75" i="4"/>
  <c r="F76" i="4"/>
  <c r="C9" i="9" s="1"/>
  <c r="F77" i="4"/>
  <c r="C10" i="9" s="1"/>
  <c r="F78" i="4"/>
  <c r="C11" i="9" s="1"/>
  <c r="F79" i="4"/>
  <c r="C12" i="9" s="1"/>
  <c r="F80" i="4"/>
  <c r="F81" i="4"/>
  <c r="F82" i="4"/>
  <c r="C15" i="9" s="1"/>
  <c r="F83" i="4"/>
  <c r="C16" i="9" s="1"/>
  <c r="F84" i="4"/>
  <c r="C17" i="9" s="1"/>
  <c r="F85" i="4"/>
  <c r="C18" i="9" s="1"/>
  <c r="F86" i="4"/>
  <c r="C19" i="9" s="1"/>
  <c r="F87" i="4"/>
  <c r="C20" i="9" s="1"/>
  <c r="F88" i="4"/>
  <c r="F89" i="4"/>
  <c r="C22" i="9" s="1"/>
  <c r="F90" i="4"/>
  <c r="C23" i="9" s="1"/>
  <c r="F91" i="4"/>
  <c r="F92" i="4"/>
  <c r="C25" i="9" s="1"/>
  <c r="F93" i="4"/>
  <c r="C26" i="9" s="1"/>
  <c r="F94" i="4"/>
  <c r="C27" i="9" s="1"/>
  <c r="F95" i="4"/>
  <c r="C28" i="9" s="1"/>
  <c r="F96" i="4"/>
  <c r="F97" i="4"/>
  <c r="F98" i="4"/>
  <c r="C31" i="9" s="1"/>
  <c r="F99" i="4"/>
  <c r="C32" i="9" s="1"/>
  <c r="F100" i="4"/>
  <c r="C33" i="9" s="1"/>
  <c r="F101" i="4"/>
  <c r="C34" i="9" s="1"/>
  <c r="F102" i="4"/>
  <c r="C35" i="9" s="1"/>
  <c r="F103" i="4"/>
  <c r="C36" i="9" s="1"/>
  <c r="F104" i="4"/>
  <c r="F105" i="4"/>
  <c r="F106" i="4"/>
  <c r="C39" i="9" s="1"/>
  <c r="F107" i="4"/>
  <c r="C40" i="9" s="1"/>
  <c r="F108" i="4"/>
  <c r="C41" i="9" s="1"/>
  <c r="F109" i="4"/>
  <c r="C42" i="9" s="1"/>
  <c r="F110" i="4"/>
  <c r="C43" i="9" s="1"/>
  <c r="F111" i="4"/>
  <c r="C44" i="9" s="1"/>
  <c r="F112" i="4"/>
  <c r="F70" i="4"/>
  <c r="C3" i="9" s="1"/>
  <c r="I68" i="4"/>
  <c r="I3" i="8"/>
  <c r="I10" i="8"/>
  <c r="J10" i="8"/>
  <c r="J11" i="8"/>
  <c r="L72" i="4"/>
  <c r="L71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73" i="4"/>
  <c r="M72" i="4"/>
  <c r="M73" i="4" s="1"/>
  <c r="J68" i="4"/>
  <c r="J69" i="4" s="1"/>
  <c r="N71" i="4"/>
  <c r="K67" i="4"/>
  <c r="I67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G70" i="4"/>
  <c r="G71" i="4" s="1"/>
  <c r="F69" i="4"/>
  <c r="B5" i="6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B194" i="5" s="1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B178" i="5" s="1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B100" i="5" s="1"/>
  <c r="A99" i="5"/>
  <c r="A98" i="5"/>
  <c r="A97" i="5"/>
  <c r="A96" i="5"/>
  <c r="B96" i="5" s="1"/>
  <c r="A95" i="5"/>
  <c r="A94" i="5"/>
  <c r="A93" i="5"/>
  <c r="A92" i="5"/>
  <c r="A91" i="5"/>
  <c r="A90" i="5"/>
  <c r="A89" i="5"/>
  <c r="B88" i="5"/>
  <c r="A88" i="5"/>
  <c r="A87" i="5"/>
  <c r="A86" i="5"/>
  <c r="A85" i="5"/>
  <c r="A84" i="5"/>
  <c r="B84" i="5" s="1"/>
  <c r="A83" i="5"/>
  <c r="A82" i="5"/>
  <c r="A81" i="5"/>
  <c r="A80" i="5"/>
  <c r="B80" i="5" s="1"/>
  <c r="A79" i="5"/>
  <c r="A78" i="5"/>
  <c r="A77" i="5"/>
  <c r="A76" i="5"/>
  <c r="B76" i="5" s="1"/>
  <c r="A75" i="5"/>
  <c r="A74" i="5"/>
  <c r="A73" i="5"/>
  <c r="A72" i="5"/>
  <c r="B72" i="5" s="1"/>
  <c r="A71" i="5"/>
  <c r="A70" i="5"/>
  <c r="A69" i="5"/>
  <c r="A68" i="5"/>
  <c r="A67" i="5"/>
  <c r="A66" i="5"/>
  <c r="A65" i="5"/>
  <c r="A64" i="5"/>
  <c r="B64" i="5" s="1"/>
  <c r="A63" i="5"/>
  <c r="A62" i="5"/>
  <c r="A61" i="5"/>
  <c r="A60" i="5"/>
  <c r="B60" i="5" s="1"/>
  <c r="A59" i="5"/>
  <c r="A58" i="5"/>
  <c r="A57" i="5"/>
  <c r="A56" i="5"/>
  <c r="A55" i="5"/>
  <c r="A54" i="5"/>
  <c r="A53" i="5"/>
  <c r="A52" i="5"/>
  <c r="B52" i="5" s="1"/>
  <c r="A51" i="5"/>
  <c r="A50" i="5"/>
  <c r="A49" i="5"/>
  <c r="A48" i="5"/>
  <c r="B48" i="5" s="1"/>
  <c r="A47" i="5"/>
  <c r="A46" i="5"/>
  <c r="A45" i="5"/>
  <c r="A44" i="5"/>
  <c r="A43" i="5"/>
  <c r="A42" i="5"/>
  <c r="A41" i="5"/>
  <c r="A40" i="5"/>
  <c r="B40" i="5" s="1"/>
  <c r="A39" i="5"/>
  <c r="A38" i="5"/>
  <c r="A37" i="5"/>
  <c r="A36" i="5"/>
  <c r="B36" i="5" s="1"/>
  <c r="A35" i="5"/>
  <c r="A34" i="5"/>
  <c r="A33" i="5"/>
  <c r="A32" i="5"/>
  <c r="B32" i="5" s="1"/>
  <c r="A31" i="5"/>
  <c r="A30" i="5"/>
  <c r="A29" i="5"/>
  <c r="A28" i="5"/>
  <c r="B28" i="5" s="1"/>
  <c r="A27" i="5"/>
  <c r="A26" i="5"/>
  <c r="C25" i="5"/>
  <c r="C37" i="5" s="1"/>
  <c r="C49" i="5" s="1"/>
  <c r="C61" i="5" s="1"/>
  <c r="C73" i="5" s="1"/>
  <c r="C85" i="5" s="1"/>
  <c r="A25" i="5"/>
  <c r="B25" i="5" s="1"/>
  <c r="C24" i="5"/>
  <c r="C36" i="5" s="1"/>
  <c r="C48" i="5" s="1"/>
  <c r="C60" i="5" s="1"/>
  <c r="C72" i="5" s="1"/>
  <c r="C84" i="5" s="1"/>
  <c r="C96" i="5" s="1"/>
  <c r="C108" i="5" s="1"/>
  <c r="C120" i="5" s="1"/>
  <c r="C132" i="5" s="1"/>
  <c r="C144" i="5" s="1"/>
  <c r="C156" i="5" s="1"/>
  <c r="C168" i="5" s="1"/>
  <c r="C180" i="5" s="1"/>
  <c r="C192" i="5" s="1"/>
  <c r="C204" i="5" s="1"/>
  <c r="C216" i="5" s="1"/>
  <c r="C228" i="5" s="1"/>
  <c r="C240" i="5" s="1"/>
  <c r="C252" i="5" s="1"/>
  <c r="A24" i="5"/>
  <c r="B24" i="5" s="1"/>
  <c r="C23" i="5"/>
  <c r="C35" i="5" s="1"/>
  <c r="C47" i="5" s="1"/>
  <c r="C59" i="5" s="1"/>
  <c r="C71" i="5" s="1"/>
  <c r="C83" i="5" s="1"/>
  <c r="A23" i="5"/>
  <c r="B23" i="5" s="1"/>
  <c r="C22" i="5"/>
  <c r="C34" i="5" s="1"/>
  <c r="C46" i="5" s="1"/>
  <c r="C58" i="5" s="1"/>
  <c r="C70" i="5" s="1"/>
  <c r="C82" i="5" s="1"/>
  <c r="C94" i="5" s="1"/>
  <c r="C106" i="5" s="1"/>
  <c r="C118" i="5" s="1"/>
  <c r="C130" i="5" s="1"/>
  <c r="C142" i="5" s="1"/>
  <c r="C154" i="5" s="1"/>
  <c r="C166" i="5" s="1"/>
  <c r="C178" i="5" s="1"/>
  <c r="C190" i="5" s="1"/>
  <c r="C202" i="5" s="1"/>
  <c r="A22" i="5"/>
  <c r="B22" i="5" s="1"/>
  <c r="C21" i="5"/>
  <c r="C33" i="5" s="1"/>
  <c r="C45" i="5" s="1"/>
  <c r="C57" i="5" s="1"/>
  <c r="C69" i="5" s="1"/>
  <c r="C81" i="5" s="1"/>
  <c r="C93" i="5" s="1"/>
  <c r="A21" i="5"/>
  <c r="B21" i="5" s="1"/>
  <c r="C20" i="5"/>
  <c r="C32" i="5" s="1"/>
  <c r="C44" i="5" s="1"/>
  <c r="C56" i="5" s="1"/>
  <c r="C68" i="5" s="1"/>
  <c r="C80" i="5" s="1"/>
  <c r="C92" i="5" s="1"/>
  <c r="C104" i="5" s="1"/>
  <c r="C116" i="5" s="1"/>
  <c r="C128" i="5" s="1"/>
  <c r="C140" i="5" s="1"/>
  <c r="C152" i="5" s="1"/>
  <c r="C164" i="5" s="1"/>
  <c r="C176" i="5" s="1"/>
  <c r="C188" i="5" s="1"/>
  <c r="C200" i="5" s="1"/>
  <c r="C212" i="5" s="1"/>
  <c r="C224" i="5" s="1"/>
  <c r="C236" i="5" s="1"/>
  <c r="A20" i="5"/>
  <c r="B20" i="5" s="1"/>
  <c r="C19" i="5"/>
  <c r="C31" i="5" s="1"/>
  <c r="C43" i="5" s="1"/>
  <c r="C55" i="5" s="1"/>
  <c r="C67" i="5" s="1"/>
  <c r="C79" i="5" s="1"/>
  <c r="C91" i="5" s="1"/>
  <c r="A19" i="5"/>
  <c r="B19" i="5" s="1"/>
  <c r="C18" i="5"/>
  <c r="C30" i="5" s="1"/>
  <c r="C42" i="5" s="1"/>
  <c r="C54" i="5" s="1"/>
  <c r="C66" i="5" s="1"/>
  <c r="C78" i="5" s="1"/>
  <c r="C90" i="5" s="1"/>
  <c r="C102" i="5" s="1"/>
  <c r="C114" i="5" s="1"/>
  <c r="C126" i="5" s="1"/>
  <c r="C138" i="5" s="1"/>
  <c r="C150" i="5" s="1"/>
  <c r="C162" i="5" s="1"/>
  <c r="C174" i="5" s="1"/>
  <c r="C186" i="5" s="1"/>
  <c r="C198" i="5" s="1"/>
  <c r="C210" i="5" s="1"/>
  <c r="A18" i="5"/>
  <c r="B18" i="5" s="1"/>
  <c r="C17" i="5"/>
  <c r="C29" i="5" s="1"/>
  <c r="C41" i="5" s="1"/>
  <c r="C53" i="5" s="1"/>
  <c r="C65" i="5" s="1"/>
  <c r="C77" i="5" s="1"/>
  <c r="C89" i="5" s="1"/>
  <c r="C101" i="5" s="1"/>
  <c r="C113" i="5" s="1"/>
  <c r="C125" i="5" s="1"/>
  <c r="C137" i="5" s="1"/>
  <c r="C149" i="5" s="1"/>
  <c r="C161" i="5" s="1"/>
  <c r="C173" i="5" s="1"/>
  <c r="C185" i="5" s="1"/>
  <c r="C197" i="5" s="1"/>
  <c r="C209" i="5" s="1"/>
  <c r="A17" i="5"/>
  <c r="B17" i="5" s="1"/>
  <c r="C16" i="5"/>
  <c r="C28" i="5" s="1"/>
  <c r="C40" i="5" s="1"/>
  <c r="C52" i="5" s="1"/>
  <c r="C64" i="5" s="1"/>
  <c r="C76" i="5" s="1"/>
  <c r="C88" i="5" s="1"/>
  <c r="C100" i="5" s="1"/>
  <c r="C112" i="5" s="1"/>
  <c r="C124" i="5" s="1"/>
  <c r="C136" i="5" s="1"/>
  <c r="C148" i="5" s="1"/>
  <c r="C160" i="5" s="1"/>
  <c r="C172" i="5" s="1"/>
  <c r="C184" i="5" s="1"/>
  <c r="C196" i="5" s="1"/>
  <c r="C208" i="5" s="1"/>
  <c r="C220" i="5" s="1"/>
  <c r="C232" i="5" s="1"/>
  <c r="C244" i="5" s="1"/>
  <c r="A16" i="5"/>
  <c r="B16" i="5" s="1"/>
  <c r="C15" i="5"/>
  <c r="C27" i="5" s="1"/>
  <c r="C39" i="5" s="1"/>
  <c r="C51" i="5" s="1"/>
  <c r="C63" i="5" s="1"/>
  <c r="C75" i="5" s="1"/>
  <c r="C87" i="5" s="1"/>
  <c r="C99" i="5" s="1"/>
  <c r="A15" i="5"/>
  <c r="B15" i="5" s="1"/>
  <c r="C14" i="5"/>
  <c r="C26" i="5" s="1"/>
  <c r="C38" i="5" s="1"/>
  <c r="C50" i="5" s="1"/>
  <c r="C62" i="5" s="1"/>
  <c r="C74" i="5" s="1"/>
  <c r="C86" i="5" s="1"/>
  <c r="C98" i="5" s="1"/>
  <c r="C110" i="5" s="1"/>
  <c r="C122" i="5" s="1"/>
  <c r="C134" i="5" s="1"/>
  <c r="C146" i="5" s="1"/>
  <c r="C158" i="5" s="1"/>
  <c r="C170" i="5" s="1"/>
  <c r="C182" i="5" s="1"/>
  <c r="C194" i="5" s="1"/>
  <c r="C206" i="5" s="1"/>
  <c r="A14" i="5"/>
  <c r="B14" i="5" s="1"/>
  <c r="B13" i="5"/>
  <c r="A13" i="5"/>
  <c r="B12" i="5"/>
  <c r="A12" i="5"/>
  <c r="A11" i="5"/>
  <c r="B11" i="5" s="1"/>
  <c r="A10" i="5"/>
  <c r="B10" i="5" s="1"/>
  <c r="B9" i="5"/>
  <c r="A9" i="5"/>
  <c r="B8" i="5"/>
  <c r="A8" i="5"/>
  <c r="A7" i="5"/>
  <c r="B7" i="5" s="1"/>
  <c r="A6" i="5"/>
  <c r="B6" i="5" s="1"/>
  <c r="B5" i="5"/>
  <c r="A5" i="5"/>
  <c r="B4" i="5"/>
  <c r="A4" i="5"/>
  <c r="A3" i="5"/>
  <c r="B3" i="5" s="1"/>
  <c r="B2" i="5"/>
  <c r="A2" i="5"/>
  <c r="A47" i="7"/>
  <c r="B47" i="7" s="1"/>
  <c r="D47" i="7" s="1"/>
  <c r="F47" i="7" s="1"/>
  <c r="C47" i="7"/>
  <c r="A48" i="7"/>
  <c r="B48" i="7"/>
  <c r="C48" i="7"/>
  <c r="A49" i="7"/>
  <c r="B49" i="7"/>
  <c r="C49" i="7"/>
  <c r="D49" i="7"/>
  <c r="F49" i="7" s="1"/>
  <c r="A38" i="7"/>
  <c r="C38" i="7"/>
  <c r="B38" i="7" s="1"/>
  <c r="A39" i="7"/>
  <c r="B39" i="7"/>
  <c r="C39" i="7"/>
  <c r="A40" i="7"/>
  <c r="B40" i="7"/>
  <c r="D40" i="7" s="1"/>
  <c r="F40" i="7" s="1"/>
  <c r="C40" i="7"/>
  <c r="A41" i="7"/>
  <c r="B41" i="7"/>
  <c r="C41" i="7"/>
  <c r="A42" i="7"/>
  <c r="B42" i="7"/>
  <c r="C42" i="7"/>
  <c r="A43" i="7"/>
  <c r="B43" i="7"/>
  <c r="D43" i="7" s="1"/>
  <c r="F43" i="7" s="1"/>
  <c r="C43" i="7"/>
  <c r="A44" i="7"/>
  <c r="B44" i="7"/>
  <c r="C44" i="7"/>
  <c r="A45" i="7"/>
  <c r="B45" i="7"/>
  <c r="C45" i="7"/>
  <c r="A46" i="7"/>
  <c r="B46" i="7"/>
  <c r="C46" i="7"/>
  <c r="D6" i="7"/>
  <c r="F6" i="7" s="1"/>
  <c r="D7" i="7"/>
  <c r="F7" i="7" s="1"/>
  <c r="D14" i="7"/>
  <c r="F14" i="7" s="1"/>
  <c r="D15" i="7"/>
  <c r="F15" i="7" s="1"/>
  <c r="D22" i="7"/>
  <c r="F22" i="7" s="1"/>
  <c r="D23" i="7"/>
  <c r="F23" i="7" s="1"/>
  <c r="D30" i="7"/>
  <c r="F30" i="7" s="1"/>
  <c r="D31" i="7"/>
  <c r="F31" i="7" s="1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37" i="7"/>
  <c r="A36" i="7"/>
  <c r="A35" i="7"/>
  <c r="A34" i="7"/>
  <c r="A33" i="7"/>
  <c r="A32" i="7"/>
  <c r="A31" i="7"/>
  <c r="A30" i="7"/>
  <c r="A29" i="7"/>
  <c r="A28" i="7"/>
  <c r="C27" i="7"/>
  <c r="B27" i="7"/>
  <c r="A27" i="7"/>
  <c r="C26" i="7"/>
  <c r="A26" i="7"/>
  <c r="B26" i="7" s="1"/>
  <c r="C25" i="7"/>
  <c r="C37" i="7" s="1"/>
  <c r="A25" i="7"/>
  <c r="B25" i="7" s="1"/>
  <c r="C24" i="7"/>
  <c r="C36" i="7" s="1"/>
  <c r="B24" i="7"/>
  <c r="A24" i="7"/>
  <c r="C23" i="7"/>
  <c r="C35" i="7" s="1"/>
  <c r="B23" i="7"/>
  <c r="A23" i="7"/>
  <c r="C22" i="7"/>
  <c r="C34" i="7" s="1"/>
  <c r="A22" i="7"/>
  <c r="B22" i="7" s="1"/>
  <c r="C21" i="7"/>
  <c r="C33" i="7" s="1"/>
  <c r="A21" i="7"/>
  <c r="B21" i="7" s="1"/>
  <c r="C20" i="7"/>
  <c r="C32" i="7" s="1"/>
  <c r="B20" i="7"/>
  <c r="A20" i="7"/>
  <c r="C19" i="7"/>
  <c r="C31" i="7" s="1"/>
  <c r="B19" i="7"/>
  <c r="A19" i="7"/>
  <c r="C18" i="7"/>
  <c r="C30" i="7" s="1"/>
  <c r="A18" i="7"/>
  <c r="B18" i="7" s="1"/>
  <c r="C17" i="7"/>
  <c r="C29" i="7" s="1"/>
  <c r="A17" i="7"/>
  <c r="B17" i="7" s="1"/>
  <c r="C16" i="7"/>
  <c r="C28" i="7" s="1"/>
  <c r="B16" i="7"/>
  <c r="A16" i="7"/>
  <c r="C15" i="7"/>
  <c r="B15" i="7"/>
  <c r="A15" i="7"/>
  <c r="C14" i="7"/>
  <c r="B14" i="7"/>
  <c r="A14" i="7"/>
  <c r="A13" i="7"/>
  <c r="B13" i="7" s="1"/>
  <c r="B12" i="7"/>
  <c r="A12" i="7"/>
  <c r="A11" i="7"/>
  <c r="B11" i="7" s="1"/>
  <c r="A10" i="7"/>
  <c r="B10" i="7" s="1"/>
  <c r="B9" i="7"/>
  <c r="A9" i="7"/>
  <c r="A8" i="7"/>
  <c r="B8" i="7" s="1"/>
  <c r="B7" i="7"/>
  <c r="A7" i="7"/>
  <c r="B6" i="7"/>
  <c r="A6" i="7"/>
  <c r="A5" i="7"/>
  <c r="B5" i="7" s="1"/>
  <c r="B4" i="7"/>
  <c r="A4" i="7"/>
  <c r="A3" i="7"/>
  <c r="B3" i="7" s="1"/>
  <c r="B2" i="7"/>
  <c r="A2" i="7"/>
  <c r="B4" i="6"/>
  <c r="D8" i="7" s="1"/>
  <c r="F8" i="7" s="1"/>
  <c r="B4" i="1"/>
  <c r="D7" i="5" s="1"/>
  <c r="F7" i="5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2" i="4"/>
  <c r="D29" i="5" l="1"/>
  <c r="F29" i="5" s="1"/>
  <c r="D6" i="5"/>
  <c r="F6" i="5" s="1"/>
  <c r="I12" i="8"/>
  <c r="J8" i="8"/>
  <c r="J7" i="8"/>
  <c r="J6" i="8"/>
  <c r="J4" i="8"/>
  <c r="I2" i="8"/>
  <c r="J9" i="8"/>
  <c r="J5" i="8"/>
  <c r="J2" i="8"/>
  <c r="I9" i="8"/>
  <c r="H70" i="4"/>
  <c r="K68" i="4"/>
  <c r="K69" i="4"/>
  <c r="J70" i="4"/>
  <c r="J71" i="4" s="1"/>
  <c r="J72" i="4" s="1"/>
  <c r="M74" i="4"/>
  <c r="N73" i="4"/>
  <c r="N72" i="4"/>
  <c r="D2" i="7"/>
  <c r="F2" i="7" s="1"/>
  <c r="G2" i="7" s="1"/>
  <c r="D29" i="7"/>
  <c r="F29" i="7" s="1"/>
  <c r="D21" i="7"/>
  <c r="F21" i="7" s="1"/>
  <c r="D13" i="7"/>
  <c r="F13" i="7" s="1"/>
  <c r="D5" i="7"/>
  <c r="F5" i="7" s="1"/>
  <c r="D45" i="7"/>
  <c r="F45" i="7" s="1"/>
  <c r="D101" i="7"/>
  <c r="D36" i="7"/>
  <c r="F36" i="7" s="1"/>
  <c r="D28" i="7"/>
  <c r="F28" i="7" s="1"/>
  <c r="D20" i="7"/>
  <c r="F20" i="7" s="1"/>
  <c r="D12" i="7"/>
  <c r="F12" i="7" s="1"/>
  <c r="D4" i="7"/>
  <c r="F4" i="7" s="1"/>
  <c r="D42" i="7"/>
  <c r="F42" i="7" s="1"/>
  <c r="D35" i="7"/>
  <c r="F35" i="7" s="1"/>
  <c r="D27" i="7"/>
  <c r="F27" i="7" s="1"/>
  <c r="D19" i="7"/>
  <c r="F19" i="7" s="1"/>
  <c r="D11" i="7"/>
  <c r="F11" i="7" s="1"/>
  <c r="D3" i="7"/>
  <c r="F3" i="7" s="1"/>
  <c r="D39" i="7"/>
  <c r="F39" i="7" s="1"/>
  <c r="D48" i="7"/>
  <c r="F48" i="7" s="1"/>
  <c r="D34" i="7"/>
  <c r="F34" i="7" s="1"/>
  <c r="D26" i="7"/>
  <c r="F26" i="7" s="1"/>
  <c r="D18" i="7"/>
  <c r="F18" i="7" s="1"/>
  <c r="D10" i="7"/>
  <c r="F10" i="7" s="1"/>
  <c r="D37" i="7"/>
  <c r="F37" i="7" s="1"/>
  <c r="D44" i="7"/>
  <c r="F44" i="7" s="1"/>
  <c r="D33" i="7"/>
  <c r="F33" i="7" s="1"/>
  <c r="D25" i="7"/>
  <c r="F25" i="7" s="1"/>
  <c r="D17" i="7"/>
  <c r="F17" i="7" s="1"/>
  <c r="D9" i="7"/>
  <c r="F9" i="7" s="1"/>
  <c r="D41" i="7"/>
  <c r="F41" i="7" s="1"/>
  <c r="D38" i="7"/>
  <c r="F38" i="7" s="1"/>
  <c r="D32" i="7"/>
  <c r="F32" i="7" s="1"/>
  <c r="D24" i="7"/>
  <c r="F24" i="7" s="1"/>
  <c r="D16" i="7"/>
  <c r="F16" i="7" s="1"/>
  <c r="D46" i="7"/>
  <c r="F46" i="7" s="1"/>
  <c r="D30" i="5"/>
  <c r="F30" i="5" s="1"/>
  <c r="D11" i="5"/>
  <c r="F11" i="5" s="1"/>
  <c r="D46" i="5"/>
  <c r="F46" i="5" s="1"/>
  <c r="D27" i="5"/>
  <c r="F27" i="5" s="1"/>
  <c r="D5" i="5"/>
  <c r="F5" i="5" s="1"/>
  <c r="D45" i="5"/>
  <c r="F45" i="5" s="1"/>
  <c r="D22" i="5"/>
  <c r="F22" i="5" s="1"/>
  <c r="D3" i="5"/>
  <c r="F3" i="5" s="1"/>
  <c r="D43" i="5"/>
  <c r="F43" i="5" s="1"/>
  <c r="D21" i="5"/>
  <c r="F21" i="5" s="1"/>
  <c r="D38" i="5"/>
  <c r="F38" i="5" s="1"/>
  <c r="D19" i="5"/>
  <c r="F19" i="5" s="1"/>
  <c r="D37" i="5"/>
  <c r="F37" i="5" s="1"/>
  <c r="D14" i="5"/>
  <c r="F14" i="5" s="1"/>
  <c r="D35" i="5"/>
  <c r="F35" i="5" s="1"/>
  <c r="D13" i="5"/>
  <c r="F13" i="5" s="1"/>
  <c r="D44" i="5"/>
  <c r="F44" i="5" s="1"/>
  <c r="D36" i="5"/>
  <c r="F36" i="5" s="1"/>
  <c r="D28" i="5"/>
  <c r="F28" i="5" s="1"/>
  <c r="D20" i="5"/>
  <c r="F20" i="5" s="1"/>
  <c r="D12" i="5"/>
  <c r="F12" i="5" s="1"/>
  <c r="D4" i="5"/>
  <c r="F4" i="5" s="1"/>
  <c r="D2" i="5"/>
  <c r="D42" i="5"/>
  <c r="F42" i="5" s="1"/>
  <c r="D34" i="5"/>
  <c r="F34" i="5" s="1"/>
  <c r="D26" i="5"/>
  <c r="F26" i="5" s="1"/>
  <c r="D18" i="5"/>
  <c r="F18" i="5" s="1"/>
  <c r="D10" i="5"/>
  <c r="F10" i="5" s="1"/>
  <c r="D49" i="5"/>
  <c r="B5" i="1" s="1"/>
  <c r="D41" i="5"/>
  <c r="F41" i="5" s="1"/>
  <c r="D33" i="5"/>
  <c r="F33" i="5" s="1"/>
  <c r="D25" i="5"/>
  <c r="F25" i="5" s="1"/>
  <c r="D17" i="5"/>
  <c r="F17" i="5" s="1"/>
  <c r="D9" i="5"/>
  <c r="F9" i="5" s="1"/>
  <c r="D48" i="5"/>
  <c r="F48" i="5" s="1"/>
  <c r="D40" i="5"/>
  <c r="F40" i="5" s="1"/>
  <c r="D32" i="5"/>
  <c r="F32" i="5" s="1"/>
  <c r="D24" i="5"/>
  <c r="F24" i="5" s="1"/>
  <c r="D16" i="5"/>
  <c r="F16" i="5" s="1"/>
  <c r="D8" i="5"/>
  <c r="F8" i="5" s="1"/>
  <c r="D47" i="5"/>
  <c r="F47" i="5" s="1"/>
  <c r="D39" i="5"/>
  <c r="F39" i="5" s="1"/>
  <c r="D31" i="5"/>
  <c r="F31" i="5" s="1"/>
  <c r="D23" i="5"/>
  <c r="F23" i="5" s="1"/>
  <c r="D15" i="5"/>
  <c r="F15" i="5" s="1"/>
  <c r="G72" i="4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H69" i="4"/>
  <c r="C222" i="5"/>
  <c r="B210" i="5"/>
  <c r="C105" i="5"/>
  <c r="C117" i="5" s="1"/>
  <c r="C129" i="5" s="1"/>
  <c r="C141" i="5" s="1"/>
  <c r="C153" i="5" s="1"/>
  <c r="C165" i="5" s="1"/>
  <c r="C177" i="5" s="1"/>
  <c r="C189" i="5" s="1"/>
  <c r="C201" i="5" s="1"/>
  <c r="C213" i="5" s="1"/>
  <c r="C225" i="5" s="1"/>
  <c r="B93" i="5"/>
  <c r="B26" i="5"/>
  <c r="B30" i="5"/>
  <c r="B34" i="5"/>
  <c r="B38" i="5"/>
  <c r="B42" i="5"/>
  <c r="B44" i="5"/>
  <c r="B46" i="5"/>
  <c r="B50" i="5"/>
  <c r="B54" i="5"/>
  <c r="B56" i="5"/>
  <c r="B58" i="5"/>
  <c r="B62" i="5"/>
  <c r="B66" i="5"/>
  <c r="B68" i="5"/>
  <c r="B70" i="5"/>
  <c r="B74" i="5"/>
  <c r="B78" i="5"/>
  <c r="B102" i="5"/>
  <c r="B199" i="5"/>
  <c r="B228" i="5"/>
  <c r="C111" i="5"/>
  <c r="C123" i="5" s="1"/>
  <c r="C135" i="5" s="1"/>
  <c r="C147" i="5" s="1"/>
  <c r="C159" i="5" s="1"/>
  <c r="C171" i="5" s="1"/>
  <c r="C183" i="5" s="1"/>
  <c r="C195" i="5" s="1"/>
  <c r="C207" i="5" s="1"/>
  <c r="C219" i="5" s="1"/>
  <c r="C231" i="5" s="1"/>
  <c r="B99" i="5"/>
  <c r="C95" i="5"/>
  <c r="C107" i="5" s="1"/>
  <c r="C119" i="5" s="1"/>
  <c r="C131" i="5" s="1"/>
  <c r="C143" i="5" s="1"/>
  <c r="C155" i="5" s="1"/>
  <c r="C167" i="5" s="1"/>
  <c r="C179" i="5" s="1"/>
  <c r="C191" i="5" s="1"/>
  <c r="C203" i="5" s="1"/>
  <c r="C215" i="5" s="1"/>
  <c r="C227" i="5" s="1"/>
  <c r="B83" i="5"/>
  <c r="B81" i="5"/>
  <c r="B98" i="5"/>
  <c r="B110" i="5"/>
  <c r="C248" i="5"/>
  <c r="B236" i="5"/>
  <c r="B79" i="5"/>
  <c r="B86" i="5"/>
  <c r="B131" i="5"/>
  <c r="B147" i="5"/>
  <c r="B95" i="5"/>
  <c r="C221" i="5"/>
  <c r="B209" i="5"/>
  <c r="C97" i="5"/>
  <c r="B85" i="5"/>
  <c r="B27" i="5"/>
  <c r="B29" i="5"/>
  <c r="B31" i="5"/>
  <c r="B33" i="5"/>
  <c r="B35" i="5"/>
  <c r="B37" i="5"/>
  <c r="B39" i="5"/>
  <c r="B41" i="5"/>
  <c r="B43" i="5"/>
  <c r="B45" i="5"/>
  <c r="B47" i="5"/>
  <c r="B49" i="5"/>
  <c r="B51" i="5"/>
  <c r="B53" i="5"/>
  <c r="B55" i="5"/>
  <c r="B57" i="5"/>
  <c r="B59" i="5"/>
  <c r="B61" i="5"/>
  <c r="B63" i="5"/>
  <c r="B65" i="5"/>
  <c r="B67" i="5"/>
  <c r="B69" i="5"/>
  <c r="B71" i="5"/>
  <c r="B73" i="5"/>
  <c r="B75" i="5"/>
  <c r="B77" i="5"/>
  <c r="B82" i="5"/>
  <c r="B119" i="5"/>
  <c r="B137" i="5"/>
  <c r="B159" i="5"/>
  <c r="B175" i="5"/>
  <c r="B191" i="5"/>
  <c r="C218" i="5"/>
  <c r="B206" i="5"/>
  <c r="C214" i="5"/>
  <c r="B202" i="5"/>
  <c r="B89" i="5"/>
  <c r="B106" i="5"/>
  <c r="B143" i="5"/>
  <c r="B170" i="5"/>
  <c r="B186" i="5"/>
  <c r="C103" i="5"/>
  <c r="C115" i="5" s="1"/>
  <c r="C127" i="5" s="1"/>
  <c r="C139" i="5" s="1"/>
  <c r="C151" i="5" s="1"/>
  <c r="C163" i="5" s="1"/>
  <c r="C175" i="5" s="1"/>
  <c r="C187" i="5" s="1"/>
  <c r="C199" i="5" s="1"/>
  <c r="C211" i="5" s="1"/>
  <c r="C223" i="5" s="1"/>
  <c r="C235" i="5" s="1"/>
  <c r="B91" i="5"/>
  <c r="B87" i="5"/>
  <c r="B92" i="5"/>
  <c r="B94" i="5"/>
  <c r="B149" i="5"/>
  <c r="B215" i="5"/>
  <c r="B232" i="5"/>
  <c r="B162" i="5"/>
  <c r="C256" i="5"/>
  <c r="B244" i="5"/>
  <c r="C264" i="5"/>
  <c r="B252" i="5"/>
  <c r="B90" i="5"/>
  <c r="B116" i="5"/>
  <c r="B124" i="5"/>
  <c r="B139" i="5"/>
  <c r="B155" i="5"/>
  <c r="B113" i="5"/>
  <c r="B173" i="5"/>
  <c r="B197" i="5"/>
  <c r="B212" i="5"/>
  <c r="B101" i="5"/>
  <c r="B118" i="5"/>
  <c r="B126" i="5"/>
  <c r="B160" i="5"/>
  <c r="B168" i="5"/>
  <c r="B176" i="5"/>
  <c r="B184" i="5"/>
  <c r="B192" i="5"/>
  <c r="B200" i="5"/>
  <c r="B216" i="5"/>
  <c r="B115" i="5"/>
  <c r="B123" i="5"/>
  <c r="B163" i="5"/>
  <c r="B171" i="5"/>
  <c r="B179" i="5"/>
  <c r="B187" i="5"/>
  <c r="B195" i="5"/>
  <c r="B203" i="5"/>
  <c r="B207" i="5"/>
  <c r="B219" i="5"/>
  <c r="B223" i="5"/>
  <c r="B104" i="5"/>
  <c r="B108" i="5"/>
  <c r="B112" i="5"/>
  <c r="B120" i="5"/>
  <c r="B128" i="5"/>
  <c r="B130" i="5"/>
  <c r="B132" i="5"/>
  <c r="B134" i="5"/>
  <c r="B136" i="5"/>
  <c r="B138" i="5"/>
  <c r="B140" i="5"/>
  <c r="B142" i="5"/>
  <c r="B144" i="5"/>
  <c r="B146" i="5"/>
  <c r="B148" i="5"/>
  <c r="B150" i="5"/>
  <c r="B152" i="5"/>
  <c r="B154" i="5"/>
  <c r="B156" i="5"/>
  <c r="B158" i="5"/>
  <c r="B166" i="5"/>
  <c r="B174" i="5"/>
  <c r="B182" i="5"/>
  <c r="B190" i="5"/>
  <c r="B198" i="5"/>
  <c r="B125" i="5"/>
  <c r="B161" i="5"/>
  <c r="B185" i="5"/>
  <c r="B204" i="5"/>
  <c r="B220" i="5"/>
  <c r="B103" i="5"/>
  <c r="B107" i="5"/>
  <c r="B111" i="5"/>
  <c r="B114" i="5"/>
  <c r="B122" i="5"/>
  <c r="B164" i="5"/>
  <c r="B172" i="5"/>
  <c r="B180" i="5"/>
  <c r="B188" i="5"/>
  <c r="B196" i="5"/>
  <c r="B208" i="5"/>
  <c r="B224" i="5"/>
  <c r="B240" i="5"/>
  <c r="D80" i="7"/>
  <c r="D62" i="7"/>
  <c r="D83" i="7"/>
  <c r="B34" i="7"/>
  <c r="B37" i="7"/>
  <c r="B28" i="7"/>
  <c r="C50" i="7"/>
  <c r="B35" i="7"/>
  <c r="B29" i="7"/>
  <c r="B32" i="7"/>
  <c r="B31" i="7"/>
  <c r="C51" i="7"/>
  <c r="B30" i="7"/>
  <c r="B33" i="7"/>
  <c r="B36" i="7"/>
  <c r="H2" i="7" l="1"/>
  <c r="E3" i="7" s="1"/>
  <c r="G3" i="7" s="1"/>
  <c r="K70" i="4"/>
  <c r="K71" i="4"/>
  <c r="M75" i="4"/>
  <c r="N74" i="4"/>
  <c r="J73" i="4"/>
  <c r="K72" i="4"/>
  <c r="F2" i="5"/>
  <c r="G2" i="5" s="1"/>
  <c r="D87" i="5"/>
  <c r="F87" i="5" s="1"/>
  <c r="F49" i="5"/>
  <c r="D75" i="7"/>
  <c r="D72" i="7"/>
  <c r="D76" i="7"/>
  <c r="D65" i="7"/>
  <c r="D84" i="7"/>
  <c r="D89" i="7"/>
  <c r="D54" i="7"/>
  <c r="D63" i="7"/>
  <c r="D71" i="7"/>
  <c r="D81" i="7"/>
  <c r="D91" i="7"/>
  <c r="D92" i="7"/>
  <c r="D70" i="7"/>
  <c r="D79" i="7"/>
  <c r="D88" i="7"/>
  <c r="D97" i="7"/>
  <c r="D99" i="7"/>
  <c r="D100" i="7"/>
  <c r="D78" i="7"/>
  <c r="D87" i="7"/>
  <c r="D96" i="7"/>
  <c r="D105" i="7"/>
  <c r="D107" i="7"/>
  <c r="D108" i="7"/>
  <c r="D86" i="7"/>
  <c r="D95" i="7"/>
  <c r="D104" i="7"/>
  <c r="D51" i="7"/>
  <c r="D52" i="7"/>
  <c r="D53" i="7"/>
  <c r="D94" i="7"/>
  <c r="D103" i="7"/>
  <c r="D57" i="7"/>
  <c r="D59" i="7"/>
  <c r="D60" i="7"/>
  <c r="D61" i="7"/>
  <c r="D102" i="7"/>
  <c r="D56" i="7"/>
  <c r="D67" i="7"/>
  <c r="D68" i="7"/>
  <c r="D69" i="7"/>
  <c r="D55" i="7"/>
  <c r="D64" i="7"/>
  <c r="D73" i="7"/>
  <c r="D50" i="7"/>
  <c r="D106" i="7"/>
  <c r="D109" i="7"/>
  <c r="D74" i="7"/>
  <c r="D93" i="7"/>
  <c r="D82" i="7"/>
  <c r="D58" i="7"/>
  <c r="D98" i="7"/>
  <c r="D66" i="7"/>
  <c r="D90" i="7"/>
  <c r="D85" i="7"/>
  <c r="D77" i="7"/>
  <c r="D72" i="5"/>
  <c r="F72" i="5" s="1"/>
  <c r="D92" i="5"/>
  <c r="F92" i="5" s="1"/>
  <c r="D51" i="5"/>
  <c r="F51" i="5" s="1"/>
  <c r="D50" i="5"/>
  <c r="F50" i="5" s="1"/>
  <c r="C276" i="5"/>
  <c r="B264" i="5"/>
  <c r="B141" i="5"/>
  <c r="C237" i="5"/>
  <c r="B225" i="5"/>
  <c r="B117" i="5"/>
  <c r="C226" i="5"/>
  <c r="B214" i="5"/>
  <c r="B153" i="5"/>
  <c r="C109" i="5"/>
  <c r="B97" i="5"/>
  <c r="B183" i="5"/>
  <c r="B211" i="5"/>
  <c r="B201" i="5"/>
  <c r="B189" i="5"/>
  <c r="C247" i="5"/>
  <c r="B235" i="5"/>
  <c r="B167" i="5"/>
  <c r="C268" i="5"/>
  <c r="B256" i="5"/>
  <c r="B105" i="5"/>
  <c r="C230" i="5"/>
  <c r="B218" i="5"/>
  <c r="B127" i="5"/>
  <c r="C233" i="5"/>
  <c r="B221" i="5"/>
  <c r="C260" i="5"/>
  <c r="B248" i="5"/>
  <c r="C239" i="5"/>
  <c r="B227" i="5"/>
  <c r="C234" i="5"/>
  <c r="B222" i="5"/>
  <c r="B151" i="5"/>
  <c r="B135" i="5"/>
  <c r="B129" i="5"/>
  <c r="B177" i="5"/>
  <c r="B165" i="5"/>
  <c r="B213" i="5"/>
  <c r="C243" i="5"/>
  <c r="B231" i="5"/>
  <c r="H3" i="7"/>
  <c r="E4" i="7" s="1"/>
  <c r="G4" i="7" s="1"/>
  <c r="C54" i="7"/>
  <c r="C53" i="7"/>
  <c r="C63" i="7"/>
  <c r="B51" i="7"/>
  <c r="F51" i="7" s="1"/>
  <c r="C59" i="7"/>
  <c r="C61" i="7"/>
  <c r="C60" i="7"/>
  <c r="C55" i="7"/>
  <c r="C62" i="7"/>
  <c r="B50" i="7"/>
  <c r="C58" i="7"/>
  <c r="C57" i="7"/>
  <c r="C56" i="7"/>
  <c r="C52" i="7"/>
  <c r="D54" i="5" l="1"/>
  <c r="F54" i="5" s="1"/>
  <c r="D103" i="5"/>
  <c r="F103" i="5" s="1"/>
  <c r="D100" i="5"/>
  <c r="F100" i="5" s="1"/>
  <c r="D99" i="5"/>
  <c r="F99" i="5" s="1"/>
  <c r="D61" i="5"/>
  <c r="F61" i="5" s="1"/>
  <c r="D83" i="5"/>
  <c r="F83" i="5" s="1"/>
  <c r="D101" i="5"/>
  <c r="F101" i="5" s="1"/>
  <c r="D66" i="5"/>
  <c r="F66" i="5" s="1"/>
  <c r="D89" i="5"/>
  <c r="F89" i="5" s="1"/>
  <c r="D75" i="5"/>
  <c r="F75" i="5" s="1"/>
  <c r="D81" i="5"/>
  <c r="F81" i="5" s="1"/>
  <c r="D79" i="5"/>
  <c r="F79" i="5" s="1"/>
  <c r="D77" i="5"/>
  <c r="F77" i="5" s="1"/>
  <c r="D102" i="5"/>
  <c r="F102" i="5" s="1"/>
  <c r="D84" i="5"/>
  <c r="F84" i="5" s="1"/>
  <c r="D106" i="5"/>
  <c r="F106" i="5" s="1"/>
  <c r="D73" i="5"/>
  <c r="F73" i="5" s="1"/>
  <c r="D71" i="5"/>
  <c r="F71" i="5" s="1"/>
  <c r="D57" i="5"/>
  <c r="F57" i="5" s="1"/>
  <c r="D53" i="5"/>
  <c r="F53" i="5" s="1"/>
  <c r="D86" i="5"/>
  <c r="F86" i="5" s="1"/>
  <c r="D52" i="5"/>
  <c r="F52" i="5" s="1"/>
  <c r="D90" i="5"/>
  <c r="F90" i="5" s="1"/>
  <c r="D88" i="5"/>
  <c r="F88" i="5" s="1"/>
  <c r="D55" i="5"/>
  <c r="F55" i="5" s="1"/>
  <c r="D94" i="5"/>
  <c r="F94" i="5" s="1"/>
  <c r="D76" i="5"/>
  <c r="F76" i="5" s="1"/>
  <c r="D98" i="5"/>
  <c r="F98" i="5" s="1"/>
  <c r="D63" i="5"/>
  <c r="F63" i="5" s="1"/>
  <c r="D109" i="5"/>
  <c r="B6" i="1" s="1"/>
  <c r="D78" i="5"/>
  <c r="F78" i="5" s="1"/>
  <c r="D107" i="5"/>
  <c r="F107" i="5" s="1"/>
  <c r="D82" i="5"/>
  <c r="F82" i="5" s="1"/>
  <c r="D80" i="5"/>
  <c r="F80" i="5" s="1"/>
  <c r="D69" i="5"/>
  <c r="F69" i="5" s="1"/>
  <c r="D108" i="5"/>
  <c r="F108" i="5" s="1"/>
  <c r="D91" i="5"/>
  <c r="F91" i="5" s="1"/>
  <c r="D97" i="5"/>
  <c r="F97" i="5" s="1"/>
  <c r="D64" i="5"/>
  <c r="F64" i="5" s="1"/>
  <c r="N75" i="4"/>
  <c r="M76" i="4"/>
  <c r="K73" i="4"/>
  <c r="J74" i="4"/>
  <c r="D74" i="5"/>
  <c r="F74" i="5" s="1"/>
  <c r="D65" i="5"/>
  <c r="F65" i="5" s="1"/>
  <c r="D56" i="5"/>
  <c r="F56" i="5" s="1"/>
  <c r="D93" i="5"/>
  <c r="F93" i="5" s="1"/>
  <c r="D70" i="5"/>
  <c r="F70" i="5" s="1"/>
  <c r="D68" i="5"/>
  <c r="F68" i="5" s="1"/>
  <c r="D67" i="5"/>
  <c r="F67" i="5" s="1"/>
  <c r="D58" i="5"/>
  <c r="F58" i="5" s="1"/>
  <c r="D104" i="5"/>
  <c r="F104" i="5" s="1"/>
  <c r="D95" i="5"/>
  <c r="F95" i="5" s="1"/>
  <c r="D85" i="5"/>
  <c r="F85" i="5" s="1"/>
  <c r="D62" i="5"/>
  <c r="F62" i="5" s="1"/>
  <c r="D60" i="5"/>
  <c r="F60" i="5" s="1"/>
  <c r="D59" i="5"/>
  <c r="F59" i="5" s="1"/>
  <c r="D105" i="5"/>
  <c r="F105" i="5" s="1"/>
  <c r="D96" i="5"/>
  <c r="F96" i="5" s="1"/>
  <c r="H2" i="5"/>
  <c r="E3" i="5" s="1"/>
  <c r="F50" i="7"/>
  <c r="B6" i="6"/>
  <c r="D145" i="7"/>
  <c r="D335" i="7"/>
  <c r="D216" i="7"/>
  <c r="D384" i="7"/>
  <c r="D510" i="7"/>
  <c r="D359" i="7"/>
  <c r="D516" i="7"/>
  <c r="D446" i="7"/>
  <c r="D477" i="7"/>
  <c r="D452" i="7"/>
  <c r="D382" i="7"/>
  <c r="D413" i="7"/>
  <c r="D324" i="7"/>
  <c r="D318" i="7"/>
  <c r="D349" i="7"/>
  <c r="D480" i="7"/>
  <c r="D296" i="7"/>
  <c r="D399" i="7"/>
  <c r="D111" i="7"/>
  <c r="D454" i="7"/>
  <c r="D390" i="7"/>
  <c r="D326" i="7"/>
  <c r="D262" i="7"/>
  <c r="D186" i="7"/>
  <c r="D122" i="7"/>
  <c r="D264" i="7"/>
  <c r="D407" i="7"/>
  <c r="D485" i="7"/>
  <c r="D421" i="7"/>
  <c r="D357" i="7"/>
  <c r="D293" i="7"/>
  <c r="D229" i="7"/>
  <c r="D153" i="7"/>
  <c r="D416" i="7"/>
  <c r="D155" i="7"/>
  <c r="D460" i="7"/>
  <c r="D396" i="7"/>
  <c r="D332" i="7"/>
  <c r="D268" i="7"/>
  <c r="D192" i="7"/>
  <c r="D128" i="7"/>
  <c r="D423" i="7"/>
  <c r="D515" i="7"/>
  <c r="D451" i="7"/>
  <c r="D387" i="7"/>
  <c r="D323" i="7"/>
  <c r="D259" i="7"/>
  <c r="D183" i="7"/>
  <c r="D119" i="7"/>
  <c r="D391" i="7"/>
  <c r="D266" i="7"/>
  <c r="D367" i="7"/>
  <c r="D379" i="7"/>
  <c r="D251" i="7"/>
  <c r="D175" i="7"/>
  <c r="D506" i="7"/>
  <c r="D388" i="7"/>
  <c r="D120" i="7"/>
  <c r="D224" i="7"/>
  <c r="D303" i="7"/>
  <c r="D502" i="7"/>
  <c r="D438" i="7"/>
  <c r="D374" i="7"/>
  <c r="D310" i="7"/>
  <c r="D246" i="7"/>
  <c r="D170" i="7"/>
  <c r="D504" i="7"/>
  <c r="D180" i="7"/>
  <c r="D287" i="7"/>
  <c r="D469" i="7"/>
  <c r="D405" i="7"/>
  <c r="D341" i="7"/>
  <c r="D277" i="7"/>
  <c r="D213" i="7"/>
  <c r="D137" i="7"/>
  <c r="D336" i="7"/>
  <c r="D508" i="7"/>
  <c r="D444" i="7"/>
  <c r="D380" i="7"/>
  <c r="D316" i="7"/>
  <c r="D252" i="7"/>
  <c r="D176" i="7"/>
  <c r="D112" i="7"/>
  <c r="D327" i="7"/>
  <c r="D499" i="7"/>
  <c r="D435" i="7"/>
  <c r="D371" i="7"/>
  <c r="D307" i="7"/>
  <c r="D243" i="7"/>
  <c r="D167" i="7"/>
  <c r="D448" i="7"/>
  <c r="D498" i="7"/>
  <c r="D134" i="7"/>
  <c r="D208" i="7"/>
  <c r="D263" i="7"/>
  <c r="D494" i="7"/>
  <c r="D430" i="7"/>
  <c r="D366" i="7"/>
  <c r="D302" i="7"/>
  <c r="D238" i="7"/>
  <c r="D162" i="7"/>
  <c r="D464" i="7"/>
  <c r="D164" i="7"/>
  <c r="D123" i="7"/>
  <c r="D461" i="7"/>
  <c r="D397" i="7"/>
  <c r="D333" i="7"/>
  <c r="D269" i="7"/>
  <c r="D193" i="7"/>
  <c r="D129" i="7"/>
  <c r="D280" i="7"/>
  <c r="D500" i="7"/>
  <c r="D436" i="7"/>
  <c r="D372" i="7"/>
  <c r="D308" i="7"/>
  <c r="D244" i="7"/>
  <c r="D168" i="7"/>
  <c r="D496" i="7"/>
  <c r="D295" i="7"/>
  <c r="D491" i="7"/>
  <c r="D427" i="7"/>
  <c r="D363" i="7"/>
  <c r="D299" i="7"/>
  <c r="D235" i="7"/>
  <c r="D159" i="7"/>
  <c r="D400" i="7"/>
  <c r="D458" i="7"/>
  <c r="D360" i="7"/>
  <c r="D507" i="7"/>
  <c r="D472" i="7"/>
  <c r="D172" i="7"/>
  <c r="D239" i="7"/>
  <c r="D486" i="7"/>
  <c r="D422" i="7"/>
  <c r="D358" i="7"/>
  <c r="D294" i="7"/>
  <c r="D230" i="7"/>
  <c r="D154" i="7"/>
  <c r="D432" i="7"/>
  <c r="D132" i="7"/>
  <c r="D517" i="7"/>
  <c r="D453" i="7"/>
  <c r="D389" i="7"/>
  <c r="D325" i="7"/>
  <c r="D261" i="7"/>
  <c r="D185" i="7"/>
  <c r="D121" i="7"/>
  <c r="D140" i="7"/>
  <c r="D492" i="7"/>
  <c r="D428" i="7"/>
  <c r="D364" i="7"/>
  <c r="D300" i="7"/>
  <c r="D236" i="7"/>
  <c r="D160" i="7"/>
  <c r="D440" i="7"/>
  <c r="D255" i="7"/>
  <c r="D483" i="7"/>
  <c r="D419" i="7"/>
  <c r="D355" i="7"/>
  <c r="D291" i="7"/>
  <c r="D227" i="7"/>
  <c r="D151" i="7"/>
  <c r="D352" i="7"/>
  <c r="D442" i="7"/>
  <c r="D223" i="7"/>
  <c r="D424" i="7"/>
  <c r="D116" i="7"/>
  <c r="D187" i="7"/>
  <c r="D478" i="7"/>
  <c r="D414" i="7"/>
  <c r="D350" i="7"/>
  <c r="D286" i="7"/>
  <c r="D222" i="7"/>
  <c r="D146" i="7"/>
  <c r="D392" i="7"/>
  <c r="D511" i="7"/>
  <c r="D509" i="7"/>
  <c r="D445" i="7"/>
  <c r="D381" i="7"/>
  <c r="D317" i="7"/>
  <c r="D253" i="7"/>
  <c r="D177" i="7"/>
  <c r="D113" i="7"/>
  <c r="D110" i="7"/>
  <c r="D484" i="7"/>
  <c r="D420" i="7"/>
  <c r="D356" i="7"/>
  <c r="D292" i="7"/>
  <c r="D228" i="7"/>
  <c r="D152" i="7"/>
  <c r="D376" i="7"/>
  <c r="D215" i="7"/>
  <c r="D475" i="7"/>
  <c r="D411" i="7"/>
  <c r="D347" i="7"/>
  <c r="D283" i="7"/>
  <c r="D219" i="7"/>
  <c r="D143" i="7"/>
  <c r="D312" i="7"/>
  <c r="D338" i="7"/>
  <c r="D513" i="7"/>
  <c r="D260" i="7"/>
  <c r="D184" i="7"/>
  <c r="D443" i="7"/>
  <c r="D315" i="7"/>
  <c r="D174" i="7"/>
  <c r="D368" i="7"/>
  <c r="D495" i="7"/>
  <c r="D163" i="7"/>
  <c r="D470" i="7"/>
  <c r="D406" i="7"/>
  <c r="D342" i="7"/>
  <c r="D278" i="7"/>
  <c r="D214" i="7"/>
  <c r="D138" i="7"/>
  <c r="D344" i="7"/>
  <c r="D463" i="7"/>
  <c r="D501" i="7"/>
  <c r="D437" i="7"/>
  <c r="D373" i="7"/>
  <c r="D309" i="7"/>
  <c r="D245" i="7"/>
  <c r="D169" i="7"/>
  <c r="D512" i="7"/>
  <c r="D471" i="7"/>
  <c r="D476" i="7"/>
  <c r="D412" i="7"/>
  <c r="D348" i="7"/>
  <c r="D284" i="7"/>
  <c r="D220" i="7"/>
  <c r="D144" i="7"/>
  <c r="D156" i="7"/>
  <c r="D171" i="7"/>
  <c r="D467" i="7"/>
  <c r="D403" i="7"/>
  <c r="D339" i="7"/>
  <c r="D275" i="7"/>
  <c r="D211" i="7"/>
  <c r="D135" i="7"/>
  <c r="D148" i="7"/>
  <c r="D330" i="7"/>
  <c r="D449" i="7"/>
  <c r="D320" i="7"/>
  <c r="D447" i="7"/>
  <c r="D115" i="7"/>
  <c r="D462" i="7"/>
  <c r="D398" i="7"/>
  <c r="D334" i="7"/>
  <c r="D270" i="7"/>
  <c r="D206" i="7"/>
  <c r="D130" i="7"/>
  <c r="D304" i="7"/>
  <c r="D439" i="7"/>
  <c r="D493" i="7"/>
  <c r="D429" i="7"/>
  <c r="D365" i="7"/>
  <c r="D301" i="7"/>
  <c r="D237" i="7"/>
  <c r="D161" i="7"/>
  <c r="D456" i="7"/>
  <c r="D375" i="7"/>
  <c r="D468" i="7"/>
  <c r="D404" i="7"/>
  <c r="D340" i="7"/>
  <c r="D276" i="7"/>
  <c r="D212" i="7"/>
  <c r="D136" i="7"/>
  <c r="D479" i="7"/>
  <c r="D139" i="7"/>
  <c r="D459" i="7"/>
  <c r="D395" i="7"/>
  <c r="D331" i="7"/>
  <c r="D267" i="7"/>
  <c r="D191" i="7"/>
  <c r="D127" i="7"/>
  <c r="D487" i="7"/>
  <c r="D274" i="7"/>
  <c r="D466" i="7"/>
  <c r="D314" i="7"/>
  <c r="D126" i="7"/>
  <c r="D473" i="7"/>
  <c r="D232" i="7"/>
  <c r="D401" i="7"/>
  <c r="D351" i="7"/>
  <c r="D402" i="7"/>
  <c r="D242" i="7"/>
  <c r="D188" i="7"/>
  <c r="D393" i="7"/>
  <c r="D207" i="7"/>
  <c r="D394" i="7"/>
  <c r="D210" i="7"/>
  <c r="D455" i="7"/>
  <c r="D329" i="7"/>
  <c r="D147" i="7"/>
  <c r="D370" i="7"/>
  <c r="D190" i="7"/>
  <c r="D271" i="7"/>
  <c r="D369" i="7"/>
  <c r="D321" i="7"/>
  <c r="D297" i="7"/>
  <c r="D465" i="7"/>
  <c r="D233" i="7"/>
  <c r="D434" i="7"/>
  <c r="D306" i="7"/>
  <c r="D166" i="7"/>
  <c r="D415" i="7"/>
  <c r="D441" i="7"/>
  <c r="D249" i="7"/>
  <c r="D165" i="7"/>
  <c r="D378" i="7"/>
  <c r="D250" i="7"/>
  <c r="D408" i="7"/>
  <c r="D131" i="7"/>
  <c r="D377" i="7"/>
  <c r="D141" i="7"/>
  <c r="D305" i="7"/>
  <c r="D133" i="7"/>
  <c r="D257" i="7"/>
  <c r="D217" i="7"/>
  <c r="D319" i="7"/>
  <c r="D490" i="7"/>
  <c r="D426" i="7"/>
  <c r="D362" i="7"/>
  <c r="D298" i="7"/>
  <c r="D234" i="7"/>
  <c r="D158" i="7"/>
  <c r="D328" i="7"/>
  <c r="D383" i="7"/>
  <c r="D505" i="7"/>
  <c r="D433" i="7"/>
  <c r="D361" i="7"/>
  <c r="D281" i="7"/>
  <c r="D209" i="7"/>
  <c r="D125" i="7"/>
  <c r="D272" i="7"/>
  <c r="D279" i="7"/>
  <c r="D482" i="7"/>
  <c r="D418" i="7"/>
  <c r="D354" i="7"/>
  <c r="D290" i="7"/>
  <c r="D226" i="7"/>
  <c r="D150" i="7"/>
  <c r="D288" i="7"/>
  <c r="D343" i="7"/>
  <c r="D497" i="7"/>
  <c r="D425" i="7"/>
  <c r="D345" i="7"/>
  <c r="D273" i="7"/>
  <c r="D189" i="7"/>
  <c r="D117" i="7"/>
  <c r="D240" i="7"/>
  <c r="D231" i="7"/>
  <c r="D474" i="7"/>
  <c r="D410" i="7"/>
  <c r="D346" i="7"/>
  <c r="D282" i="7"/>
  <c r="D218" i="7"/>
  <c r="D142" i="7"/>
  <c r="D248" i="7"/>
  <c r="D311" i="7"/>
  <c r="D489" i="7"/>
  <c r="D409" i="7"/>
  <c r="D337" i="7"/>
  <c r="D265" i="7"/>
  <c r="D181" i="7"/>
  <c r="D173" i="7"/>
  <c r="D431" i="7"/>
  <c r="D514" i="7"/>
  <c r="D450" i="7"/>
  <c r="D386" i="7"/>
  <c r="D322" i="7"/>
  <c r="D258" i="7"/>
  <c r="D182" i="7"/>
  <c r="D118" i="7"/>
  <c r="D503" i="7"/>
  <c r="D179" i="7"/>
  <c r="D457" i="7"/>
  <c r="D385" i="7"/>
  <c r="D313" i="7"/>
  <c r="D241" i="7"/>
  <c r="D157" i="7"/>
  <c r="D488" i="7"/>
  <c r="D124" i="7"/>
  <c r="D247" i="7"/>
  <c r="D481" i="7"/>
  <c r="D417" i="7"/>
  <c r="D353" i="7"/>
  <c r="D289" i="7"/>
  <c r="D225" i="7"/>
  <c r="C242" i="5"/>
  <c r="B230" i="5"/>
  <c r="C251" i="5"/>
  <c r="B239" i="5"/>
  <c r="C249" i="5"/>
  <c r="B237" i="5"/>
  <c r="C255" i="5"/>
  <c r="B243" i="5"/>
  <c r="C238" i="5"/>
  <c r="B226" i="5"/>
  <c r="C272" i="5"/>
  <c r="B260" i="5"/>
  <c r="C280" i="5"/>
  <c r="B268" i="5"/>
  <c r="C121" i="5"/>
  <c r="B109" i="5"/>
  <c r="C246" i="5"/>
  <c r="B234" i="5"/>
  <c r="C245" i="5"/>
  <c r="B233" i="5"/>
  <c r="C288" i="5"/>
  <c r="B276" i="5"/>
  <c r="C259" i="5"/>
  <c r="B247" i="5"/>
  <c r="H4" i="7"/>
  <c r="E5" i="7" s="1"/>
  <c r="G5" i="7" s="1"/>
  <c r="C72" i="7"/>
  <c r="B60" i="7"/>
  <c r="F60" i="7" s="1"/>
  <c r="B58" i="7"/>
  <c r="F58" i="7" s="1"/>
  <c r="C70" i="7"/>
  <c r="C73" i="7"/>
  <c r="B61" i="7"/>
  <c r="F61" i="7" s="1"/>
  <c r="C69" i="7"/>
  <c r="B57" i="7"/>
  <c r="F57" i="7" s="1"/>
  <c r="B54" i="7"/>
  <c r="F54" i="7" s="1"/>
  <c r="C66" i="7"/>
  <c r="C75" i="7"/>
  <c r="B63" i="7"/>
  <c r="F63" i="7" s="1"/>
  <c r="C64" i="7"/>
  <c r="B52" i="7"/>
  <c r="F52" i="7" s="1"/>
  <c r="C65" i="7"/>
  <c r="B53" i="7"/>
  <c r="F53" i="7" s="1"/>
  <c r="C74" i="7"/>
  <c r="B62" i="7"/>
  <c r="F62" i="7" s="1"/>
  <c r="C68" i="7"/>
  <c r="B56" i="7"/>
  <c r="F56" i="7" s="1"/>
  <c r="C67" i="7"/>
  <c r="B55" i="7"/>
  <c r="F55" i="7" s="1"/>
  <c r="C71" i="7"/>
  <c r="B59" i="7"/>
  <c r="F59" i="7" s="1"/>
  <c r="F109" i="5" l="1"/>
  <c r="M77" i="4"/>
  <c r="N76" i="4"/>
  <c r="K74" i="4"/>
  <c r="J75" i="4"/>
  <c r="G3" i="5"/>
  <c r="H3" i="5" s="1"/>
  <c r="E4" i="5" s="1"/>
  <c r="D221" i="7"/>
  <c r="D285" i="7"/>
  <c r="D178" i="7"/>
  <c r="D114" i="7"/>
  <c r="D254" i="7"/>
  <c r="D256" i="7"/>
  <c r="D149" i="7"/>
  <c r="D115" i="5"/>
  <c r="F115" i="5" s="1"/>
  <c r="D123" i="5"/>
  <c r="F123" i="5" s="1"/>
  <c r="D131" i="5"/>
  <c r="F131" i="5" s="1"/>
  <c r="D139" i="5"/>
  <c r="F139" i="5" s="1"/>
  <c r="D147" i="5"/>
  <c r="F147" i="5" s="1"/>
  <c r="D155" i="5"/>
  <c r="F155" i="5" s="1"/>
  <c r="D163" i="5"/>
  <c r="F163" i="5" s="1"/>
  <c r="D171" i="5"/>
  <c r="F171" i="5" s="1"/>
  <c r="D179" i="5"/>
  <c r="F179" i="5" s="1"/>
  <c r="D187" i="5"/>
  <c r="F187" i="5" s="1"/>
  <c r="D195" i="5"/>
  <c r="F195" i="5" s="1"/>
  <c r="D203" i="5"/>
  <c r="F203" i="5" s="1"/>
  <c r="D211" i="5"/>
  <c r="F211" i="5" s="1"/>
  <c r="D219" i="5"/>
  <c r="F219" i="5" s="1"/>
  <c r="D227" i="5"/>
  <c r="F227" i="5" s="1"/>
  <c r="D235" i="5"/>
  <c r="F235" i="5" s="1"/>
  <c r="D243" i="5"/>
  <c r="F243" i="5" s="1"/>
  <c r="D251" i="5"/>
  <c r="F251" i="5" s="1"/>
  <c r="D259" i="5"/>
  <c r="F259" i="5" s="1"/>
  <c r="D267" i="5"/>
  <c r="F267" i="5" s="1"/>
  <c r="D275" i="5"/>
  <c r="F275" i="5" s="1"/>
  <c r="D283" i="5"/>
  <c r="F283" i="5" s="1"/>
  <c r="D291" i="5"/>
  <c r="F291" i="5" s="1"/>
  <c r="D299" i="5"/>
  <c r="F299" i="5" s="1"/>
  <c r="D307" i="5"/>
  <c r="F307" i="5" s="1"/>
  <c r="D315" i="5"/>
  <c r="F315" i="5" s="1"/>
  <c r="D323" i="5"/>
  <c r="F323" i="5" s="1"/>
  <c r="D331" i="5"/>
  <c r="F331" i="5" s="1"/>
  <c r="D339" i="5"/>
  <c r="F339" i="5" s="1"/>
  <c r="D347" i="5"/>
  <c r="F347" i="5" s="1"/>
  <c r="D355" i="5"/>
  <c r="F355" i="5" s="1"/>
  <c r="D363" i="5"/>
  <c r="F363" i="5" s="1"/>
  <c r="D371" i="5"/>
  <c r="F371" i="5" s="1"/>
  <c r="D379" i="5"/>
  <c r="F379" i="5" s="1"/>
  <c r="D387" i="5"/>
  <c r="F387" i="5" s="1"/>
  <c r="D395" i="5"/>
  <c r="F395" i="5" s="1"/>
  <c r="D403" i="5"/>
  <c r="F403" i="5" s="1"/>
  <c r="D411" i="5"/>
  <c r="F411" i="5" s="1"/>
  <c r="D419" i="5"/>
  <c r="F419" i="5" s="1"/>
  <c r="D427" i="5"/>
  <c r="F427" i="5" s="1"/>
  <c r="D435" i="5"/>
  <c r="F435" i="5" s="1"/>
  <c r="D443" i="5"/>
  <c r="F443" i="5" s="1"/>
  <c r="D451" i="5"/>
  <c r="F451" i="5" s="1"/>
  <c r="D459" i="5"/>
  <c r="F459" i="5" s="1"/>
  <c r="D467" i="5"/>
  <c r="F467" i="5" s="1"/>
  <c r="D475" i="5"/>
  <c r="F475" i="5" s="1"/>
  <c r="D483" i="5"/>
  <c r="F483" i="5" s="1"/>
  <c r="D491" i="5"/>
  <c r="F491" i="5" s="1"/>
  <c r="D499" i="5"/>
  <c r="F499" i="5" s="1"/>
  <c r="D507" i="5"/>
  <c r="F507" i="5" s="1"/>
  <c r="D515" i="5"/>
  <c r="F515" i="5" s="1"/>
  <c r="D116" i="5"/>
  <c r="F116" i="5" s="1"/>
  <c r="D124" i="5"/>
  <c r="F124" i="5" s="1"/>
  <c r="D132" i="5"/>
  <c r="F132" i="5" s="1"/>
  <c r="D140" i="5"/>
  <c r="F140" i="5" s="1"/>
  <c r="D148" i="5"/>
  <c r="F148" i="5" s="1"/>
  <c r="D156" i="5"/>
  <c r="F156" i="5" s="1"/>
  <c r="D164" i="5"/>
  <c r="F164" i="5" s="1"/>
  <c r="D172" i="5"/>
  <c r="F172" i="5" s="1"/>
  <c r="D180" i="5"/>
  <c r="F180" i="5" s="1"/>
  <c r="D188" i="5"/>
  <c r="F188" i="5" s="1"/>
  <c r="D196" i="5"/>
  <c r="F196" i="5" s="1"/>
  <c r="D204" i="5"/>
  <c r="F204" i="5" s="1"/>
  <c r="D212" i="5"/>
  <c r="F212" i="5" s="1"/>
  <c r="D220" i="5"/>
  <c r="F220" i="5" s="1"/>
  <c r="D228" i="5"/>
  <c r="F228" i="5" s="1"/>
  <c r="D236" i="5"/>
  <c r="F236" i="5" s="1"/>
  <c r="D244" i="5"/>
  <c r="F244" i="5" s="1"/>
  <c r="D252" i="5"/>
  <c r="F252" i="5" s="1"/>
  <c r="D260" i="5"/>
  <c r="F260" i="5" s="1"/>
  <c r="D268" i="5"/>
  <c r="F268" i="5" s="1"/>
  <c r="D276" i="5"/>
  <c r="F276" i="5" s="1"/>
  <c r="D284" i="5"/>
  <c r="F284" i="5" s="1"/>
  <c r="D292" i="5"/>
  <c r="F292" i="5" s="1"/>
  <c r="D300" i="5"/>
  <c r="F300" i="5" s="1"/>
  <c r="D308" i="5"/>
  <c r="F308" i="5" s="1"/>
  <c r="D316" i="5"/>
  <c r="F316" i="5" s="1"/>
  <c r="D324" i="5"/>
  <c r="F324" i="5" s="1"/>
  <c r="D332" i="5"/>
  <c r="F332" i="5" s="1"/>
  <c r="D340" i="5"/>
  <c r="F340" i="5" s="1"/>
  <c r="D348" i="5"/>
  <c r="F348" i="5" s="1"/>
  <c r="D356" i="5"/>
  <c r="F356" i="5" s="1"/>
  <c r="D364" i="5"/>
  <c r="F364" i="5" s="1"/>
  <c r="D372" i="5"/>
  <c r="F372" i="5" s="1"/>
  <c r="D380" i="5"/>
  <c r="F380" i="5" s="1"/>
  <c r="D388" i="5"/>
  <c r="F388" i="5" s="1"/>
  <c r="D396" i="5"/>
  <c r="F396" i="5" s="1"/>
  <c r="D404" i="5"/>
  <c r="F404" i="5" s="1"/>
  <c r="D412" i="5"/>
  <c r="F412" i="5" s="1"/>
  <c r="D420" i="5"/>
  <c r="F420" i="5" s="1"/>
  <c r="D428" i="5"/>
  <c r="F428" i="5" s="1"/>
  <c r="D436" i="5"/>
  <c r="F436" i="5" s="1"/>
  <c r="D444" i="5"/>
  <c r="F444" i="5" s="1"/>
  <c r="D452" i="5"/>
  <c r="F452" i="5" s="1"/>
  <c r="D460" i="5"/>
  <c r="F460" i="5" s="1"/>
  <c r="D468" i="5"/>
  <c r="F468" i="5" s="1"/>
  <c r="D476" i="5"/>
  <c r="F476" i="5" s="1"/>
  <c r="D484" i="5"/>
  <c r="F484" i="5" s="1"/>
  <c r="D492" i="5"/>
  <c r="F492" i="5" s="1"/>
  <c r="D500" i="5"/>
  <c r="F500" i="5" s="1"/>
  <c r="D508" i="5"/>
  <c r="F508" i="5" s="1"/>
  <c r="D516" i="5"/>
  <c r="F516" i="5" s="1"/>
  <c r="D117" i="5"/>
  <c r="F117" i="5" s="1"/>
  <c r="D125" i="5"/>
  <c r="F125" i="5" s="1"/>
  <c r="D133" i="5"/>
  <c r="F133" i="5" s="1"/>
  <c r="D141" i="5"/>
  <c r="F141" i="5" s="1"/>
  <c r="D149" i="5"/>
  <c r="F149" i="5" s="1"/>
  <c r="D157" i="5"/>
  <c r="F157" i="5" s="1"/>
  <c r="D165" i="5"/>
  <c r="F165" i="5" s="1"/>
  <c r="D173" i="5"/>
  <c r="F173" i="5" s="1"/>
  <c r="D181" i="5"/>
  <c r="F181" i="5" s="1"/>
  <c r="D189" i="5"/>
  <c r="F189" i="5" s="1"/>
  <c r="D197" i="5"/>
  <c r="F197" i="5" s="1"/>
  <c r="D205" i="5"/>
  <c r="F205" i="5" s="1"/>
  <c r="D213" i="5"/>
  <c r="F213" i="5" s="1"/>
  <c r="D221" i="5"/>
  <c r="F221" i="5" s="1"/>
  <c r="D229" i="5"/>
  <c r="F229" i="5" s="1"/>
  <c r="D237" i="5"/>
  <c r="F237" i="5" s="1"/>
  <c r="D245" i="5"/>
  <c r="F245" i="5" s="1"/>
  <c r="D253" i="5"/>
  <c r="F253" i="5" s="1"/>
  <c r="D261" i="5"/>
  <c r="F261" i="5" s="1"/>
  <c r="D269" i="5"/>
  <c r="F269" i="5" s="1"/>
  <c r="D277" i="5"/>
  <c r="F277" i="5" s="1"/>
  <c r="D285" i="5"/>
  <c r="F285" i="5" s="1"/>
  <c r="D293" i="5"/>
  <c r="F293" i="5" s="1"/>
  <c r="D301" i="5"/>
  <c r="F301" i="5" s="1"/>
  <c r="D309" i="5"/>
  <c r="F309" i="5" s="1"/>
  <c r="D317" i="5"/>
  <c r="F317" i="5" s="1"/>
  <c r="D325" i="5"/>
  <c r="F325" i="5" s="1"/>
  <c r="D333" i="5"/>
  <c r="F333" i="5" s="1"/>
  <c r="D341" i="5"/>
  <c r="F341" i="5" s="1"/>
  <c r="D349" i="5"/>
  <c r="F349" i="5" s="1"/>
  <c r="D357" i="5"/>
  <c r="F357" i="5" s="1"/>
  <c r="D365" i="5"/>
  <c r="F365" i="5" s="1"/>
  <c r="D373" i="5"/>
  <c r="F373" i="5" s="1"/>
  <c r="D381" i="5"/>
  <c r="F381" i="5" s="1"/>
  <c r="D389" i="5"/>
  <c r="F389" i="5" s="1"/>
  <c r="D397" i="5"/>
  <c r="F397" i="5" s="1"/>
  <c r="D405" i="5"/>
  <c r="F405" i="5" s="1"/>
  <c r="D413" i="5"/>
  <c r="F413" i="5" s="1"/>
  <c r="D421" i="5"/>
  <c r="F421" i="5" s="1"/>
  <c r="D429" i="5"/>
  <c r="F429" i="5" s="1"/>
  <c r="D437" i="5"/>
  <c r="F437" i="5" s="1"/>
  <c r="D445" i="5"/>
  <c r="F445" i="5" s="1"/>
  <c r="D453" i="5"/>
  <c r="F453" i="5" s="1"/>
  <c r="D461" i="5"/>
  <c r="F461" i="5" s="1"/>
  <c r="D469" i="5"/>
  <c r="F469" i="5" s="1"/>
  <c r="D477" i="5"/>
  <c r="F477" i="5" s="1"/>
  <c r="D485" i="5"/>
  <c r="F485" i="5" s="1"/>
  <c r="D493" i="5"/>
  <c r="F493" i="5" s="1"/>
  <c r="D501" i="5"/>
  <c r="F501" i="5" s="1"/>
  <c r="D509" i="5"/>
  <c r="F509" i="5" s="1"/>
  <c r="D517" i="5"/>
  <c r="F517" i="5" s="1"/>
  <c r="D118" i="5"/>
  <c r="F118" i="5" s="1"/>
  <c r="D126" i="5"/>
  <c r="F126" i="5" s="1"/>
  <c r="D134" i="5"/>
  <c r="F134" i="5" s="1"/>
  <c r="D142" i="5"/>
  <c r="F142" i="5" s="1"/>
  <c r="D150" i="5"/>
  <c r="F150" i="5" s="1"/>
  <c r="D158" i="5"/>
  <c r="F158" i="5" s="1"/>
  <c r="D166" i="5"/>
  <c r="F166" i="5" s="1"/>
  <c r="D174" i="5"/>
  <c r="F174" i="5" s="1"/>
  <c r="D182" i="5"/>
  <c r="F182" i="5" s="1"/>
  <c r="D190" i="5"/>
  <c r="F190" i="5" s="1"/>
  <c r="D198" i="5"/>
  <c r="F198" i="5" s="1"/>
  <c r="D206" i="5"/>
  <c r="F206" i="5" s="1"/>
  <c r="D214" i="5"/>
  <c r="F214" i="5" s="1"/>
  <c r="D222" i="5"/>
  <c r="F222" i="5" s="1"/>
  <c r="D230" i="5"/>
  <c r="F230" i="5" s="1"/>
  <c r="D238" i="5"/>
  <c r="F238" i="5" s="1"/>
  <c r="D246" i="5"/>
  <c r="F246" i="5" s="1"/>
  <c r="D254" i="5"/>
  <c r="F254" i="5" s="1"/>
  <c r="D262" i="5"/>
  <c r="F262" i="5" s="1"/>
  <c r="D270" i="5"/>
  <c r="F270" i="5" s="1"/>
  <c r="D278" i="5"/>
  <c r="F278" i="5" s="1"/>
  <c r="D286" i="5"/>
  <c r="F286" i="5" s="1"/>
  <c r="D294" i="5"/>
  <c r="F294" i="5" s="1"/>
  <c r="D302" i="5"/>
  <c r="F302" i="5" s="1"/>
  <c r="D310" i="5"/>
  <c r="F310" i="5" s="1"/>
  <c r="D318" i="5"/>
  <c r="F318" i="5" s="1"/>
  <c r="D326" i="5"/>
  <c r="F326" i="5" s="1"/>
  <c r="D334" i="5"/>
  <c r="F334" i="5" s="1"/>
  <c r="D342" i="5"/>
  <c r="F342" i="5" s="1"/>
  <c r="D350" i="5"/>
  <c r="F350" i="5" s="1"/>
  <c r="D358" i="5"/>
  <c r="F358" i="5" s="1"/>
  <c r="D366" i="5"/>
  <c r="F366" i="5" s="1"/>
  <c r="D374" i="5"/>
  <c r="F374" i="5" s="1"/>
  <c r="D382" i="5"/>
  <c r="F382" i="5" s="1"/>
  <c r="D390" i="5"/>
  <c r="F390" i="5" s="1"/>
  <c r="D398" i="5"/>
  <c r="F398" i="5" s="1"/>
  <c r="D406" i="5"/>
  <c r="F406" i="5" s="1"/>
  <c r="D414" i="5"/>
  <c r="F414" i="5" s="1"/>
  <c r="D422" i="5"/>
  <c r="F422" i="5" s="1"/>
  <c r="D430" i="5"/>
  <c r="F430" i="5" s="1"/>
  <c r="D438" i="5"/>
  <c r="F438" i="5" s="1"/>
  <c r="D446" i="5"/>
  <c r="F446" i="5" s="1"/>
  <c r="D454" i="5"/>
  <c r="F454" i="5" s="1"/>
  <c r="D462" i="5"/>
  <c r="F462" i="5" s="1"/>
  <c r="D470" i="5"/>
  <c r="F470" i="5" s="1"/>
  <c r="D478" i="5"/>
  <c r="F478" i="5" s="1"/>
  <c r="D486" i="5"/>
  <c r="F486" i="5" s="1"/>
  <c r="D494" i="5"/>
  <c r="F494" i="5" s="1"/>
  <c r="D502" i="5"/>
  <c r="F502" i="5" s="1"/>
  <c r="D510" i="5"/>
  <c r="F510" i="5" s="1"/>
  <c r="D111" i="5"/>
  <c r="F111" i="5" s="1"/>
  <c r="D119" i="5"/>
  <c r="F119" i="5" s="1"/>
  <c r="D127" i="5"/>
  <c r="F127" i="5" s="1"/>
  <c r="D135" i="5"/>
  <c r="F135" i="5" s="1"/>
  <c r="D143" i="5"/>
  <c r="F143" i="5" s="1"/>
  <c r="D151" i="5"/>
  <c r="F151" i="5" s="1"/>
  <c r="D159" i="5"/>
  <c r="F159" i="5" s="1"/>
  <c r="D167" i="5"/>
  <c r="F167" i="5" s="1"/>
  <c r="D175" i="5"/>
  <c r="F175" i="5" s="1"/>
  <c r="D183" i="5"/>
  <c r="F183" i="5" s="1"/>
  <c r="D191" i="5"/>
  <c r="F191" i="5" s="1"/>
  <c r="D199" i="5"/>
  <c r="F199" i="5" s="1"/>
  <c r="D207" i="5"/>
  <c r="F207" i="5" s="1"/>
  <c r="D215" i="5"/>
  <c r="F215" i="5" s="1"/>
  <c r="D223" i="5"/>
  <c r="F223" i="5" s="1"/>
  <c r="D231" i="5"/>
  <c r="F231" i="5" s="1"/>
  <c r="D239" i="5"/>
  <c r="F239" i="5" s="1"/>
  <c r="D247" i="5"/>
  <c r="F247" i="5" s="1"/>
  <c r="D255" i="5"/>
  <c r="F255" i="5" s="1"/>
  <c r="D263" i="5"/>
  <c r="F263" i="5" s="1"/>
  <c r="D271" i="5"/>
  <c r="F271" i="5" s="1"/>
  <c r="D279" i="5"/>
  <c r="F279" i="5" s="1"/>
  <c r="D287" i="5"/>
  <c r="F287" i="5" s="1"/>
  <c r="D295" i="5"/>
  <c r="F295" i="5" s="1"/>
  <c r="D303" i="5"/>
  <c r="F303" i="5" s="1"/>
  <c r="D311" i="5"/>
  <c r="F311" i="5" s="1"/>
  <c r="D319" i="5"/>
  <c r="F319" i="5" s="1"/>
  <c r="D327" i="5"/>
  <c r="F327" i="5" s="1"/>
  <c r="D335" i="5"/>
  <c r="F335" i="5" s="1"/>
  <c r="D343" i="5"/>
  <c r="F343" i="5" s="1"/>
  <c r="D351" i="5"/>
  <c r="F351" i="5" s="1"/>
  <c r="D359" i="5"/>
  <c r="F359" i="5" s="1"/>
  <c r="D367" i="5"/>
  <c r="F367" i="5" s="1"/>
  <c r="D375" i="5"/>
  <c r="F375" i="5" s="1"/>
  <c r="D383" i="5"/>
  <c r="F383" i="5" s="1"/>
  <c r="D391" i="5"/>
  <c r="F391" i="5" s="1"/>
  <c r="D399" i="5"/>
  <c r="F399" i="5" s="1"/>
  <c r="D407" i="5"/>
  <c r="F407" i="5" s="1"/>
  <c r="D415" i="5"/>
  <c r="F415" i="5" s="1"/>
  <c r="D423" i="5"/>
  <c r="F423" i="5" s="1"/>
  <c r="D431" i="5"/>
  <c r="F431" i="5" s="1"/>
  <c r="D439" i="5"/>
  <c r="F439" i="5" s="1"/>
  <c r="D447" i="5"/>
  <c r="F447" i="5" s="1"/>
  <c r="D455" i="5"/>
  <c r="F455" i="5" s="1"/>
  <c r="D463" i="5"/>
  <c r="F463" i="5" s="1"/>
  <c r="D471" i="5"/>
  <c r="F471" i="5" s="1"/>
  <c r="D479" i="5"/>
  <c r="F479" i="5" s="1"/>
  <c r="D487" i="5"/>
  <c r="F487" i="5" s="1"/>
  <c r="D495" i="5"/>
  <c r="F495" i="5" s="1"/>
  <c r="D503" i="5"/>
  <c r="F503" i="5" s="1"/>
  <c r="D511" i="5"/>
  <c r="F511" i="5" s="1"/>
  <c r="D110" i="5"/>
  <c r="F110" i="5" s="1"/>
  <c r="D113" i="5"/>
  <c r="F113" i="5" s="1"/>
  <c r="D129" i="5"/>
  <c r="F129" i="5" s="1"/>
  <c r="D137" i="5"/>
  <c r="F137" i="5" s="1"/>
  <c r="D145" i="5"/>
  <c r="F145" i="5" s="1"/>
  <c r="D153" i="5"/>
  <c r="F153" i="5" s="1"/>
  <c r="D161" i="5"/>
  <c r="F161" i="5" s="1"/>
  <c r="D169" i="5"/>
  <c r="F169" i="5" s="1"/>
  <c r="D201" i="5"/>
  <c r="F201" i="5" s="1"/>
  <c r="D209" i="5"/>
  <c r="F209" i="5" s="1"/>
  <c r="D217" i="5"/>
  <c r="F217" i="5" s="1"/>
  <c r="D225" i="5"/>
  <c r="F225" i="5" s="1"/>
  <c r="D112" i="5"/>
  <c r="F112" i="5" s="1"/>
  <c r="D120" i="5"/>
  <c r="F120" i="5" s="1"/>
  <c r="D128" i="5"/>
  <c r="F128" i="5" s="1"/>
  <c r="D136" i="5"/>
  <c r="F136" i="5" s="1"/>
  <c r="D144" i="5"/>
  <c r="F144" i="5" s="1"/>
  <c r="D152" i="5"/>
  <c r="F152" i="5" s="1"/>
  <c r="D160" i="5"/>
  <c r="F160" i="5" s="1"/>
  <c r="D168" i="5"/>
  <c r="F168" i="5" s="1"/>
  <c r="D176" i="5"/>
  <c r="F176" i="5" s="1"/>
  <c r="D184" i="5"/>
  <c r="F184" i="5" s="1"/>
  <c r="D192" i="5"/>
  <c r="F192" i="5" s="1"/>
  <c r="D200" i="5"/>
  <c r="F200" i="5" s="1"/>
  <c r="D208" i="5"/>
  <c r="F208" i="5" s="1"/>
  <c r="D216" i="5"/>
  <c r="F216" i="5" s="1"/>
  <c r="D224" i="5"/>
  <c r="F224" i="5" s="1"/>
  <c r="D232" i="5"/>
  <c r="F232" i="5" s="1"/>
  <c r="D240" i="5"/>
  <c r="F240" i="5" s="1"/>
  <c r="D248" i="5"/>
  <c r="F248" i="5" s="1"/>
  <c r="D256" i="5"/>
  <c r="F256" i="5" s="1"/>
  <c r="D264" i="5"/>
  <c r="F264" i="5" s="1"/>
  <c r="D272" i="5"/>
  <c r="F272" i="5" s="1"/>
  <c r="D280" i="5"/>
  <c r="F280" i="5" s="1"/>
  <c r="D288" i="5"/>
  <c r="F288" i="5" s="1"/>
  <c r="D296" i="5"/>
  <c r="F296" i="5" s="1"/>
  <c r="D304" i="5"/>
  <c r="F304" i="5" s="1"/>
  <c r="D312" i="5"/>
  <c r="F312" i="5" s="1"/>
  <c r="D320" i="5"/>
  <c r="F320" i="5" s="1"/>
  <c r="D328" i="5"/>
  <c r="F328" i="5" s="1"/>
  <c r="D336" i="5"/>
  <c r="F336" i="5" s="1"/>
  <c r="D344" i="5"/>
  <c r="F344" i="5" s="1"/>
  <c r="D352" i="5"/>
  <c r="F352" i="5" s="1"/>
  <c r="D360" i="5"/>
  <c r="F360" i="5" s="1"/>
  <c r="D368" i="5"/>
  <c r="F368" i="5" s="1"/>
  <c r="D376" i="5"/>
  <c r="F376" i="5" s="1"/>
  <c r="D384" i="5"/>
  <c r="F384" i="5" s="1"/>
  <c r="D392" i="5"/>
  <c r="F392" i="5" s="1"/>
  <c r="D400" i="5"/>
  <c r="F400" i="5" s="1"/>
  <c r="D408" i="5"/>
  <c r="F408" i="5" s="1"/>
  <c r="D416" i="5"/>
  <c r="F416" i="5" s="1"/>
  <c r="D424" i="5"/>
  <c r="F424" i="5" s="1"/>
  <c r="D432" i="5"/>
  <c r="F432" i="5" s="1"/>
  <c r="D440" i="5"/>
  <c r="F440" i="5" s="1"/>
  <c r="D448" i="5"/>
  <c r="F448" i="5" s="1"/>
  <c r="D456" i="5"/>
  <c r="F456" i="5" s="1"/>
  <c r="D464" i="5"/>
  <c r="F464" i="5" s="1"/>
  <c r="D472" i="5"/>
  <c r="F472" i="5" s="1"/>
  <c r="D480" i="5"/>
  <c r="F480" i="5" s="1"/>
  <c r="D488" i="5"/>
  <c r="F488" i="5" s="1"/>
  <c r="D496" i="5"/>
  <c r="F496" i="5" s="1"/>
  <c r="D504" i="5"/>
  <c r="F504" i="5" s="1"/>
  <c r="D512" i="5"/>
  <c r="F512" i="5" s="1"/>
  <c r="D121" i="5"/>
  <c r="F121" i="5" s="1"/>
  <c r="D114" i="5"/>
  <c r="F114" i="5" s="1"/>
  <c r="D122" i="5"/>
  <c r="F122" i="5" s="1"/>
  <c r="D130" i="5"/>
  <c r="F130" i="5" s="1"/>
  <c r="D138" i="5"/>
  <c r="F138" i="5" s="1"/>
  <c r="D146" i="5"/>
  <c r="F146" i="5" s="1"/>
  <c r="D154" i="5"/>
  <c r="F154" i="5" s="1"/>
  <c r="D162" i="5"/>
  <c r="F162" i="5" s="1"/>
  <c r="D170" i="5"/>
  <c r="F170" i="5" s="1"/>
  <c r="D178" i="5"/>
  <c r="F178" i="5" s="1"/>
  <c r="D186" i="5"/>
  <c r="F186" i="5" s="1"/>
  <c r="D194" i="5"/>
  <c r="F194" i="5" s="1"/>
  <c r="D202" i="5"/>
  <c r="F202" i="5" s="1"/>
  <c r="D210" i="5"/>
  <c r="F210" i="5" s="1"/>
  <c r="D218" i="5"/>
  <c r="F218" i="5" s="1"/>
  <c r="D226" i="5"/>
  <c r="F226" i="5" s="1"/>
  <c r="D234" i="5"/>
  <c r="F234" i="5" s="1"/>
  <c r="D242" i="5"/>
  <c r="F242" i="5" s="1"/>
  <c r="D250" i="5"/>
  <c r="F250" i="5" s="1"/>
  <c r="D258" i="5"/>
  <c r="F258" i="5" s="1"/>
  <c r="D266" i="5"/>
  <c r="F266" i="5" s="1"/>
  <c r="D274" i="5"/>
  <c r="F274" i="5" s="1"/>
  <c r="D282" i="5"/>
  <c r="F282" i="5" s="1"/>
  <c r="D290" i="5"/>
  <c r="F290" i="5" s="1"/>
  <c r="D298" i="5"/>
  <c r="F298" i="5" s="1"/>
  <c r="D306" i="5"/>
  <c r="F306" i="5" s="1"/>
  <c r="D314" i="5"/>
  <c r="F314" i="5" s="1"/>
  <c r="D322" i="5"/>
  <c r="F322" i="5" s="1"/>
  <c r="D330" i="5"/>
  <c r="F330" i="5" s="1"/>
  <c r="D338" i="5"/>
  <c r="F338" i="5" s="1"/>
  <c r="D346" i="5"/>
  <c r="F346" i="5" s="1"/>
  <c r="D354" i="5"/>
  <c r="F354" i="5" s="1"/>
  <c r="D362" i="5"/>
  <c r="F362" i="5" s="1"/>
  <c r="D370" i="5"/>
  <c r="F370" i="5" s="1"/>
  <c r="D378" i="5"/>
  <c r="F378" i="5" s="1"/>
  <c r="D386" i="5"/>
  <c r="F386" i="5" s="1"/>
  <c r="D394" i="5"/>
  <c r="F394" i="5" s="1"/>
  <c r="D402" i="5"/>
  <c r="F402" i="5" s="1"/>
  <c r="D410" i="5"/>
  <c r="F410" i="5" s="1"/>
  <c r="D418" i="5"/>
  <c r="F418" i="5" s="1"/>
  <c r="D426" i="5"/>
  <c r="F426" i="5" s="1"/>
  <c r="D434" i="5"/>
  <c r="F434" i="5" s="1"/>
  <c r="D442" i="5"/>
  <c r="F442" i="5" s="1"/>
  <c r="D450" i="5"/>
  <c r="F450" i="5" s="1"/>
  <c r="D458" i="5"/>
  <c r="F458" i="5" s="1"/>
  <c r="D466" i="5"/>
  <c r="F466" i="5" s="1"/>
  <c r="D474" i="5"/>
  <c r="F474" i="5" s="1"/>
  <c r="D482" i="5"/>
  <c r="F482" i="5" s="1"/>
  <c r="D490" i="5"/>
  <c r="F490" i="5" s="1"/>
  <c r="D498" i="5"/>
  <c r="F498" i="5" s="1"/>
  <c r="D506" i="5"/>
  <c r="F506" i="5" s="1"/>
  <c r="D514" i="5"/>
  <c r="F514" i="5" s="1"/>
  <c r="D233" i="5"/>
  <c r="F233" i="5" s="1"/>
  <c r="D297" i="5"/>
  <c r="F297" i="5" s="1"/>
  <c r="D361" i="5"/>
  <c r="F361" i="5" s="1"/>
  <c r="D425" i="5"/>
  <c r="F425" i="5" s="1"/>
  <c r="D489" i="5"/>
  <c r="F489" i="5" s="1"/>
  <c r="D241" i="5"/>
  <c r="F241" i="5" s="1"/>
  <c r="D305" i="5"/>
  <c r="F305" i="5" s="1"/>
  <c r="D369" i="5"/>
  <c r="F369" i="5" s="1"/>
  <c r="D433" i="5"/>
  <c r="F433" i="5" s="1"/>
  <c r="D497" i="5"/>
  <c r="F497" i="5" s="1"/>
  <c r="D249" i="5"/>
  <c r="F249" i="5" s="1"/>
  <c r="D313" i="5"/>
  <c r="F313" i="5" s="1"/>
  <c r="D377" i="5"/>
  <c r="F377" i="5" s="1"/>
  <c r="D441" i="5"/>
  <c r="F441" i="5" s="1"/>
  <c r="D505" i="5"/>
  <c r="F505" i="5" s="1"/>
  <c r="D409" i="5"/>
  <c r="F409" i="5" s="1"/>
  <c r="D257" i="5"/>
  <c r="F257" i="5" s="1"/>
  <c r="D321" i="5"/>
  <c r="F321" i="5" s="1"/>
  <c r="D385" i="5"/>
  <c r="F385" i="5" s="1"/>
  <c r="D449" i="5"/>
  <c r="F449" i="5" s="1"/>
  <c r="D513" i="5"/>
  <c r="F513" i="5" s="1"/>
  <c r="D345" i="5"/>
  <c r="F345" i="5" s="1"/>
  <c r="D265" i="5"/>
  <c r="F265" i="5" s="1"/>
  <c r="D329" i="5"/>
  <c r="F329" i="5" s="1"/>
  <c r="D393" i="5"/>
  <c r="F393" i="5" s="1"/>
  <c r="D457" i="5"/>
  <c r="F457" i="5" s="1"/>
  <c r="D185" i="5"/>
  <c r="F185" i="5" s="1"/>
  <c r="D177" i="5"/>
  <c r="F177" i="5" s="1"/>
  <c r="D273" i="5"/>
  <c r="F273" i="5" s="1"/>
  <c r="D337" i="5"/>
  <c r="F337" i="5" s="1"/>
  <c r="D401" i="5"/>
  <c r="F401" i="5" s="1"/>
  <c r="D465" i="5"/>
  <c r="F465" i="5" s="1"/>
  <c r="D281" i="5"/>
  <c r="F281" i="5" s="1"/>
  <c r="D193" i="5"/>
  <c r="F193" i="5" s="1"/>
  <c r="D289" i="5"/>
  <c r="F289" i="5" s="1"/>
  <c r="D353" i="5"/>
  <c r="F353" i="5" s="1"/>
  <c r="D417" i="5"/>
  <c r="F417" i="5" s="1"/>
  <c r="D481" i="5"/>
  <c r="F481" i="5" s="1"/>
  <c r="D473" i="5"/>
  <c r="F473" i="5" s="1"/>
  <c r="B280" i="5"/>
  <c r="C292" i="5"/>
  <c r="C263" i="5"/>
  <c r="B251" i="5"/>
  <c r="C261" i="5"/>
  <c r="B249" i="5"/>
  <c r="C284" i="5"/>
  <c r="B272" i="5"/>
  <c r="C258" i="5"/>
  <c r="B246" i="5"/>
  <c r="C250" i="5"/>
  <c r="B238" i="5"/>
  <c r="C254" i="5"/>
  <c r="B242" i="5"/>
  <c r="C257" i="5"/>
  <c r="B245" i="5"/>
  <c r="B288" i="5"/>
  <c r="C300" i="5"/>
  <c r="C271" i="5"/>
  <c r="B259" i="5"/>
  <c r="C133" i="5"/>
  <c r="B121" i="5"/>
  <c r="C267" i="5"/>
  <c r="B255" i="5"/>
  <c r="H5" i="7"/>
  <c r="E6" i="7" s="1"/>
  <c r="G6" i="7" s="1"/>
  <c r="C85" i="7"/>
  <c r="B73" i="7"/>
  <c r="F73" i="7" s="1"/>
  <c r="C87" i="7"/>
  <c r="B75" i="7"/>
  <c r="F75" i="7" s="1"/>
  <c r="C76" i="7"/>
  <c r="B64" i="7"/>
  <c r="F64" i="7" s="1"/>
  <c r="C79" i="7"/>
  <c r="B67" i="7"/>
  <c r="F67" i="7" s="1"/>
  <c r="C84" i="7"/>
  <c r="B72" i="7"/>
  <c r="F72" i="7" s="1"/>
  <c r="C82" i="7"/>
  <c r="B70" i="7"/>
  <c r="F70" i="7" s="1"/>
  <c r="C80" i="7"/>
  <c r="B68" i="7"/>
  <c r="F68" i="7" s="1"/>
  <c r="C78" i="7"/>
  <c r="B66" i="7"/>
  <c r="F66" i="7" s="1"/>
  <c r="C86" i="7"/>
  <c r="B74" i="7"/>
  <c r="F74" i="7" s="1"/>
  <c r="C83" i="7"/>
  <c r="B71" i="7"/>
  <c r="F71" i="7" s="1"/>
  <c r="C77" i="7"/>
  <c r="B65" i="7"/>
  <c r="F65" i="7" s="1"/>
  <c r="C81" i="7"/>
  <c r="B69" i="7"/>
  <c r="F69" i="7" s="1"/>
  <c r="N77" i="4" l="1"/>
  <c r="M78" i="4"/>
  <c r="K75" i="4"/>
  <c r="J76" i="4"/>
  <c r="G4" i="5"/>
  <c r="H4" i="5" s="1"/>
  <c r="E5" i="5" s="1"/>
  <c r="C273" i="5"/>
  <c r="B261" i="5"/>
  <c r="C145" i="5"/>
  <c r="B133" i="5"/>
  <c r="C304" i="5"/>
  <c r="B292" i="5"/>
  <c r="C266" i="5"/>
  <c r="B254" i="5"/>
  <c r="C262" i="5"/>
  <c r="B250" i="5"/>
  <c r="C312" i="5"/>
  <c r="B300" i="5"/>
  <c r="C283" i="5"/>
  <c r="B271" i="5"/>
  <c r="C275" i="5"/>
  <c r="B263" i="5"/>
  <c r="C270" i="5"/>
  <c r="B258" i="5"/>
  <c r="C279" i="5"/>
  <c r="B267" i="5"/>
  <c r="C269" i="5"/>
  <c r="B257" i="5"/>
  <c r="C296" i="5"/>
  <c r="B284" i="5"/>
  <c r="H6" i="7"/>
  <c r="E7" i="7" s="1"/>
  <c r="G7" i="7" s="1"/>
  <c r="C99" i="7"/>
  <c r="B87" i="7"/>
  <c r="F87" i="7" s="1"/>
  <c r="C88" i="7"/>
  <c r="B76" i="7"/>
  <c r="F76" i="7" s="1"/>
  <c r="C98" i="7"/>
  <c r="B86" i="7"/>
  <c r="F86" i="7" s="1"/>
  <c r="C96" i="7"/>
  <c r="B84" i="7"/>
  <c r="F84" i="7" s="1"/>
  <c r="C97" i="7"/>
  <c r="B85" i="7"/>
  <c r="F85" i="7" s="1"/>
  <c r="C92" i="7"/>
  <c r="B80" i="7"/>
  <c r="F80" i="7" s="1"/>
  <c r="C95" i="7"/>
  <c r="B83" i="7"/>
  <c r="F83" i="7" s="1"/>
  <c r="C94" i="7"/>
  <c r="B82" i="7"/>
  <c r="F82" i="7" s="1"/>
  <c r="C89" i="7"/>
  <c r="B77" i="7"/>
  <c r="F77" i="7" s="1"/>
  <c r="C93" i="7"/>
  <c r="B81" i="7"/>
  <c r="F81" i="7" s="1"/>
  <c r="C90" i="7"/>
  <c r="B78" i="7"/>
  <c r="F78" i="7" s="1"/>
  <c r="C91" i="7"/>
  <c r="B79" i="7"/>
  <c r="F79" i="7" s="1"/>
  <c r="M79" i="4" l="1"/>
  <c r="N78" i="4"/>
  <c r="J77" i="4"/>
  <c r="K76" i="4"/>
  <c r="G5" i="5"/>
  <c r="H5" i="5" s="1"/>
  <c r="E6" i="5" s="1"/>
  <c r="B304" i="5"/>
  <c r="C316" i="5"/>
  <c r="C281" i="5"/>
  <c r="B269" i="5"/>
  <c r="B283" i="5"/>
  <c r="C295" i="5"/>
  <c r="B279" i="5"/>
  <c r="C291" i="5"/>
  <c r="C157" i="5"/>
  <c r="B145" i="5"/>
  <c r="C282" i="5"/>
  <c r="B270" i="5"/>
  <c r="C274" i="5"/>
  <c r="B262" i="5"/>
  <c r="C285" i="5"/>
  <c r="B273" i="5"/>
  <c r="C324" i="5"/>
  <c r="B312" i="5"/>
  <c r="B296" i="5"/>
  <c r="C308" i="5"/>
  <c r="C287" i="5"/>
  <c r="B275" i="5"/>
  <c r="C278" i="5"/>
  <c r="B266" i="5"/>
  <c r="H7" i="7"/>
  <c r="E8" i="7" s="1"/>
  <c r="G8" i="7" s="1"/>
  <c r="C105" i="7"/>
  <c r="B93" i="7"/>
  <c r="F93" i="7" s="1"/>
  <c r="B92" i="7"/>
  <c r="F92" i="7" s="1"/>
  <c r="C104" i="7"/>
  <c r="B88" i="7"/>
  <c r="F88" i="7" s="1"/>
  <c r="C100" i="7"/>
  <c r="C107" i="7"/>
  <c r="B95" i="7"/>
  <c r="F95" i="7" s="1"/>
  <c r="C102" i="7"/>
  <c r="B90" i="7"/>
  <c r="F90" i="7" s="1"/>
  <c r="C110" i="7"/>
  <c r="B98" i="7"/>
  <c r="F98" i="7" s="1"/>
  <c r="B89" i="7"/>
  <c r="F89" i="7" s="1"/>
  <c r="C101" i="7"/>
  <c r="C109" i="7"/>
  <c r="B97" i="7"/>
  <c r="F97" i="7" s="1"/>
  <c r="C111" i="7"/>
  <c r="B99" i="7"/>
  <c r="F99" i="7" s="1"/>
  <c r="C103" i="7"/>
  <c r="B91" i="7"/>
  <c r="F91" i="7" s="1"/>
  <c r="C106" i="7"/>
  <c r="B94" i="7"/>
  <c r="F94" i="7" s="1"/>
  <c r="C108" i="7"/>
  <c r="B96" i="7"/>
  <c r="F96" i="7" s="1"/>
  <c r="M80" i="4" l="1"/>
  <c r="N79" i="4"/>
  <c r="J78" i="4"/>
  <c r="K77" i="4"/>
  <c r="G6" i="5"/>
  <c r="H6" i="5" s="1"/>
  <c r="E7" i="5" s="1"/>
  <c r="B287" i="5"/>
  <c r="C299" i="5"/>
  <c r="C286" i="5"/>
  <c r="B274" i="5"/>
  <c r="B282" i="5"/>
  <c r="C294" i="5"/>
  <c r="C328" i="5"/>
  <c r="B316" i="5"/>
  <c r="C307" i="5"/>
  <c r="B295" i="5"/>
  <c r="C320" i="5"/>
  <c r="B308" i="5"/>
  <c r="C169" i="5"/>
  <c r="B157" i="5"/>
  <c r="B281" i="5"/>
  <c r="C293" i="5"/>
  <c r="C336" i="5"/>
  <c r="B324" i="5"/>
  <c r="B291" i="5"/>
  <c r="C303" i="5"/>
  <c r="B278" i="5"/>
  <c r="C290" i="5"/>
  <c r="C297" i="5"/>
  <c r="B285" i="5"/>
  <c r="C112" i="7"/>
  <c r="B100" i="7"/>
  <c r="F100" i="7" s="1"/>
  <c r="C116" i="7"/>
  <c r="B104" i="7"/>
  <c r="F104" i="7" s="1"/>
  <c r="C122" i="7"/>
  <c r="B110" i="7"/>
  <c r="C123" i="7"/>
  <c r="B111" i="7"/>
  <c r="C114" i="7"/>
  <c r="B102" i="7"/>
  <c r="F102" i="7" s="1"/>
  <c r="C117" i="7"/>
  <c r="B105" i="7"/>
  <c r="F105" i="7" s="1"/>
  <c r="C118" i="7"/>
  <c r="B106" i="7"/>
  <c r="F106" i="7" s="1"/>
  <c r="H8" i="7"/>
  <c r="E9" i="7" s="1"/>
  <c r="G9" i="7" s="1"/>
  <c r="C113" i="7"/>
  <c r="B101" i="7"/>
  <c r="F101" i="7" s="1"/>
  <c r="C115" i="7"/>
  <c r="B103" i="7"/>
  <c r="F103" i="7" s="1"/>
  <c r="C120" i="7"/>
  <c r="B108" i="7"/>
  <c r="F108" i="7" s="1"/>
  <c r="C121" i="7"/>
  <c r="B109" i="7"/>
  <c r="F109" i="7" s="1"/>
  <c r="C119" i="7"/>
  <c r="B107" i="7"/>
  <c r="F107" i="7" s="1"/>
  <c r="M81" i="4" l="1"/>
  <c r="N80" i="4"/>
  <c r="J79" i="4"/>
  <c r="K78" i="4"/>
  <c r="G7" i="5"/>
  <c r="H7" i="5" s="1"/>
  <c r="E8" i="5" s="1"/>
  <c r="C309" i="5"/>
  <c r="B297" i="5"/>
  <c r="C340" i="5"/>
  <c r="B328" i="5"/>
  <c r="C302" i="5"/>
  <c r="B290" i="5"/>
  <c r="C306" i="5"/>
  <c r="B294" i="5"/>
  <c r="C181" i="5"/>
  <c r="B169" i="5"/>
  <c r="C315" i="5"/>
  <c r="B303" i="5"/>
  <c r="B320" i="5"/>
  <c r="C332" i="5"/>
  <c r="B286" i="5"/>
  <c r="C298" i="5"/>
  <c r="C305" i="5"/>
  <c r="B293" i="5"/>
  <c r="C311" i="5"/>
  <c r="B299" i="5"/>
  <c r="C348" i="5"/>
  <c r="B336" i="5"/>
  <c r="C319" i="5"/>
  <c r="B307" i="5"/>
  <c r="H9" i="7"/>
  <c r="E10" i="7" s="1"/>
  <c r="G10" i="7" s="1"/>
  <c r="C133" i="7"/>
  <c r="B121" i="7"/>
  <c r="C130" i="7"/>
  <c r="B118" i="7"/>
  <c r="C135" i="7"/>
  <c r="B123" i="7"/>
  <c r="C132" i="7"/>
  <c r="B120" i="7"/>
  <c r="C134" i="7"/>
  <c r="B122" i="7"/>
  <c r="C127" i="7"/>
  <c r="B115" i="7"/>
  <c r="C129" i="7"/>
  <c r="B117" i="7"/>
  <c r="C128" i="7"/>
  <c r="B116" i="7"/>
  <c r="C131" i="7"/>
  <c r="B119" i="7"/>
  <c r="C125" i="7"/>
  <c r="B113" i="7"/>
  <c r="C126" i="7"/>
  <c r="B114" i="7"/>
  <c r="C124" i="7"/>
  <c r="B112" i="7"/>
  <c r="N81" i="4" l="1"/>
  <c r="M82" i="4"/>
  <c r="J80" i="4"/>
  <c r="K79" i="4"/>
  <c r="G8" i="5"/>
  <c r="H8" i="5" s="1"/>
  <c r="E9" i="5" s="1"/>
  <c r="C327" i="5"/>
  <c r="B315" i="5"/>
  <c r="C352" i="5"/>
  <c r="B340" i="5"/>
  <c r="C314" i="5"/>
  <c r="B302" i="5"/>
  <c r="C317" i="5"/>
  <c r="B305" i="5"/>
  <c r="C331" i="5"/>
  <c r="B319" i="5"/>
  <c r="C310" i="5"/>
  <c r="B298" i="5"/>
  <c r="C193" i="5"/>
  <c r="B181" i="5"/>
  <c r="C321" i="5"/>
  <c r="B309" i="5"/>
  <c r="C323" i="5"/>
  <c r="B311" i="5"/>
  <c r="C360" i="5"/>
  <c r="B348" i="5"/>
  <c r="C344" i="5"/>
  <c r="B332" i="5"/>
  <c r="C318" i="5"/>
  <c r="B306" i="5"/>
  <c r="H10" i="7"/>
  <c r="E11" i="7" s="1"/>
  <c r="G11" i="7" s="1"/>
  <c r="C137" i="7"/>
  <c r="B125" i="7"/>
  <c r="C139" i="7"/>
  <c r="B127" i="7"/>
  <c r="C142" i="7"/>
  <c r="B130" i="7"/>
  <c r="C143" i="7"/>
  <c r="B131" i="7"/>
  <c r="C146" i="7"/>
  <c r="B134" i="7"/>
  <c r="C145" i="7"/>
  <c r="B133" i="7"/>
  <c r="C136" i="7"/>
  <c r="B124" i="7"/>
  <c r="C140" i="7"/>
  <c r="B128" i="7"/>
  <c r="C144" i="7"/>
  <c r="B132" i="7"/>
  <c r="C138" i="7"/>
  <c r="B126" i="7"/>
  <c r="C141" i="7"/>
  <c r="B129" i="7"/>
  <c r="C147" i="7"/>
  <c r="B135" i="7"/>
  <c r="M83" i="4" l="1"/>
  <c r="N82" i="4"/>
  <c r="K80" i="4"/>
  <c r="J81" i="4"/>
  <c r="G9" i="5"/>
  <c r="H9" i="5" s="1"/>
  <c r="E10" i="5" s="1"/>
  <c r="C364" i="5"/>
  <c r="B352" i="5"/>
  <c r="B327" i="5"/>
  <c r="C339" i="5"/>
  <c r="C333" i="5"/>
  <c r="B321" i="5"/>
  <c r="C335" i="5"/>
  <c r="B323" i="5"/>
  <c r="C329" i="5"/>
  <c r="B317" i="5"/>
  <c r="B318" i="5"/>
  <c r="C330" i="5"/>
  <c r="C356" i="5"/>
  <c r="B344" i="5"/>
  <c r="C322" i="5"/>
  <c r="B310" i="5"/>
  <c r="C205" i="5"/>
  <c r="B193" i="5"/>
  <c r="B314" i="5"/>
  <c r="C326" i="5"/>
  <c r="C372" i="5"/>
  <c r="B360" i="5"/>
  <c r="C343" i="5"/>
  <c r="B331" i="5"/>
  <c r="H11" i="7"/>
  <c r="E12" i="7" s="1"/>
  <c r="G12" i="7" s="1"/>
  <c r="C148" i="7"/>
  <c r="B136" i="7"/>
  <c r="C154" i="7"/>
  <c r="B142" i="7"/>
  <c r="C150" i="7"/>
  <c r="B138" i="7"/>
  <c r="C151" i="7"/>
  <c r="B139" i="7"/>
  <c r="C156" i="7"/>
  <c r="B144" i="7"/>
  <c r="C158" i="7"/>
  <c r="B146" i="7"/>
  <c r="C149" i="7"/>
  <c r="B137" i="7"/>
  <c r="C153" i="7"/>
  <c r="B141" i="7"/>
  <c r="C157" i="7"/>
  <c r="B145" i="7"/>
  <c r="C159" i="7"/>
  <c r="B147" i="7"/>
  <c r="C152" i="7"/>
  <c r="B140" i="7"/>
  <c r="C155" i="7"/>
  <c r="B143" i="7"/>
  <c r="N83" i="4" l="1"/>
  <c r="M84" i="4"/>
  <c r="K81" i="4"/>
  <c r="J82" i="4"/>
  <c r="G10" i="5"/>
  <c r="H10" i="5" s="1"/>
  <c r="E11" i="5" s="1"/>
  <c r="C338" i="5"/>
  <c r="B326" i="5"/>
  <c r="C334" i="5"/>
  <c r="B322" i="5"/>
  <c r="C341" i="5"/>
  <c r="B329" i="5"/>
  <c r="C351" i="5"/>
  <c r="B339" i="5"/>
  <c r="B343" i="5"/>
  <c r="C355" i="5"/>
  <c r="C368" i="5"/>
  <c r="B356" i="5"/>
  <c r="B335" i="5"/>
  <c r="C347" i="5"/>
  <c r="C384" i="5"/>
  <c r="B372" i="5"/>
  <c r="C376" i="5"/>
  <c r="B364" i="5"/>
  <c r="C217" i="5"/>
  <c r="B205" i="5"/>
  <c r="C342" i="5"/>
  <c r="B330" i="5"/>
  <c r="C345" i="5"/>
  <c r="B333" i="5"/>
  <c r="H12" i="7"/>
  <c r="E13" i="7" s="1"/>
  <c r="G13" i="7" s="1"/>
  <c r="C164" i="7"/>
  <c r="B152" i="7"/>
  <c r="C162" i="7"/>
  <c r="B150" i="7"/>
  <c r="C161" i="7"/>
  <c r="B149" i="7"/>
  <c r="C171" i="7"/>
  <c r="B159" i="7"/>
  <c r="C170" i="7"/>
  <c r="B158" i="7"/>
  <c r="C166" i="7"/>
  <c r="B154" i="7"/>
  <c r="C169" i="7"/>
  <c r="B157" i="7"/>
  <c r="C160" i="7"/>
  <c r="B148" i="7"/>
  <c r="C168" i="7"/>
  <c r="B156" i="7"/>
  <c r="C167" i="7"/>
  <c r="B155" i="7"/>
  <c r="C165" i="7"/>
  <c r="B153" i="7"/>
  <c r="C163" i="7"/>
  <c r="B151" i="7"/>
  <c r="M85" i="4" l="1"/>
  <c r="N84" i="4"/>
  <c r="K82" i="4"/>
  <c r="J83" i="4"/>
  <c r="G11" i="5"/>
  <c r="H11" i="5" s="1"/>
  <c r="E12" i="5" s="1"/>
  <c r="C353" i="5"/>
  <c r="B341" i="5"/>
  <c r="C396" i="5"/>
  <c r="B384" i="5"/>
  <c r="C354" i="5"/>
  <c r="B342" i="5"/>
  <c r="C380" i="5"/>
  <c r="B368" i="5"/>
  <c r="C357" i="5"/>
  <c r="B345" i="5"/>
  <c r="C346" i="5"/>
  <c r="B334" i="5"/>
  <c r="C359" i="5"/>
  <c r="B347" i="5"/>
  <c r="C350" i="5"/>
  <c r="B338" i="5"/>
  <c r="C367" i="5"/>
  <c r="B355" i="5"/>
  <c r="C229" i="5"/>
  <c r="B217" i="5"/>
  <c r="C388" i="5"/>
  <c r="B376" i="5"/>
  <c r="C363" i="5"/>
  <c r="B351" i="5"/>
  <c r="H13" i="7"/>
  <c r="E14" i="7" s="1"/>
  <c r="G14" i="7" s="1"/>
  <c r="C173" i="7"/>
  <c r="B161" i="7"/>
  <c r="C174" i="7"/>
  <c r="B162" i="7"/>
  <c r="C181" i="7"/>
  <c r="B169" i="7"/>
  <c r="C180" i="7"/>
  <c r="B168" i="7"/>
  <c r="C182" i="7"/>
  <c r="B170" i="7"/>
  <c r="C176" i="7"/>
  <c r="B164" i="7"/>
  <c r="C177" i="7"/>
  <c r="B165" i="7"/>
  <c r="C179" i="7"/>
  <c r="B167" i="7"/>
  <c r="C178" i="7"/>
  <c r="B166" i="7"/>
  <c r="C175" i="7"/>
  <c r="B163" i="7"/>
  <c r="C172" i="7"/>
  <c r="B160" i="7"/>
  <c r="C183" i="7"/>
  <c r="B171" i="7"/>
  <c r="N85" i="4" l="1"/>
  <c r="M86" i="4"/>
  <c r="K83" i="4"/>
  <c r="J84" i="4"/>
  <c r="G12" i="5"/>
  <c r="H12" i="5" s="1"/>
  <c r="E13" i="5" s="1"/>
  <c r="C379" i="5"/>
  <c r="B367" i="5"/>
  <c r="C366" i="5"/>
  <c r="B354" i="5"/>
  <c r="C241" i="5"/>
  <c r="B229" i="5"/>
  <c r="C408" i="5"/>
  <c r="B396" i="5"/>
  <c r="C369" i="5"/>
  <c r="B357" i="5"/>
  <c r="C400" i="5"/>
  <c r="B388" i="5"/>
  <c r="C365" i="5"/>
  <c r="B353" i="5"/>
  <c r="C371" i="5"/>
  <c r="B359" i="5"/>
  <c r="C392" i="5"/>
  <c r="B380" i="5"/>
  <c r="C358" i="5"/>
  <c r="B346" i="5"/>
  <c r="C362" i="5"/>
  <c r="B350" i="5"/>
  <c r="C375" i="5"/>
  <c r="B363" i="5"/>
  <c r="H14" i="7"/>
  <c r="E15" i="7" s="1"/>
  <c r="G15" i="7" s="1"/>
  <c r="C184" i="7"/>
  <c r="B172" i="7"/>
  <c r="C189" i="7"/>
  <c r="B177" i="7"/>
  <c r="C193" i="7"/>
  <c r="B181" i="7"/>
  <c r="C188" i="7"/>
  <c r="B176" i="7"/>
  <c r="C190" i="7"/>
  <c r="B178" i="7"/>
  <c r="C194" i="7"/>
  <c r="B182" i="7"/>
  <c r="C185" i="7"/>
  <c r="B173" i="7"/>
  <c r="C187" i="7"/>
  <c r="B175" i="7"/>
  <c r="C186" i="7"/>
  <c r="B174" i="7"/>
  <c r="C195" i="7"/>
  <c r="B183" i="7"/>
  <c r="C191" i="7"/>
  <c r="B179" i="7"/>
  <c r="C192" i="7"/>
  <c r="B180" i="7"/>
  <c r="M87" i="4" l="1"/>
  <c r="N86" i="4"/>
  <c r="K84" i="4"/>
  <c r="J85" i="4"/>
  <c r="G13" i="5"/>
  <c r="H13" i="5" s="1"/>
  <c r="E14" i="5" s="1"/>
  <c r="C253" i="5"/>
  <c r="B241" i="5"/>
  <c r="C378" i="5"/>
  <c r="B366" i="5"/>
  <c r="C374" i="5"/>
  <c r="B362" i="5"/>
  <c r="C383" i="5"/>
  <c r="B371" i="5"/>
  <c r="C391" i="5"/>
  <c r="B379" i="5"/>
  <c r="C381" i="5"/>
  <c r="B369" i="5"/>
  <c r="C387" i="5"/>
  <c r="B375" i="5"/>
  <c r="C404" i="5"/>
  <c r="B392" i="5"/>
  <c r="C412" i="5"/>
  <c r="B400" i="5"/>
  <c r="C420" i="5"/>
  <c r="B408" i="5"/>
  <c r="C370" i="5"/>
  <c r="B358" i="5"/>
  <c r="C377" i="5"/>
  <c r="B365" i="5"/>
  <c r="H15" i="7"/>
  <c r="E16" i="7" s="1"/>
  <c r="G16" i="7" s="1"/>
  <c r="C207" i="7"/>
  <c r="B195" i="7"/>
  <c r="C198" i="7"/>
  <c r="B186" i="7"/>
  <c r="C202" i="7"/>
  <c r="B190" i="7"/>
  <c r="C196" i="7"/>
  <c r="B184" i="7"/>
  <c r="C203" i="7"/>
  <c r="B191" i="7"/>
  <c r="C197" i="7"/>
  <c r="B185" i="7"/>
  <c r="C205" i="7"/>
  <c r="B193" i="7"/>
  <c r="C206" i="7"/>
  <c r="B194" i="7"/>
  <c r="C201" i="7"/>
  <c r="B189" i="7"/>
  <c r="C204" i="7"/>
  <c r="B192" i="7"/>
  <c r="C199" i="7"/>
  <c r="B187" i="7"/>
  <c r="C200" i="7"/>
  <c r="B188" i="7"/>
  <c r="M88" i="4" l="1"/>
  <c r="N87" i="4"/>
  <c r="J86" i="4"/>
  <c r="K85" i="4"/>
  <c r="G14" i="5"/>
  <c r="H14" i="5" s="1"/>
  <c r="E15" i="5" s="1"/>
  <c r="C386" i="5"/>
  <c r="B374" i="5"/>
  <c r="C390" i="5"/>
  <c r="B378" i="5"/>
  <c r="C382" i="5"/>
  <c r="B370" i="5"/>
  <c r="C416" i="5"/>
  <c r="B404" i="5"/>
  <c r="C403" i="5"/>
  <c r="B391" i="5"/>
  <c r="C399" i="5"/>
  <c r="B387" i="5"/>
  <c r="C424" i="5"/>
  <c r="B412" i="5"/>
  <c r="C393" i="5"/>
  <c r="B381" i="5"/>
  <c r="C389" i="5"/>
  <c r="B377" i="5"/>
  <c r="C432" i="5"/>
  <c r="B420" i="5"/>
  <c r="C395" i="5"/>
  <c r="B383" i="5"/>
  <c r="C265" i="5"/>
  <c r="B253" i="5"/>
  <c r="H16" i="7"/>
  <c r="E17" i="7" s="1"/>
  <c r="G17" i="7" s="1"/>
  <c r="C211" i="7"/>
  <c r="B199" i="7"/>
  <c r="C217" i="7"/>
  <c r="B205" i="7"/>
  <c r="C214" i="7"/>
  <c r="B202" i="7"/>
  <c r="C210" i="7"/>
  <c r="B198" i="7"/>
  <c r="C213" i="7"/>
  <c r="B201" i="7"/>
  <c r="C215" i="7"/>
  <c r="B203" i="7"/>
  <c r="C219" i="7"/>
  <c r="B207" i="7"/>
  <c r="C216" i="7"/>
  <c r="B204" i="7"/>
  <c r="C209" i="7"/>
  <c r="B197" i="7"/>
  <c r="C212" i="7"/>
  <c r="B200" i="7"/>
  <c r="C218" i="7"/>
  <c r="B206" i="7"/>
  <c r="C208" i="7"/>
  <c r="B196" i="7"/>
  <c r="N88" i="4" l="1"/>
  <c r="M89" i="4"/>
  <c r="J87" i="4"/>
  <c r="K86" i="4"/>
  <c r="G15" i="5"/>
  <c r="H15" i="5" s="1"/>
  <c r="E16" i="5" s="1"/>
  <c r="C402" i="5"/>
  <c r="B390" i="5"/>
  <c r="C428" i="5"/>
  <c r="B416" i="5"/>
  <c r="C415" i="5"/>
  <c r="B403" i="5"/>
  <c r="C411" i="5"/>
  <c r="B399" i="5"/>
  <c r="C401" i="5"/>
  <c r="B389" i="5"/>
  <c r="C407" i="5"/>
  <c r="B395" i="5"/>
  <c r="C398" i="5"/>
  <c r="B386" i="5"/>
  <c r="C277" i="5"/>
  <c r="B265" i="5"/>
  <c r="C405" i="5"/>
  <c r="B393" i="5"/>
  <c r="C394" i="5"/>
  <c r="B382" i="5"/>
  <c r="C436" i="5"/>
  <c r="B424" i="5"/>
  <c r="C444" i="5"/>
  <c r="B432" i="5"/>
  <c r="H17" i="7"/>
  <c r="E18" i="7" s="1"/>
  <c r="G18" i="7" s="1"/>
  <c r="C230" i="7"/>
  <c r="B218" i="7"/>
  <c r="C231" i="7"/>
  <c r="B219" i="7"/>
  <c r="C226" i="7"/>
  <c r="B214" i="7"/>
  <c r="C221" i="7"/>
  <c r="B209" i="7"/>
  <c r="C225" i="7"/>
  <c r="B213" i="7"/>
  <c r="C223" i="7"/>
  <c r="B211" i="7"/>
  <c r="C229" i="7"/>
  <c r="B217" i="7"/>
  <c r="C224" i="7"/>
  <c r="B212" i="7"/>
  <c r="C227" i="7"/>
  <c r="B215" i="7"/>
  <c r="C220" i="7"/>
  <c r="B208" i="7"/>
  <c r="C228" i="7"/>
  <c r="B216" i="7"/>
  <c r="C222" i="7"/>
  <c r="B210" i="7"/>
  <c r="M90" i="4" l="1"/>
  <c r="N89" i="4"/>
  <c r="J88" i="4"/>
  <c r="K87" i="4"/>
  <c r="G16" i="5"/>
  <c r="H16" i="5" s="1"/>
  <c r="E17" i="5" s="1"/>
  <c r="C419" i="5"/>
  <c r="B407" i="5"/>
  <c r="C427" i="5"/>
  <c r="B415" i="5"/>
  <c r="C440" i="5"/>
  <c r="B428" i="5"/>
  <c r="C413" i="5"/>
  <c r="B401" i="5"/>
  <c r="C456" i="5"/>
  <c r="B444" i="5"/>
  <c r="C414" i="5"/>
  <c r="B402" i="5"/>
  <c r="C448" i="5"/>
  <c r="B436" i="5"/>
  <c r="C410" i="5"/>
  <c r="B398" i="5"/>
  <c r="C423" i="5"/>
  <c r="B411" i="5"/>
  <c r="C417" i="5"/>
  <c r="B405" i="5"/>
  <c r="C289" i="5"/>
  <c r="B277" i="5"/>
  <c r="C406" i="5"/>
  <c r="B394" i="5"/>
  <c r="H18" i="7"/>
  <c r="E19" i="7" s="1"/>
  <c r="G19" i="7" s="1"/>
  <c r="C240" i="7"/>
  <c r="B228" i="7"/>
  <c r="C241" i="7"/>
  <c r="B229" i="7"/>
  <c r="C238" i="7"/>
  <c r="B226" i="7"/>
  <c r="C232" i="7"/>
  <c r="B220" i="7"/>
  <c r="C235" i="7"/>
  <c r="B223" i="7"/>
  <c r="C239" i="7"/>
  <c r="B227" i="7"/>
  <c r="C237" i="7"/>
  <c r="B225" i="7"/>
  <c r="C242" i="7"/>
  <c r="B230" i="7"/>
  <c r="C243" i="7"/>
  <c r="B231" i="7"/>
  <c r="C234" i="7"/>
  <c r="B222" i="7"/>
  <c r="C236" i="7"/>
  <c r="B224" i="7"/>
  <c r="C233" i="7"/>
  <c r="B221" i="7"/>
  <c r="N90" i="4" l="1"/>
  <c r="M91" i="4"/>
  <c r="K88" i="4"/>
  <c r="J89" i="4"/>
  <c r="G17" i="5"/>
  <c r="H17" i="5" s="1"/>
  <c r="E18" i="5" s="1"/>
  <c r="C429" i="5"/>
  <c r="B417" i="5"/>
  <c r="C426" i="5"/>
  <c r="B414" i="5"/>
  <c r="C439" i="5"/>
  <c r="B427" i="5"/>
  <c r="C301" i="5"/>
  <c r="B289" i="5"/>
  <c r="B448" i="5"/>
  <c r="C460" i="5"/>
  <c r="C435" i="5"/>
  <c r="B423" i="5"/>
  <c r="B456" i="5"/>
  <c r="C468" i="5"/>
  <c r="C431" i="5"/>
  <c r="B419" i="5"/>
  <c r="B440" i="5"/>
  <c r="C452" i="5"/>
  <c r="C418" i="5"/>
  <c r="B406" i="5"/>
  <c r="C422" i="5"/>
  <c r="B410" i="5"/>
  <c r="C425" i="5"/>
  <c r="B413" i="5"/>
  <c r="H19" i="7"/>
  <c r="E20" i="7" s="1"/>
  <c r="G20" i="7" s="1"/>
  <c r="C248" i="7"/>
  <c r="B236" i="7"/>
  <c r="C249" i="7"/>
  <c r="B237" i="7"/>
  <c r="C250" i="7"/>
  <c r="B238" i="7"/>
  <c r="C251" i="7"/>
  <c r="B239" i="7"/>
  <c r="C246" i="7"/>
  <c r="B234" i="7"/>
  <c r="C255" i="7"/>
  <c r="B243" i="7"/>
  <c r="C247" i="7"/>
  <c r="B235" i="7"/>
  <c r="C252" i="7"/>
  <c r="B240" i="7"/>
  <c r="C253" i="7"/>
  <c r="B241" i="7"/>
  <c r="C245" i="7"/>
  <c r="B233" i="7"/>
  <c r="C254" i="7"/>
  <c r="B242" i="7"/>
  <c r="C244" i="7"/>
  <c r="B232" i="7"/>
  <c r="N91" i="4" l="1"/>
  <c r="M92" i="4"/>
  <c r="K89" i="4"/>
  <c r="J90" i="4"/>
  <c r="G18" i="5"/>
  <c r="H18" i="5" s="1"/>
  <c r="E19" i="5" s="1"/>
  <c r="C430" i="5"/>
  <c r="B418" i="5"/>
  <c r="C447" i="5"/>
  <c r="B435" i="5"/>
  <c r="C438" i="5"/>
  <c r="B426" i="5"/>
  <c r="C472" i="5"/>
  <c r="B460" i="5"/>
  <c r="C480" i="5"/>
  <c r="B468" i="5"/>
  <c r="C441" i="5"/>
  <c r="B429" i="5"/>
  <c r="C434" i="5"/>
  <c r="B422" i="5"/>
  <c r="B439" i="5"/>
  <c r="C451" i="5"/>
  <c r="C464" i="5"/>
  <c r="B452" i="5"/>
  <c r="C437" i="5"/>
  <c r="B425" i="5"/>
  <c r="C443" i="5"/>
  <c r="B431" i="5"/>
  <c r="C313" i="5"/>
  <c r="B301" i="5"/>
  <c r="H20" i="7"/>
  <c r="E21" i="7" s="1"/>
  <c r="G21" i="7" s="1"/>
  <c r="C266" i="7"/>
  <c r="B254" i="7"/>
  <c r="C259" i="7"/>
  <c r="B247" i="7"/>
  <c r="C262" i="7"/>
  <c r="B250" i="7"/>
  <c r="C257" i="7"/>
  <c r="B245" i="7"/>
  <c r="C267" i="7"/>
  <c r="B255" i="7"/>
  <c r="C265" i="7"/>
  <c r="B253" i="7"/>
  <c r="C258" i="7"/>
  <c r="B246" i="7"/>
  <c r="C260" i="7"/>
  <c r="B248" i="7"/>
  <c r="C261" i="7"/>
  <c r="B249" i="7"/>
  <c r="C256" i="7"/>
  <c r="B244" i="7"/>
  <c r="C264" i="7"/>
  <c r="B252" i="7"/>
  <c r="C263" i="7"/>
  <c r="B251" i="7"/>
  <c r="M93" i="4" l="1"/>
  <c r="N92" i="4"/>
  <c r="K90" i="4"/>
  <c r="J91" i="4"/>
  <c r="G19" i="5"/>
  <c r="H19" i="5" s="1"/>
  <c r="E20" i="5" s="1"/>
  <c r="C449" i="5"/>
  <c r="B437" i="5"/>
  <c r="C453" i="5"/>
  <c r="B441" i="5"/>
  <c r="C459" i="5"/>
  <c r="B447" i="5"/>
  <c r="C446" i="5"/>
  <c r="B434" i="5"/>
  <c r="C476" i="5"/>
  <c r="B464" i="5"/>
  <c r="C492" i="5"/>
  <c r="B480" i="5"/>
  <c r="C442" i="5"/>
  <c r="B430" i="5"/>
  <c r="C455" i="5"/>
  <c r="B443" i="5"/>
  <c r="C463" i="5"/>
  <c r="B451" i="5"/>
  <c r="C450" i="5"/>
  <c r="B438" i="5"/>
  <c r="B313" i="5"/>
  <c r="C325" i="5"/>
  <c r="C484" i="5"/>
  <c r="B472" i="5"/>
  <c r="H21" i="7"/>
  <c r="E22" i="7" s="1"/>
  <c r="G22" i="7" s="1"/>
  <c r="C276" i="7"/>
  <c r="B264" i="7"/>
  <c r="C274" i="7"/>
  <c r="B262" i="7"/>
  <c r="C277" i="7"/>
  <c r="B265" i="7"/>
  <c r="C273" i="7"/>
  <c r="B261" i="7"/>
  <c r="C279" i="7"/>
  <c r="B267" i="7"/>
  <c r="C278" i="7"/>
  <c r="B266" i="7"/>
  <c r="C270" i="7"/>
  <c r="B258" i="7"/>
  <c r="C268" i="7"/>
  <c r="B256" i="7"/>
  <c r="C271" i="7"/>
  <c r="B259" i="7"/>
  <c r="C275" i="7"/>
  <c r="B263" i="7"/>
  <c r="C272" i="7"/>
  <c r="B260" i="7"/>
  <c r="C269" i="7"/>
  <c r="B257" i="7"/>
  <c r="M94" i="4" l="1"/>
  <c r="N93" i="4"/>
  <c r="K91" i="4"/>
  <c r="J92" i="4"/>
  <c r="G20" i="5"/>
  <c r="H20" i="5" s="1"/>
  <c r="E21" i="5" s="1"/>
  <c r="C337" i="5"/>
  <c r="B325" i="5"/>
  <c r="C454" i="5"/>
  <c r="B442" i="5"/>
  <c r="C462" i="5"/>
  <c r="B450" i="5"/>
  <c r="B492" i="5"/>
  <c r="C504" i="5"/>
  <c r="C465" i="5"/>
  <c r="B453" i="5"/>
  <c r="C475" i="5"/>
  <c r="B463" i="5"/>
  <c r="C488" i="5"/>
  <c r="B476" i="5"/>
  <c r="C461" i="5"/>
  <c r="B449" i="5"/>
  <c r="C471" i="5"/>
  <c r="B459" i="5"/>
  <c r="C496" i="5"/>
  <c r="B484" i="5"/>
  <c r="C467" i="5"/>
  <c r="B455" i="5"/>
  <c r="C458" i="5"/>
  <c r="B446" i="5"/>
  <c r="H22" i="7"/>
  <c r="E23" i="7" s="1"/>
  <c r="G23" i="7" s="1"/>
  <c r="C284" i="7"/>
  <c r="B272" i="7"/>
  <c r="C282" i="7"/>
  <c r="B270" i="7"/>
  <c r="C289" i="7"/>
  <c r="B277" i="7"/>
  <c r="C287" i="7"/>
  <c r="B275" i="7"/>
  <c r="C290" i="7"/>
  <c r="B278" i="7"/>
  <c r="C283" i="7"/>
  <c r="B271" i="7"/>
  <c r="C291" i="7"/>
  <c r="B279" i="7"/>
  <c r="C288" i="7"/>
  <c r="B276" i="7"/>
  <c r="C286" i="7"/>
  <c r="B274" i="7"/>
  <c r="C281" i="7"/>
  <c r="B269" i="7"/>
  <c r="C280" i="7"/>
  <c r="B268" i="7"/>
  <c r="C285" i="7"/>
  <c r="B273" i="7"/>
  <c r="M95" i="4" l="1"/>
  <c r="N94" i="4"/>
  <c r="K92" i="4"/>
  <c r="J93" i="4"/>
  <c r="G21" i="5"/>
  <c r="H21" i="5" s="1"/>
  <c r="E22" i="5" s="1"/>
  <c r="C479" i="5"/>
  <c r="B467" i="5"/>
  <c r="B496" i="5"/>
  <c r="C508" i="5"/>
  <c r="B508" i="5" s="1"/>
  <c r="B475" i="5"/>
  <c r="C487" i="5"/>
  <c r="C466" i="5"/>
  <c r="B454" i="5"/>
  <c r="C483" i="5"/>
  <c r="B471" i="5"/>
  <c r="C477" i="5"/>
  <c r="B465" i="5"/>
  <c r="C349" i="5"/>
  <c r="B337" i="5"/>
  <c r="B488" i="5"/>
  <c r="C500" i="5"/>
  <c r="B504" i="5"/>
  <c r="C516" i="5"/>
  <c r="B516" i="5" s="1"/>
  <c r="B462" i="5"/>
  <c r="C474" i="5"/>
  <c r="B458" i="5"/>
  <c r="C470" i="5"/>
  <c r="C473" i="5"/>
  <c r="B461" i="5"/>
  <c r="H23" i="7"/>
  <c r="E24" i="7" s="1"/>
  <c r="G24" i="7" s="1"/>
  <c r="C292" i="7"/>
  <c r="B280" i="7"/>
  <c r="C303" i="7"/>
  <c r="B291" i="7"/>
  <c r="C301" i="7"/>
  <c r="B289" i="7"/>
  <c r="C298" i="7"/>
  <c r="B286" i="7"/>
  <c r="C302" i="7"/>
  <c r="B290" i="7"/>
  <c r="C296" i="7"/>
  <c r="B284" i="7"/>
  <c r="C293" i="7"/>
  <c r="B281" i="7"/>
  <c r="C295" i="7"/>
  <c r="B283" i="7"/>
  <c r="C294" i="7"/>
  <c r="B282" i="7"/>
  <c r="C297" i="7"/>
  <c r="B285" i="7"/>
  <c r="C300" i="7"/>
  <c r="B288" i="7"/>
  <c r="C299" i="7"/>
  <c r="B287" i="7"/>
  <c r="M96" i="4" l="1"/>
  <c r="N95" i="4"/>
  <c r="J94" i="4"/>
  <c r="K93" i="4"/>
  <c r="G22" i="5"/>
  <c r="H22" i="5" s="1"/>
  <c r="E23" i="5" s="1"/>
  <c r="B470" i="5"/>
  <c r="C482" i="5"/>
  <c r="C512" i="5"/>
  <c r="B512" i="5" s="1"/>
  <c r="B500" i="5"/>
  <c r="B487" i="5"/>
  <c r="C499" i="5"/>
  <c r="C361" i="5"/>
  <c r="B349" i="5"/>
  <c r="B466" i="5"/>
  <c r="C478" i="5"/>
  <c r="C489" i="5"/>
  <c r="B477" i="5"/>
  <c r="B474" i="5"/>
  <c r="C486" i="5"/>
  <c r="C485" i="5"/>
  <c r="B473" i="5"/>
  <c r="B483" i="5"/>
  <c r="C495" i="5"/>
  <c r="B479" i="5"/>
  <c r="C491" i="5"/>
  <c r="H24" i="7"/>
  <c r="E25" i="7" s="1"/>
  <c r="G25" i="7" s="1"/>
  <c r="C308" i="7"/>
  <c r="B296" i="7"/>
  <c r="C306" i="7"/>
  <c r="B294" i="7"/>
  <c r="C314" i="7"/>
  <c r="B302" i="7"/>
  <c r="C304" i="7"/>
  <c r="B292" i="7"/>
  <c r="C312" i="7"/>
  <c r="B300" i="7"/>
  <c r="C305" i="7"/>
  <c r="B293" i="7"/>
  <c r="C313" i="7"/>
  <c r="B301" i="7"/>
  <c r="C309" i="7"/>
  <c r="B297" i="7"/>
  <c r="C315" i="7"/>
  <c r="B303" i="7"/>
  <c r="C311" i="7"/>
  <c r="B299" i="7"/>
  <c r="C307" i="7"/>
  <c r="B295" i="7"/>
  <c r="C310" i="7"/>
  <c r="B298" i="7"/>
  <c r="M97" i="4" l="1"/>
  <c r="N96" i="4"/>
  <c r="J95" i="4"/>
  <c r="K94" i="4"/>
  <c r="G23" i="5"/>
  <c r="H23" i="5" s="1"/>
  <c r="E24" i="5" s="1"/>
  <c r="C498" i="5"/>
  <c r="B486" i="5"/>
  <c r="C511" i="5"/>
  <c r="B511" i="5" s="1"/>
  <c r="B499" i="5"/>
  <c r="C507" i="5"/>
  <c r="B507" i="5" s="1"/>
  <c r="B495" i="5"/>
  <c r="B478" i="5"/>
  <c r="C490" i="5"/>
  <c r="B482" i="5"/>
  <c r="C494" i="5"/>
  <c r="C503" i="5"/>
  <c r="B491" i="5"/>
  <c r="C501" i="5"/>
  <c r="B489" i="5"/>
  <c r="C497" i="5"/>
  <c r="B485" i="5"/>
  <c r="C373" i="5"/>
  <c r="B361" i="5"/>
  <c r="H25" i="7"/>
  <c r="E26" i="7" s="1"/>
  <c r="G26" i="7" s="1"/>
  <c r="C319" i="7"/>
  <c r="B307" i="7"/>
  <c r="C323" i="7"/>
  <c r="B311" i="7"/>
  <c r="C325" i="7"/>
  <c r="B313" i="7"/>
  <c r="C326" i="7"/>
  <c r="B314" i="7"/>
  <c r="C327" i="7"/>
  <c r="B315" i="7"/>
  <c r="C324" i="7"/>
  <c r="B312" i="7"/>
  <c r="C320" i="7"/>
  <c r="B308" i="7"/>
  <c r="C317" i="7"/>
  <c r="B305" i="7"/>
  <c r="C318" i="7"/>
  <c r="B306" i="7"/>
  <c r="C322" i="7"/>
  <c r="B310" i="7"/>
  <c r="C321" i="7"/>
  <c r="B309" i="7"/>
  <c r="C316" i="7"/>
  <c r="B304" i="7"/>
  <c r="M98" i="4" l="1"/>
  <c r="N97" i="4"/>
  <c r="J96" i="4"/>
  <c r="K95" i="4"/>
  <c r="G24" i="5"/>
  <c r="H24" i="5" s="1"/>
  <c r="E25" i="5" s="1"/>
  <c r="C515" i="5"/>
  <c r="B515" i="5" s="1"/>
  <c r="B503" i="5"/>
  <c r="C513" i="5"/>
  <c r="B513" i="5" s="1"/>
  <c r="B501" i="5"/>
  <c r="C385" i="5"/>
  <c r="B373" i="5"/>
  <c r="B498" i="5"/>
  <c r="C510" i="5"/>
  <c r="B510" i="5" s="1"/>
  <c r="B490" i="5"/>
  <c r="C502" i="5"/>
  <c r="C506" i="5"/>
  <c r="B506" i="5" s="1"/>
  <c r="B494" i="5"/>
  <c r="C509" i="5"/>
  <c r="B509" i="5" s="1"/>
  <c r="B497" i="5"/>
  <c r="H26" i="7"/>
  <c r="E27" i="7" s="1"/>
  <c r="G27" i="7" s="1"/>
  <c r="C332" i="7"/>
  <c r="B320" i="7"/>
  <c r="C333" i="7"/>
  <c r="B321" i="7"/>
  <c r="C337" i="7"/>
  <c r="B325" i="7"/>
  <c r="C334" i="7"/>
  <c r="B322" i="7"/>
  <c r="C330" i="7"/>
  <c r="B318" i="7"/>
  <c r="C339" i="7"/>
  <c r="B327" i="7"/>
  <c r="C331" i="7"/>
  <c r="B319" i="7"/>
  <c r="C335" i="7"/>
  <c r="B323" i="7"/>
  <c r="C336" i="7"/>
  <c r="B324" i="7"/>
  <c r="C328" i="7"/>
  <c r="B316" i="7"/>
  <c r="C329" i="7"/>
  <c r="B317" i="7"/>
  <c r="C338" i="7"/>
  <c r="B326" i="7"/>
  <c r="N98" i="4" l="1"/>
  <c r="M99" i="4"/>
  <c r="K96" i="4"/>
  <c r="J97" i="4"/>
  <c r="G25" i="5"/>
  <c r="H25" i="5" s="1"/>
  <c r="E26" i="5" s="1"/>
  <c r="C397" i="5"/>
  <c r="B385" i="5"/>
  <c r="C514" i="5"/>
  <c r="B514" i="5" s="1"/>
  <c r="B502" i="5"/>
  <c r="H27" i="7"/>
  <c r="E28" i="7" s="1"/>
  <c r="G28" i="7" s="1"/>
  <c r="C341" i="7"/>
  <c r="B329" i="7"/>
  <c r="C343" i="7"/>
  <c r="B331" i="7"/>
  <c r="C349" i="7"/>
  <c r="B337" i="7"/>
  <c r="C340" i="7"/>
  <c r="B328" i="7"/>
  <c r="C348" i="7"/>
  <c r="B336" i="7"/>
  <c r="C342" i="7"/>
  <c r="B330" i="7"/>
  <c r="C344" i="7"/>
  <c r="B332" i="7"/>
  <c r="C345" i="7"/>
  <c r="B333" i="7"/>
  <c r="C351" i="7"/>
  <c r="B339" i="7"/>
  <c r="C350" i="7"/>
  <c r="B338" i="7"/>
  <c r="C347" i="7"/>
  <c r="B335" i="7"/>
  <c r="C346" i="7"/>
  <c r="B334" i="7"/>
  <c r="N99" i="4" l="1"/>
  <c r="M100" i="4"/>
  <c r="K97" i="4"/>
  <c r="J98" i="4"/>
  <c r="G26" i="5"/>
  <c r="H26" i="5" s="1"/>
  <c r="E27" i="5" s="1"/>
  <c r="C409" i="5"/>
  <c r="B397" i="5"/>
  <c r="H28" i="7"/>
  <c r="E29" i="7" s="1"/>
  <c r="G29" i="7" s="1"/>
  <c r="C359" i="7"/>
  <c r="B347" i="7"/>
  <c r="C356" i="7"/>
  <c r="B344" i="7"/>
  <c r="C361" i="7"/>
  <c r="B349" i="7"/>
  <c r="C363" i="7"/>
  <c r="B351" i="7"/>
  <c r="C360" i="7"/>
  <c r="B348" i="7"/>
  <c r="C353" i="7"/>
  <c r="B341" i="7"/>
  <c r="C362" i="7"/>
  <c r="B350" i="7"/>
  <c r="C355" i="7"/>
  <c r="B343" i="7"/>
  <c r="C354" i="7"/>
  <c r="B342" i="7"/>
  <c r="C358" i="7"/>
  <c r="B346" i="7"/>
  <c r="C357" i="7"/>
  <c r="B345" i="7"/>
  <c r="C352" i="7"/>
  <c r="B340" i="7"/>
  <c r="M101" i="4" l="1"/>
  <c r="N100" i="4"/>
  <c r="K98" i="4"/>
  <c r="J99" i="4"/>
  <c r="G27" i="5"/>
  <c r="H27" i="5" s="1"/>
  <c r="E28" i="5" s="1"/>
  <c r="C421" i="5"/>
  <c r="B409" i="5"/>
  <c r="H29" i="7"/>
  <c r="E30" i="7" s="1"/>
  <c r="G30" i="7" s="1"/>
  <c r="C373" i="7"/>
  <c r="B361" i="7"/>
  <c r="C374" i="7"/>
  <c r="B362" i="7"/>
  <c r="C369" i="7"/>
  <c r="B357" i="7"/>
  <c r="C370" i="7"/>
  <c r="B358" i="7"/>
  <c r="C365" i="7"/>
  <c r="B353" i="7"/>
  <c r="C368" i="7"/>
  <c r="B356" i="7"/>
  <c r="C371" i="7"/>
  <c r="B359" i="7"/>
  <c r="C372" i="7"/>
  <c r="B360" i="7"/>
  <c r="C366" i="7"/>
  <c r="B354" i="7"/>
  <c r="C364" i="7"/>
  <c r="B352" i="7"/>
  <c r="C367" i="7"/>
  <c r="B355" i="7"/>
  <c r="C375" i="7"/>
  <c r="B363" i="7"/>
  <c r="N101" i="4" l="1"/>
  <c r="M102" i="4"/>
  <c r="J100" i="4"/>
  <c r="K99" i="4"/>
  <c r="G28" i="5"/>
  <c r="H28" i="5" s="1"/>
  <c r="E29" i="5" s="1"/>
  <c r="C433" i="5"/>
  <c r="B421" i="5"/>
  <c r="H30" i="7"/>
  <c r="E31" i="7" s="1"/>
  <c r="G31" i="7" s="1"/>
  <c r="C383" i="7"/>
  <c r="B371" i="7"/>
  <c r="C376" i="7"/>
  <c r="B364" i="7"/>
  <c r="C380" i="7"/>
  <c r="B368" i="7"/>
  <c r="C386" i="7"/>
  <c r="B374" i="7"/>
  <c r="C385" i="7"/>
  <c r="B373" i="7"/>
  <c r="C379" i="7"/>
  <c r="B367" i="7"/>
  <c r="C381" i="7"/>
  <c r="B369" i="7"/>
  <c r="C378" i="7"/>
  <c r="B366" i="7"/>
  <c r="C377" i="7"/>
  <c r="B365" i="7"/>
  <c r="C387" i="7"/>
  <c r="B375" i="7"/>
  <c r="C384" i="7"/>
  <c r="B372" i="7"/>
  <c r="C382" i="7"/>
  <c r="B370" i="7"/>
  <c r="M103" i="4" l="1"/>
  <c r="N102" i="4"/>
  <c r="J101" i="4"/>
  <c r="K100" i="4"/>
  <c r="G29" i="5"/>
  <c r="H29" i="5" s="1"/>
  <c r="E30" i="5" s="1"/>
  <c r="C445" i="5"/>
  <c r="B433" i="5"/>
  <c r="H31" i="7"/>
  <c r="E32" i="7" s="1"/>
  <c r="G32" i="7" s="1"/>
  <c r="C392" i="7"/>
  <c r="B380" i="7"/>
  <c r="C393" i="7"/>
  <c r="B381" i="7"/>
  <c r="C399" i="7"/>
  <c r="B387" i="7"/>
  <c r="C396" i="7"/>
  <c r="B384" i="7"/>
  <c r="C391" i="7"/>
  <c r="B379" i="7"/>
  <c r="C388" i="7"/>
  <c r="B376" i="7"/>
  <c r="C395" i="7"/>
  <c r="B383" i="7"/>
  <c r="C389" i="7"/>
  <c r="B377" i="7"/>
  <c r="C397" i="7"/>
  <c r="B385" i="7"/>
  <c r="C394" i="7"/>
  <c r="B382" i="7"/>
  <c r="C390" i="7"/>
  <c r="B378" i="7"/>
  <c r="C398" i="7"/>
  <c r="B386" i="7"/>
  <c r="M104" i="4" l="1"/>
  <c r="N103" i="4"/>
  <c r="J102" i="4"/>
  <c r="K101" i="4"/>
  <c r="G30" i="5"/>
  <c r="H30" i="5" s="1"/>
  <c r="E31" i="5" s="1"/>
  <c r="C457" i="5"/>
  <c r="B445" i="5"/>
  <c r="H32" i="7"/>
  <c r="E33" i="7" s="1"/>
  <c r="G33" i="7" s="1"/>
  <c r="C411" i="7"/>
  <c r="B399" i="7"/>
  <c r="C406" i="7"/>
  <c r="B394" i="7"/>
  <c r="C400" i="7"/>
  <c r="B388" i="7"/>
  <c r="C405" i="7"/>
  <c r="B393" i="7"/>
  <c r="C404" i="7"/>
  <c r="B392" i="7"/>
  <c r="C403" i="7"/>
  <c r="B391" i="7"/>
  <c r="C402" i="7"/>
  <c r="B390" i="7"/>
  <c r="C407" i="7"/>
  <c r="B395" i="7"/>
  <c r="C409" i="7"/>
  <c r="B397" i="7"/>
  <c r="C410" i="7"/>
  <c r="B398" i="7"/>
  <c r="C401" i="7"/>
  <c r="B389" i="7"/>
  <c r="C408" i="7"/>
  <c r="B396" i="7"/>
  <c r="M105" i="4" l="1"/>
  <c r="N104" i="4"/>
  <c r="J103" i="4"/>
  <c r="K102" i="4"/>
  <c r="G31" i="5"/>
  <c r="H31" i="5" s="1"/>
  <c r="E32" i="5" s="1"/>
  <c r="C469" i="5"/>
  <c r="B457" i="5"/>
  <c r="H33" i="7"/>
  <c r="E34" i="7" s="1"/>
  <c r="G34" i="7" s="1"/>
  <c r="C414" i="7"/>
  <c r="B402" i="7"/>
  <c r="C412" i="7"/>
  <c r="B400" i="7"/>
  <c r="C418" i="7"/>
  <c r="B406" i="7"/>
  <c r="C413" i="7"/>
  <c r="B401" i="7"/>
  <c r="C421" i="7"/>
  <c r="B409" i="7"/>
  <c r="C416" i="7"/>
  <c r="B404" i="7"/>
  <c r="C423" i="7"/>
  <c r="B411" i="7"/>
  <c r="C422" i="7"/>
  <c r="B410" i="7"/>
  <c r="C415" i="7"/>
  <c r="B403" i="7"/>
  <c r="C420" i="7"/>
  <c r="B408" i="7"/>
  <c r="C419" i="7"/>
  <c r="B407" i="7"/>
  <c r="C417" i="7"/>
  <c r="B405" i="7"/>
  <c r="M106" i="4" l="1"/>
  <c r="N105" i="4"/>
  <c r="J104" i="4"/>
  <c r="K103" i="4"/>
  <c r="G32" i="5"/>
  <c r="H32" i="5" s="1"/>
  <c r="E33" i="5" s="1"/>
  <c r="B469" i="5"/>
  <c r="C481" i="5"/>
  <c r="H34" i="7"/>
  <c r="E35" i="7" s="1"/>
  <c r="G35" i="7" s="1"/>
  <c r="C435" i="7"/>
  <c r="B423" i="7"/>
  <c r="C430" i="7"/>
  <c r="B418" i="7"/>
  <c r="C431" i="7"/>
  <c r="B419" i="7"/>
  <c r="C428" i="7"/>
  <c r="B416" i="7"/>
  <c r="C427" i="7"/>
  <c r="B415" i="7"/>
  <c r="C426" i="7"/>
  <c r="B414" i="7"/>
  <c r="C432" i="7"/>
  <c r="B420" i="7"/>
  <c r="C424" i="7"/>
  <c r="B412" i="7"/>
  <c r="C433" i="7"/>
  <c r="B421" i="7"/>
  <c r="C429" i="7"/>
  <c r="B417" i="7"/>
  <c r="C434" i="7"/>
  <c r="B422" i="7"/>
  <c r="C425" i="7"/>
  <c r="B413" i="7"/>
  <c r="N106" i="4" l="1"/>
  <c r="M107" i="4"/>
  <c r="K104" i="4"/>
  <c r="J105" i="4"/>
  <c r="G33" i="5"/>
  <c r="H33" i="5" s="1"/>
  <c r="E34" i="5" s="1"/>
  <c r="C493" i="5"/>
  <c r="B481" i="5"/>
  <c r="H35" i="7"/>
  <c r="E36" i="7" s="1"/>
  <c r="G36" i="7" s="1"/>
  <c r="C444" i="7"/>
  <c r="B432" i="7"/>
  <c r="C443" i="7"/>
  <c r="B431" i="7"/>
  <c r="C446" i="7"/>
  <c r="B434" i="7"/>
  <c r="C441" i="7"/>
  <c r="B429" i="7"/>
  <c r="C438" i="7"/>
  <c r="B426" i="7"/>
  <c r="C442" i="7"/>
  <c r="B430" i="7"/>
  <c r="C439" i="7"/>
  <c r="B427" i="7"/>
  <c r="C447" i="7"/>
  <c r="B435" i="7"/>
  <c r="C445" i="7"/>
  <c r="B433" i="7"/>
  <c r="C437" i="7"/>
  <c r="B425" i="7"/>
  <c r="C436" i="7"/>
  <c r="B424" i="7"/>
  <c r="C440" i="7"/>
  <c r="B428" i="7"/>
  <c r="N107" i="4" l="1"/>
  <c r="M108" i="4"/>
  <c r="K105" i="4"/>
  <c r="J106" i="4"/>
  <c r="G34" i="5"/>
  <c r="H34" i="5" s="1"/>
  <c r="E35" i="5" s="1"/>
  <c r="C505" i="5"/>
  <c r="B493" i="5"/>
  <c r="H36" i="7"/>
  <c r="E37" i="7" s="1"/>
  <c r="G37" i="7" s="1"/>
  <c r="B439" i="7"/>
  <c r="C451" i="7"/>
  <c r="C458" i="7"/>
  <c r="B446" i="7"/>
  <c r="C448" i="7"/>
  <c r="B436" i="7"/>
  <c r="B437" i="7"/>
  <c r="C449" i="7"/>
  <c r="C454" i="7"/>
  <c r="B442" i="7"/>
  <c r="C455" i="7"/>
  <c r="B443" i="7"/>
  <c r="C456" i="7"/>
  <c r="B444" i="7"/>
  <c r="B445" i="7"/>
  <c r="C457" i="7"/>
  <c r="C450" i="7"/>
  <c r="B438" i="7"/>
  <c r="C452" i="7"/>
  <c r="B440" i="7"/>
  <c r="B447" i="7"/>
  <c r="C459" i="7"/>
  <c r="C453" i="7"/>
  <c r="B441" i="7"/>
  <c r="M109" i="4" l="1"/>
  <c r="N108" i="4"/>
  <c r="K106" i="4"/>
  <c r="J107" i="4"/>
  <c r="G35" i="5"/>
  <c r="H35" i="5" s="1"/>
  <c r="E36" i="5" s="1"/>
  <c r="C517" i="5"/>
  <c r="B517" i="5" s="1"/>
  <c r="B505" i="5"/>
  <c r="H37" i="7"/>
  <c r="E38" i="7" s="1"/>
  <c r="G38" i="7" s="1"/>
  <c r="H38" i="7" s="1"/>
  <c r="E39" i="7" s="1"/>
  <c r="G39" i="7" s="1"/>
  <c r="H39" i="7" s="1"/>
  <c r="E40" i="7" s="1"/>
  <c r="G40" i="7" s="1"/>
  <c r="H40" i="7" s="1"/>
  <c r="E41" i="7" s="1"/>
  <c r="C460" i="7"/>
  <c r="B448" i="7"/>
  <c r="C464" i="7"/>
  <c r="B452" i="7"/>
  <c r="C463" i="7"/>
  <c r="B451" i="7"/>
  <c r="C468" i="7"/>
  <c r="B456" i="7"/>
  <c r="C471" i="7"/>
  <c r="B459" i="7"/>
  <c r="B455" i="7"/>
  <c r="C467" i="7"/>
  <c r="C470" i="7"/>
  <c r="B458" i="7"/>
  <c r="C466" i="7"/>
  <c r="B454" i="7"/>
  <c r="C469" i="7"/>
  <c r="B457" i="7"/>
  <c r="C461" i="7"/>
  <c r="B449" i="7"/>
  <c r="C462" i="7"/>
  <c r="B450" i="7"/>
  <c r="B453" i="7"/>
  <c r="C465" i="7"/>
  <c r="N109" i="4" l="1"/>
  <c r="M110" i="4"/>
  <c r="K107" i="4"/>
  <c r="J108" i="4"/>
  <c r="G36" i="5"/>
  <c r="H36" i="5" s="1"/>
  <c r="E37" i="5" s="1"/>
  <c r="G41" i="7"/>
  <c r="H41" i="7" s="1"/>
  <c r="E42" i="7" s="1"/>
  <c r="G42" i="7" s="1"/>
  <c r="H42" i="7" s="1"/>
  <c r="E43" i="7" s="1"/>
  <c r="C474" i="7"/>
  <c r="B462" i="7"/>
  <c r="C482" i="7"/>
  <c r="B470" i="7"/>
  <c r="B463" i="7"/>
  <c r="C475" i="7"/>
  <c r="C473" i="7"/>
  <c r="B461" i="7"/>
  <c r="C476" i="7"/>
  <c r="B464" i="7"/>
  <c r="C479" i="7"/>
  <c r="B467" i="7"/>
  <c r="C481" i="7"/>
  <c r="B469" i="7"/>
  <c r="C483" i="7"/>
  <c r="B471" i="7"/>
  <c r="B460" i="7"/>
  <c r="C472" i="7"/>
  <c r="C477" i="7"/>
  <c r="B465" i="7"/>
  <c r="C478" i="7"/>
  <c r="B466" i="7"/>
  <c r="C480" i="7"/>
  <c r="B468" i="7"/>
  <c r="M111" i="4" l="1"/>
  <c r="N110" i="4"/>
  <c r="J109" i="4"/>
  <c r="K108" i="4"/>
  <c r="G37" i="5"/>
  <c r="H37" i="5" s="1"/>
  <c r="E38" i="5" s="1"/>
  <c r="G43" i="7"/>
  <c r="H43" i="7" s="1"/>
  <c r="E44" i="7" s="1"/>
  <c r="C487" i="7"/>
  <c r="B475" i="7"/>
  <c r="C493" i="7"/>
  <c r="B481" i="7"/>
  <c r="C489" i="7"/>
  <c r="B477" i="7"/>
  <c r="C490" i="7"/>
  <c r="B478" i="7"/>
  <c r="C491" i="7"/>
  <c r="B479" i="7"/>
  <c r="C494" i="7"/>
  <c r="B482" i="7"/>
  <c r="C484" i="7"/>
  <c r="B472" i="7"/>
  <c r="C488" i="7"/>
  <c r="B476" i="7"/>
  <c r="C486" i="7"/>
  <c r="B474" i="7"/>
  <c r="C492" i="7"/>
  <c r="B480" i="7"/>
  <c r="C495" i="7"/>
  <c r="B483" i="7"/>
  <c r="C485" i="7"/>
  <c r="B473" i="7"/>
  <c r="N111" i="4" l="1"/>
  <c r="M112" i="4"/>
  <c r="N112" i="4" s="1"/>
  <c r="R5" i="4" s="1"/>
  <c r="J110" i="4"/>
  <c r="K109" i="4"/>
  <c r="G38" i="5"/>
  <c r="H38" i="5" s="1"/>
  <c r="E39" i="5" s="1"/>
  <c r="G44" i="7"/>
  <c r="H44" i="7" s="1"/>
  <c r="E45" i="7" s="1"/>
  <c r="G45" i="7" s="1"/>
  <c r="H45" i="7" s="1"/>
  <c r="E46" i="7" s="1"/>
  <c r="C507" i="7"/>
  <c r="B507" i="7" s="1"/>
  <c r="B495" i="7"/>
  <c r="C496" i="7"/>
  <c r="B484" i="7"/>
  <c r="C501" i="7"/>
  <c r="B489" i="7"/>
  <c r="C504" i="7"/>
  <c r="B492" i="7"/>
  <c r="C505" i="7"/>
  <c r="B493" i="7"/>
  <c r="C506" i="7"/>
  <c r="B506" i="7" s="1"/>
  <c r="B494" i="7"/>
  <c r="C498" i="7"/>
  <c r="B486" i="7"/>
  <c r="C503" i="7"/>
  <c r="B491" i="7"/>
  <c r="C499" i="7"/>
  <c r="B487" i="7"/>
  <c r="C497" i="7"/>
  <c r="B485" i="7"/>
  <c r="B488" i="7"/>
  <c r="C500" i="7"/>
  <c r="B490" i="7"/>
  <c r="C502" i="7"/>
  <c r="J111" i="4" l="1"/>
  <c r="K110" i="4"/>
  <c r="G39" i="5"/>
  <c r="H39" i="5" s="1"/>
  <c r="E40" i="5" s="1"/>
  <c r="G46" i="7"/>
  <c r="H46" i="7" s="1"/>
  <c r="E47" i="7" s="1"/>
  <c r="G47" i="7" s="1"/>
  <c r="H47" i="7" s="1"/>
  <c r="E48" i="7" s="1"/>
  <c r="C510" i="7"/>
  <c r="B510" i="7" s="1"/>
  <c r="B498" i="7"/>
  <c r="C513" i="7"/>
  <c r="B513" i="7" s="1"/>
  <c r="B501" i="7"/>
  <c r="C512" i="7"/>
  <c r="B512" i="7" s="1"/>
  <c r="B500" i="7"/>
  <c r="B496" i="7"/>
  <c r="C508" i="7"/>
  <c r="B508" i="7" s="1"/>
  <c r="C509" i="7"/>
  <c r="B509" i="7" s="1"/>
  <c r="B497" i="7"/>
  <c r="C511" i="7"/>
  <c r="B511" i="7" s="1"/>
  <c r="B499" i="7"/>
  <c r="C517" i="7"/>
  <c r="B517" i="7" s="1"/>
  <c r="B505" i="7"/>
  <c r="C514" i="7"/>
  <c r="B514" i="7" s="1"/>
  <c r="B502" i="7"/>
  <c r="C515" i="7"/>
  <c r="B515" i="7" s="1"/>
  <c r="B503" i="7"/>
  <c r="B504" i="7"/>
  <c r="C516" i="7"/>
  <c r="B516" i="7" s="1"/>
  <c r="J112" i="4" l="1"/>
  <c r="K112" i="4" s="1"/>
  <c r="R3" i="4" s="1"/>
  <c r="K111" i="4"/>
  <c r="G40" i="5"/>
  <c r="H40" i="5" s="1"/>
  <c r="E41" i="5" s="1"/>
  <c r="G48" i="7"/>
  <c r="H48" i="7" s="1"/>
  <c r="E49" i="7" s="1"/>
  <c r="G49" i="7" s="1"/>
  <c r="H49" i="7" s="1"/>
  <c r="G41" i="5" l="1"/>
  <c r="H41" i="5" s="1"/>
  <c r="E42" i="5" s="1"/>
  <c r="E50" i="7"/>
  <c r="G50" i="7" s="1"/>
  <c r="G42" i="5" l="1"/>
  <c r="H42" i="5" s="1"/>
  <c r="E43" i="5" s="1"/>
  <c r="H50" i="7"/>
  <c r="E51" i="7" s="1"/>
  <c r="G51" i="7" s="1"/>
  <c r="G43" i="5" l="1"/>
  <c r="H43" i="5" s="1"/>
  <c r="E44" i="5" s="1"/>
  <c r="H51" i="7"/>
  <c r="E52" i="7" s="1"/>
  <c r="G52" i="7" s="1"/>
  <c r="G44" i="5" l="1"/>
  <c r="H44" i="5" s="1"/>
  <c r="E45" i="5" s="1"/>
  <c r="H52" i="7"/>
  <c r="E53" i="7" s="1"/>
  <c r="G53" i="7" s="1"/>
  <c r="G45" i="5" l="1"/>
  <c r="H45" i="5" s="1"/>
  <c r="E46" i="5" s="1"/>
  <c r="H53" i="7"/>
  <c r="E54" i="7" s="1"/>
  <c r="G54" i="7" s="1"/>
  <c r="G46" i="5" l="1"/>
  <c r="H46" i="5" s="1"/>
  <c r="E47" i="5" s="1"/>
  <c r="H54" i="7"/>
  <c r="E55" i="7" s="1"/>
  <c r="G55" i="7" s="1"/>
  <c r="G47" i="5" l="1"/>
  <c r="H47" i="5" s="1"/>
  <c r="E48" i="5" s="1"/>
  <c r="H55" i="7"/>
  <c r="E56" i="7" s="1"/>
  <c r="G56" i="7" s="1"/>
  <c r="G48" i="5" l="1"/>
  <c r="H48" i="5" s="1"/>
  <c r="E49" i="5" s="1"/>
  <c r="H56" i="7"/>
  <c r="E57" i="7" s="1"/>
  <c r="G57" i="7" s="1"/>
  <c r="G49" i="5" l="1"/>
  <c r="H49" i="5" s="1"/>
  <c r="E50" i="5" s="1"/>
  <c r="H57" i="7"/>
  <c r="E58" i="7" s="1"/>
  <c r="G58" i="7" s="1"/>
  <c r="G50" i="5" l="1"/>
  <c r="H50" i="5" s="1"/>
  <c r="E51" i="5" s="1"/>
  <c r="H58" i="7"/>
  <c r="E59" i="7" s="1"/>
  <c r="G59" i="7" s="1"/>
  <c r="G51" i="5" l="1"/>
  <c r="H51" i="5" s="1"/>
  <c r="E52" i="5" s="1"/>
  <c r="H59" i="7"/>
  <c r="E60" i="7" s="1"/>
  <c r="G60" i="7" s="1"/>
  <c r="G52" i="5" l="1"/>
  <c r="H52" i="5" s="1"/>
  <c r="E53" i="5" s="1"/>
  <c r="H60" i="7"/>
  <c r="E61" i="7" s="1"/>
  <c r="G61" i="7" s="1"/>
  <c r="G53" i="5" l="1"/>
  <c r="H53" i="5" s="1"/>
  <c r="E54" i="5" s="1"/>
  <c r="H61" i="7"/>
  <c r="E62" i="7" s="1"/>
  <c r="G62" i="7" s="1"/>
  <c r="G54" i="5" l="1"/>
  <c r="H54" i="5" s="1"/>
  <c r="E55" i="5" s="1"/>
  <c r="H62" i="7"/>
  <c r="E63" i="7" s="1"/>
  <c r="G63" i="7" s="1"/>
  <c r="G55" i="5" l="1"/>
  <c r="H55" i="5" s="1"/>
  <c r="E56" i="5" s="1"/>
  <c r="H63" i="7"/>
  <c r="E64" i="7" s="1"/>
  <c r="G64" i="7" s="1"/>
  <c r="G56" i="5" l="1"/>
  <c r="H56" i="5" s="1"/>
  <c r="E57" i="5" s="1"/>
  <c r="H64" i="7"/>
  <c r="E65" i="7" s="1"/>
  <c r="G65" i="7" s="1"/>
  <c r="G57" i="5" l="1"/>
  <c r="H57" i="5" s="1"/>
  <c r="E58" i="5" s="1"/>
  <c r="H65" i="7"/>
  <c r="E66" i="7" s="1"/>
  <c r="G66" i="7" s="1"/>
  <c r="G58" i="5" l="1"/>
  <c r="H58" i="5" s="1"/>
  <c r="E59" i="5" s="1"/>
  <c r="H66" i="7"/>
  <c r="E67" i="7" s="1"/>
  <c r="G67" i="7" s="1"/>
  <c r="G59" i="5" l="1"/>
  <c r="H59" i="5" s="1"/>
  <c r="E60" i="5" s="1"/>
  <c r="H67" i="7"/>
  <c r="E68" i="7" s="1"/>
  <c r="G68" i="7" s="1"/>
  <c r="G60" i="5" l="1"/>
  <c r="H60" i="5" s="1"/>
  <c r="E61" i="5" s="1"/>
  <c r="H68" i="7"/>
  <c r="E69" i="7" s="1"/>
  <c r="G69" i="7" s="1"/>
  <c r="G61" i="5" l="1"/>
  <c r="H61" i="5" s="1"/>
  <c r="E62" i="5" s="1"/>
  <c r="H69" i="7"/>
  <c r="E70" i="7" s="1"/>
  <c r="G70" i="7" s="1"/>
  <c r="G62" i="5" l="1"/>
  <c r="H62" i="5" s="1"/>
  <c r="E63" i="5" s="1"/>
  <c r="H70" i="7"/>
  <c r="E71" i="7" s="1"/>
  <c r="G71" i="7" s="1"/>
  <c r="G63" i="5" l="1"/>
  <c r="H63" i="5" s="1"/>
  <c r="E64" i="5" s="1"/>
  <c r="H71" i="7"/>
  <c r="E72" i="7" s="1"/>
  <c r="G72" i="7" s="1"/>
  <c r="G64" i="5" l="1"/>
  <c r="H64" i="5" s="1"/>
  <c r="E65" i="5" s="1"/>
  <c r="H72" i="7"/>
  <c r="E73" i="7" s="1"/>
  <c r="G73" i="7" s="1"/>
  <c r="G65" i="5" l="1"/>
  <c r="H65" i="5" s="1"/>
  <c r="E66" i="5" s="1"/>
  <c r="H73" i="7"/>
  <c r="E74" i="7" s="1"/>
  <c r="G74" i="7" s="1"/>
  <c r="G66" i="5" l="1"/>
  <c r="H66" i="5" s="1"/>
  <c r="E67" i="5" s="1"/>
  <c r="H74" i="7"/>
  <c r="E75" i="7" s="1"/>
  <c r="G75" i="7" s="1"/>
  <c r="G67" i="5" l="1"/>
  <c r="H67" i="5" s="1"/>
  <c r="E68" i="5" s="1"/>
  <c r="H75" i="7"/>
  <c r="E76" i="7" s="1"/>
  <c r="G76" i="7" s="1"/>
  <c r="G68" i="5" l="1"/>
  <c r="H68" i="5" s="1"/>
  <c r="E69" i="5" s="1"/>
  <c r="H76" i="7"/>
  <c r="E77" i="7" s="1"/>
  <c r="G77" i="7" s="1"/>
  <c r="G69" i="5" l="1"/>
  <c r="H69" i="5" s="1"/>
  <c r="E70" i="5" s="1"/>
  <c r="H77" i="7"/>
  <c r="E78" i="7" s="1"/>
  <c r="G78" i="7" s="1"/>
  <c r="G70" i="5" l="1"/>
  <c r="H70" i="5" s="1"/>
  <c r="E71" i="5" s="1"/>
  <c r="H78" i="7"/>
  <c r="E79" i="7" s="1"/>
  <c r="G79" i="7" s="1"/>
  <c r="G71" i="5" l="1"/>
  <c r="H71" i="5" s="1"/>
  <c r="E72" i="5" s="1"/>
  <c r="H79" i="7"/>
  <c r="E80" i="7" s="1"/>
  <c r="G80" i="7" s="1"/>
  <c r="G72" i="5" l="1"/>
  <c r="H72" i="5" s="1"/>
  <c r="E73" i="5" s="1"/>
  <c r="H80" i="7"/>
  <c r="E81" i="7" s="1"/>
  <c r="G81" i="7" s="1"/>
  <c r="G73" i="5" l="1"/>
  <c r="H73" i="5" s="1"/>
  <c r="E74" i="5" s="1"/>
  <c r="H81" i="7"/>
  <c r="E82" i="7" s="1"/>
  <c r="G82" i="7" s="1"/>
  <c r="G74" i="5" l="1"/>
  <c r="H74" i="5" s="1"/>
  <c r="E75" i="5" s="1"/>
  <c r="H82" i="7"/>
  <c r="E83" i="7" s="1"/>
  <c r="G83" i="7" s="1"/>
  <c r="G75" i="5" l="1"/>
  <c r="H75" i="5" s="1"/>
  <c r="E76" i="5" s="1"/>
  <c r="H83" i="7"/>
  <c r="E84" i="7" s="1"/>
  <c r="G84" i="7" s="1"/>
  <c r="G76" i="5" l="1"/>
  <c r="H76" i="5" s="1"/>
  <c r="E77" i="5" s="1"/>
  <c r="H84" i="7"/>
  <c r="E85" i="7" s="1"/>
  <c r="G85" i="7" s="1"/>
  <c r="G77" i="5" l="1"/>
  <c r="H77" i="5" s="1"/>
  <c r="E78" i="5" s="1"/>
  <c r="H85" i="7"/>
  <c r="E86" i="7" s="1"/>
  <c r="G86" i="7" s="1"/>
  <c r="G78" i="5" l="1"/>
  <c r="H78" i="5" s="1"/>
  <c r="E79" i="5" s="1"/>
  <c r="H86" i="7"/>
  <c r="E87" i="7" s="1"/>
  <c r="G87" i="7" s="1"/>
  <c r="G79" i="5" l="1"/>
  <c r="H79" i="5" s="1"/>
  <c r="E80" i="5" s="1"/>
  <c r="H87" i="7"/>
  <c r="E88" i="7" s="1"/>
  <c r="G88" i="7" s="1"/>
  <c r="G80" i="5" l="1"/>
  <c r="H80" i="5" s="1"/>
  <c r="E81" i="5" s="1"/>
  <c r="H88" i="7"/>
  <c r="E89" i="7" s="1"/>
  <c r="G89" i="7" s="1"/>
  <c r="G81" i="5" l="1"/>
  <c r="H81" i="5" s="1"/>
  <c r="E82" i="5" s="1"/>
  <c r="H89" i="7"/>
  <c r="E90" i="7" s="1"/>
  <c r="G90" i="7" s="1"/>
  <c r="G82" i="5" l="1"/>
  <c r="H82" i="5" s="1"/>
  <c r="E83" i="5" s="1"/>
  <c r="H90" i="7"/>
  <c r="E91" i="7" s="1"/>
  <c r="G91" i="7" s="1"/>
  <c r="G83" i="5" l="1"/>
  <c r="H83" i="5" s="1"/>
  <c r="E84" i="5" s="1"/>
  <c r="H91" i="7"/>
  <c r="E92" i="7" s="1"/>
  <c r="G92" i="7" s="1"/>
  <c r="G84" i="5" l="1"/>
  <c r="H84" i="5" s="1"/>
  <c r="E85" i="5" s="1"/>
  <c r="H92" i="7"/>
  <c r="E93" i="7" s="1"/>
  <c r="G93" i="7" s="1"/>
  <c r="G85" i="5" l="1"/>
  <c r="H85" i="5" s="1"/>
  <c r="E86" i="5" s="1"/>
  <c r="H93" i="7"/>
  <c r="E94" i="7" s="1"/>
  <c r="G94" i="7" s="1"/>
  <c r="G86" i="5" l="1"/>
  <c r="H86" i="5" s="1"/>
  <c r="E87" i="5" s="1"/>
  <c r="H94" i="7"/>
  <c r="E95" i="7" s="1"/>
  <c r="G95" i="7" s="1"/>
  <c r="G87" i="5" l="1"/>
  <c r="H87" i="5" s="1"/>
  <c r="E88" i="5" s="1"/>
  <c r="H95" i="7"/>
  <c r="E96" i="7" s="1"/>
  <c r="G96" i="7" s="1"/>
  <c r="G88" i="5" l="1"/>
  <c r="H88" i="5" s="1"/>
  <c r="E89" i="5" s="1"/>
  <c r="H96" i="7"/>
  <c r="E97" i="7" s="1"/>
  <c r="G97" i="7" s="1"/>
  <c r="G89" i="5" l="1"/>
  <c r="H89" i="5" s="1"/>
  <c r="E90" i="5" s="1"/>
  <c r="H97" i="7"/>
  <c r="E98" i="7" s="1"/>
  <c r="G98" i="7" s="1"/>
  <c r="G90" i="5" l="1"/>
  <c r="H90" i="5" s="1"/>
  <c r="E91" i="5" s="1"/>
  <c r="H98" i="7"/>
  <c r="E99" i="7" s="1"/>
  <c r="G99" i="7" s="1"/>
  <c r="G91" i="5" l="1"/>
  <c r="H91" i="5" s="1"/>
  <c r="E92" i="5" s="1"/>
  <c r="H99" i="7"/>
  <c r="E100" i="7" s="1"/>
  <c r="G100" i="7" s="1"/>
  <c r="G92" i="5" l="1"/>
  <c r="H92" i="5" s="1"/>
  <c r="E93" i="5" s="1"/>
  <c r="H100" i="7"/>
  <c r="E101" i="7" s="1"/>
  <c r="G101" i="7" s="1"/>
  <c r="G93" i="5" l="1"/>
  <c r="H93" i="5" s="1"/>
  <c r="E94" i="5" s="1"/>
  <c r="H101" i="7"/>
  <c r="E102" i="7" s="1"/>
  <c r="G102" i="7" s="1"/>
  <c r="G94" i="5" l="1"/>
  <c r="H94" i="5" s="1"/>
  <c r="E95" i="5" s="1"/>
  <c r="H102" i="7"/>
  <c r="E103" i="7" s="1"/>
  <c r="G103" i="7" s="1"/>
  <c r="G95" i="5" l="1"/>
  <c r="H95" i="5" s="1"/>
  <c r="E96" i="5" s="1"/>
  <c r="H103" i="7"/>
  <c r="E104" i="7" s="1"/>
  <c r="G104" i="7" s="1"/>
  <c r="G96" i="5" l="1"/>
  <c r="H96" i="5" s="1"/>
  <c r="E97" i="5" s="1"/>
  <c r="H104" i="7"/>
  <c r="E105" i="7" s="1"/>
  <c r="G105" i="7" s="1"/>
  <c r="G97" i="5" l="1"/>
  <c r="H97" i="5" s="1"/>
  <c r="E98" i="5" s="1"/>
  <c r="H105" i="7"/>
  <c r="E106" i="7" s="1"/>
  <c r="G106" i="7" s="1"/>
  <c r="G98" i="5" l="1"/>
  <c r="H98" i="5" s="1"/>
  <c r="E99" i="5" s="1"/>
  <c r="H106" i="7"/>
  <c r="E107" i="7" s="1"/>
  <c r="G107" i="7" s="1"/>
  <c r="G99" i="5" l="1"/>
  <c r="H99" i="5" s="1"/>
  <c r="E100" i="5" s="1"/>
  <c r="H107" i="7"/>
  <c r="E108" i="7" s="1"/>
  <c r="G108" i="7" s="1"/>
  <c r="G100" i="5" l="1"/>
  <c r="H100" i="5" s="1"/>
  <c r="E101" i="5" s="1"/>
  <c r="H108" i="7"/>
  <c r="E109" i="7" s="1"/>
  <c r="G109" i="7" s="1"/>
  <c r="G101" i="5" l="1"/>
  <c r="H101" i="5" s="1"/>
  <c r="E102" i="5" s="1"/>
  <c r="H109" i="7"/>
  <c r="E110" i="7" s="1"/>
  <c r="G102" i="5" l="1"/>
  <c r="H102" i="5" s="1"/>
  <c r="E103" i="5" s="1"/>
  <c r="G103" i="5" l="1"/>
  <c r="H103" i="5" s="1"/>
  <c r="E104" i="5" s="1"/>
  <c r="G104" i="5" l="1"/>
  <c r="H104" i="5" s="1"/>
  <c r="E105" i="5" s="1"/>
  <c r="G105" i="5" l="1"/>
  <c r="H105" i="5" s="1"/>
  <c r="E106" i="5" s="1"/>
  <c r="G106" i="5" l="1"/>
  <c r="H106" i="5" s="1"/>
  <c r="E107" i="5" s="1"/>
  <c r="G107" i="5" l="1"/>
  <c r="H107" i="5" s="1"/>
  <c r="E108" i="5" s="1"/>
  <c r="F386" i="7"/>
  <c r="F359" i="7"/>
  <c r="F237" i="7"/>
  <c r="F255" i="7"/>
  <c r="F400" i="7"/>
  <c r="F152" i="7"/>
  <c r="F479" i="7"/>
  <c r="F417" i="7"/>
  <c r="F184" i="7"/>
  <c r="F130" i="7"/>
  <c r="F341" i="7"/>
  <c r="F332" i="7"/>
  <c r="F462" i="7"/>
  <c r="F263" i="7"/>
  <c r="F426" i="7"/>
  <c r="F406" i="7"/>
  <c r="F504" i="7"/>
  <c r="F226" i="7"/>
  <c r="F297" i="7"/>
  <c r="F291" i="7"/>
  <c r="F321" i="7"/>
  <c r="F427" i="7"/>
  <c r="F241" i="7"/>
  <c r="F150" i="7"/>
  <c r="F120" i="7"/>
  <c r="F503" i="7"/>
  <c r="F511" i="7"/>
  <c r="F449" i="7"/>
  <c r="F248" i="7"/>
  <c r="F232" i="7"/>
  <c r="F350" i="7"/>
  <c r="F179" i="7"/>
  <c r="F308" i="7"/>
  <c r="F136" i="7"/>
  <c r="F195" i="7"/>
  <c r="F485" i="7"/>
  <c r="F305" i="7"/>
  <c r="F178" i="7"/>
  <c r="F467" i="7"/>
  <c r="F119" i="7"/>
  <c r="F377" i="7"/>
  <c r="F326" i="7"/>
  <c r="F412" i="7"/>
  <c r="F221" i="7"/>
  <c r="F389" i="7"/>
  <c r="F253" i="7"/>
  <c r="F282" i="7"/>
  <c r="F303" i="7"/>
  <c r="F450" i="7"/>
  <c r="F344" i="7"/>
  <c r="F270" i="7"/>
  <c r="F275" i="7"/>
  <c r="F348" i="7"/>
  <c r="F383" i="7"/>
  <c r="F481" i="7"/>
  <c r="F192" i="7"/>
  <c r="F357" i="7"/>
  <c r="F489" i="7"/>
  <c r="F284" i="7"/>
  <c r="F254" i="7"/>
  <c r="F465" i="7"/>
  <c r="F138" i="7"/>
  <c r="F339" i="7"/>
  <c r="F492" i="7"/>
  <c r="F228" i="7"/>
  <c r="F330" i="7"/>
  <c r="F154" i="7"/>
  <c r="F419" i="7"/>
  <c r="F431" i="7"/>
  <c r="F153" i="7"/>
  <c r="F454" i="7"/>
  <c r="F265" i="7"/>
  <c r="F409" i="7"/>
  <c r="F121" i="7"/>
  <c r="F170" i="7"/>
  <c r="F176" i="7"/>
  <c r="F507" i="7"/>
  <c r="F333" i="7"/>
  <c r="F292" i="7"/>
  <c r="F435" i="7"/>
  <c r="F474" i="7"/>
  <c r="F416" i="7"/>
  <c r="F261" i="7"/>
  <c r="F325" i="7"/>
  <c r="F420" i="7"/>
  <c r="F262" i="7"/>
  <c r="F379" i="7"/>
  <c r="F229" i="7"/>
  <c r="F425" i="7"/>
  <c r="F497" i="7"/>
  <c r="F418" i="7"/>
  <c r="F488" i="7"/>
  <c r="F258" i="7"/>
  <c r="F171" i="7"/>
  <c r="F182" i="7"/>
  <c r="F447" i="7"/>
  <c r="F319" i="7"/>
  <c r="F342" i="7"/>
  <c r="F510" i="7"/>
  <c r="F312" i="7"/>
  <c r="F252" i="7"/>
  <c r="F117" i="7"/>
  <c r="F142" i="7"/>
  <c r="F411" i="7"/>
  <c r="F322" i="7"/>
  <c r="F173" i="7"/>
  <c r="F471" i="7"/>
  <c r="F175" i="7"/>
  <c r="F375" i="7"/>
  <c r="F423" i="7"/>
  <c r="F373" i="7"/>
  <c r="F145" i="7"/>
  <c r="F197" i="7"/>
  <c r="F166" i="7"/>
  <c r="F455" i="7"/>
  <c r="F157" i="7"/>
  <c r="F475" i="7"/>
  <c r="F256" i="7"/>
  <c r="F264" i="7"/>
  <c r="F452" i="7"/>
  <c r="F403" i="7"/>
  <c r="F320" i="7"/>
  <c r="F268" i="7"/>
  <c r="F343" i="7"/>
  <c r="F363" i="7"/>
  <c r="F362" i="7"/>
  <c r="F208" i="7"/>
  <c r="F483" i="7"/>
  <c r="F288" i="7"/>
  <c r="F167" i="7"/>
  <c r="F230" i="7"/>
  <c r="F260" i="7"/>
  <c r="F165" i="7"/>
  <c r="F158" i="7"/>
  <c r="F274" i="7"/>
  <c r="F113" i="7"/>
  <c r="F310" i="7"/>
  <c r="F385" i="7"/>
  <c r="F124" i="7"/>
  <c r="F118" i="7"/>
  <c r="F502" i="7"/>
  <c r="F213" i="7"/>
  <c r="F218" i="7"/>
  <c r="F381" i="7"/>
  <c r="F163" i="7"/>
  <c r="F309" i="7"/>
  <c r="F360" i="7"/>
  <c r="F135" i="7"/>
  <c r="F473" i="7"/>
  <c r="F199" i="7"/>
  <c r="F459" i="7"/>
  <c r="F394" i="7"/>
  <c r="F508" i="7"/>
  <c r="F442" i="7"/>
  <c r="F498" i="7"/>
  <c r="F239" i="7"/>
  <c r="F285" i="7"/>
  <c r="F198" i="7"/>
  <c r="F407" i="7"/>
  <c r="F250" i="7"/>
  <c r="F185" i="7"/>
  <c r="F517" i="7"/>
  <c r="F441" i="7"/>
  <c r="F387" i="7"/>
  <c r="F133" i="7"/>
  <c r="F123" i="7"/>
  <c r="F478" i="7"/>
  <c r="F116" i="7"/>
  <c r="F445" i="7"/>
  <c r="F137" i="7"/>
  <c r="F422" i="7"/>
  <c r="F397" i="7"/>
  <c r="F490" i="7"/>
  <c r="F236" i="7"/>
  <c r="F340" i="7"/>
  <c r="F267" i="7"/>
  <c r="F151" i="7"/>
  <c r="F122" i="7"/>
  <c r="F495" i="7"/>
  <c r="F371" i="7"/>
  <c r="F271" i="7"/>
  <c r="F147" i="7"/>
  <c r="F446" i="7"/>
  <c r="F346" i="7"/>
  <c r="F134" i="7"/>
  <c r="F338" i="7"/>
  <c r="F391" i="7"/>
  <c r="F505" i="7"/>
  <c r="F217" i="7"/>
  <c r="F287" i="7"/>
  <c r="F126" i="7"/>
  <c r="F174" i="7"/>
  <c r="F114" i="7"/>
  <c r="F159" i="7"/>
  <c r="F414" i="7"/>
  <c r="F302" i="7"/>
  <c r="F438" i="7"/>
  <c r="F477" i="7"/>
  <c r="F345" i="7"/>
  <c r="F273" i="7"/>
  <c r="F370" i="7"/>
  <c r="F162" i="7"/>
  <c r="F189" i="7"/>
  <c r="F115" i="7"/>
  <c r="F269" i="7"/>
  <c r="F374" i="7"/>
  <c r="F491" i="7"/>
  <c r="F220" i="7"/>
  <c r="F211" i="7"/>
  <c r="F227" i="7"/>
  <c r="F384" i="7"/>
  <c r="F240" i="7"/>
  <c r="F429" i="7"/>
  <c r="F352" i="7"/>
  <c r="F224" i="7"/>
  <c r="F356" i="7"/>
  <c r="F187" i="7"/>
  <c r="F204" i="7"/>
  <c r="F290" i="7"/>
  <c r="F437" i="7"/>
  <c r="F421" i="7"/>
  <c r="F125" i="7"/>
  <c r="F203" i="7"/>
  <c r="F380" i="7"/>
  <c r="F378" i="7"/>
  <c r="F215" i="7"/>
  <c r="F436" i="7"/>
  <c r="F464" i="7"/>
  <c r="F404" i="7"/>
  <c r="F460" i="7"/>
  <c r="F223" i="7"/>
  <c r="F482" i="7"/>
  <c r="F335" i="7"/>
  <c r="F402" i="7"/>
  <c r="F206" i="7"/>
  <c r="F214" i="7"/>
  <c r="F376" i="7"/>
  <c r="F334" i="7"/>
  <c r="F286" i="7"/>
  <c r="F243" i="7"/>
  <c r="F276" i="7"/>
  <c r="F266" i="7"/>
  <c r="F251" i="7"/>
  <c r="F259" i="7"/>
  <c r="F247" i="7"/>
  <c r="F244" i="7"/>
  <c r="F368" i="7"/>
  <c r="F399" i="7"/>
  <c r="F367" i="7"/>
  <c r="F279" i="7"/>
  <c r="F298" i="7"/>
  <c r="F183" i="7"/>
  <c r="F382" i="7"/>
  <c r="F347" i="7"/>
  <c r="F112" i="7"/>
  <c r="F469" i="7"/>
  <c r="F242" i="7"/>
  <c r="F280" i="7"/>
  <c r="F177" i="7"/>
  <c r="F164" i="7"/>
  <c r="F281" i="7"/>
  <c r="F146" i="7"/>
  <c r="F304" i="7"/>
  <c r="F472" i="7"/>
  <c r="F234" i="7"/>
  <c r="F369" i="7"/>
  <c r="F361" i="7"/>
  <c r="F283" i="7"/>
  <c r="F156" i="7"/>
  <c r="F294" i="7"/>
  <c r="F451" i="7"/>
  <c r="F191" i="7"/>
  <c r="F168" i="7"/>
  <c r="F448" i="7"/>
  <c r="F486" i="7"/>
  <c r="F327" i="7"/>
  <c r="F461" i="7"/>
  <c r="F190" i="7"/>
  <c r="F231" i="7"/>
  <c r="F354" i="7"/>
  <c r="F212" i="7"/>
  <c r="F161" i="7"/>
  <c r="F207" i="7"/>
  <c r="F235" i="7"/>
  <c r="F278" i="7"/>
  <c r="F314" i="7"/>
  <c r="F186" i="7"/>
  <c r="F140" i="7"/>
  <c r="F181" i="7"/>
  <c r="F516" i="7"/>
  <c r="F430" i="7"/>
  <c r="F405" i="7"/>
  <c r="F365" i="7"/>
  <c r="F317" i="7"/>
  <c r="F306" i="7"/>
  <c r="F246" i="7"/>
  <c r="F172" i="7"/>
  <c r="F434" i="7"/>
  <c r="F463" i="7"/>
  <c r="F219" i="7"/>
  <c r="F413" i="7"/>
  <c r="F205" i="7"/>
  <c r="F328" i="7"/>
  <c r="F513" i="7"/>
  <c r="F238" i="7"/>
  <c r="F398" i="7"/>
  <c r="F410" i="7"/>
  <c r="F506" i="7"/>
  <c r="F143" i="7"/>
  <c r="F433" i="7"/>
  <c r="F144" i="7"/>
  <c r="F202" i="7"/>
  <c r="F408" i="7"/>
  <c r="F301" i="7"/>
  <c r="F458" i="7"/>
  <c r="F457" i="7"/>
  <c r="F444" i="7"/>
  <c r="F132" i="7"/>
  <c r="F209" i="7"/>
  <c r="F366" i="7"/>
  <c r="F196" i="7"/>
  <c r="F149" i="7"/>
  <c r="F358" i="7"/>
  <c r="F470" i="7"/>
  <c r="F289" i="7"/>
  <c r="F313" i="7"/>
  <c r="F443" i="7"/>
  <c r="F277" i="7"/>
  <c r="F300" i="7"/>
  <c r="F245" i="7"/>
  <c r="F372" i="7"/>
  <c r="F324" i="7"/>
  <c r="F509" i="7"/>
  <c r="F392" i="7"/>
  <c r="F128" i="7"/>
  <c r="F180" i="7"/>
  <c r="F480" i="7"/>
  <c r="F311" i="7"/>
  <c r="F225" i="7"/>
  <c r="F233" i="7"/>
  <c r="F131" i="7"/>
  <c r="F222" i="7"/>
  <c r="F390" i="7"/>
  <c r="F316" i="7"/>
  <c r="F496" i="7"/>
  <c r="F323" i="7"/>
  <c r="F293" i="7"/>
  <c r="F139" i="7"/>
  <c r="F493" i="7"/>
  <c r="F169" i="7"/>
  <c r="F500" i="7"/>
  <c r="F111" i="7"/>
  <c r="F456" i="7"/>
  <c r="F401" i="7"/>
  <c r="F200" i="7"/>
  <c r="F428" i="7"/>
  <c r="F388" i="7"/>
  <c r="F337" i="7"/>
  <c r="F466" i="7"/>
  <c r="F188" i="7"/>
  <c r="F432" i="7"/>
  <c r="F299" i="7"/>
  <c r="F501" i="7"/>
  <c r="F194" i="7"/>
  <c r="F155" i="7"/>
  <c r="F249" i="7"/>
  <c r="F424" i="7"/>
  <c r="F468" i="7"/>
  <c r="F296" i="7"/>
  <c r="F415" i="7"/>
  <c r="F336" i="7"/>
  <c r="F453" i="7"/>
  <c r="F484" i="7"/>
  <c r="F295" i="7"/>
  <c r="F318" i="7"/>
  <c r="F395" i="7"/>
  <c r="F349" i="7"/>
  <c r="F439" i="7"/>
  <c r="F272" i="7"/>
  <c r="F331" i="7"/>
  <c r="F364" i="7"/>
  <c r="F201" i="7"/>
  <c r="F393" i="7"/>
  <c r="F148" i="7"/>
  <c r="F307" i="7"/>
  <c r="F129" i="7"/>
  <c r="F499" i="7"/>
  <c r="F216" i="7"/>
  <c r="F351" i="7"/>
  <c r="F193" i="7"/>
  <c r="F396" i="7"/>
  <c r="F512" i="7"/>
  <c r="F127" i="7"/>
  <c r="F440" i="7"/>
  <c r="F476" i="7"/>
  <c r="F257" i="7"/>
  <c r="F210" i="7"/>
  <c r="F141" i="7"/>
  <c r="F487" i="7"/>
  <c r="F353" i="7"/>
  <c r="F494" i="7"/>
  <c r="F160" i="7"/>
  <c r="F515" i="7"/>
  <c r="F329" i="7"/>
  <c r="F315" i="7"/>
  <c r="F355" i="7"/>
  <c r="F514" i="7"/>
  <c r="F110" i="7"/>
  <c r="G108" i="5" l="1"/>
  <c r="H108" i="5" s="1"/>
  <c r="E109" i="5" s="1"/>
  <c r="G110" i="7"/>
  <c r="H110" i="7" s="1"/>
  <c r="E111" i="7" s="1"/>
  <c r="G109" i="5" l="1"/>
  <c r="H109" i="5" s="1"/>
  <c r="E110" i="5" s="1"/>
  <c r="G111" i="7"/>
  <c r="H111" i="7" s="1"/>
  <c r="E112" i="7" s="1"/>
  <c r="G110" i="5" l="1"/>
  <c r="H110" i="5" s="1"/>
  <c r="E111" i="5" s="1"/>
  <c r="G112" i="7"/>
  <c r="H112" i="7" s="1"/>
  <c r="E113" i="7" s="1"/>
  <c r="G111" i="5" l="1"/>
  <c r="H111" i="5" s="1"/>
  <c r="E112" i="5" s="1"/>
  <c r="G113" i="7"/>
  <c r="H113" i="7" s="1"/>
  <c r="E114" i="7" s="1"/>
  <c r="G112" i="5" l="1"/>
  <c r="H112" i="5" s="1"/>
  <c r="E113" i="5" s="1"/>
  <c r="G114" i="7"/>
  <c r="H114" i="7" s="1"/>
  <c r="E115" i="7" s="1"/>
  <c r="G113" i="5" l="1"/>
  <c r="H113" i="5" s="1"/>
  <c r="E114" i="5" s="1"/>
  <c r="G115" i="7"/>
  <c r="H115" i="7" s="1"/>
  <c r="E116" i="7" s="1"/>
  <c r="G114" i="5" l="1"/>
  <c r="H114" i="5" s="1"/>
  <c r="E115" i="5" s="1"/>
  <c r="G116" i="7"/>
  <c r="H116" i="7" s="1"/>
  <c r="E117" i="7" s="1"/>
  <c r="G115" i="5" l="1"/>
  <c r="H115" i="5" s="1"/>
  <c r="E116" i="5" s="1"/>
  <c r="G117" i="7"/>
  <c r="H117" i="7" s="1"/>
  <c r="E118" i="7" s="1"/>
  <c r="G116" i="5" l="1"/>
  <c r="H116" i="5" s="1"/>
  <c r="E117" i="5" s="1"/>
  <c r="G118" i="7"/>
  <c r="H118" i="7" s="1"/>
  <c r="E119" i="7" s="1"/>
  <c r="G117" i="5" l="1"/>
  <c r="H117" i="5" s="1"/>
  <c r="E118" i="5" s="1"/>
  <c r="G119" i="7"/>
  <c r="H119" i="7" s="1"/>
  <c r="E120" i="7" s="1"/>
  <c r="G118" i="5" l="1"/>
  <c r="H118" i="5" s="1"/>
  <c r="E119" i="5" s="1"/>
  <c r="G120" i="7"/>
  <c r="H120" i="7" s="1"/>
  <c r="E121" i="7" s="1"/>
  <c r="G119" i="5" l="1"/>
  <c r="H119" i="5" s="1"/>
  <c r="E120" i="5" s="1"/>
  <c r="G121" i="7"/>
  <c r="H121" i="7" s="1"/>
  <c r="E122" i="7" s="1"/>
  <c r="G120" i="5" l="1"/>
  <c r="H120" i="5" s="1"/>
  <c r="E121" i="5" s="1"/>
  <c r="G122" i="7"/>
  <c r="H122" i="7" s="1"/>
  <c r="E123" i="7" s="1"/>
  <c r="G121" i="5" l="1"/>
  <c r="H121" i="5" s="1"/>
  <c r="E122" i="5" s="1"/>
  <c r="G123" i="7"/>
  <c r="H123" i="7" s="1"/>
  <c r="E124" i="7" s="1"/>
  <c r="G122" i="5" l="1"/>
  <c r="H122" i="5" s="1"/>
  <c r="E123" i="5" s="1"/>
  <c r="G124" i="7"/>
  <c r="H124" i="7" s="1"/>
  <c r="E125" i="7" s="1"/>
  <c r="G123" i="5" l="1"/>
  <c r="H123" i="5" s="1"/>
  <c r="E124" i="5" s="1"/>
  <c r="G125" i="7"/>
  <c r="H125" i="7" s="1"/>
  <c r="E126" i="7" s="1"/>
  <c r="G124" i="5" l="1"/>
  <c r="H124" i="5" s="1"/>
  <c r="E125" i="5" s="1"/>
  <c r="G126" i="7"/>
  <c r="H126" i="7" s="1"/>
  <c r="E127" i="7" s="1"/>
  <c r="G125" i="5" l="1"/>
  <c r="H125" i="5" s="1"/>
  <c r="E126" i="5" s="1"/>
  <c r="G127" i="7"/>
  <c r="H127" i="7" s="1"/>
  <c r="E128" i="7" s="1"/>
  <c r="G126" i="5" l="1"/>
  <c r="H126" i="5" s="1"/>
  <c r="E127" i="5" s="1"/>
  <c r="G128" i="7"/>
  <c r="H128" i="7" s="1"/>
  <c r="E129" i="7" s="1"/>
  <c r="G127" i="5" l="1"/>
  <c r="H127" i="5" s="1"/>
  <c r="E128" i="5" s="1"/>
  <c r="G129" i="7"/>
  <c r="H129" i="7" s="1"/>
  <c r="E130" i="7" s="1"/>
  <c r="G128" i="5" l="1"/>
  <c r="H128" i="5" s="1"/>
  <c r="E129" i="5" s="1"/>
  <c r="G130" i="7"/>
  <c r="H130" i="7" s="1"/>
  <c r="E131" i="7" s="1"/>
  <c r="G129" i="5" l="1"/>
  <c r="H129" i="5" s="1"/>
  <c r="E130" i="5" s="1"/>
  <c r="G131" i="7"/>
  <c r="H131" i="7" s="1"/>
  <c r="E132" i="7" s="1"/>
  <c r="G130" i="5" l="1"/>
  <c r="H130" i="5" s="1"/>
  <c r="E131" i="5" s="1"/>
  <c r="G132" i="7"/>
  <c r="H132" i="7" s="1"/>
  <c r="E133" i="7" s="1"/>
  <c r="G131" i="5" l="1"/>
  <c r="H131" i="5" s="1"/>
  <c r="E132" i="5" s="1"/>
  <c r="G133" i="7"/>
  <c r="H133" i="7" s="1"/>
  <c r="E134" i="7" s="1"/>
  <c r="G132" i="5" l="1"/>
  <c r="H132" i="5" s="1"/>
  <c r="E133" i="5" s="1"/>
  <c r="G134" i="7"/>
  <c r="H134" i="7" s="1"/>
  <c r="E135" i="7" s="1"/>
  <c r="G133" i="5" l="1"/>
  <c r="H133" i="5" s="1"/>
  <c r="E134" i="5" s="1"/>
  <c r="G135" i="7"/>
  <c r="H135" i="7" s="1"/>
  <c r="E136" i="7" s="1"/>
  <c r="G134" i="5" l="1"/>
  <c r="H134" i="5" s="1"/>
  <c r="E135" i="5" s="1"/>
  <c r="G136" i="7"/>
  <c r="H136" i="7" s="1"/>
  <c r="E137" i="7" s="1"/>
  <c r="G135" i="5" l="1"/>
  <c r="H135" i="5" s="1"/>
  <c r="E136" i="5" s="1"/>
  <c r="G137" i="7"/>
  <c r="H137" i="7" s="1"/>
  <c r="E138" i="7" s="1"/>
  <c r="G136" i="5" l="1"/>
  <c r="H136" i="5" s="1"/>
  <c r="E137" i="5" s="1"/>
  <c r="G138" i="7"/>
  <c r="H138" i="7" s="1"/>
  <c r="E139" i="7" s="1"/>
  <c r="G137" i="5" l="1"/>
  <c r="H137" i="5" s="1"/>
  <c r="E138" i="5" s="1"/>
  <c r="G139" i="7"/>
  <c r="H139" i="7" s="1"/>
  <c r="E140" i="7" s="1"/>
  <c r="G138" i="5" l="1"/>
  <c r="H138" i="5" s="1"/>
  <c r="E139" i="5" s="1"/>
  <c r="G140" i="7"/>
  <c r="H140" i="7" s="1"/>
  <c r="E141" i="7" s="1"/>
  <c r="G139" i="5" l="1"/>
  <c r="H139" i="5" s="1"/>
  <c r="E140" i="5" s="1"/>
  <c r="G141" i="7"/>
  <c r="H141" i="7" s="1"/>
  <c r="E142" i="7" s="1"/>
  <c r="G140" i="5" l="1"/>
  <c r="H140" i="5" s="1"/>
  <c r="E141" i="5" s="1"/>
  <c r="G142" i="7"/>
  <c r="H142" i="7" s="1"/>
  <c r="E143" i="7" s="1"/>
  <c r="G141" i="5" l="1"/>
  <c r="H141" i="5" s="1"/>
  <c r="E142" i="5" s="1"/>
  <c r="G143" i="7"/>
  <c r="H143" i="7" s="1"/>
  <c r="E144" i="7" s="1"/>
  <c r="G142" i="5" l="1"/>
  <c r="H142" i="5" s="1"/>
  <c r="E143" i="5" s="1"/>
  <c r="G144" i="7"/>
  <c r="H144" i="7" s="1"/>
  <c r="E145" i="7" s="1"/>
  <c r="G143" i="5" l="1"/>
  <c r="H143" i="5" s="1"/>
  <c r="E144" i="5" s="1"/>
  <c r="G145" i="7"/>
  <c r="H145" i="7" s="1"/>
  <c r="E146" i="7" s="1"/>
  <c r="G144" i="5" l="1"/>
  <c r="H144" i="5" s="1"/>
  <c r="E145" i="5" s="1"/>
  <c r="G146" i="7"/>
  <c r="H146" i="7" s="1"/>
  <c r="E147" i="7" s="1"/>
  <c r="G145" i="5" l="1"/>
  <c r="H145" i="5" s="1"/>
  <c r="E146" i="5" s="1"/>
  <c r="G147" i="7"/>
  <c r="H147" i="7" s="1"/>
  <c r="E148" i="7" s="1"/>
  <c r="G146" i="5" l="1"/>
  <c r="H146" i="5" s="1"/>
  <c r="E147" i="5" s="1"/>
  <c r="G148" i="7"/>
  <c r="H148" i="7" s="1"/>
  <c r="E149" i="7" s="1"/>
  <c r="G147" i="5" l="1"/>
  <c r="H147" i="5" s="1"/>
  <c r="E148" i="5" s="1"/>
  <c r="G149" i="7"/>
  <c r="H149" i="7" s="1"/>
  <c r="E150" i="7" s="1"/>
  <c r="G148" i="5" l="1"/>
  <c r="H148" i="5" s="1"/>
  <c r="E149" i="5" s="1"/>
  <c r="G150" i="7"/>
  <c r="H150" i="7" s="1"/>
  <c r="E151" i="7" s="1"/>
  <c r="G149" i="5" l="1"/>
  <c r="H149" i="5" s="1"/>
  <c r="E150" i="5" s="1"/>
  <c r="G151" i="7"/>
  <c r="H151" i="7" s="1"/>
  <c r="E152" i="7" s="1"/>
  <c r="G150" i="5" l="1"/>
  <c r="H150" i="5" s="1"/>
  <c r="E151" i="5" s="1"/>
  <c r="G152" i="7"/>
  <c r="H152" i="7" s="1"/>
  <c r="E153" i="7" s="1"/>
  <c r="G151" i="5" l="1"/>
  <c r="H151" i="5" s="1"/>
  <c r="E152" i="5" s="1"/>
  <c r="G153" i="7"/>
  <c r="H153" i="7" s="1"/>
  <c r="E154" i="7" s="1"/>
  <c r="G152" i="5" l="1"/>
  <c r="H152" i="5" s="1"/>
  <c r="E153" i="5" s="1"/>
  <c r="G154" i="7"/>
  <c r="H154" i="7" s="1"/>
  <c r="E155" i="7" s="1"/>
  <c r="G153" i="5" l="1"/>
  <c r="H153" i="5" s="1"/>
  <c r="E154" i="5" s="1"/>
  <c r="G155" i="7"/>
  <c r="H155" i="7" s="1"/>
  <c r="E156" i="7" s="1"/>
  <c r="G154" i="5" l="1"/>
  <c r="H154" i="5" s="1"/>
  <c r="E155" i="5" s="1"/>
  <c r="G156" i="7"/>
  <c r="H156" i="7" s="1"/>
  <c r="E157" i="7" s="1"/>
  <c r="G155" i="5" l="1"/>
  <c r="H155" i="5" s="1"/>
  <c r="E156" i="5" s="1"/>
  <c r="G157" i="7"/>
  <c r="H157" i="7" s="1"/>
  <c r="E158" i="7" s="1"/>
  <c r="G156" i="5" l="1"/>
  <c r="H156" i="5" s="1"/>
  <c r="E157" i="5" s="1"/>
  <c r="G158" i="7"/>
  <c r="H158" i="7" s="1"/>
  <c r="E159" i="7" s="1"/>
  <c r="G157" i="5" l="1"/>
  <c r="H157" i="5" s="1"/>
  <c r="E158" i="5" s="1"/>
  <c r="G159" i="7"/>
  <c r="H159" i="7" s="1"/>
  <c r="E160" i="7" s="1"/>
  <c r="G158" i="5" l="1"/>
  <c r="H158" i="5" s="1"/>
  <c r="E159" i="5" s="1"/>
  <c r="G160" i="7"/>
  <c r="H160" i="7" s="1"/>
  <c r="E161" i="7" s="1"/>
  <c r="G159" i="5" l="1"/>
  <c r="H159" i="5" s="1"/>
  <c r="E160" i="5" s="1"/>
  <c r="G161" i="7"/>
  <c r="H161" i="7" s="1"/>
  <c r="E162" i="7" s="1"/>
  <c r="G160" i="5" l="1"/>
  <c r="H160" i="5" s="1"/>
  <c r="E161" i="5" s="1"/>
  <c r="G162" i="7"/>
  <c r="H162" i="7" s="1"/>
  <c r="E163" i="7" s="1"/>
  <c r="G161" i="5" l="1"/>
  <c r="H161" i="5" s="1"/>
  <c r="E162" i="5" s="1"/>
  <c r="G163" i="7"/>
  <c r="H163" i="7" s="1"/>
  <c r="E164" i="7" s="1"/>
  <c r="G162" i="5" l="1"/>
  <c r="H162" i="5" s="1"/>
  <c r="E163" i="5" s="1"/>
  <c r="G164" i="7"/>
  <c r="H164" i="7" s="1"/>
  <c r="E165" i="7" s="1"/>
  <c r="G163" i="5" l="1"/>
  <c r="H163" i="5" s="1"/>
  <c r="E164" i="5" s="1"/>
  <c r="G165" i="7"/>
  <c r="H165" i="7" s="1"/>
  <c r="E166" i="7" s="1"/>
  <c r="G164" i="5" l="1"/>
  <c r="H164" i="5" s="1"/>
  <c r="E165" i="5" s="1"/>
  <c r="G166" i="7"/>
  <c r="H166" i="7" s="1"/>
  <c r="E167" i="7" s="1"/>
  <c r="G165" i="5" l="1"/>
  <c r="H165" i="5" s="1"/>
  <c r="E166" i="5" s="1"/>
  <c r="G167" i="7"/>
  <c r="H167" i="7" s="1"/>
  <c r="E168" i="7" s="1"/>
  <c r="G166" i="5" l="1"/>
  <c r="H166" i="5" s="1"/>
  <c r="E167" i="5" s="1"/>
  <c r="G168" i="7"/>
  <c r="H168" i="7" s="1"/>
  <c r="E169" i="7" s="1"/>
  <c r="G167" i="5" l="1"/>
  <c r="H167" i="5" s="1"/>
  <c r="E168" i="5" s="1"/>
  <c r="G169" i="7"/>
  <c r="H169" i="7" s="1"/>
  <c r="E170" i="7" s="1"/>
  <c r="G168" i="5" l="1"/>
  <c r="H168" i="5" s="1"/>
  <c r="E169" i="5" s="1"/>
  <c r="G170" i="7"/>
  <c r="H170" i="7" s="1"/>
  <c r="E171" i="7" s="1"/>
  <c r="G169" i="5" l="1"/>
  <c r="H169" i="5" s="1"/>
  <c r="E170" i="5" s="1"/>
  <c r="G171" i="7"/>
  <c r="H171" i="7" s="1"/>
  <c r="E172" i="7" s="1"/>
  <c r="G170" i="5" l="1"/>
  <c r="H170" i="5" s="1"/>
  <c r="E171" i="5" s="1"/>
  <c r="G172" i="7"/>
  <c r="H172" i="7" s="1"/>
  <c r="E173" i="7" s="1"/>
  <c r="G171" i="5" l="1"/>
  <c r="H171" i="5" s="1"/>
  <c r="E172" i="5" s="1"/>
  <c r="G173" i="7"/>
  <c r="H173" i="7" s="1"/>
  <c r="E174" i="7" s="1"/>
  <c r="G172" i="5" l="1"/>
  <c r="H172" i="5" s="1"/>
  <c r="E173" i="5" s="1"/>
  <c r="G174" i="7"/>
  <c r="H174" i="7" s="1"/>
  <c r="E175" i="7" s="1"/>
  <c r="G173" i="5" l="1"/>
  <c r="H173" i="5" s="1"/>
  <c r="E174" i="5" s="1"/>
  <c r="G175" i="7"/>
  <c r="H175" i="7" s="1"/>
  <c r="E176" i="7" s="1"/>
  <c r="G174" i="5" l="1"/>
  <c r="H174" i="5" s="1"/>
  <c r="E175" i="5" s="1"/>
  <c r="G176" i="7"/>
  <c r="H176" i="7" s="1"/>
  <c r="E177" i="7" s="1"/>
  <c r="G175" i="5" l="1"/>
  <c r="H175" i="5" s="1"/>
  <c r="E176" i="5" s="1"/>
  <c r="G177" i="7"/>
  <c r="H177" i="7" s="1"/>
  <c r="E178" i="7" s="1"/>
  <c r="G176" i="5" l="1"/>
  <c r="H176" i="5" s="1"/>
  <c r="E177" i="5" s="1"/>
  <c r="G178" i="7"/>
  <c r="H178" i="7" s="1"/>
  <c r="E179" i="7" s="1"/>
  <c r="G177" i="5" l="1"/>
  <c r="H177" i="5" s="1"/>
  <c r="E178" i="5" s="1"/>
  <c r="G179" i="7"/>
  <c r="H179" i="7" s="1"/>
  <c r="E180" i="7" s="1"/>
  <c r="G178" i="5" l="1"/>
  <c r="H178" i="5" s="1"/>
  <c r="E179" i="5" s="1"/>
  <c r="G180" i="7"/>
  <c r="H180" i="7" s="1"/>
  <c r="E181" i="7" s="1"/>
  <c r="G179" i="5" l="1"/>
  <c r="H179" i="5" s="1"/>
  <c r="E180" i="5" s="1"/>
  <c r="G181" i="7"/>
  <c r="H181" i="7" s="1"/>
  <c r="E182" i="7" s="1"/>
  <c r="G180" i="5" l="1"/>
  <c r="H180" i="5" s="1"/>
  <c r="E181" i="5" s="1"/>
  <c r="G182" i="7"/>
  <c r="H182" i="7" s="1"/>
  <c r="E183" i="7" s="1"/>
  <c r="G181" i="5" l="1"/>
  <c r="H181" i="5" s="1"/>
  <c r="E182" i="5" s="1"/>
  <c r="G183" i="7"/>
  <c r="H183" i="7" s="1"/>
  <c r="E184" i="7" s="1"/>
  <c r="G182" i="5" l="1"/>
  <c r="H182" i="5" s="1"/>
  <c r="E183" i="5" s="1"/>
  <c r="G184" i="7"/>
  <c r="H184" i="7" s="1"/>
  <c r="E185" i="7" s="1"/>
  <c r="G183" i="5" l="1"/>
  <c r="H183" i="5" s="1"/>
  <c r="E184" i="5" s="1"/>
  <c r="G185" i="7"/>
  <c r="H185" i="7" s="1"/>
  <c r="E186" i="7" s="1"/>
  <c r="G184" i="5" l="1"/>
  <c r="H184" i="5" s="1"/>
  <c r="E185" i="5" s="1"/>
  <c r="G186" i="7"/>
  <c r="H186" i="7" s="1"/>
  <c r="E187" i="7" s="1"/>
  <c r="G185" i="5" l="1"/>
  <c r="H185" i="5" s="1"/>
  <c r="E186" i="5" s="1"/>
  <c r="G187" i="7"/>
  <c r="H187" i="7" s="1"/>
  <c r="E188" i="7" s="1"/>
  <c r="G186" i="5" l="1"/>
  <c r="H186" i="5" s="1"/>
  <c r="E187" i="5" s="1"/>
  <c r="G188" i="7"/>
  <c r="H188" i="7" s="1"/>
  <c r="E189" i="7" s="1"/>
  <c r="G187" i="5" l="1"/>
  <c r="H187" i="5" s="1"/>
  <c r="E188" i="5" s="1"/>
  <c r="G189" i="7"/>
  <c r="H189" i="7" s="1"/>
  <c r="E190" i="7" s="1"/>
  <c r="G188" i="5" l="1"/>
  <c r="H188" i="5" s="1"/>
  <c r="E189" i="5" s="1"/>
  <c r="G190" i="7"/>
  <c r="H190" i="7" s="1"/>
  <c r="E191" i="7" s="1"/>
  <c r="G189" i="5" l="1"/>
  <c r="H189" i="5" s="1"/>
  <c r="E190" i="5" s="1"/>
  <c r="G191" i="7"/>
  <c r="H191" i="7" s="1"/>
  <c r="E192" i="7" s="1"/>
  <c r="G190" i="5" l="1"/>
  <c r="H190" i="5" s="1"/>
  <c r="E191" i="5" s="1"/>
  <c r="G192" i="7"/>
  <c r="H192" i="7" s="1"/>
  <c r="E193" i="7" s="1"/>
  <c r="G191" i="5" l="1"/>
  <c r="H191" i="5" s="1"/>
  <c r="E192" i="5" s="1"/>
  <c r="G193" i="7"/>
  <c r="H193" i="7" s="1"/>
  <c r="E194" i="7" s="1"/>
  <c r="G192" i="5" l="1"/>
  <c r="H192" i="5" s="1"/>
  <c r="E193" i="5" s="1"/>
  <c r="G194" i="7"/>
  <c r="H194" i="7" s="1"/>
  <c r="E195" i="7" s="1"/>
  <c r="G193" i="5" l="1"/>
  <c r="H193" i="5" s="1"/>
  <c r="E194" i="5" s="1"/>
  <c r="G195" i="7"/>
  <c r="H195" i="7" s="1"/>
  <c r="E196" i="7" s="1"/>
  <c r="G194" i="5" l="1"/>
  <c r="H194" i="5" s="1"/>
  <c r="E195" i="5" s="1"/>
  <c r="G196" i="7"/>
  <c r="H196" i="7" s="1"/>
  <c r="E197" i="7" s="1"/>
  <c r="G195" i="5" l="1"/>
  <c r="H195" i="5" s="1"/>
  <c r="E196" i="5" s="1"/>
  <c r="G197" i="7"/>
  <c r="H197" i="7" s="1"/>
  <c r="E198" i="7" s="1"/>
  <c r="G196" i="5" l="1"/>
  <c r="H196" i="5" s="1"/>
  <c r="E197" i="5" s="1"/>
  <c r="G198" i="7"/>
  <c r="H198" i="7" s="1"/>
  <c r="E199" i="7" s="1"/>
  <c r="G197" i="5" l="1"/>
  <c r="H197" i="5" s="1"/>
  <c r="E198" i="5" s="1"/>
  <c r="G199" i="7"/>
  <c r="H199" i="7" s="1"/>
  <c r="E200" i="7" s="1"/>
  <c r="G198" i="5" l="1"/>
  <c r="H198" i="5" s="1"/>
  <c r="E199" i="5" s="1"/>
  <c r="G200" i="7"/>
  <c r="H200" i="7" s="1"/>
  <c r="E201" i="7" s="1"/>
  <c r="G199" i="5" l="1"/>
  <c r="H199" i="5" s="1"/>
  <c r="E200" i="5" s="1"/>
  <c r="G201" i="7"/>
  <c r="H201" i="7" s="1"/>
  <c r="E202" i="7" s="1"/>
  <c r="G200" i="5" l="1"/>
  <c r="H200" i="5" s="1"/>
  <c r="E201" i="5" s="1"/>
  <c r="G202" i="7"/>
  <c r="H202" i="7" s="1"/>
  <c r="E203" i="7" s="1"/>
  <c r="G201" i="5" l="1"/>
  <c r="H201" i="5" s="1"/>
  <c r="E202" i="5" s="1"/>
  <c r="G203" i="7"/>
  <c r="H203" i="7" s="1"/>
  <c r="E204" i="7" s="1"/>
  <c r="G202" i="5" l="1"/>
  <c r="H202" i="5" s="1"/>
  <c r="E203" i="5" s="1"/>
  <c r="G204" i="7"/>
  <c r="H204" i="7" s="1"/>
  <c r="E205" i="7" s="1"/>
  <c r="G203" i="5" l="1"/>
  <c r="H203" i="5" s="1"/>
  <c r="E204" i="5" s="1"/>
  <c r="G205" i="7"/>
  <c r="H205" i="7" s="1"/>
  <c r="E206" i="7" s="1"/>
  <c r="G204" i="5" l="1"/>
  <c r="H204" i="5" s="1"/>
  <c r="E205" i="5" s="1"/>
  <c r="G206" i="7"/>
  <c r="H206" i="7" s="1"/>
  <c r="E207" i="7" s="1"/>
  <c r="G205" i="5" l="1"/>
  <c r="H205" i="5" s="1"/>
  <c r="E206" i="5" s="1"/>
  <c r="G207" i="7"/>
  <c r="H207" i="7" s="1"/>
  <c r="E208" i="7" s="1"/>
  <c r="G206" i="5" l="1"/>
  <c r="H206" i="5" s="1"/>
  <c r="E207" i="5" s="1"/>
  <c r="G208" i="7"/>
  <c r="H208" i="7" s="1"/>
  <c r="E209" i="7" s="1"/>
  <c r="G207" i="5" l="1"/>
  <c r="H207" i="5" s="1"/>
  <c r="E208" i="5" s="1"/>
  <c r="G209" i="7"/>
  <c r="H209" i="7" s="1"/>
  <c r="E210" i="7" s="1"/>
  <c r="G208" i="5" l="1"/>
  <c r="H208" i="5" s="1"/>
  <c r="E209" i="5" s="1"/>
  <c r="G210" i="7"/>
  <c r="H210" i="7" s="1"/>
  <c r="E211" i="7" s="1"/>
  <c r="G209" i="5" l="1"/>
  <c r="H209" i="5" s="1"/>
  <c r="E210" i="5" s="1"/>
  <c r="G211" i="7"/>
  <c r="H211" i="7" s="1"/>
  <c r="E212" i="7" s="1"/>
  <c r="G210" i="5" l="1"/>
  <c r="H210" i="5" s="1"/>
  <c r="E211" i="5" s="1"/>
  <c r="G212" i="7"/>
  <c r="H212" i="7" s="1"/>
  <c r="E213" i="7" s="1"/>
  <c r="G211" i="5" l="1"/>
  <c r="H211" i="5" s="1"/>
  <c r="E212" i="5" s="1"/>
  <c r="G213" i="7"/>
  <c r="H213" i="7" s="1"/>
  <c r="E214" i="7" s="1"/>
  <c r="G212" i="5" l="1"/>
  <c r="H212" i="5" s="1"/>
  <c r="E213" i="5" s="1"/>
  <c r="G214" i="7"/>
  <c r="H214" i="7" s="1"/>
  <c r="E215" i="7" s="1"/>
  <c r="G213" i="5" l="1"/>
  <c r="H213" i="5" s="1"/>
  <c r="E214" i="5" s="1"/>
  <c r="G215" i="7"/>
  <c r="H215" i="7" s="1"/>
  <c r="E216" i="7" s="1"/>
  <c r="G214" i="5" l="1"/>
  <c r="H214" i="5" s="1"/>
  <c r="E215" i="5" s="1"/>
  <c r="G216" i="7"/>
  <c r="H216" i="7" s="1"/>
  <c r="E217" i="7" s="1"/>
  <c r="G215" i="5" l="1"/>
  <c r="H215" i="5" s="1"/>
  <c r="E216" i="5" s="1"/>
  <c r="G217" i="7"/>
  <c r="H217" i="7" s="1"/>
  <c r="E218" i="7" s="1"/>
  <c r="G216" i="5" l="1"/>
  <c r="H216" i="5" s="1"/>
  <c r="E217" i="5" s="1"/>
  <c r="G218" i="7"/>
  <c r="H218" i="7" s="1"/>
  <c r="E219" i="7" s="1"/>
  <c r="G217" i="5" l="1"/>
  <c r="H217" i="5" s="1"/>
  <c r="E218" i="5" s="1"/>
  <c r="G219" i="7"/>
  <c r="H219" i="7" s="1"/>
  <c r="E220" i="7" s="1"/>
  <c r="G218" i="5" l="1"/>
  <c r="H218" i="5" s="1"/>
  <c r="E219" i="5" s="1"/>
  <c r="G220" i="7"/>
  <c r="H220" i="7" s="1"/>
  <c r="E221" i="7" s="1"/>
  <c r="G219" i="5" l="1"/>
  <c r="H219" i="5" s="1"/>
  <c r="E220" i="5" s="1"/>
  <c r="G221" i="7"/>
  <c r="H221" i="7" s="1"/>
  <c r="E222" i="7" s="1"/>
  <c r="G220" i="5" l="1"/>
  <c r="H220" i="5" s="1"/>
  <c r="E221" i="5" s="1"/>
  <c r="G222" i="7"/>
  <c r="H222" i="7" s="1"/>
  <c r="E223" i="7" s="1"/>
  <c r="G221" i="5" l="1"/>
  <c r="H221" i="5" s="1"/>
  <c r="E222" i="5" s="1"/>
  <c r="G223" i="7"/>
  <c r="H223" i="7" s="1"/>
  <c r="E224" i="7" s="1"/>
  <c r="G222" i="5" l="1"/>
  <c r="H222" i="5" s="1"/>
  <c r="E223" i="5" s="1"/>
  <c r="G224" i="7"/>
  <c r="H224" i="7" s="1"/>
  <c r="E225" i="7" s="1"/>
  <c r="G223" i="5" l="1"/>
  <c r="H223" i="5" s="1"/>
  <c r="E224" i="5" s="1"/>
  <c r="G225" i="7"/>
  <c r="H225" i="7" s="1"/>
  <c r="E226" i="7" s="1"/>
  <c r="G224" i="5" l="1"/>
  <c r="H224" i="5" s="1"/>
  <c r="E225" i="5" s="1"/>
  <c r="G226" i="7"/>
  <c r="H226" i="7" s="1"/>
  <c r="E227" i="7" s="1"/>
  <c r="G225" i="5" l="1"/>
  <c r="H225" i="5" s="1"/>
  <c r="E226" i="5" s="1"/>
  <c r="G227" i="7"/>
  <c r="H227" i="7" s="1"/>
  <c r="E228" i="7" s="1"/>
  <c r="G226" i="5" l="1"/>
  <c r="H226" i="5" s="1"/>
  <c r="E227" i="5" s="1"/>
  <c r="G228" i="7"/>
  <c r="H228" i="7" s="1"/>
  <c r="E229" i="7" s="1"/>
  <c r="G227" i="5" l="1"/>
  <c r="H227" i="5" s="1"/>
  <c r="E228" i="5" s="1"/>
  <c r="G229" i="7"/>
  <c r="H229" i="7" s="1"/>
  <c r="E230" i="7" s="1"/>
  <c r="G228" i="5" l="1"/>
  <c r="H228" i="5" s="1"/>
  <c r="E229" i="5" s="1"/>
  <c r="G230" i="7"/>
  <c r="H230" i="7" s="1"/>
  <c r="E231" i="7" s="1"/>
  <c r="G229" i="5" l="1"/>
  <c r="H229" i="5" s="1"/>
  <c r="E230" i="5" s="1"/>
  <c r="G231" i="7"/>
  <c r="H231" i="7" s="1"/>
  <c r="E232" i="7" s="1"/>
  <c r="G230" i="5" l="1"/>
  <c r="H230" i="5" s="1"/>
  <c r="E231" i="5" s="1"/>
  <c r="G232" i="7"/>
  <c r="H232" i="7" s="1"/>
  <c r="E233" i="7" s="1"/>
  <c r="G231" i="5" l="1"/>
  <c r="H231" i="5" s="1"/>
  <c r="E232" i="5" s="1"/>
  <c r="G233" i="7"/>
  <c r="H233" i="7" s="1"/>
  <c r="E234" i="7" s="1"/>
  <c r="G232" i="5" l="1"/>
  <c r="H232" i="5" s="1"/>
  <c r="E233" i="5" s="1"/>
  <c r="G234" i="7"/>
  <c r="H234" i="7" s="1"/>
  <c r="E235" i="7" s="1"/>
  <c r="G233" i="5" l="1"/>
  <c r="H233" i="5" s="1"/>
  <c r="E234" i="5" s="1"/>
  <c r="G235" i="7"/>
  <c r="H235" i="7" s="1"/>
  <c r="E236" i="7" s="1"/>
  <c r="G234" i="5" l="1"/>
  <c r="H234" i="5" s="1"/>
  <c r="E235" i="5" s="1"/>
  <c r="G236" i="7"/>
  <c r="H236" i="7" s="1"/>
  <c r="E237" i="7" s="1"/>
  <c r="G235" i="5" l="1"/>
  <c r="H235" i="5" s="1"/>
  <c r="E236" i="5" s="1"/>
  <c r="G237" i="7"/>
  <c r="H237" i="7" s="1"/>
  <c r="E238" i="7" s="1"/>
  <c r="G236" i="5" l="1"/>
  <c r="H236" i="5" s="1"/>
  <c r="E237" i="5" s="1"/>
  <c r="G238" i="7"/>
  <c r="H238" i="7" s="1"/>
  <c r="E239" i="7" s="1"/>
  <c r="G237" i="5" l="1"/>
  <c r="H237" i="5" s="1"/>
  <c r="E238" i="5" s="1"/>
  <c r="G239" i="7"/>
  <c r="H239" i="7" s="1"/>
  <c r="E240" i="7" s="1"/>
  <c r="G238" i="5" l="1"/>
  <c r="H238" i="5" s="1"/>
  <c r="E239" i="5" s="1"/>
  <c r="G240" i="7"/>
  <c r="H240" i="7" s="1"/>
  <c r="E241" i="7" s="1"/>
  <c r="G239" i="5" l="1"/>
  <c r="H239" i="5" s="1"/>
  <c r="E240" i="5" s="1"/>
  <c r="G241" i="7"/>
  <c r="H241" i="7" s="1"/>
  <c r="E242" i="7" s="1"/>
  <c r="G240" i="5" l="1"/>
  <c r="H240" i="5" s="1"/>
  <c r="E241" i="5" s="1"/>
  <c r="G242" i="7"/>
  <c r="H242" i="7" s="1"/>
  <c r="E243" i="7" s="1"/>
  <c r="G241" i="5" l="1"/>
  <c r="H241" i="5" s="1"/>
  <c r="E242" i="5" s="1"/>
  <c r="G243" i="7"/>
  <c r="H243" i="7" s="1"/>
  <c r="E244" i="7" s="1"/>
  <c r="G242" i="5" l="1"/>
  <c r="H242" i="5" s="1"/>
  <c r="E243" i="5" s="1"/>
  <c r="G244" i="7"/>
  <c r="H244" i="7" s="1"/>
  <c r="E245" i="7" s="1"/>
  <c r="G243" i="5" l="1"/>
  <c r="H243" i="5" s="1"/>
  <c r="E244" i="5" s="1"/>
  <c r="G245" i="7"/>
  <c r="H245" i="7" s="1"/>
  <c r="E246" i="7" s="1"/>
  <c r="G244" i="5" l="1"/>
  <c r="H244" i="5" s="1"/>
  <c r="E245" i="5" s="1"/>
  <c r="G246" i="7"/>
  <c r="H246" i="7" s="1"/>
  <c r="E247" i="7" s="1"/>
  <c r="G245" i="5" l="1"/>
  <c r="H245" i="5" s="1"/>
  <c r="E246" i="5" s="1"/>
  <c r="G247" i="7"/>
  <c r="H247" i="7" s="1"/>
  <c r="E248" i="7" s="1"/>
  <c r="G246" i="5" l="1"/>
  <c r="H246" i="5" s="1"/>
  <c r="E247" i="5" s="1"/>
  <c r="G248" i="7"/>
  <c r="H248" i="7" s="1"/>
  <c r="E249" i="7" s="1"/>
  <c r="G247" i="5" l="1"/>
  <c r="H247" i="5" s="1"/>
  <c r="E248" i="5" s="1"/>
  <c r="G249" i="7"/>
  <c r="H249" i="7" s="1"/>
  <c r="E250" i="7" s="1"/>
  <c r="G248" i="5" l="1"/>
  <c r="H248" i="5" s="1"/>
  <c r="E249" i="5" s="1"/>
  <c r="G250" i="7"/>
  <c r="H250" i="7" s="1"/>
  <c r="E251" i="7" s="1"/>
  <c r="G249" i="5" l="1"/>
  <c r="H249" i="5" s="1"/>
  <c r="E250" i="5" s="1"/>
  <c r="G251" i="7"/>
  <c r="H251" i="7" s="1"/>
  <c r="E252" i="7" s="1"/>
  <c r="G250" i="5" l="1"/>
  <c r="H250" i="5" s="1"/>
  <c r="E251" i="5" s="1"/>
  <c r="G252" i="7"/>
  <c r="H252" i="7" s="1"/>
  <c r="E253" i="7" s="1"/>
  <c r="G251" i="5" l="1"/>
  <c r="H251" i="5" s="1"/>
  <c r="E252" i="5" s="1"/>
  <c r="G253" i="7"/>
  <c r="H253" i="7" s="1"/>
  <c r="E254" i="7" s="1"/>
  <c r="G252" i="5" l="1"/>
  <c r="H252" i="5" s="1"/>
  <c r="E253" i="5" s="1"/>
  <c r="G254" i="7"/>
  <c r="H254" i="7" s="1"/>
  <c r="E255" i="7" s="1"/>
  <c r="G253" i="5" l="1"/>
  <c r="H253" i="5" s="1"/>
  <c r="E254" i="5" s="1"/>
  <c r="G255" i="7"/>
  <c r="H255" i="7" s="1"/>
  <c r="E256" i="7" s="1"/>
  <c r="G254" i="5" l="1"/>
  <c r="H254" i="5" s="1"/>
  <c r="E255" i="5" s="1"/>
  <c r="G256" i="7"/>
  <c r="H256" i="7" s="1"/>
  <c r="E257" i="7" s="1"/>
  <c r="G255" i="5" l="1"/>
  <c r="H255" i="5" s="1"/>
  <c r="E256" i="5" s="1"/>
  <c r="G257" i="7"/>
  <c r="H257" i="7" s="1"/>
  <c r="E258" i="7" s="1"/>
  <c r="G256" i="5" l="1"/>
  <c r="H256" i="5" s="1"/>
  <c r="E257" i="5" s="1"/>
  <c r="G258" i="7"/>
  <c r="H258" i="7" s="1"/>
  <c r="E259" i="7" s="1"/>
  <c r="G257" i="5" l="1"/>
  <c r="H257" i="5" s="1"/>
  <c r="E258" i="5" s="1"/>
  <c r="G259" i="7"/>
  <c r="H259" i="7" s="1"/>
  <c r="E260" i="7" s="1"/>
  <c r="G258" i="5" l="1"/>
  <c r="H258" i="5" s="1"/>
  <c r="E259" i="5" s="1"/>
  <c r="G260" i="7"/>
  <c r="H260" i="7" s="1"/>
  <c r="E261" i="7" s="1"/>
  <c r="G259" i="5" l="1"/>
  <c r="H259" i="5" s="1"/>
  <c r="E260" i="5" s="1"/>
  <c r="G261" i="7"/>
  <c r="H261" i="7" s="1"/>
  <c r="E262" i="7" s="1"/>
  <c r="G260" i="5" l="1"/>
  <c r="H260" i="5" s="1"/>
  <c r="E261" i="5" s="1"/>
  <c r="G262" i="7"/>
  <c r="H262" i="7" s="1"/>
  <c r="E263" i="7" s="1"/>
  <c r="G261" i="5" l="1"/>
  <c r="H261" i="5" s="1"/>
  <c r="E262" i="5" s="1"/>
  <c r="G263" i="7"/>
  <c r="H263" i="7" s="1"/>
  <c r="E264" i="7" s="1"/>
  <c r="G262" i="5" l="1"/>
  <c r="H262" i="5" s="1"/>
  <c r="E263" i="5" s="1"/>
  <c r="G264" i="7"/>
  <c r="H264" i="7" s="1"/>
  <c r="E265" i="7" s="1"/>
  <c r="G263" i="5" l="1"/>
  <c r="H263" i="5" s="1"/>
  <c r="E264" i="5" s="1"/>
  <c r="G265" i="7"/>
  <c r="H265" i="7" s="1"/>
  <c r="E266" i="7" s="1"/>
  <c r="G264" i="5" l="1"/>
  <c r="H264" i="5" s="1"/>
  <c r="E265" i="5" s="1"/>
  <c r="G266" i="7"/>
  <c r="H266" i="7" s="1"/>
  <c r="E267" i="7" s="1"/>
  <c r="G265" i="5" l="1"/>
  <c r="H265" i="5" s="1"/>
  <c r="E266" i="5" s="1"/>
  <c r="G267" i="7"/>
  <c r="H267" i="7" s="1"/>
  <c r="E268" i="7" s="1"/>
  <c r="G266" i="5" l="1"/>
  <c r="H266" i="5" s="1"/>
  <c r="E267" i="5" s="1"/>
  <c r="G268" i="7"/>
  <c r="H268" i="7" s="1"/>
  <c r="E269" i="7" s="1"/>
  <c r="G267" i="5" l="1"/>
  <c r="H267" i="5" s="1"/>
  <c r="E268" i="5" s="1"/>
  <c r="G269" i="7"/>
  <c r="H269" i="7" s="1"/>
  <c r="E270" i="7" s="1"/>
  <c r="G268" i="5" l="1"/>
  <c r="H268" i="5" s="1"/>
  <c r="E269" i="5" s="1"/>
  <c r="G270" i="7"/>
  <c r="H270" i="7" s="1"/>
  <c r="E271" i="7" s="1"/>
  <c r="G269" i="5" l="1"/>
  <c r="H269" i="5" s="1"/>
  <c r="E270" i="5" s="1"/>
  <c r="G271" i="7"/>
  <c r="H271" i="7" s="1"/>
  <c r="E272" i="7" s="1"/>
  <c r="G270" i="5" l="1"/>
  <c r="H270" i="5" s="1"/>
  <c r="E271" i="5" s="1"/>
  <c r="G272" i="7"/>
  <c r="H272" i="7" s="1"/>
  <c r="E273" i="7" s="1"/>
  <c r="G271" i="5" l="1"/>
  <c r="H271" i="5" s="1"/>
  <c r="E272" i="5" s="1"/>
  <c r="G273" i="7"/>
  <c r="H273" i="7" s="1"/>
  <c r="E274" i="7" s="1"/>
  <c r="G272" i="5" l="1"/>
  <c r="H272" i="5" s="1"/>
  <c r="E273" i="5" s="1"/>
  <c r="G274" i="7"/>
  <c r="H274" i="7" s="1"/>
  <c r="E275" i="7" s="1"/>
  <c r="G273" i="5" l="1"/>
  <c r="H273" i="5" s="1"/>
  <c r="E274" i="5" s="1"/>
  <c r="G275" i="7"/>
  <c r="H275" i="7" s="1"/>
  <c r="E276" i="7" s="1"/>
  <c r="G274" i="5" l="1"/>
  <c r="H274" i="5" s="1"/>
  <c r="E275" i="5" s="1"/>
  <c r="G276" i="7"/>
  <c r="H276" i="7" s="1"/>
  <c r="E277" i="7" s="1"/>
  <c r="G275" i="5" l="1"/>
  <c r="H275" i="5" s="1"/>
  <c r="E276" i="5" s="1"/>
  <c r="G277" i="7"/>
  <c r="H277" i="7" s="1"/>
  <c r="E278" i="7" s="1"/>
  <c r="G276" i="5" l="1"/>
  <c r="H276" i="5" s="1"/>
  <c r="E277" i="5" s="1"/>
  <c r="G278" i="7"/>
  <c r="H278" i="7" s="1"/>
  <c r="E279" i="7" s="1"/>
  <c r="G277" i="5" l="1"/>
  <c r="H277" i="5" s="1"/>
  <c r="E278" i="5" s="1"/>
  <c r="G279" i="7"/>
  <c r="H279" i="7" s="1"/>
  <c r="E280" i="7" s="1"/>
  <c r="G278" i="5" l="1"/>
  <c r="H278" i="5" s="1"/>
  <c r="E279" i="5" s="1"/>
  <c r="G280" i="7"/>
  <c r="H280" i="7" s="1"/>
  <c r="E281" i="7" s="1"/>
  <c r="G279" i="5" l="1"/>
  <c r="H279" i="5" s="1"/>
  <c r="E280" i="5" s="1"/>
  <c r="G281" i="7"/>
  <c r="H281" i="7" s="1"/>
  <c r="E282" i="7" s="1"/>
  <c r="G280" i="5" l="1"/>
  <c r="H280" i="5" s="1"/>
  <c r="E281" i="5" s="1"/>
  <c r="G282" i="7"/>
  <c r="H282" i="7" s="1"/>
  <c r="E283" i="7" s="1"/>
  <c r="G281" i="5" l="1"/>
  <c r="H281" i="5" s="1"/>
  <c r="E282" i="5" s="1"/>
  <c r="G283" i="7"/>
  <c r="H283" i="7" s="1"/>
  <c r="E284" i="7" s="1"/>
  <c r="G282" i="5" l="1"/>
  <c r="H282" i="5" s="1"/>
  <c r="E283" i="5" s="1"/>
  <c r="G284" i="7"/>
  <c r="H284" i="7" s="1"/>
  <c r="E285" i="7" s="1"/>
  <c r="G283" i="5" l="1"/>
  <c r="H283" i="5" s="1"/>
  <c r="E284" i="5" s="1"/>
  <c r="G285" i="7"/>
  <c r="H285" i="7" s="1"/>
  <c r="E286" i="7" s="1"/>
  <c r="G284" i="5" l="1"/>
  <c r="H284" i="5" s="1"/>
  <c r="E285" i="5" s="1"/>
  <c r="G286" i="7"/>
  <c r="H286" i="7" s="1"/>
  <c r="E287" i="7" s="1"/>
  <c r="G285" i="5" l="1"/>
  <c r="H285" i="5" s="1"/>
  <c r="E286" i="5" s="1"/>
  <c r="G287" i="7"/>
  <c r="H287" i="7" s="1"/>
  <c r="E288" i="7" s="1"/>
  <c r="G286" i="5" l="1"/>
  <c r="H286" i="5" s="1"/>
  <c r="E287" i="5" s="1"/>
  <c r="G288" i="7"/>
  <c r="H288" i="7" s="1"/>
  <c r="E289" i="7" s="1"/>
  <c r="G287" i="5" l="1"/>
  <c r="H287" i="5" s="1"/>
  <c r="E288" i="5" s="1"/>
  <c r="G289" i="7"/>
  <c r="H289" i="7" s="1"/>
  <c r="E290" i="7" s="1"/>
  <c r="G288" i="5" l="1"/>
  <c r="H288" i="5" s="1"/>
  <c r="E289" i="5" s="1"/>
  <c r="G290" i="7"/>
  <c r="H290" i="7" s="1"/>
  <c r="E291" i="7" s="1"/>
  <c r="G289" i="5" l="1"/>
  <c r="H289" i="5" s="1"/>
  <c r="E290" i="5" s="1"/>
  <c r="G291" i="7"/>
  <c r="H291" i="7" s="1"/>
  <c r="E292" i="7" s="1"/>
  <c r="G290" i="5" l="1"/>
  <c r="H290" i="5" s="1"/>
  <c r="E291" i="5" s="1"/>
  <c r="G292" i="7"/>
  <c r="H292" i="7" s="1"/>
  <c r="E293" i="7" s="1"/>
  <c r="G291" i="5" l="1"/>
  <c r="H291" i="5" s="1"/>
  <c r="E292" i="5" s="1"/>
  <c r="G293" i="7"/>
  <c r="H293" i="7" s="1"/>
  <c r="E294" i="7" s="1"/>
  <c r="G292" i="5" l="1"/>
  <c r="H292" i="5" s="1"/>
  <c r="E293" i="5" s="1"/>
  <c r="G294" i="7"/>
  <c r="H294" i="7" s="1"/>
  <c r="E295" i="7" s="1"/>
  <c r="G293" i="5" l="1"/>
  <c r="H293" i="5" s="1"/>
  <c r="E294" i="5" s="1"/>
  <c r="G295" i="7"/>
  <c r="H295" i="7" s="1"/>
  <c r="E296" i="7" s="1"/>
  <c r="G294" i="5" l="1"/>
  <c r="H294" i="5" s="1"/>
  <c r="E295" i="5" s="1"/>
  <c r="G296" i="7"/>
  <c r="H296" i="7" s="1"/>
  <c r="E297" i="7" s="1"/>
  <c r="G295" i="5" l="1"/>
  <c r="H295" i="5" s="1"/>
  <c r="E296" i="5" s="1"/>
  <c r="G297" i="7"/>
  <c r="H297" i="7" s="1"/>
  <c r="E298" i="7" s="1"/>
  <c r="G296" i="5" l="1"/>
  <c r="H296" i="5" s="1"/>
  <c r="E297" i="5" s="1"/>
  <c r="G298" i="7"/>
  <c r="H298" i="7" s="1"/>
  <c r="E299" i="7" s="1"/>
  <c r="G297" i="5" l="1"/>
  <c r="H297" i="5" s="1"/>
  <c r="E298" i="5" s="1"/>
  <c r="G299" i="7"/>
  <c r="H299" i="7" s="1"/>
  <c r="E300" i="7" s="1"/>
  <c r="G298" i="5" l="1"/>
  <c r="H298" i="5" s="1"/>
  <c r="E299" i="5" s="1"/>
  <c r="G300" i="7"/>
  <c r="H300" i="7" s="1"/>
  <c r="E301" i="7" s="1"/>
  <c r="G299" i="5" l="1"/>
  <c r="H299" i="5" s="1"/>
  <c r="E300" i="5" s="1"/>
  <c r="G301" i="7"/>
  <c r="H301" i="7" s="1"/>
  <c r="E302" i="7" s="1"/>
  <c r="G300" i="5" l="1"/>
  <c r="H300" i="5" s="1"/>
  <c r="E301" i="5" s="1"/>
  <c r="G302" i="7"/>
  <c r="H302" i="7" s="1"/>
  <c r="E303" i="7" s="1"/>
  <c r="G301" i="5" l="1"/>
  <c r="H301" i="5" s="1"/>
  <c r="E302" i="5" s="1"/>
  <c r="G303" i="7"/>
  <c r="H303" i="7" s="1"/>
  <c r="E304" i="7" s="1"/>
  <c r="G302" i="5" l="1"/>
  <c r="H302" i="5" s="1"/>
  <c r="E303" i="5" s="1"/>
  <c r="G304" i="7"/>
  <c r="H304" i="7" s="1"/>
  <c r="E305" i="7" s="1"/>
  <c r="G303" i="5" l="1"/>
  <c r="H303" i="5" s="1"/>
  <c r="E304" i="5" s="1"/>
  <c r="G305" i="7"/>
  <c r="H305" i="7" s="1"/>
  <c r="E306" i="7" s="1"/>
  <c r="G304" i="5" l="1"/>
  <c r="H304" i="5" s="1"/>
  <c r="E305" i="5" s="1"/>
  <c r="G306" i="7"/>
  <c r="H306" i="7" s="1"/>
  <c r="E307" i="7" s="1"/>
  <c r="G305" i="5" l="1"/>
  <c r="H305" i="5" s="1"/>
  <c r="E306" i="5" s="1"/>
  <c r="G307" i="7"/>
  <c r="H307" i="7" s="1"/>
  <c r="E308" i="7" s="1"/>
  <c r="G306" i="5" l="1"/>
  <c r="H306" i="5" s="1"/>
  <c r="E307" i="5" s="1"/>
  <c r="G308" i="7"/>
  <c r="H308" i="7" s="1"/>
  <c r="E309" i="7" s="1"/>
  <c r="G307" i="5" l="1"/>
  <c r="H307" i="5" s="1"/>
  <c r="E308" i="5" s="1"/>
  <c r="G309" i="7"/>
  <c r="H309" i="7" s="1"/>
  <c r="E310" i="7" s="1"/>
  <c r="G308" i="5" l="1"/>
  <c r="H308" i="5" s="1"/>
  <c r="E309" i="5" s="1"/>
  <c r="G310" i="7"/>
  <c r="H310" i="7" s="1"/>
  <c r="E311" i="7" s="1"/>
  <c r="G309" i="5" l="1"/>
  <c r="H309" i="5" s="1"/>
  <c r="E310" i="5" s="1"/>
  <c r="G311" i="7"/>
  <c r="H311" i="7" s="1"/>
  <c r="E312" i="7" s="1"/>
  <c r="G310" i="5" l="1"/>
  <c r="H310" i="5" s="1"/>
  <c r="E311" i="5" s="1"/>
  <c r="G312" i="7"/>
  <c r="H312" i="7" s="1"/>
  <c r="E313" i="7" s="1"/>
  <c r="G311" i="5" l="1"/>
  <c r="H311" i="5" s="1"/>
  <c r="E312" i="5" s="1"/>
  <c r="G313" i="7"/>
  <c r="H313" i="7" s="1"/>
  <c r="E314" i="7" s="1"/>
  <c r="G312" i="5" l="1"/>
  <c r="H312" i="5" s="1"/>
  <c r="E313" i="5" s="1"/>
  <c r="G314" i="7"/>
  <c r="H314" i="7" s="1"/>
  <c r="E315" i="7" s="1"/>
  <c r="G313" i="5" l="1"/>
  <c r="H313" i="5" s="1"/>
  <c r="E314" i="5" s="1"/>
  <c r="G315" i="7"/>
  <c r="H315" i="7" s="1"/>
  <c r="E316" i="7" s="1"/>
  <c r="G314" i="5" l="1"/>
  <c r="H314" i="5" s="1"/>
  <c r="E315" i="5" s="1"/>
  <c r="G316" i="7"/>
  <c r="H316" i="7" s="1"/>
  <c r="E317" i="7" s="1"/>
  <c r="G315" i="5" l="1"/>
  <c r="H315" i="5" s="1"/>
  <c r="E316" i="5" s="1"/>
  <c r="G317" i="7"/>
  <c r="H317" i="7" s="1"/>
  <c r="E318" i="7" s="1"/>
  <c r="G316" i="5" l="1"/>
  <c r="H316" i="5" s="1"/>
  <c r="E317" i="5" s="1"/>
  <c r="G318" i="7"/>
  <c r="H318" i="7" s="1"/>
  <c r="E319" i="7" s="1"/>
  <c r="G317" i="5" l="1"/>
  <c r="H317" i="5" s="1"/>
  <c r="E318" i="5" s="1"/>
  <c r="G319" i="7"/>
  <c r="H319" i="7" s="1"/>
  <c r="E320" i="7" s="1"/>
  <c r="G318" i="5" l="1"/>
  <c r="H318" i="5" s="1"/>
  <c r="E319" i="5" s="1"/>
  <c r="G320" i="7"/>
  <c r="H320" i="7" s="1"/>
  <c r="E321" i="7" s="1"/>
  <c r="G319" i="5" l="1"/>
  <c r="H319" i="5" s="1"/>
  <c r="E320" i="5" s="1"/>
  <c r="G321" i="7"/>
  <c r="H321" i="7" s="1"/>
  <c r="E322" i="7" s="1"/>
  <c r="G320" i="5" l="1"/>
  <c r="H320" i="5" s="1"/>
  <c r="E321" i="5" s="1"/>
  <c r="G322" i="7"/>
  <c r="H322" i="7" s="1"/>
  <c r="E323" i="7" s="1"/>
  <c r="G321" i="5" l="1"/>
  <c r="H321" i="5" s="1"/>
  <c r="E322" i="5" s="1"/>
  <c r="G323" i="7"/>
  <c r="H323" i="7" s="1"/>
  <c r="E324" i="7" s="1"/>
  <c r="G322" i="5" l="1"/>
  <c r="H322" i="5" s="1"/>
  <c r="E323" i="5" s="1"/>
  <c r="G324" i="7"/>
  <c r="H324" i="7" s="1"/>
  <c r="E325" i="7" s="1"/>
  <c r="G323" i="5" l="1"/>
  <c r="H323" i="5" s="1"/>
  <c r="E324" i="5" s="1"/>
  <c r="G325" i="7"/>
  <c r="H325" i="7" s="1"/>
  <c r="E326" i="7" s="1"/>
  <c r="G324" i="5" l="1"/>
  <c r="H324" i="5" s="1"/>
  <c r="E325" i="5" s="1"/>
  <c r="G326" i="7"/>
  <c r="H326" i="7" s="1"/>
  <c r="E327" i="7" s="1"/>
  <c r="G325" i="5" l="1"/>
  <c r="H325" i="5" s="1"/>
  <c r="E326" i="5" s="1"/>
  <c r="G327" i="7"/>
  <c r="H327" i="7" s="1"/>
  <c r="E328" i="7" s="1"/>
  <c r="G326" i="5" l="1"/>
  <c r="H326" i="5" s="1"/>
  <c r="E327" i="5" s="1"/>
  <c r="G328" i="7"/>
  <c r="H328" i="7" s="1"/>
  <c r="E329" i="7" s="1"/>
  <c r="G327" i="5" l="1"/>
  <c r="H327" i="5" s="1"/>
  <c r="E328" i="5" s="1"/>
  <c r="G329" i="7"/>
  <c r="H329" i="7" s="1"/>
  <c r="E330" i="7" s="1"/>
  <c r="G328" i="5" l="1"/>
  <c r="H328" i="5" s="1"/>
  <c r="E329" i="5" s="1"/>
  <c r="G330" i="7"/>
  <c r="H330" i="7" s="1"/>
  <c r="E331" i="7" s="1"/>
  <c r="G329" i="5" l="1"/>
  <c r="H329" i="5" s="1"/>
  <c r="E330" i="5" s="1"/>
  <c r="G331" i="7"/>
  <c r="H331" i="7" s="1"/>
  <c r="E332" i="7" s="1"/>
  <c r="G330" i="5" l="1"/>
  <c r="H330" i="5" s="1"/>
  <c r="E331" i="5" s="1"/>
  <c r="G332" i="7"/>
  <c r="H332" i="7" s="1"/>
  <c r="E333" i="7" s="1"/>
  <c r="G331" i="5" l="1"/>
  <c r="H331" i="5" s="1"/>
  <c r="E332" i="5" s="1"/>
  <c r="G333" i="7"/>
  <c r="H333" i="7" s="1"/>
  <c r="E334" i="7" s="1"/>
  <c r="G332" i="5" l="1"/>
  <c r="H332" i="5" s="1"/>
  <c r="E333" i="5" s="1"/>
  <c r="G334" i="7"/>
  <c r="H334" i="7" s="1"/>
  <c r="E335" i="7" s="1"/>
  <c r="G333" i="5" l="1"/>
  <c r="H333" i="5" s="1"/>
  <c r="E334" i="5" s="1"/>
  <c r="G335" i="7"/>
  <c r="H335" i="7" s="1"/>
  <c r="E336" i="7" s="1"/>
  <c r="G334" i="5" l="1"/>
  <c r="H334" i="5" s="1"/>
  <c r="E335" i="5" s="1"/>
  <c r="G336" i="7"/>
  <c r="H336" i="7" s="1"/>
  <c r="E337" i="7" s="1"/>
  <c r="G335" i="5" l="1"/>
  <c r="H335" i="5" s="1"/>
  <c r="E336" i="5" s="1"/>
  <c r="G337" i="7"/>
  <c r="H337" i="7" s="1"/>
  <c r="E338" i="7" s="1"/>
  <c r="G336" i="5" l="1"/>
  <c r="H336" i="5" s="1"/>
  <c r="E337" i="5" s="1"/>
  <c r="G338" i="7"/>
  <c r="H338" i="7" s="1"/>
  <c r="E339" i="7" s="1"/>
  <c r="G337" i="5" l="1"/>
  <c r="H337" i="5" s="1"/>
  <c r="E338" i="5" s="1"/>
  <c r="G339" i="7"/>
  <c r="H339" i="7" s="1"/>
  <c r="E340" i="7" s="1"/>
  <c r="G338" i="5" l="1"/>
  <c r="H338" i="5" s="1"/>
  <c r="E339" i="5" s="1"/>
  <c r="G340" i="7"/>
  <c r="H340" i="7" s="1"/>
  <c r="E341" i="7" s="1"/>
  <c r="G339" i="5" l="1"/>
  <c r="H339" i="5" s="1"/>
  <c r="E340" i="5" s="1"/>
  <c r="G341" i="7"/>
  <c r="H341" i="7" s="1"/>
  <c r="E342" i="7" s="1"/>
  <c r="G340" i="5" l="1"/>
  <c r="H340" i="5" s="1"/>
  <c r="E341" i="5" s="1"/>
  <c r="G342" i="7"/>
  <c r="H342" i="7" s="1"/>
  <c r="E343" i="7" s="1"/>
  <c r="G341" i="5" l="1"/>
  <c r="H341" i="5" s="1"/>
  <c r="E342" i="5" s="1"/>
  <c r="G343" i="7"/>
  <c r="H343" i="7" s="1"/>
  <c r="E344" i="7" s="1"/>
  <c r="G342" i="5" l="1"/>
  <c r="H342" i="5" s="1"/>
  <c r="E343" i="5" s="1"/>
  <c r="G344" i="7"/>
  <c r="H344" i="7" s="1"/>
  <c r="E345" i="7" s="1"/>
  <c r="G343" i="5" l="1"/>
  <c r="H343" i="5" s="1"/>
  <c r="E344" i="5" s="1"/>
  <c r="G345" i="7"/>
  <c r="H345" i="7" s="1"/>
  <c r="E346" i="7" s="1"/>
  <c r="G344" i="5" l="1"/>
  <c r="H344" i="5" s="1"/>
  <c r="E345" i="5" s="1"/>
  <c r="G346" i="7"/>
  <c r="H346" i="7" s="1"/>
  <c r="E347" i="7" s="1"/>
  <c r="G345" i="5" l="1"/>
  <c r="H345" i="5" s="1"/>
  <c r="E346" i="5" s="1"/>
  <c r="G347" i="7"/>
  <c r="H347" i="7" s="1"/>
  <c r="E348" i="7" s="1"/>
  <c r="G346" i="5" l="1"/>
  <c r="H346" i="5" s="1"/>
  <c r="E347" i="5" s="1"/>
  <c r="G348" i="7"/>
  <c r="H348" i="7" s="1"/>
  <c r="E349" i="7" s="1"/>
  <c r="G347" i="5" l="1"/>
  <c r="H347" i="5" s="1"/>
  <c r="E348" i="5" s="1"/>
  <c r="G349" i="7"/>
  <c r="H349" i="7" s="1"/>
  <c r="E350" i="7" s="1"/>
  <c r="G348" i="5" l="1"/>
  <c r="H348" i="5" s="1"/>
  <c r="E349" i="5" s="1"/>
  <c r="G350" i="7"/>
  <c r="H350" i="7" s="1"/>
  <c r="E351" i="7" s="1"/>
  <c r="G349" i="5" l="1"/>
  <c r="H349" i="5" s="1"/>
  <c r="E350" i="5" s="1"/>
  <c r="G351" i="7"/>
  <c r="H351" i="7" s="1"/>
  <c r="E352" i="7" s="1"/>
  <c r="G350" i="5" l="1"/>
  <c r="H350" i="5" s="1"/>
  <c r="E351" i="5" s="1"/>
  <c r="G352" i="7"/>
  <c r="H352" i="7" s="1"/>
  <c r="E353" i="7" s="1"/>
  <c r="G351" i="5" l="1"/>
  <c r="H351" i="5" s="1"/>
  <c r="E352" i="5" s="1"/>
  <c r="G353" i="7"/>
  <c r="H353" i="7" s="1"/>
  <c r="E354" i="7" s="1"/>
  <c r="G352" i="5" l="1"/>
  <c r="H352" i="5" s="1"/>
  <c r="E353" i="5" s="1"/>
  <c r="G354" i="7"/>
  <c r="H354" i="7" s="1"/>
  <c r="E355" i="7" s="1"/>
  <c r="G353" i="5" l="1"/>
  <c r="H353" i="5" s="1"/>
  <c r="E354" i="5" s="1"/>
  <c r="G355" i="7"/>
  <c r="H355" i="7" s="1"/>
  <c r="E356" i="7" s="1"/>
  <c r="G354" i="5" l="1"/>
  <c r="H354" i="5" s="1"/>
  <c r="E355" i="5" s="1"/>
  <c r="G356" i="7"/>
  <c r="H356" i="7" s="1"/>
  <c r="E357" i="7" s="1"/>
  <c r="G355" i="5" l="1"/>
  <c r="H355" i="5" s="1"/>
  <c r="E356" i="5" s="1"/>
  <c r="G357" i="7"/>
  <c r="H357" i="7" s="1"/>
  <c r="E358" i="7" s="1"/>
  <c r="G356" i="5" l="1"/>
  <c r="H356" i="5" s="1"/>
  <c r="E357" i="5" s="1"/>
  <c r="G358" i="7"/>
  <c r="H358" i="7" s="1"/>
  <c r="E359" i="7" s="1"/>
  <c r="G357" i="5" l="1"/>
  <c r="H357" i="5" s="1"/>
  <c r="E358" i="5" s="1"/>
  <c r="G359" i="7"/>
  <c r="H359" i="7" s="1"/>
  <c r="E360" i="7" s="1"/>
  <c r="G358" i="5" l="1"/>
  <c r="H358" i="5" s="1"/>
  <c r="E359" i="5" s="1"/>
  <c r="G360" i="7"/>
  <c r="H360" i="7" s="1"/>
  <c r="E361" i="7" s="1"/>
  <c r="G359" i="5" l="1"/>
  <c r="H359" i="5" s="1"/>
  <c r="E360" i="5" s="1"/>
  <c r="G361" i="7"/>
  <c r="H361" i="7" s="1"/>
  <c r="E362" i="7" s="1"/>
  <c r="G360" i="5" l="1"/>
  <c r="H360" i="5" s="1"/>
  <c r="E361" i="5" s="1"/>
  <c r="G362" i="7"/>
  <c r="H362" i="7" s="1"/>
  <c r="E363" i="7" s="1"/>
  <c r="G361" i="5" l="1"/>
  <c r="H361" i="5" s="1"/>
  <c r="E362" i="5" s="1"/>
  <c r="G363" i="7"/>
  <c r="H363" i="7" s="1"/>
  <c r="E364" i="7" s="1"/>
  <c r="G362" i="5" l="1"/>
  <c r="H362" i="5" s="1"/>
  <c r="E363" i="5" s="1"/>
  <c r="G364" i="7"/>
  <c r="H364" i="7" s="1"/>
  <c r="E365" i="7" s="1"/>
  <c r="G363" i="5" l="1"/>
  <c r="H363" i="5" s="1"/>
  <c r="E364" i="5" s="1"/>
  <c r="G365" i="7"/>
  <c r="H365" i="7" s="1"/>
  <c r="E366" i="7" s="1"/>
  <c r="G364" i="5" l="1"/>
  <c r="H364" i="5" s="1"/>
  <c r="E365" i="5" s="1"/>
  <c r="G366" i="7"/>
  <c r="H366" i="7" s="1"/>
  <c r="E367" i="7" s="1"/>
  <c r="G365" i="5" l="1"/>
  <c r="H365" i="5" s="1"/>
  <c r="E366" i="5" s="1"/>
  <c r="G367" i="7"/>
  <c r="H367" i="7" s="1"/>
  <c r="E368" i="7" s="1"/>
  <c r="G366" i="5" l="1"/>
  <c r="H366" i="5" s="1"/>
  <c r="E367" i="5" s="1"/>
  <c r="G368" i="7"/>
  <c r="H368" i="7" s="1"/>
  <c r="E369" i="7" s="1"/>
  <c r="G367" i="5" l="1"/>
  <c r="H367" i="5" s="1"/>
  <c r="E368" i="5" s="1"/>
  <c r="G369" i="7"/>
  <c r="H369" i="7" s="1"/>
  <c r="E370" i="7" s="1"/>
  <c r="G368" i="5" l="1"/>
  <c r="H368" i="5" s="1"/>
  <c r="E369" i="5" s="1"/>
  <c r="G370" i="7"/>
  <c r="H370" i="7" s="1"/>
  <c r="E371" i="7" s="1"/>
  <c r="G369" i="5" l="1"/>
  <c r="H369" i="5" s="1"/>
  <c r="E370" i="5" s="1"/>
  <c r="G371" i="7"/>
  <c r="H371" i="7" s="1"/>
  <c r="E372" i="7" s="1"/>
  <c r="G370" i="5" l="1"/>
  <c r="H370" i="5" s="1"/>
  <c r="E371" i="5" s="1"/>
  <c r="G372" i="7"/>
  <c r="H372" i="7" s="1"/>
  <c r="E373" i="7" s="1"/>
  <c r="G371" i="5" l="1"/>
  <c r="H371" i="5" s="1"/>
  <c r="E372" i="5" s="1"/>
  <c r="G373" i="7"/>
  <c r="H373" i="7" s="1"/>
  <c r="E374" i="7" s="1"/>
  <c r="G372" i="5" l="1"/>
  <c r="H372" i="5" s="1"/>
  <c r="E373" i="5" s="1"/>
  <c r="G374" i="7"/>
  <c r="H374" i="7" s="1"/>
  <c r="E375" i="7" s="1"/>
  <c r="G373" i="5" l="1"/>
  <c r="H373" i="5" s="1"/>
  <c r="E374" i="5" s="1"/>
  <c r="G375" i="7"/>
  <c r="H375" i="7" s="1"/>
  <c r="E376" i="7" s="1"/>
  <c r="G374" i="5" l="1"/>
  <c r="H374" i="5" s="1"/>
  <c r="E375" i="5" s="1"/>
  <c r="G376" i="7"/>
  <c r="H376" i="7" s="1"/>
  <c r="E377" i="7" s="1"/>
  <c r="G375" i="5" l="1"/>
  <c r="H375" i="5" s="1"/>
  <c r="E376" i="5" s="1"/>
  <c r="G377" i="7"/>
  <c r="H377" i="7" s="1"/>
  <c r="E378" i="7" s="1"/>
  <c r="G376" i="5" l="1"/>
  <c r="H376" i="5" s="1"/>
  <c r="E377" i="5" s="1"/>
  <c r="G378" i="7"/>
  <c r="H378" i="7" s="1"/>
  <c r="E379" i="7" s="1"/>
  <c r="G377" i="5" l="1"/>
  <c r="H377" i="5" s="1"/>
  <c r="E378" i="5" s="1"/>
  <c r="G379" i="7"/>
  <c r="H379" i="7" s="1"/>
  <c r="E380" i="7" s="1"/>
  <c r="G378" i="5" l="1"/>
  <c r="H378" i="5" s="1"/>
  <c r="E379" i="5" s="1"/>
  <c r="G380" i="7"/>
  <c r="H380" i="7" s="1"/>
  <c r="E381" i="7" s="1"/>
  <c r="G379" i="5" l="1"/>
  <c r="H379" i="5" s="1"/>
  <c r="E380" i="5" s="1"/>
  <c r="G381" i="7"/>
  <c r="H381" i="7" s="1"/>
  <c r="E382" i="7" s="1"/>
  <c r="G380" i="5" l="1"/>
  <c r="H380" i="5" s="1"/>
  <c r="E381" i="5" s="1"/>
  <c r="G382" i="7"/>
  <c r="H382" i="7" s="1"/>
  <c r="E383" i="7" s="1"/>
  <c r="G381" i="5" l="1"/>
  <c r="H381" i="5" s="1"/>
  <c r="E382" i="5" s="1"/>
  <c r="G383" i="7"/>
  <c r="H383" i="7" s="1"/>
  <c r="E384" i="7" s="1"/>
  <c r="G382" i="5" l="1"/>
  <c r="H382" i="5" s="1"/>
  <c r="E383" i="5" s="1"/>
  <c r="G384" i="7"/>
  <c r="H384" i="7" s="1"/>
  <c r="E385" i="7" s="1"/>
  <c r="G383" i="5" l="1"/>
  <c r="H383" i="5" s="1"/>
  <c r="E384" i="5" s="1"/>
  <c r="G385" i="7"/>
  <c r="H385" i="7" s="1"/>
  <c r="E386" i="7" s="1"/>
  <c r="G384" i="5" l="1"/>
  <c r="H384" i="5" s="1"/>
  <c r="E385" i="5" s="1"/>
  <c r="G386" i="7"/>
  <c r="H386" i="7" s="1"/>
  <c r="E387" i="7" s="1"/>
  <c r="G385" i="5" l="1"/>
  <c r="H385" i="5" s="1"/>
  <c r="E386" i="5" s="1"/>
  <c r="G387" i="7"/>
  <c r="H387" i="7" s="1"/>
  <c r="E388" i="7" s="1"/>
  <c r="G386" i="5" l="1"/>
  <c r="H386" i="5" s="1"/>
  <c r="E387" i="5" s="1"/>
  <c r="G388" i="7"/>
  <c r="H388" i="7" s="1"/>
  <c r="E389" i="7" s="1"/>
  <c r="G387" i="5" l="1"/>
  <c r="H387" i="5" s="1"/>
  <c r="E388" i="5" s="1"/>
  <c r="G389" i="7"/>
  <c r="H389" i="7" s="1"/>
  <c r="E390" i="7" s="1"/>
  <c r="G388" i="5" l="1"/>
  <c r="H388" i="5" s="1"/>
  <c r="E389" i="5" s="1"/>
  <c r="G390" i="7"/>
  <c r="H390" i="7" s="1"/>
  <c r="E391" i="7" s="1"/>
  <c r="G389" i="5" l="1"/>
  <c r="H389" i="5" s="1"/>
  <c r="E390" i="5" s="1"/>
  <c r="G391" i="7"/>
  <c r="H391" i="7" s="1"/>
  <c r="E392" i="7" s="1"/>
  <c r="G390" i="5" l="1"/>
  <c r="H390" i="5" s="1"/>
  <c r="E391" i="5" s="1"/>
  <c r="G392" i="7"/>
  <c r="H392" i="7" s="1"/>
  <c r="E393" i="7" s="1"/>
  <c r="G391" i="5" l="1"/>
  <c r="H391" i="5" s="1"/>
  <c r="E392" i="5" s="1"/>
  <c r="G393" i="7"/>
  <c r="H393" i="7" s="1"/>
  <c r="E394" i="7" s="1"/>
  <c r="G392" i="5" l="1"/>
  <c r="H392" i="5" s="1"/>
  <c r="E393" i="5" s="1"/>
  <c r="G394" i="7"/>
  <c r="H394" i="7" s="1"/>
  <c r="E395" i="7" s="1"/>
  <c r="G393" i="5" l="1"/>
  <c r="H393" i="5" s="1"/>
  <c r="E394" i="5" s="1"/>
  <c r="G395" i="7"/>
  <c r="H395" i="7" s="1"/>
  <c r="E396" i="7" s="1"/>
  <c r="G394" i="5" l="1"/>
  <c r="H394" i="5" s="1"/>
  <c r="E395" i="5" s="1"/>
  <c r="G396" i="7"/>
  <c r="H396" i="7" s="1"/>
  <c r="E397" i="7" s="1"/>
  <c r="G395" i="5" l="1"/>
  <c r="H395" i="5" s="1"/>
  <c r="E396" i="5" s="1"/>
  <c r="G397" i="7"/>
  <c r="H397" i="7" s="1"/>
  <c r="E398" i="7" s="1"/>
  <c r="G396" i="5" l="1"/>
  <c r="H396" i="5" s="1"/>
  <c r="E397" i="5" s="1"/>
  <c r="G398" i="7"/>
  <c r="H398" i="7" s="1"/>
  <c r="E399" i="7" s="1"/>
  <c r="G397" i="5" l="1"/>
  <c r="H397" i="5" s="1"/>
  <c r="E398" i="5" s="1"/>
  <c r="G399" i="7"/>
  <c r="H399" i="7" s="1"/>
  <c r="E400" i="7" s="1"/>
  <c r="G398" i="5" l="1"/>
  <c r="H398" i="5" s="1"/>
  <c r="E399" i="5" s="1"/>
  <c r="G400" i="7"/>
  <c r="H400" i="7" s="1"/>
  <c r="E401" i="7" s="1"/>
  <c r="G399" i="5" l="1"/>
  <c r="H399" i="5" s="1"/>
  <c r="E400" i="5" s="1"/>
  <c r="G401" i="7"/>
  <c r="H401" i="7" s="1"/>
  <c r="E402" i="7" s="1"/>
  <c r="G400" i="5" l="1"/>
  <c r="H400" i="5" s="1"/>
  <c r="E401" i="5" s="1"/>
  <c r="G402" i="7"/>
  <c r="H402" i="7" s="1"/>
  <c r="E403" i="7" s="1"/>
  <c r="G401" i="5" l="1"/>
  <c r="H401" i="5" s="1"/>
  <c r="E402" i="5" s="1"/>
  <c r="G403" i="7"/>
  <c r="H403" i="7" s="1"/>
  <c r="E404" i="7" s="1"/>
  <c r="G402" i="5" l="1"/>
  <c r="H402" i="5" s="1"/>
  <c r="E403" i="5" s="1"/>
  <c r="G404" i="7"/>
  <c r="H404" i="7" s="1"/>
  <c r="E405" i="7" s="1"/>
  <c r="G403" i="5" l="1"/>
  <c r="H403" i="5" s="1"/>
  <c r="E404" i="5" s="1"/>
  <c r="G405" i="7"/>
  <c r="H405" i="7" s="1"/>
  <c r="E406" i="7" s="1"/>
  <c r="G404" i="5" l="1"/>
  <c r="H404" i="5" s="1"/>
  <c r="E405" i="5" s="1"/>
  <c r="G406" i="7"/>
  <c r="H406" i="7" s="1"/>
  <c r="E407" i="7" s="1"/>
  <c r="G405" i="5" l="1"/>
  <c r="H405" i="5" s="1"/>
  <c r="E406" i="5" s="1"/>
  <c r="G407" i="7"/>
  <c r="H407" i="7" s="1"/>
  <c r="E408" i="7" s="1"/>
  <c r="G406" i="5" l="1"/>
  <c r="H406" i="5" s="1"/>
  <c r="E407" i="5" s="1"/>
  <c r="G408" i="7"/>
  <c r="H408" i="7" s="1"/>
  <c r="E409" i="7" s="1"/>
  <c r="G407" i="5" l="1"/>
  <c r="H407" i="5" s="1"/>
  <c r="E408" i="5" s="1"/>
  <c r="G409" i="7"/>
  <c r="H409" i="7" s="1"/>
  <c r="E410" i="7" s="1"/>
  <c r="G408" i="5" l="1"/>
  <c r="H408" i="5" s="1"/>
  <c r="E409" i="5" s="1"/>
  <c r="G410" i="7"/>
  <c r="H410" i="7" s="1"/>
  <c r="E411" i="7" s="1"/>
  <c r="G409" i="5" l="1"/>
  <c r="H409" i="5" s="1"/>
  <c r="E410" i="5" s="1"/>
  <c r="G411" i="7"/>
  <c r="H411" i="7" s="1"/>
  <c r="E412" i="7" s="1"/>
  <c r="G410" i="5" l="1"/>
  <c r="H410" i="5" s="1"/>
  <c r="E411" i="5" s="1"/>
  <c r="G412" i="7"/>
  <c r="H412" i="7" s="1"/>
  <c r="E413" i="7" s="1"/>
  <c r="G411" i="5" l="1"/>
  <c r="H411" i="5" s="1"/>
  <c r="E412" i="5" s="1"/>
  <c r="G413" i="7"/>
  <c r="H413" i="7" s="1"/>
  <c r="E414" i="7" s="1"/>
  <c r="G412" i="5" l="1"/>
  <c r="H412" i="5" s="1"/>
  <c r="E413" i="5" s="1"/>
  <c r="G414" i="7"/>
  <c r="H414" i="7" s="1"/>
  <c r="E415" i="7" s="1"/>
  <c r="G413" i="5" l="1"/>
  <c r="H413" i="5" s="1"/>
  <c r="E414" i="5" s="1"/>
  <c r="G415" i="7"/>
  <c r="H415" i="7" s="1"/>
  <c r="E416" i="7" s="1"/>
  <c r="G414" i="5" l="1"/>
  <c r="H414" i="5" s="1"/>
  <c r="E415" i="5" s="1"/>
  <c r="G416" i="7"/>
  <c r="H416" i="7" s="1"/>
  <c r="E417" i="7" s="1"/>
  <c r="G415" i="5" l="1"/>
  <c r="H415" i="5" s="1"/>
  <c r="E416" i="5" s="1"/>
  <c r="G417" i="7"/>
  <c r="H417" i="7" s="1"/>
  <c r="E418" i="7" s="1"/>
  <c r="G416" i="5" l="1"/>
  <c r="H416" i="5" s="1"/>
  <c r="E417" i="5" s="1"/>
  <c r="G418" i="7"/>
  <c r="H418" i="7" s="1"/>
  <c r="E419" i="7" s="1"/>
  <c r="G417" i="5" l="1"/>
  <c r="H417" i="5" s="1"/>
  <c r="E418" i="5" s="1"/>
  <c r="G419" i="7"/>
  <c r="H419" i="7" s="1"/>
  <c r="E420" i="7" s="1"/>
  <c r="G418" i="5" l="1"/>
  <c r="H418" i="5" s="1"/>
  <c r="E419" i="5" s="1"/>
  <c r="G420" i="7"/>
  <c r="H420" i="7" s="1"/>
  <c r="E421" i="7" s="1"/>
  <c r="G419" i="5" l="1"/>
  <c r="H419" i="5" s="1"/>
  <c r="E420" i="5" s="1"/>
  <c r="G421" i="7"/>
  <c r="H421" i="7" s="1"/>
  <c r="E422" i="7" s="1"/>
  <c r="G420" i="5" l="1"/>
  <c r="H420" i="5" s="1"/>
  <c r="E421" i="5" s="1"/>
  <c r="G422" i="7"/>
  <c r="H422" i="7" s="1"/>
  <c r="E423" i="7" s="1"/>
  <c r="G421" i="5" l="1"/>
  <c r="H421" i="5" s="1"/>
  <c r="E422" i="5" s="1"/>
  <c r="G423" i="7"/>
  <c r="H423" i="7" s="1"/>
  <c r="E424" i="7" s="1"/>
  <c r="G422" i="5" l="1"/>
  <c r="H422" i="5" s="1"/>
  <c r="E423" i="5" s="1"/>
  <c r="G424" i="7"/>
  <c r="H424" i="7" s="1"/>
  <c r="E425" i="7" s="1"/>
  <c r="G423" i="5" l="1"/>
  <c r="H423" i="5" s="1"/>
  <c r="E424" i="5" s="1"/>
  <c r="G425" i="7"/>
  <c r="H425" i="7" s="1"/>
  <c r="E426" i="7" s="1"/>
  <c r="G424" i="5" l="1"/>
  <c r="H424" i="5" s="1"/>
  <c r="E425" i="5" s="1"/>
  <c r="G426" i="7"/>
  <c r="H426" i="7" s="1"/>
  <c r="E427" i="7" s="1"/>
  <c r="G425" i="5" l="1"/>
  <c r="H425" i="5" s="1"/>
  <c r="E426" i="5" s="1"/>
  <c r="G427" i="7"/>
  <c r="H427" i="7" s="1"/>
  <c r="E428" i="7" s="1"/>
  <c r="G426" i="5" l="1"/>
  <c r="H426" i="5" s="1"/>
  <c r="E427" i="5" s="1"/>
  <c r="G428" i="7"/>
  <c r="H428" i="7" s="1"/>
  <c r="E429" i="7" s="1"/>
  <c r="G427" i="5" l="1"/>
  <c r="H427" i="5" s="1"/>
  <c r="E428" i="5" s="1"/>
  <c r="G429" i="7"/>
  <c r="H429" i="7" s="1"/>
  <c r="E430" i="7" s="1"/>
  <c r="G428" i="5" l="1"/>
  <c r="H428" i="5" s="1"/>
  <c r="E429" i="5" s="1"/>
  <c r="G430" i="7"/>
  <c r="H430" i="7" s="1"/>
  <c r="E431" i="7" s="1"/>
  <c r="G429" i="5" l="1"/>
  <c r="H429" i="5" s="1"/>
  <c r="E430" i="5" s="1"/>
  <c r="G431" i="7"/>
  <c r="H431" i="7" s="1"/>
  <c r="E432" i="7" s="1"/>
  <c r="G430" i="5" l="1"/>
  <c r="H430" i="5" s="1"/>
  <c r="E431" i="5" s="1"/>
  <c r="G432" i="7"/>
  <c r="H432" i="7" s="1"/>
  <c r="E433" i="7" s="1"/>
  <c r="G431" i="5" l="1"/>
  <c r="H431" i="5" s="1"/>
  <c r="E432" i="5" s="1"/>
  <c r="G433" i="7"/>
  <c r="H433" i="7" s="1"/>
  <c r="E434" i="7" s="1"/>
  <c r="G432" i="5" l="1"/>
  <c r="H432" i="5" s="1"/>
  <c r="E433" i="5" s="1"/>
  <c r="G434" i="7"/>
  <c r="H434" i="7" s="1"/>
  <c r="E435" i="7" s="1"/>
  <c r="G433" i="5" l="1"/>
  <c r="H433" i="5" s="1"/>
  <c r="E434" i="5" s="1"/>
  <c r="G435" i="7"/>
  <c r="H435" i="7" s="1"/>
  <c r="E436" i="7" s="1"/>
  <c r="G434" i="5" l="1"/>
  <c r="H434" i="5" s="1"/>
  <c r="E435" i="5" s="1"/>
  <c r="G436" i="7"/>
  <c r="H436" i="7" s="1"/>
  <c r="E437" i="7" s="1"/>
  <c r="G435" i="5" l="1"/>
  <c r="H435" i="5" s="1"/>
  <c r="E436" i="5" s="1"/>
  <c r="G437" i="7"/>
  <c r="H437" i="7" s="1"/>
  <c r="E438" i="7" s="1"/>
  <c r="G436" i="5" l="1"/>
  <c r="H436" i="5" s="1"/>
  <c r="E437" i="5" s="1"/>
  <c r="G438" i="7"/>
  <c r="H438" i="7" s="1"/>
  <c r="E439" i="7" s="1"/>
  <c r="G437" i="5" l="1"/>
  <c r="H437" i="5" s="1"/>
  <c r="E438" i="5" s="1"/>
  <c r="G439" i="7"/>
  <c r="H439" i="7" s="1"/>
  <c r="E440" i="7" s="1"/>
  <c r="G438" i="5" l="1"/>
  <c r="H438" i="5" s="1"/>
  <c r="E439" i="5" s="1"/>
  <c r="G440" i="7"/>
  <c r="H440" i="7" s="1"/>
  <c r="E441" i="7" s="1"/>
  <c r="G439" i="5" l="1"/>
  <c r="H439" i="5" s="1"/>
  <c r="E440" i="5" s="1"/>
  <c r="G441" i="7"/>
  <c r="H441" i="7" s="1"/>
  <c r="E442" i="7" s="1"/>
  <c r="G440" i="5" l="1"/>
  <c r="H440" i="5" s="1"/>
  <c r="E441" i="5" s="1"/>
  <c r="G442" i="7"/>
  <c r="H442" i="7" s="1"/>
  <c r="E443" i="7" s="1"/>
  <c r="G441" i="5" l="1"/>
  <c r="H441" i="5" s="1"/>
  <c r="E442" i="5" s="1"/>
  <c r="G443" i="7"/>
  <c r="H443" i="7" s="1"/>
  <c r="E444" i="7" s="1"/>
  <c r="G442" i="5" l="1"/>
  <c r="H442" i="5" s="1"/>
  <c r="E443" i="5" s="1"/>
  <c r="G444" i="7"/>
  <c r="H444" i="7" s="1"/>
  <c r="E445" i="7" s="1"/>
  <c r="G443" i="5" l="1"/>
  <c r="H443" i="5" s="1"/>
  <c r="E444" i="5" s="1"/>
  <c r="G445" i="7"/>
  <c r="H445" i="7" s="1"/>
  <c r="E446" i="7" s="1"/>
  <c r="G444" i="5" l="1"/>
  <c r="H444" i="5" s="1"/>
  <c r="E445" i="5" s="1"/>
  <c r="G446" i="7"/>
  <c r="H446" i="7" s="1"/>
  <c r="E447" i="7" s="1"/>
  <c r="G445" i="5" l="1"/>
  <c r="H445" i="5" s="1"/>
  <c r="E446" i="5" s="1"/>
  <c r="G447" i="7"/>
  <c r="H447" i="7" s="1"/>
  <c r="E448" i="7" s="1"/>
  <c r="G446" i="5" l="1"/>
  <c r="H446" i="5" s="1"/>
  <c r="E447" i="5" s="1"/>
  <c r="G448" i="7"/>
  <c r="H448" i="7" s="1"/>
  <c r="E449" i="7" s="1"/>
  <c r="G447" i="5" l="1"/>
  <c r="H447" i="5" s="1"/>
  <c r="E448" i="5" s="1"/>
  <c r="G449" i="7"/>
  <c r="H449" i="7" s="1"/>
  <c r="E450" i="7" s="1"/>
  <c r="G448" i="5" l="1"/>
  <c r="H448" i="5" s="1"/>
  <c r="E449" i="5" s="1"/>
  <c r="G450" i="7"/>
  <c r="H450" i="7" s="1"/>
  <c r="E451" i="7" s="1"/>
  <c r="G449" i="5" l="1"/>
  <c r="H449" i="5" s="1"/>
  <c r="E450" i="5" s="1"/>
  <c r="G451" i="7"/>
  <c r="H451" i="7" s="1"/>
  <c r="E452" i="7" s="1"/>
  <c r="G450" i="5" l="1"/>
  <c r="H450" i="5" s="1"/>
  <c r="E451" i="5" s="1"/>
  <c r="G452" i="7"/>
  <c r="H452" i="7" s="1"/>
  <c r="E453" i="7" s="1"/>
  <c r="G451" i="5" l="1"/>
  <c r="H451" i="5" s="1"/>
  <c r="E452" i="5" s="1"/>
  <c r="G453" i="7"/>
  <c r="H453" i="7" s="1"/>
  <c r="E454" i="7" s="1"/>
  <c r="G452" i="5" l="1"/>
  <c r="H452" i="5" s="1"/>
  <c r="E453" i="5" s="1"/>
  <c r="G454" i="7"/>
  <c r="H454" i="7" s="1"/>
  <c r="E455" i="7" s="1"/>
  <c r="G453" i="5" l="1"/>
  <c r="H453" i="5" s="1"/>
  <c r="E454" i="5" s="1"/>
  <c r="G455" i="7"/>
  <c r="H455" i="7" s="1"/>
  <c r="E456" i="7" s="1"/>
  <c r="G454" i="5" l="1"/>
  <c r="H454" i="5" s="1"/>
  <c r="E455" i="5" s="1"/>
  <c r="G456" i="7"/>
  <c r="H456" i="7" s="1"/>
  <c r="E457" i="7" s="1"/>
  <c r="G455" i="5" l="1"/>
  <c r="H455" i="5" s="1"/>
  <c r="E456" i="5" s="1"/>
  <c r="G457" i="7"/>
  <c r="H457" i="7" s="1"/>
  <c r="E458" i="7" s="1"/>
  <c r="G456" i="5" l="1"/>
  <c r="H456" i="5" s="1"/>
  <c r="E457" i="5" s="1"/>
  <c r="G458" i="7"/>
  <c r="H458" i="7" s="1"/>
  <c r="E459" i="7" s="1"/>
  <c r="G457" i="5" l="1"/>
  <c r="H457" i="5" s="1"/>
  <c r="E458" i="5" s="1"/>
  <c r="G459" i="7"/>
  <c r="H459" i="7" s="1"/>
  <c r="E460" i="7" s="1"/>
  <c r="G458" i="5" l="1"/>
  <c r="H458" i="5" s="1"/>
  <c r="E459" i="5" s="1"/>
  <c r="G460" i="7"/>
  <c r="H460" i="7" s="1"/>
  <c r="E461" i="7" s="1"/>
  <c r="G459" i="5" l="1"/>
  <c r="H459" i="5" s="1"/>
  <c r="E460" i="5" s="1"/>
  <c r="G461" i="7"/>
  <c r="H461" i="7" s="1"/>
  <c r="E462" i="7" s="1"/>
  <c r="G460" i="5" l="1"/>
  <c r="H460" i="5" s="1"/>
  <c r="E461" i="5" s="1"/>
  <c r="G462" i="7"/>
  <c r="H462" i="7" s="1"/>
  <c r="E463" i="7" s="1"/>
  <c r="G461" i="5" l="1"/>
  <c r="H461" i="5" s="1"/>
  <c r="E462" i="5" s="1"/>
  <c r="G463" i="7"/>
  <c r="H463" i="7" s="1"/>
  <c r="E464" i="7" s="1"/>
  <c r="G462" i="5" l="1"/>
  <c r="H462" i="5" s="1"/>
  <c r="E463" i="5" s="1"/>
  <c r="G464" i="7"/>
  <c r="H464" i="7" s="1"/>
  <c r="E465" i="7" s="1"/>
  <c r="G463" i="5" l="1"/>
  <c r="H463" i="5" s="1"/>
  <c r="E464" i="5" s="1"/>
  <c r="G465" i="7"/>
  <c r="H465" i="7" s="1"/>
  <c r="E466" i="7" s="1"/>
  <c r="G464" i="5" l="1"/>
  <c r="H464" i="5" s="1"/>
  <c r="E465" i="5" s="1"/>
  <c r="G466" i="7"/>
  <c r="H466" i="7" s="1"/>
  <c r="E467" i="7" s="1"/>
  <c r="G465" i="5" l="1"/>
  <c r="H465" i="5" s="1"/>
  <c r="E466" i="5" s="1"/>
  <c r="G467" i="7"/>
  <c r="H467" i="7" s="1"/>
  <c r="E468" i="7" s="1"/>
  <c r="G466" i="5" l="1"/>
  <c r="H466" i="5" s="1"/>
  <c r="E467" i="5" s="1"/>
  <c r="G468" i="7"/>
  <c r="H468" i="7" s="1"/>
  <c r="E469" i="7" s="1"/>
  <c r="G467" i="5" l="1"/>
  <c r="H467" i="5" s="1"/>
  <c r="E468" i="5" s="1"/>
  <c r="G469" i="7"/>
  <c r="H469" i="7" s="1"/>
  <c r="E470" i="7" s="1"/>
  <c r="G468" i="5" l="1"/>
  <c r="H468" i="5" s="1"/>
  <c r="E469" i="5" s="1"/>
  <c r="G470" i="7"/>
  <c r="H470" i="7" s="1"/>
  <c r="E471" i="7" s="1"/>
  <c r="G469" i="5" l="1"/>
  <c r="H469" i="5" s="1"/>
  <c r="E470" i="5" s="1"/>
  <c r="G471" i="7"/>
  <c r="H471" i="7" s="1"/>
  <c r="E472" i="7" s="1"/>
  <c r="G470" i="5" l="1"/>
  <c r="H470" i="5" s="1"/>
  <c r="E471" i="5" s="1"/>
  <c r="G472" i="7"/>
  <c r="H472" i="7" s="1"/>
  <c r="E473" i="7" s="1"/>
  <c r="G471" i="5" l="1"/>
  <c r="H471" i="5" s="1"/>
  <c r="E472" i="5" s="1"/>
  <c r="G473" i="7"/>
  <c r="H473" i="7" s="1"/>
  <c r="E474" i="7" s="1"/>
  <c r="G472" i="5" l="1"/>
  <c r="H472" i="5" s="1"/>
  <c r="E473" i="5" s="1"/>
  <c r="G474" i="7"/>
  <c r="H474" i="7" s="1"/>
  <c r="E475" i="7" s="1"/>
  <c r="G473" i="5" l="1"/>
  <c r="H473" i="5" s="1"/>
  <c r="E474" i="5" s="1"/>
  <c r="G475" i="7"/>
  <c r="H475" i="7" s="1"/>
  <c r="E476" i="7" s="1"/>
  <c r="G474" i="5" l="1"/>
  <c r="H474" i="5" s="1"/>
  <c r="E475" i="5" s="1"/>
  <c r="G476" i="7"/>
  <c r="H476" i="7" s="1"/>
  <c r="E477" i="7" s="1"/>
  <c r="G475" i="5" l="1"/>
  <c r="H475" i="5" s="1"/>
  <c r="E476" i="5" s="1"/>
  <c r="G477" i="7"/>
  <c r="H477" i="7" s="1"/>
  <c r="E478" i="7" s="1"/>
  <c r="G476" i="5" l="1"/>
  <c r="H476" i="5" s="1"/>
  <c r="E477" i="5" s="1"/>
  <c r="G478" i="7"/>
  <c r="H478" i="7" s="1"/>
  <c r="E479" i="7" s="1"/>
  <c r="G477" i="5" l="1"/>
  <c r="H477" i="5" s="1"/>
  <c r="E478" i="5" s="1"/>
  <c r="G479" i="7"/>
  <c r="H479" i="7" s="1"/>
  <c r="E480" i="7" s="1"/>
  <c r="G478" i="5" l="1"/>
  <c r="H478" i="5" s="1"/>
  <c r="E479" i="5" s="1"/>
  <c r="G480" i="7"/>
  <c r="H480" i="7" s="1"/>
  <c r="E481" i="7" s="1"/>
  <c r="G479" i="5" l="1"/>
  <c r="H479" i="5" s="1"/>
  <c r="E480" i="5" s="1"/>
  <c r="G481" i="7"/>
  <c r="H481" i="7" s="1"/>
  <c r="E482" i="7" s="1"/>
  <c r="G480" i="5" l="1"/>
  <c r="H480" i="5" s="1"/>
  <c r="E481" i="5" s="1"/>
  <c r="G482" i="7"/>
  <c r="H482" i="7" s="1"/>
  <c r="E483" i="7" s="1"/>
  <c r="G481" i="5" l="1"/>
  <c r="H481" i="5" s="1"/>
  <c r="E482" i="5" s="1"/>
  <c r="G483" i="7"/>
  <c r="H483" i="7" s="1"/>
  <c r="E484" i="7" s="1"/>
  <c r="G482" i="5" l="1"/>
  <c r="H482" i="5" s="1"/>
  <c r="E483" i="5" s="1"/>
  <c r="G484" i="7"/>
  <c r="H484" i="7" s="1"/>
  <c r="E485" i="7" s="1"/>
  <c r="G483" i="5" l="1"/>
  <c r="H483" i="5" s="1"/>
  <c r="E484" i="5" s="1"/>
  <c r="G485" i="7"/>
  <c r="H485" i="7" s="1"/>
  <c r="E486" i="7" s="1"/>
  <c r="G484" i="5" l="1"/>
  <c r="H484" i="5" s="1"/>
  <c r="E485" i="5" s="1"/>
  <c r="G486" i="7"/>
  <c r="H486" i="7" s="1"/>
  <c r="E487" i="7" s="1"/>
  <c r="G485" i="5" l="1"/>
  <c r="H485" i="5" s="1"/>
  <c r="E486" i="5" s="1"/>
  <c r="G487" i="7"/>
  <c r="H487" i="7" s="1"/>
  <c r="E488" i="7" s="1"/>
  <c r="G486" i="5" l="1"/>
  <c r="H486" i="5" s="1"/>
  <c r="E487" i="5" s="1"/>
  <c r="G488" i="7"/>
  <c r="H488" i="7" s="1"/>
  <c r="E489" i="7" s="1"/>
  <c r="G487" i="5" l="1"/>
  <c r="H487" i="5" s="1"/>
  <c r="E488" i="5" s="1"/>
  <c r="G489" i="7"/>
  <c r="H489" i="7" s="1"/>
  <c r="E490" i="7" s="1"/>
  <c r="G488" i="5" l="1"/>
  <c r="H488" i="5" s="1"/>
  <c r="E489" i="5" s="1"/>
  <c r="G490" i="7"/>
  <c r="H490" i="7" s="1"/>
  <c r="E491" i="7" s="1"/>
  <c r="G489" i="5" l="1"/>
  <c r="H489" i="5" s="1"/>
  <c r="E490" i="5" s="1"/>
  <c r="G491" i="7"/>
  <c r="H491" i="7" s="1"/>
  <c r="E492" i="7" s="1"/>
  <c r="G490" i="5" l="1"/>
  <c r="H490" i="5" s="1"/>
  <c r="E491" i="5" s="1"/>
  <c r="G492" i="7"/>
  <c r="H492" i="7" s="1"/>
  <c r="E493" i="7" s="1"/>
  <c r="G491" i="5" l="1"/>
  <c r="H491" i="5" s="1"/>
  <c r="E492" i="5" s="1"/>
  <c r="G493" i="7"/>
  <c r="H493" i="7" s="1"/>
  <c r="E494" i="7" s="1"/>
  <c r="G492" i="5" l="1"/>
  <c r="H492" i="5" s="1"/>
  <c r="E493" i="5" s="1"/>
  <c r="G494" i="7"/>
  <c r="H494" i="7" s="1"/>
  <c r="E495" i="7" s="1"/>
  <c r="G493" i="5" l="1"/>
  <c r="H493" i="5" s="1"/>
  <c r="E494" i="5" s="1"/>
  <c r="G495" i="7"/>
  <c r="H495" i="7" s="1"/>
  <c r="E496" i="7" s="1"/>
  <c r="G494" i="5" l="1"/>
  <c r="H494" i="5" s="1"/>
  <c r="E495" i="5" s="1"/>
  <c r="G496" i="7"/>
  <c r="H496" i="7" s="1"/>
  <c r="E497" i="7" s="1"/>
  <c r="G495" i="5" l="1"/>
  <c r="H495" i="5" s="1"/>
  <c r="E496" i="5" s="1"/>
  <c r="G497" i="7"/>
  <c r="H497" i="7" s="1"/>
  <c r="E498" i="7" s="1"/>
  <c r="G496" i="5" l="1"/>
  <c r="H496" i="5" s="1"/>
  <c r="E497" i="5" s="1"/>
  <c r="G498" i="7"/>
  <c r="H498" i="7" s="1"/>
  <c r="E499" i="7" s="1"/>
  <c r="G497" i="5" l="1"/>
  <c r="H497" i="5" s="1"/>
  <c r="E498" i="5" s="1"/>
  <c r="G499" i="7"/>
  <c r="H499" i="7" s="1"/>
  <c r="E500" i="7" s="1"/>
  <c r="G498" i="5" l="1"/>
  <c r="H498" i="5" s="1"/>
  <c r="E499" i="5" s="1"/>
  <c r="G500" i="7"/>
  <c r="H500" i="7" s="1"/>
  <c r="E501" i="7" s="1"/>
  <c r="G499" i="5" l="1"/>
  <c r="H499" i="5" s="1"/>
  <c r="E500" i="5" s="1"/>
  <c r="G501" i="7"/>
  <c r="H501" i="7" s="1"/>
  <c r="E502" i="7" s="1"/>
  <c r="G500" i="5" l="1"/>
  <c r="H500" i="5" s="1"/>
  <c r="E501" i="5" s="1"/>
  <c r="G502" i="7"/>
  <c r="H502" i="7" s="1"/>
  <c r="E503" i="7" s="1"/>
  <c r="G501" i="5" l="1"/>
  <c r="H501" i="5" s="1"/>
  <c r="E502" i="5" s="1"/>
  <c r="G503" i="7"/>
  <c r="H503" i="7" s="1"/>
  <c r="E504" i="7" s="1"/>
  <c r="G502" i="5" l="1"/>
  <c r="H502" i="5" s="1"/>
  <c r="E503" i="5" s="1"/>
  <c r="G504" i="7"/>
  <c r="H504" i="7" s="1"/>
  <c r="E505" i="7" s="1"/>
  <c r="G503" i="5" l="1"/>
  <c r="H503" i="5" s="1"/>
  <c r="E504" i="5" s="1"/>
  <c r="G505" i="7"/>
  <c r="H505" i="7" s="1"/>
  <c r="E506" i="7" s="1"/>
  <c r="G504" i="5" l="1"/>
  <c r="H504" i="5" s="1"/>
  <c r="E505" i="5" s="1"/>
  <c r="G506" i="7"/>
  <c r="H506" i="7" s="1"/>
  <c r="E507" i="7" s="1"/>
  <c r="G505" i="5" l="1"/>
  <c r="H505" i="5" s="1"/>
  <c r="E506" i="5" s="1"/>
  <c r="G507" i="7"/>
  <c r="H507" i="7" s="1"/>
  <c r="E508" i="7" s="1"/>
  <c r="G506" i="5" l="1"/>
  <c r="H506" i="5" s="1"/>
  <c r="E507" i="5" s="1"/>
  <c r="G508" i="7"/>
  <c r="H508" i="7" s="1"/>
  <c r="E509" i="7" s="1"/>
  <c r="G507" i="5" l="1"/>
  <c r="H507" i="5" s="1"/>
  <c r="E508" i="5" s="1"/>
  <c r="G509" i="7"/>
  <c r="H509" i="7" s="1"/>
  <c r="E510" i="7" s="1"/>
  <c r="G508" i="5" l="1"/>
  <c r="H508" i="5" s="1"/>
  <c r="E509" i="5" s="1"/>
  <c r="G510" i="7"/>
  <c r="H510" i="7" s="1"/>
  <c r="E511" i="7" s="1"/>
  <c r="G509" i="5" l="1"/>
  <c r="H509" i="5" s="1"/>
  <c r="E510" i="5" s="1"/>
  <c r="G511" i="7"/>
  <c r="H511" i="7" s="1"/>
  <c r="E512" i="7" s="1"/>
  <c r="G510" i="5" l="1"/>
  <c r="H510" i="5" s="1"/>
  <c r="E511" i="5" s="1"/>
  <c r="G512" i="7"/>
  <c r="H512" i="7" s="1"/>
  <c r="G511" i="5" l="1"/>
  <c r="H511" i="5" s="1"/>
  <c r="E512" i="5" s="1"/>
  <c r="E513" i="7"/>
  <c r="G512" i="5" l="1"/>
  <c r="H512" i="5" s="1"/>
  <c r="E513" i="5" s="1"/>
  <c r="G513" i="5" s="1"/>
  <c r="H513" i="5" s="1"/>
  <c r="E514" i="5" s="1"/>
  <c r="G514" i="5" s="1"/>
  <c r="G513" i="7"/>
  <c r="H513" i="7" s="1"/>
  <c r="E514" i="7" s="1"/>
  <c r="H514" i="5" l="1"/>
  <c r="E515" i="5" s="1"/>
  <c r="G515" i="5" s="1"/>
  <c r="G514" i="7"/>
  <c r="H514" i="7" s="1"/>
  <c r="E515" i="7" s="1"/>
  <c r="G515" i="7" l="1"/>
  <c r="H515" i="7" s="1"/>
  <c r="E516" i="7" s="1"/>
  <c r="H515" i="5"/>
  <c r="E516" i="5" s="1"/>
  <c r="G516" i="5" s="1"/>
  <c r="H516" i="5" l="1"/>
  <c r="G516" i="7"/>
  <c r="H516" i="7" s="1"/>
  <c r="E517" i="7" l="1"/>
  <c r="E517" i="5"/>
  <c r="G517" i="5" s="1"/>
  <c r="H517" i="5" l="1"/>
  <c r="M1" i="5" s="1" a="1"/>
  <c r="M1" i="5" s="1"/>
  <c r="G2" i="1" s="1"/>
  <c r="E2" i="9" s="1"/>
  <c r="G517" i="7"/>
  <c r="H517" i="7" s="1"/>
  <c r="M1" i="7" s="1" a="1"/>
  <c r="M1" i="7" s="1"/>
  <c r="G2" i="6" s="1"/>
  <c r="H71" i="4"/>
  <c r="H72" i="4" l="1"/>
  <c r="H73" i="4" l="1"/>
  <c r="H74" i="4" l="1"/>
  <c r="H75" i="4" l="1"/>
  <c r="H76" i="4" l="1"/>
  <c r="H77" i="4" l="1"/>
  <c r="H78" i="4" l="1"/>
  <c r="H79" i="4" l="1"/>
  <c r="H80" i="4" l="1"/>
  <c r="H81" i="4" l="1"/>
  <c r="H82" i="4" l="1"/>
  <c r="H83" i="4" l="1"/>
  <c r="H84" i="4" l="1"/>
  <c r="H85" i="4" l="1"/>
  <c r="H86" i="4" l="1"/>
  <c r="H87" i="4" l="1"/>
  <c r="H88" i="4" l="1"/>
  <c r="H89" i="4" l="1"/>
  <c r="H90" i="4" l="1"/>
  <c r="H91" i="4" l="1"/>
  <c r="H92" i="4" l="1"/>
  <c r="H93" i="4" l="1"/>
  <c r="H94" i="4" l="1"/>
  <c r="H95" i="4" l="1"/>
  <c r="H96" i="4" l="1"/>
  <c r="H97" i="4" l="1"/>
  <c r="H98" i="4" l="1"/>
  <c r="H99" i="4" l="1"/>
  <c r="H100" i="4" l="1"/>
  <c r="H101" i="4" l="1"/>
  <c r="H102" i="4" l="1"/>
  <c r="H103" i="4" l="1"/>
  <c r="H104" i="4" l="1"/>
  <c r="H105" i="4" l="1"/>
  <c r="H106" i="4" l="1"/>
  <c r="H107" i="4" l="1"/>
  <c r="H108" i="4" l="1"/>
  <c r="H109" i="4" l="1"/>
  <c r="F2" i="1" l="1"/>
  <c r="H110" i="4"/>
  <c r="H112" i="4" l="1"/>
  <c r="R4" i="4" s="1"/>
  <c r="H111" i="4"/>
  <c r="F2" i="6" l="1"/>
  <c r="H2" i="6" s="1"/>
  <c r="I2" i="6" s="1"/>
  <c r="H2" i="1"/>
  <c r="I2" i="1" l="1"/>
  <c r="D15" i="9" l="1"/>
  <c r="F15" i="9" s="1"/>
  <c r="D23" i="9"/>
  <c r="F23" i="9" s="1"/>
  <c r="D31" i="9"/>
  <c r="F31" i="9" s="1"/>
  <c r="D38" i="9"/>
  <c r="F38" i="9" s="1"/>
  <c r="D11" i="9"/>
  <c r="F11" i="9" s="1"/>
  <c r="D10" i="9"/>
  <c r="F10" i="9" s="1"/>
  <c r="D28" i="9"/>
  <c r="F28" i="9" s="1"/>
  <c r="D16" i="9"/>
  <c r="F16" i="9" s="1"/>
  <c r="D24" i="9"/>
  <c r="F24" i="9" s="1"/>
  <c r="D32" i="9"/>
  <c r="F32" i="9" s="1"/>
  <c r="D39" i="9"/>
  <c r="F39" i="9" s="1"/>
  <c r="D12" i="9"/>
  <c r="F12" i="9" s="1"/>
  <c r="D3" i="9"/>
  <c r="F3" i="9" s="1"/>
  <c r="D17" i="9"/>
  <c r="F17" i="9" s="1"/>
  <c r="D25" i="9"/>
  <c r="F25" i="9" s="1"/>
  <c r="D40" i="9"/>
  <c r="F40" i="9" s="1"/>
  <c r="D4" i="9"/>
  <c r="F4" i="9" s="1"/>
  <c r="D18" i="9"/>
  <c r="F18" i="9" s="1"/>
  <c r="D26" i="9"/>
  <c r="F26" i="9" s="1"/>
  <c r="D33" i="9"/>
  <c r="F33" i="9" s="1"/>
  <c r="D41" i="9"/>
  <c r="F41" i="9" s="1"/>
  <c r="D5" i="9"/>
  <c r="F5" i="9" s="1"/>
  <c r="D19" i="9"/>
  <c r="F19" i="9" s="1"/>
  <c r="D27" i="9"/>
  <c r="F27" i="9" s="1"/>
  <c r="D34" i="9"/>
  <c r="F34" i="9" s="1"/>
  <c r="D42" i="9"/>
  <c r="F42" i="9" s="1"/>
  <c r="D6" i="9"/>
  <c r="F6" i="9" s="1"/>
  <c r="D43" i="9"/>
  <c r="F43" i="9" s="1"/>
  <c r="D21" i="9"/>
  <c r="F21" i="9" s="1"/>
  <c r="D29" i="9"/>
  <c r="F29" i="9" s="1"/>
  <c r="D36" i="9"/>
  <c r="F36" i="9" s="1"/>
  <c r="D44" i="9"/>
  <c r="F44" i="9" s="1"/>
  <c r="D14" i="9"/>
  <c r="F14" i="9" s="1"/>
  <c r="D8" i="9"/>
  <c r="F8" i="9" s="1"/>
  <c r="D20" i="9"/>
  <c r="F20" i="9" s="1"/>
  <c r="D2" i="9"/>
  <c r="F2" i="9" s="1"/>
  <c r="G2" i="9" s="1"/>
  <c r="H2" i="9" s="1"/>
  <c r="E3" i="9" s="1"/>
  <c r="G3" i="9" s="1"/>
  <c r="D22" i="9"/>
  <c r="F22" i="9" s="1"/>
  <c r="D30" i="9"/>
  <c r="F30" i="9" s="1"/>
  <c r="D37" i="9"/>
  <c r="F37" i="9" s="1"/>
  <c r="D45" i="9"/>
  <c r="F45" i="9" s="1"/>
  <c r="D13" i="9"/>
  <c r="F13" i="9" s="1"/>
  <c r="D9" i="9"/>
  <c r="F9" i="9" s="1"/>
  <c r="D35" i="9"/>
  <c r="F35" i="9" s="1"/>
  <c r="D7" i="9"/>
  <c r="F7" i="9" s="1"/>
  <c r="H3" i="9" l="1"/>
  <c r="E4" i="9" s="1"/>
  <c r="G4" i="9" l="1"/>
  <c r="H4" i="9" s="1"/>
  <c r="E5" i="9" s="1"/>
  <c r="G5" i="9" s="1"/>
  <c r="H5" i="9" l="1"/>
  <c r="E6" i="9" l="1"/>
  <c r="G6" i="9" s="1"/>
  <c r="H6" i="9" l="1"/>
  <c r="E7" i="9" l="1"/>
  <c r="G7" i="9" s="1"/>
  <c r="H7" i="9" l="1"/>
  <c r="E8" i="9" l="1"/>
  <c r="G8" i="9" s="1"/>
  <c r="H8" i="9" l="1"/>
  <c r="E9" i="9" l="1"/>
  <c r="G9" i="9" s="1"/>
  <c r="H9" i="9" l="1"/>
  <c r="E10" i="9" l="1"/>
  <c r="G10" i="9" s="1"/>
  <c r="H10" i="9" l="1"/>
  <c r="E11" i="9" l="1"/>
  <c r="G11" i="9" s="1"/>
  <c r="H11" i="9" l="1"/>
  <c r="E12" i="9" s="1"/>
  <c r="G12" i="9" s="1"/>
  <c r="H12" i="9" l="1"/>
  <c r="E13" i="9" l="1"/>
  <c r="G13" i="9" s="1"/>
  <c r="H13" i="9" l="1"/>
  <c r="E14" i="9" l="1"/>
  <c r="G14" i="9" s="1"/>
  <c r="H14" i="9" l="1"/>
  <c r="E15" i="9" l="1"/>
  <c r="G15" i="9" s="1"/>
  <c r="H15" i="9" l="1"/>
  <c r="E16" i="9" s="1"/>
  <c r="G16" i="9" s="1"/>
  <c r="H16" i="9" l="1"/>
  <c r="E17" i="9" s="1"/>
  <c r="G17" i="9" s="1"/>
  <c r="H17" i="9" l="1"/>
  <c r="E18" i="9" s="1"/>
  <c r="G18" i="9" s="1"/>
  <c r="H18" i="9" l="1"/>
  <c r="E19" i="9" s="1"/>
  <c r="G19" i="9" s="1"/>
  <c r="H19" i="9" l="1"/>
  <c r="E20" i="9" l="1"/>
  <c r="G20" i="9" s="1"/>
  <c r="H20" i="9" l="1"/>
  <c r="E21" i="9" s="1"/>
  <c r="G21" i="9" s="1"/>
  <c r="H21" i="9" l="1"/>
  <c r="E22" i="9" s="1"/>
  <c r="G22" i="9" s="1"/>
  <c r="H22" i="9" l="1"/>
  <c r="E23" i="9" l="1"/>
  <c r="G23" i="9" s="1"/>
  <c r="H23" i="9" l="1"/>
  <c r="E24" i="9" s="1"/>
  <c r="G24" i="9" s="1"/>
  <c r="H24" i="9" l="1"/>
  <c r="E25" i="9" s="1"/>
  <c r="G25" i="9" s="1"/>
  <c r="H25" i="9" l="1"/>
  <c r="E26" i="9" s="1"/>
  <c r="G26" i="9" s="1"/>
  <c r="H26" i="9" l="1"/>
  <c r="E27" i="9" s="1"/>
  <c r="G27" i="9" s="1"/>
  <c r="H27" i="9" l="1"/>
  <c r="E28" i="9" l="1"/>
  <c r="G28" i="9" s="1"/>
  <c r="H28" i="9" l="1"/>
  <c r="E29" i="9" s="1"/>
  <c r="G29" i="9" s="1"/>
  <c r="H29" i="9" l="1"/>
  <c r="E30" i="9" s="1"/>
  <c r="G30" i="9" s="1"/>
  <c r="H30" i="9" l="1"/>
  <c r="E31" i="9" l="1"/>
  <c r="G31" i="9" s="1"/>
  <c r="H31" i="9" l="1"/>
  <c r="E32" i="9" s="1"/>
  <c r="G32" i="9" s="1"/>
  <c r="H32" i="9" l="1"/>
  <c r="E33" i="9" s="1"/>
  <c r="G33" i="9" s="1"/>
  <c r="H33" i="9" l="1"/>
  <c r="E34" i="9" s="1"/>
  <c r="G34" i="9" s="1"/>
  <c r="H34" i="9" l="1"/>
  <c r="E35" i="9" s="1"/>
  <c r="G35" i="9" s="1"/>
  <c r="H35" i="9" l="1"/>
  <c r="E36" i="9" l="1"/>
  <c r="G36" i="9" s="1"/>
  <c r="H36" i="9" l="1"/>
  <c r="E37" i="9" s="1"/>
  <c r="G37" i="9" s="1"/>
  <c r="H37" i="9" l="1"/>
  <c r="E38" i="9" s="1"/>
  <c r="G38" i="9" s="1"/>
  <c r="H38" i="9" l="1"/>
  <c r="E39" i="9" s="1"/>
  <c r="G39" i="9" s="1"/>
  <c r="H39" i="9" l="1"/>
  <c r="E40" i="9" s="1"/>
  <c r="G40" i="9" s="1"/>
  <c r="H40" i="9" l="1"/>
  <c r="E41" i="9" s="1"/>
  <c r="G41" i="9" s="1"/>
  <c r="H41" i="9" l="1"/>
  <c r="E42" i="9" s="1"/>
  <c r="G42" i="9" s="1"/>
  <c r="H42" i="9" l="1"/>
  <c r="E43" i="9" s="1"/>
  <c r="G43" i="9" s="1"/>
  <c r="H43" i="9" l="1"/>
  <c r="E44" i="9" l="1"/>
  <c r="G44" i="9" s="1"/>
  <c r="H44" i="9" l="1"/>
  <c r="E45" i="9" s="1"/>
  <c r="G45" i="9" s="1"/>
  <c r="H45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<sst xmlns="http://schemas.openxmlformats.org/spreadsheetml/2006/main" count="303" uniqueCount="122">
  <si>
    <t>Munkába állás kora</t>
  </si>
  <si>
    <t>Paraméter</t>
  </si>
  <si>
    <t>Érték</t>
  </si>
  <si>
    <t>Indoklás</t>
  </si>
  <si>
    <t>Nyugdíjkorhatár</t>
  </si>
  <si>
    <t>Éves bérnövekedés</t>
  </si>
  <si>
    <t>Járulékkulcs</t>
  </si>
  <si>
    <t>Éves hozam</t>
  </si>
  <si>
    <t>Halandóság</t>
  </si>
  <si>
    <t>Férfi</t>
  </si>
  <si>
    <t>Életkor</t>
  </si>
  <si>
    <t>Év</t>
  </si>
  <si>
    <t>Bér</t>
  </si>
  <si>
    <t>Befizetés</t>
  </si>
  <si>
    <t>Nyitó Egyenleg</t>
  </si>
  <si>
    <t>Hozam</t>
  </si>
  <si>
    <t>Záró Egyenleg</t>
  </si>
  <si>
    <t>Year</t>
  </si>
  <si>
    <t>Age</t>
  </si>
  <si>
    <t>mx</t>
  </si>
  <si>
    <t>qx</t>
  </si>
  <si>
    <t>ax</t>
  </si>
  <si>
    <t>lx</t>
  </si>
  <si>
    <t>dx</t>
  </si>
  <si>
    <t>Lx</t>
  </si>
  <si>
    <t>Tx</t>
  </si>
  <si>
    <t>110+</t>
  </si>
  <si>
    <t>2026,01,22</t>
  </si>
  <si>
    <t>2026,01,12</t>
  </si>
  <si>
    <t>2026,01,13</t>
  </si>
  <si>
    <t>2026,01,18</t>
  </si>
  <si>
    <t>2026,01,23</t>
  </si>
  <si>
    <t>2026,01,19</t>
  </si>
  <si>
    <t>2026,01,20</t>
  </si>
  <si>
    <t>2026,01,17</t>
  </si>
  <si>
    <t>2026,01,21</t>
  </si>
  <si>
    <t>2026,01,11</t>
  </si>
  <si>
    <t>2026,01,27</t>
  </si>
  <si>
    <t>2026,01,31</t>
  </si>
  <si>
    <t>2026,01,25</t>
  </si>
  <si>
    <t>2026,01,26</t>
  </si>
  <si>
    <t>2026,01,28</t>
  </si>
  <si>
    <t>2026,01,30</t>
  </si>
  <si>
    <t>2026,01,29</t>
  </si>
  <si>
    <t>px_65</t>
  </si>
  <si>
    <t>px</t>
  </si>
  <si>
    <t>v_65</t>
  </si>
  <si>
    <t>px_65*v_65</t>
  </si>
  <si>
    <t>Járadéktag</t>
  </si>
  <si>
    <t>Hónap</t>
  </si>
  <si>
    <t>Nyugdíj előtti záró egyenleg</t>
  </si>
  <si>
    <t>Éves induló nyugdíj</t>
  </si>
  <si>
    <t>Havi induló nyugdíj</t>
  </si>
  <si>
    <t>Medior béremelkedés: 15%</t>
  </si>
  <si>
    <t>Senoir bér emelkedés: 20%</t>
  </si>
  <si>
    <t>Junior éves bér (életkor 24-27)</t>
  </si>
  <si>
    <t>Senior éves bér (életkor 33-64)</t>
  </si>
  <si>
    <t>Medior éves bér (életkor 28-30)</t>
  </si>
  <si>
    <t>Éves kihagyás (életkor 40 év)</t>
  </si>
  <si>
    <t>Váratlan 1 éves kihagyás</t>
  </si>
  <si>
    <t>Pézügyi elemző medián körüli kezdőfizetés</t>
  </si>
  <si>
    <t>diploma megszerzés éve, munkakezdés éve</t>
  </si>
  <si>
    <t>Várható nyugdíjkorhatár, demográfiai kürölményeknek köszönhetően</t>
  </si>
  <si>
    <t>Férfi haladnósági tábla használata</t>
  </si>
  <si>
    <t>Medior éves bér (életkor 28-32)</t>
  </si>
  <si>
    <t>Modellparaméterként választott, saját célú nyugdíjmegtakarítási ráta</t>
  </si>
  <si>
    <t>Konzervatív, 3%-os középtávú inflációs célhoz közeli érték</t>
  </si>
  <si>
    <t>konzervatív, állampapír mai hozamához (6,98%-hoz) képest kisebb</t>
  </si>
  <si>
    <t>Munkába állás kora (év)</t>
  </si>
  <si>
    <t>Nyugdíjkorhatár (év)</t>
  </si>
  <si>
    <t>Konzervatív, 3%-os középtávú inflációs célhoz alatti érték</t>
  </si>
  <si>
    <t>Változás</t>
  </si>
  <si>
    <t>10%-os egyszeri béremelés</t>
  </si>
  <si>
    <t>10%-os egyszeri béremelkedés</t>
  </si>
  <si>
    <t>Nyilvános béradatok alapján választott mediánközeli bruttó bér</t>
  </si>
  <si>
    <t>15%-os egyszeri karrierszintváltási béremelés utáni bruttó bér</t>
  </si>
  <si>
    <t>20%-os egyszeri karrierszintváltási béremelés utáni bruttó bér</t>
  </si>
  <si>
    <t>Konzervatív nominális hozam, a hosszú állampapírhozamok alatt</t>
  </si>
  <si>
    <t>2020-as magyar férfi halandósági tábla alapján</t>
  </si>
  <si>
    <t>Változtatás</t>
  </si>
  <si>
    <t>Alap</t>
  </si>
  <si>
    <t>Összes</t>
  </si>
  <si>
    <t>Egyszeri béremelések</t>
  </si>
  <si>
    <t>2%-ra csökkenés</t>
  </si>
  <si>
    <t>5%-ra csökkenés</t>
  </si>
  <si>
    <t>5%-ra emelkedés</t>
  </si>
  <si>
    <t>10%-ra emelés</t>
  </si>
  <si>
    <t>3%-ra csökkenés</t>
  </si>
  <si>
    <t>px_67</t>
  </si>
  <si>
    <t>v_67</t>
  </si>
  <si>
    <t>px_67*v_67</t>
  </si>
  <si>
    <t>px_69</t>
  </si>
  <si>
    <t>v_69</t>
  </si>
  <si>
    <t>px_69*v_69</t>
  </si>
  <si>
    <t>65 év</t>
  </si>
  <si>
    <t>69 év</t>
  </si>
  <si>
    <t>67 év</t>
  </si>
  <si>
    <t>6%-ra emelkedés</t>
  </si>
  <si>
    <t xml:space="preserve">Eltérés </t>
  </si>
  <si>
    <t>Százalékos eltérés</t>
  </si>
  <si>
    <t>10%: Medior, Senior</t>
  </si>
  <si>
    <t>22%: Medior, Senior</t>
  </si>
  <si>
    <t>tp67</t>
  </si>
  <si>
    <t>Várható kifizetés</t>
  </si>
  <si>
    <t>Magyarországon élő férfi népesség halandósági táblája 1950 és 2020 között</t>
  </si>
  <si>
    <t>Forrás:</t>
  </si>
  <si>
    <t>Mortiality.org</t>
  </si>
  <si>
    <t>Human Mortality Database, Hungary, Life tables (period 1x1), Males, 1950–2020</t>
  </si>
  <si>
    <t>Magyarországon élő férfi népesség halandósági táblájának 2020-ra vontakozó részlete</t>
  </si>
  <si>
    <t>px67</t>
  </si>
  <si>
    <t>egyéves halálozási valószínűség</t>
  </si>
  <si>
    <t>az adott életkort megérők száma egy standard népességből</t>
  </si>
  <si>
    <t>egyéves túlélési valószínűség</t>
  </si>
  <si>
    <t>px=1-qx</t>
  </si>
  <si>
    <t>a 67 éves kortól vett kumulált túlélési valószínűség</t>
  </si>
  <si>
    <t>a 67 éves kortól vett diszkontfaktor</t>
  </si>
  <si>
    <t>a járadéktag egyes tagjai</t>
  </si>
  <si>
    <t>A 2020-as magyar férfi halandósági tábla alapján számított túlélési valószínűségek és diszkontált értékek. A 65, 67 és 69 éves nyugdíjba lépési korhoz tartozó járadéktag ezek összegeként adódik.</t>
  </si>
  <si>
    <t>Az alapmodellemhez a 67 éves nyugdíjkorhatárt hazsnáltam és a járadéktag kiszámításához aktuáriusi logikát követtem.</t>
  </si>
  <si>
    <t>A 65 és 69 éves nyugdíjkorhatár használata az érzékenységvizsgálathoz volt szükséges</t>
  </si>
  <si>
    <t>Megjegyzések:</t>
  </si>
  <si>
    <t>Fontos értékek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</si>
</sst>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#,##0.00\ &quot;Ft&quot;"/>
    <numFmt numFmtId="172" formatCode="#,##0\ &quot;Ft&quot;"/>
    <numFmt numFmtId="173" formatCode="0.0%"/>
    <numFmt numFmtId="178" formatCode="0.0000"/>
    <numFmt numFmtId="179" formatCode="0.000"/>
  </numFmts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0"/>
      <color rgb="FF000000"/>
      <name val="Arial Unicode MS"/>
    </font>
    <font>
      <sz val="8"/>
      <name val="Aptos Narrow"/>
      <family val="2"/>
      <charset val="238"/>
      <scheme val="minor"/>
    </font>
    <font>
      <sz val="11"/>
      <color theme="2" tint="-0.499984740745262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" fontId="0" fillId="0" borderId="0" xfId="0" applyNumberFormat="1"/>
    <xf numFmtId="0" fontId="3" fillId="0" borderId="1" xfId="0" applyFont="1" applyBorder="1" applyAlignment="1">
      <alignment vertical="center"/>
    </xf>
    <xf numFmtId="0" fontId="0" fillId="0" borderId="1" xfId="0" applyBorder="1"/>
    <xf numFmtId="170" fontId="0" fillId="0" borderId="0" xfId="0" applyNumberFormat="1"/>
    <xf numFmtId="172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2" borderId="0" xfId="0" applyFill="1"/>
    <xf numFmtId="172" fontId="0" fillId="2" borderId="0" xfId="0" applyNumberFormat="1" applyFill="1"/>
    <xf numFmtId="0" fontId="3" fillId="0" borderId="0" xfId="0" applyFont="1" applyBorder="1" applyAlignment="1">
      <alignment vertic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178" fontId="0" fillId="0" borderId="0" xfId="0" applyNumberFormat="1"/>
    <xf numFmtId="179" fontId="0" fillId="0" borderId="0" xfId="0" applyNumberFormat="1"/>
    <xf numFmtId="170" fontId="0" fillId="2" borderId="0" xfId="0" applyNumberFormat="1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3" fontId="0" fillId="0" borderId="7" xfId="0" applyNumberFormat="1" applyBorder="1"/>
    <xf numFmtId="0" fontId="0" fillId="0" borderId="8" xfId="0" applyBorder="1"/>
    <xf numFmtId="172" fontId="0" fillId="0" borderId="7" xfId="0" applyNumberFormat="1" applyBorder="1"/>
    <xf numFmtId="9" fontId="0" fillId="0" borderId="7" xfId="1" applyFont="1" applyBorder="1"/>
    <xf numFmtId="0" fontId="0" fillId="0" borderId="7" xfId="0" applyBorder="1" applyAlignment="1">
      <alignment horizontal="right"/>
    </xf>
    <xf numFmtId="0" fontId="0" fillId="0" borderId="7" xfId="0" applyBorder="1"/>
    <xf numFmtId="173" fontId="0" fillId="0" borderId="7" xfId="1" applyNumberFormat="1" applyFont="1" applyBorder="1" applyAlignment="1">
      <alignment horizontal="right"/>
    </xf>
    <xf numFmtId="9" fontId="0" fillId="0" borderId="7" xfId="1" applyNumberFormat="1" applyFont="1" applyBorder="1"/>
    <xf numFmtId="172" fontId="0" fillId="0" borderId="7" xfId="1" applyNumberFormat="1" applyFont="1" applyBorder="1"/>
    <xf numFmtId="0" fontId="0" fillId="0" borderId="6" xfId="0" applyBorder="1" applyAlignment="1">
      <alignment vertical="top"/>
    </xf>
    <xf numFmtId="3" fontId="0" fillId="0" borderId="7" xfId="0" applyNumberFormat="1" applyBorder="1" applyAlignment="1">
      <alignment vertical="top"/>
    </xf>
    <xf numFmtId="0" fontId="0" fillId="0" borderId="8" xfId="0" applyBorder="1" applyAlignment="1">
      <alignment vertical="top" wrapText="1"/>
    </xf>
    <xf numFmtId="172" fontId="0" fillId="0" borderId="7" xfId="0" applyNumberFormat="1" applyBorder="1" applyAlignment="1">
      <alignment vertical="top"/>
    </xf>
    <xf numFmtId="9" fontId="0" fillId="0" borderId="7" xfId="1" applyFont="1" applyBorder="1" applyAlignment="1">
      <alignment vertical="top"/>
    </xf>
    <xf numFmtId="173" fontId="0" fillId="0" borderId="7" xfId="1" applyNumberFormat="1" applyFont="1" applyBorder="1" applyAlignment="1">
      <alignment vertical="top"/>
    </xf>
    <xf numFmtId="0" fontId="0" fillId="0" borderId="7" xfId="0" applyBorder="1" applyAlignment="1">
      <alignment horizontal="right" vertical="top"/>
    </xf>
    <xf numFmtId="170" fontId="0" fillId="3" borderId="0" xfId="0" applyNumberFormat="1" applyFill="1"/>
    <xf numFmtId="170" fontId="0" fillId="0" borderId="7" xfId="0" applyNumberFormat="1" applyBorder="1"/>
    <xf numFmtId="0" fontId="0" fillId="0" borderId="3" xfId="0" applyFill="1" applyBorder="1" applyAlignment="1">
      <alignment horizontal="center"/>
    </xf>
    <xf numFmtId="9" fontId="0" fillId="0" borderId="8" xfId="1" applyFont="1" applyBorder="1"/>
    <xf numFmtId="170" fontId="0" fillId="3" borderId="7" xfId="0" applyNumberFormat="1" applyFill="1" applyBorder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2" fillId="0" borderId="0" xfId="2"/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3">
    <cellStyle name="Hivatkozás" xfId="2" builtinId="8"/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ortality.org/Country/Country?cntr=H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B5BB-DADF-460B-9FAE-06B9F5D5001D}">
  <dimension ref="A1:I11"/>
  <sheetViews>
    <sheetView showGridLines="0" workbookViewId="0">
      <selection activeCell="F12" sqref="F12"/>
    </sheetView>
  </sheetViews>
  <sheetFormatPr defaultRowHeight="14.4"/>
  <cols>
    <col min="1" max="1" width="28.44140625" customWidth="1"/>
    <col min="2" max="2" width="15.21875" bestFit="1" customWidth="1"/>
    <col min="3" max="3" width="57.6640625" customWidth="1"/>
    <col min="6" max="9" width="21.33203125" customWidth="1"/>
  </cols>
  <sheetData>
    <row r="1" spans="1:9" ht="31.8" customHeight="1">
      <c r="A1" s="19" t="s">
        <v>1</v>
      </c>
      <c r="B1" s="20" t="s">
        <v>2</v>
      </c>
      <c r="C1" s="21" t="s">
        <v>3</v>
      </c>
      <c r="F1" s="14" t="s">
        <v>48</v>
      </c>
      <c r="G1" s="15" t="s">
        <v>50</v>
      </c>
      <c r="H1" s="14" t="s">
        <v>51</v>
      </c>
      <c r="I1" s="14" t="s">
        <v>52</v>
      </c>
    </row>
    <row r="2" spans="1:9">
      <c r="A2" s="32" t="s">
        <v>68</v>
      </c>
      <c r="B2" s="33">
        <v>24</v>
      </c>
      <c r="C2" s="34" t="s">
        <v>61</v>
      </c>
      <c r="F2">
        <f>SUM('Tábla 2020'!H64:H109)</f>
        <v>9.6419954183072889</v>
      </c>
      <c r="G2" s="6">
        <f>'Havi számolás'!M1</f>
        <v>204494802.19868547</v>
      </c>
      <c r="H2" s="6">
        <f>G2/F2</f>
        <v>21208763.676698133</v>
      </c>
      <c r="I2" s="18">
        <f>H2/12</f>
        <v>1767396.9730581779</v>
      </c>
    </row>
    <row r="3" spans="1:9">
      <c r="A3" s="32" t="s">
        <v>69</v>
      </c>
      <c r="B3" s="33">
        <v>67</v>
      </c>
      <c r="C3" s="34" t="s">
        <v>62</v>
      </c>
    </row>
    <row r="4" spans="1:9">
      <c r="A4" s="32" t="s">
        <v>55</v>
      </c>
      <c r="B4" s="35">
        <f>12*820000</f>
        <v>9840000</v>
      </c>
      <c r="C4" s="34" t="s">
        <v>74</v>
      </c>
    </row>
    <row r="5" spans="1:9">
      <c r="A5" s="32" t="s">
        <v>64</v>
      </c>
      <c r="B5" s="35">
        <f>'Havi számolás'!D49*12*1.15</f>
        <v>12365298.731999999</v>
      </c>
      <c r="C5" s="34" t="s">
        <v>75</v>
      </c>
    </row>
    <row r="6" spans="1:9">
      <c r="A6" s="32" t="s">
        <v>56</v>
      </c>
      <c r="B6" s="35">
        <f>'Havi számolás'!D109*12*1.2</f>
        <v>16700703.193377391</v>
      </c>
      <c r="C6" s="34" t="s">
        <v>76</v>
      </c>
    </row>
    <row r="7" spans="1:9">
      <c r="A7" s="32" t="s">
        <v>5</v>
      </c>
      <c r="B7" s="36">
        <v>0.03</v>
      </c>
      <c r="C7" s="34" t="s">
        <v>66</v>
      </c>
    </row>
    <row r="8" spans="1:9">
      <c r="A8" s="32" t="s">
        <v>6</v>
      </c>
      <c r="B8" s="36">
        <v>0.08</v>
      </c>
      <c r="C8" s="34" t="s">
        <v>65</v>
      </c>
    </row>
    <row r="9" spans="1:9">
      <c r="A9" s="32" t="s">
        <v>7</v>
      </c>
      <c r="B9" s="37">
        <v>4.4999999999999998E-2</v>
      </c>
      <c r="C9" s="34" t="s">
        <v>77</v>
      </c>
    </row>
    <row r="10" spans="1:9">
      <c r="A10" s="32" t="s">
        <v>8</v>
      </c>
      <c r="B10" s="38" t="s">
        <v>9</v>
      </c>
      <c r="C10" s="34" t="s">
        <v>78</v>
      </c>
    </row>
    <row r="11" spans="1:9">
      <c r="C1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91E3-A417-4E0A-9C6E-983D24229F0B}">
  <dimension ref="A1:M525"/>
  <sheetViews>
    <sheetView workbookViewId="0">
      <selection activeCell="F410" sqref="F410"/>
    </sheetView>
  </sheetViews>
  <sheetFormatPr defaultRowHeight="14.4"/>
  <cols>
    <col min="4" max="4" width="11.5546875" bestFit="1" customWidth="1"/>
    <col min="5" max="5" width="15.6640625" customWidth="1"/>
    <col min="6" max="8" width="13.44140625" customWidth="1"/>
    <col min="12" max="12" width="12.109375" customWidth="1"/>
    <col min="13" max="13" width="15.21875" bestFit="1" customWidth="1"/>
  </cols>
  <sheetData>
    <row r="1" spans="1:13" ht="29.4" thickBot="1">
      <c r="A1" s="9" t="s">
        <v>11</v>
      </c>
      <c r="B1" s="9" t="s">
        <v>10</v>
      </c>
      <c r="C1" s="9" t="s">
        <v>49</v>
      </c>
      <c r="D1" s="9" t="s">
        <v>12</v>
      </c>
      <c r="E1" s="9" t="s">
        <v>14</v>
      </c>
      <c r="F1" s="9" t="s">
        <v>13</v>
      </c>
      <c r="G1" s="9" t="s">
        <v>15</v>
      </c>
      <c r="H1" s="9" t="s">
        <v>16</v>
      </c>
      <c r="L1" s="8" t="s">
        <v>50</v>
      </c>
      <c r="M1" s="6" cm="1">
        <f t="array" ref="M1">LOOKUP(2,1/(H:H&lt;&gt;""),H:H)</f>
        <v>204494802.19868547</v>
      </c>
    </row>
    <row r="2" spans="1:13" ht="15" thickTop="1">
      <c r="A2">
        <f>INT((ROW(A1)-1)/12+2028)</f>
        <v>2028</v>
      </c>
      <c r="B2">
        <f>INT((A2-2004)+(C2-1)/12)</f>
        <v>24</v>
      </c>
      <c r="C2">
        <v>1</v>
      </c>
      <c r="D2" s="7">
        <f>Eredmények!$B$4/12*(1+Eredmények!$B$7)^('Havi számolás'!B2-24)</f>
        <v>820000</v>
      </c>
      <c r="E2" s="7">
        <v>0</v>
      </c>
      <c r="F2" s="7">
        <f>Eredmények!$B$8*D2</f>
        <v>65600</v>
      </c>
      <c r="G2" s="7">
        <f>SUM(E2:F2)*((1+Eredmények!$B$9)^(1/12)-1)</f>
        <v>241.06749666865744</v>
      </c>
      <c r="H2" s="7">
        <f>E2+F2+G2</f>
        <v>65841.067496668664</v>
      </c>
    </row>
    <row r="3" spans="1:13">
      <c r="A3">
        <f t="shared" ref="A3:A66" si="0">INT((ROW(A2)-1)/12+2028)</f>
        <v>2028</v>
      </c>
      <c r="B3">
        <f t="shared" ref="B3:B66" si="1">INT((A3-2004)+(C3-1)/12)</f>
        <v>24</v>
      </c>
      <c r="C3">
        <v>2</v>
      </c>
      <c r="D3" s="7">
        <f>Eredmények!$B$4/12*(1+Eredmények!$B$7)^('Havi számolás'!B3-24)</f>
        <v>820000</v>
      </c>
      <c r="E3" s="7">
        <f>H2</f>
        <v>65841.067496668664</v>
      </c>
      <c r="F3" s="7">
        <f>Eredmények!$B$8*D3</f>
        <v>65600</v>
      </c>
      <c r="G3" s="7">
        <f>SUM(E3:F3)*((1+Eredmények!$B$9)^(1/12)-1)</f>
        <v>483.02087044021272</v>
      </c>
      <c r="H3" s="7">
        <f t="shared" ref="H3:H66" si="2">E3+F3+G3</f>
        <v>131924.08836710887</v>
      </c>
    </row>
    <row r="4" spans="1:13">
      <c r="A4">
        <f t="shared" si="0"/>
        <v>2028</v>
      </c>
      <c r="B4">
        <f t="shared" si="1"/>
        <v>24</v>
      </c>
      <c r="C4">
        <v>3</v>
      </c>
      <c r="D4" s="7">
        <f>Eredmények!$B$4/12*(1+Eredmények!$B$7)^('Havi számolás'!B4-24)</f>
        <v>820000</v>
      </c>
      <c r="E4" s="7">
        <f>H3</f>
        <v>131924.08836710887</v>
      </c>
      <c r="F4" s="7">
        <f>Eredmények!$B$8*D4</f>
        <v>65600</v>
      </c>
      <c r="G4" s="7">
        <f>SUM(E4:F4)*((1+Eredmények!$B$9)^(1/12)-1)</f>
        <v>725.86337674417098</v>
      </c>
      <c r="H4" s="7">
        <f t="shared" si="2"/>
        <v>198249.95174385305</v>
      </c>
    </row>
    <row r="5" spans="1:13">
      <c r="A5">
        <f t="shared" si="0"/>
        <v>2028</v>
      </c>
      <c r="B5">
        <f t="shared" si="1"/>
        <v>24</v>
      </c>
      <c r="C5">
        <v>4</v>
      </c>
      <c r="D5" s="7">
        <f>Eredmények!$B$4/12*(1+Eredmények!$B$7)^('Havi számolás'!B5-24)</f>
        <v>820000</v>
      </c>
      <c r="E5" s="7">
        <f t="shared" ref="E5:E68" si="3">H4</f>
        <v>198249.95174385305</v>
      </c>
      <c r="F5" s="7">
        <f>Eredmények!$B$8*D5</f>
        <v>65600</v>
      </c>
      <c r="G5" s="7">
        <f>SUM(E5:F5)*((1+Eredmények!$B$9)^(1/12)-1)</f>
        <v>969.59828297312083</v>
      </c>
      <c r="H5" s="7">
        <f t="shared" si="2"/>
        <v>264819.55002682615</v>
      </c>
    </row>
    <row r="6" spans="1:13">
      <c r="A6">
        <f t="shared" si="0"/>
        <v>2028</v>
      </c>
      <c r="B6">
        <f t="shared" si="1"/>
        <v>24</v>
      </c>
      <c r="C6">
        <v>5</v>
      </c>
      <c r="D6" s="7">
        <f>Eredmények!$B$4/12*(1+Eredmények!$B$7)^('Havi számolás'!B6-24)</f>
        <v>820000</v>
      </c>
      <c r="E6" s="7">
        <f t="shared" si="3"/>
        <v>264819.55002682615</v>
      </c>
      <c r="F6" s="7">
        <f>Eredmények!$B$8*D6</f>
        <v>65600</v>
      </c>
      <c r="G6" s="7">
        <f>SUM(E6:F6)*((1+Eredmények!$B$9)^(1/12)-1)</f>
        <v>1214.2288685266954</v>
      </c>
      <c r="H6" s="7">
        <f t="shared" si="2"/>
        <v>331633.77889535285</v>
      </c>
    </row>
    <row r="7" spans="1:13">
      <c r="A7">
        <f t="shared" si="0"/>
        <v>2028</v>
      </c>
      <c r="B7">
        <f t="shared" si="1"/>
        <v>24</v>
      </c>
      <c r="C7">
        <v>6</v>
      </c>
      <c r="D7" s="7">
        <f>Eredmények!$B$4/12*(1+Eredmények!$B$7)^('Havi számolás'!B7-24)</f>
        <v>820000</v>
      </c>
      <c r="E7" s="7">
        <f t="shared" si="3"/>
        <v>331633.77889535285</v>
      </c>
      <c r="F7" s="7">
        <f>Eredmények!$B$8*D7</f>
        <v>65600</v>
      </c>
      <c r="G7" s="7">
        <f>SUM(E7:F7)*((1+Eredmények!$B$9)^(1/12)-1)</f>
        <v>1459.7584248556964</v>
      </c>
      <c r="H7" s="7">
        <f t="shared" si="2"/>
        <v>398693.53732020856</v>
      </c>
    </row>
    <row r="8" spans="1:13">
      <c r="A8">
        <f t="shared" si="0"/>
        <v>2028</v>
      </c>
      <c r="B8">
        <f t="shared" si="1"/>
        <v>24</v>
      </c>
      <c r="C8">
        <v>7</v>
      </c>
      <c r="D8" s="7">
        <f>Eredmények!$B$4/12*(1+Eredmények!$B$7)^('Havi számolás'!B8-24)</f>
        <v>820000</v>
      </c>
      <c r="E8" s="7">
        <f t="shared" si="3"/>
        <v>398693.53732020856</v>
      </c>
      <c r="F8" s="7">
        <f>Eredmények!$B$8*D8</f>
        <v>65600</v>
      </c>
      <c r="G8" s="7">
        <f>SUM(E8:F8)*((1+Eredmények!$B$9)^(1/12)-1)</f>
        <v>1706.1902555063805</v>
      </c>
      <c r="H8" s="7">
        <f t="shared" si="2"/>
        <v>465999.72757571493</v>
      </c>
    </row>
    <row r="9" spans="1:13">
      <c r="A9">
        <f t="shared" si="0"/>
        <v>2028</v>
      </c>
      <c r="B9">
        <f t="shared" si="1"/>
        <v>24</v>
      </c>
      <c r="C9">
        <v>8</v>
      </c>
      <c r="D9" s="7">
        <f>Eredmények!$B$4/12*(1+Eredmények!$B$7)^('Havi számolás'!B9-24)</f>
        <v>820000</v>
      </c>
      <c r="E9" s="7">
        <f t="shared" si="3"/>
        <v>465999.72757571493</v>
      </c>
      <c r="F9" s="7">
        <f>Eredmények!$B$8*D9</f>
        <v>65600</v>
      </c>
      <c r="G9" s="7">
        <f>SUM(E9:F9)*((1+Eredmények!$B$9)^(1/12)-1)</f>
        <v>1953.5276761649066</v>
      </c>
      <c r="H9" s="7">
        <f t="shared" si="2"/>
        <v>533553.2552518798</v>
      </c>
    </row>
    <row r="10" spans="1:13">
      <c r="A10">
        <f t="shared" si="0"/>
        <v>2028</v>
      </c>
      <c r="B10">
        <f t="shared" si="1"/>
        <v>24</v>
      </c>
      <c r="C10">
        <v>9</v>
      </c>
      <c r="D10" s="7">
        <f>Eredmények!$B$4/12*(1+Eredmények!$B$7)^('Havi számolás'!B10-24)</f>
        <v>820000</v>
      </c>
      <c r="E10" s="7">
        <f t="shared" si="3"/>
        <v>533553.2552518798</v>
      </c>
      <c r="F10" s="7">
        <f>Eredmények!$B$8*D10</f>
        <v>65600</v>
      </c>
      <c r="G10" s="7">
        <f>SUM(E10:F10)*((1+Eredmények!$B$9)^(1/12)-1)</f>
        <v>2201.7740147019481</v>
      </c>
      <c r="H10" s="7">
        <f t="shared" si="2"/>
        <v>601355.02926658175</v>
      </c>
    </row>
    <row r="11" spans="1:13">
      <c r="A11">
        <f t="shared" si="0"/>
        <v>2028</v>
      </c>
      <c r="B11">
        <f t="shared" si="1"/>
        <v>24</v>
      </c>
      <c r="C11">
        <v>10</v>
      </c>
      <c r="D11" s="7">
        <f>Eredmények!$B$4/12*(1+Eredmények!$B$7)^('Havi számolás'!B11-24)</f>
        <v>820000</v>
      </c>
      <c r="E11" s="7">
        <f t="shared" si="3"/>
        <v>601355.02926658175</v>
      </c>
      <c r="F11" s="7">
        <f>Eredmények!$B$8*D11</f>
        <v>65600</v>
      </c>
      <c r="G11" s="7">
        <f>SUM(E11:F11)*((1+Eredmények!$B$9)^(1/12)-1)</f>
        <v>2450.9326112174699</v>
      </c>
      <c r="H11" s="7">
        <f t="shared" si="2"/>
        <v>669405.96187779924</v>
      </c>
    </row>
    <row r="12" spans="1:13">
      <c r="A12">
        <f t="shared" si="0"/>
        <v>2028</v>
      </c>
      <c r="B12">
        <f t="shared" si="1"/>
        <v>24</v>
      </c>
      <c r="C12">
        <v>11</v>
      </c>
      <c r="D12" s="7">
        <f>Eredmények!$B$4/12*(1+Eredmények!$B$7)^('Havi számolás'!B12-24)</f>
        <v>820000</v>
      </c>
      <c r="E12" s="7">
        <f t="shared" si="3"/>
        <v>669405.96187779924</v>
      </c>
      <c r="F12" s="7">
        <f>Eredmények!$B$8*D12</f>
        <v>65600</v>
      </c>
      <c r="G12" s="7">
        <f>SUM(E12:F12)*((1+Eredmények!$B$9)^(1/12)-1)</f>
        <v>2701.0068180856665</v>
      </c>
      <c r="H12" s="7">
        <f t="shared" si="2"/>
        <v>737706.96869588492</v>
      </c>
    </row>
    <row r="13" spans="1:13">
      <c r="A13">
        <f t="shared" si="0"/>
        <v>2028</v>
      </c>
      <c r="B13">
        <f t="shared" si="1"/>
        <v>24</v>
      </c>
      <c r="C13">
        <v>12</v>
      </c>
      <c r="D13" s="7">
        <f>Eredmények!$B$4/12*(1+Eredmények!$B$7)^('Havi számolás'!B13-24)</f>
        <v>820000</v>
      </c>
      <c r="E13" s="7">
        <f t="shared" si="3"/>
        <v>737706.96869588492</v>
      </c>
      <c r="F13" s="7">
        <f>Eredmények!$B$8*D13</f>
        <v>65600</v>
      </c>
      <c r="G13" s="7">
        <f>SUM(E13:F13)*((1+Eredmények!$B$9)^(1/12)-1)</f>
        <v>2952.0000000000696</v>
      </c>
      <c r="H13" s="7">
        <f t="shared" si="2"/>
        <v>806258.96869588504</v>
      </c>
    </row>
    <row r="14" spans="1:13">
      <c r="A14">
        <f t="shared" si="0"/>
        <v>2029</v>
      </c>
      <c r="B14">
        <f t="shared" si="1"/>
        <v>25</v>
      </c>
      <c r="C14">
        <f>C2</f>
        <v>1</v>
      </c>
      <c r="D14" s="7">
        <f>Eredmények!$B$4/12*(1+Eredmények!$B$7)^('Havi számolás'!B14-24)</f>
        <v>844600</v>
      </c>
      <c r="E14" s="7">
        <f t="shared" si="3"/>
        <v>806258.96869588504</v>
      </c>
      <c r="F14" s="7">
        <f>Eredmények!$B$8*D14</f>
        <v>67568</v>
      </c>
      <c r="G14" s="7">
        <f>SUM(E14:F14)*((1+Eredmények!$B$9)^(1/12)-1)</f>
        <v>3211.1475589188767</v>
      </c>
      <c r="H14" s="7">
        <f t="shared" si="2"/>
        <v>877038.11625480396</v>
      </c>
    </row>
    <row r="15" spans="1:13">
      <c r="A15">
        <f t="shared" si="0"/>
        <v>2029</v>
      </c>
      <c r="B15">
        <f t="shared" si="1"/>
        <v>25</v>
      </c>
      <c r="C15">
        <f t="shared" ref="C15:C78" si="4">C3</f>
        <v>2</v>
      </c>
      <c r="D15" s="7">
        <f>Eredmények!$B$4/12*(1+Eredmények!$B$7)^('Havi számolás'!B15-24)</f>
        <v>844600</v>
      </c>
      <c r="E15" s="7">
        <f t="shared" si="3"/>
        <v>877038.11625480396</v>
      </c>
      <c r="F15" s="7">
        <f>Eredmények!$B$8*D15</f>
        <v>67568</v>
      </c>
      <c r="G15" s="7">
        <f>SUM(E15:F15)*((1+Eredmények!$B$9)^(1/12)-1)</f>
        <v>3471.2474357232991</v>
      </c>
      <c r="H15" s="7">
        <f t="shared" si="2"/>
        <v>948077.36369052727</v>
      </c>
    </row>
    <row r="16" spans="1:13">
      <c r="A16">
        <f t="shared" si="0"/>
        <v>2029</v>
      </c>
      <c r="B16">
        <f t="shared" si="1"/>
        <v>25</v>
      </c>
      <c r="C16">
        <f t="shared" si="4"/>
        <v>3</v>
      </c>
      <c r="D16" s="7">
        <f>Eredmények!$B$4/12*(1+Eredmények!$B$7)^('Havi számolás'!B16-24)</f>
        <v>844600</v>
      </c>
      <c r="E16" s="7">
        <f t="shared" si="3"/>
        <v>948077.36369052727</v>
      </c>
      <c r="F16" s="7">
        <f>Eredmények!$B$8*D16</f>
        <v>67568</v>
      </c>
      <c r="G16" s="7">
        <f>SUM(E16:F16)*((1+Eredmények!$B$9)^(1/12)-1)</f>
        <v>3732.3031300000544</v>
      </c>
      <c r="H16" s="7">
        <f t="shared" si="2"/>
        <v>1019377.6668205273</v>
      </c>
    </row>
    <row r="17" spans="1:8">
      <c r="A17">
        <f t="shared" si="0"/>
        <v>2029</v>
      </c>
      <c r="B17">
        <f t="shared" si="1"/>
        <v>25</v>
      </c>
      <c r="C17">
        <f t="shared" si="4"/>
        <v>4</v>
      </c>
      <c r="D17" s="7">
        <f>Eredmények!$B$4/12*(1+Eredmények!$B$7)^('Havi számolás'!B17-24)</f>
        <v>844600</v>
      </c>
      <c r="E17" s="7">
        <f t="shared" si="3"/>
        <v>1019377.6668205273</v>
      </c>
      <c r="F17" s="7">
        <f>Eredmények!$B$8*D17</f>
        <v>67568</v>
      </c>
      <c r="G17" s="7">
        <f>SUM(E17:F17)*((1+Eredmények!$B$9)^(1/12)-1)</f>
        <v>3994.3181541961758</v>
      </c>
      <c r="H17" s="7">
        <f t="shared" si="2"/>
        <v>1090939.9849747235</v>
      </c>
    </row>
    <row r="18" spans="1:8">
      <c r="A18">
        <f t="shared" si="0"/>
        <v>2029</v>
      </c>
      <c r="B18">
        <f t="shared" si="1"/>
        <v>25</v>
      </c>
      <c r="C18">
        <f t="shared" si="4"/>
        <v>5</v>
      </c>
      <c r="D18" s="7">
        <f>Eredmények!$B$4/12*(1+Eredmények!$B$7)^('Havi számolás'!B18-24)</f>
        <v>844600</v>
      </c>
      <c r="E18" s="7">
        <f t="shared" si="3"/>
        <v>1090939.9849747235</v>
      </c>
      <c r="F18" s="7">
        <f>Eredmények!$B$8*D18</f>
        <v>67568</v>
      </c>
      <c r="G18" s="7">
        <f>SUM(E18:F18)*((1+Eredmények!$B$9)^(1/12)-1)</f>
        <v>4257.2960336662691</v>
      </c>
      <c r="H18" s="7">
        <f t="shared" si="2"/>
        <v>1162765.2810083898</v>
      </c>
    </row>
    <row r="19" spans="1:8">
      <c r="A19">
        <f t="shared" si="0"/>
        <v>2029</v>
      </c>
      <c r="B19">
        <f t="shared" si="1"/>
        <v>25</v>
      </c>
      <c r="C19">
        <f t="shared" si="4"/>
        <v>6</v>
      </c>
      <c r="D19" s="7">
        <f>Eredmények!$B$4/12*(1+Eredmények!$B$7)^('Havi számolás'!B19-24)</f>
        <v>844600</v>
      </c>
      <c r="E19" s="7">
        <f t="shared" si="3"/>
        <v>1162765.2810083898</v>
      </c>
      <c r="F19" s="7">
        <f>Eredmények!$B$8*D19</f>
        <v>67568</v>
      </c>
      <c r="G19" s="7">
        <f>SUM(E19:F19)*((1+Eredmények!$B$9)^(1/12)-1)</f>
        <v>4521.2403067199448</v>
      </c>
      <c r="H19" s="7">
        <f t="shared" si="2"/>
        <v>1234854.5213151097</v>
      </c>
    </row>
    <row r="20" spans="1:8">
      <c r="A20">
        <f t="shared" si="0"/>
        <v>2029</v>
      </c>
      <c r="B20">
        <f t="shared" si="1"/>
        <v>25</v>
      </c>
      <c r="C20">
        <f t="shared" si="4"/>
        <v>7</v>
      </c>
      <c r="D20" s="7">
        <f>Eredmények!$B$4/12*(1+Eredmények!$B$7)^('Havi számolás'!B20-24)</f>
        <v>844600</v>
      </c>
      <c r="E20" s="7">
        <f t="shared" si="3"/>
        <v>1234854.5213151097</v>
      </c>
      <c r="F20" s="7">
        <f>Eredmények!$B$8*D20</f>
        <v>67568</v>
      </c>
      <c r="G20" s="7">
        <f>SUM(E20:F20)*((1+Eredmények!$B$9)^(1/12)-1)</f>
        <v>4786.1545246694304</v>
      </c>
      <c r="H20" s="7">
        <f t="shared" si="2"/>
        <v>1307208.6758397792</v>
      </c>
    </row>
    <row r="21" spans="1:8">
      <c r="A21">
        <f t="shared" si="0"/>
        <v>2029</v>
      </c>
      <c r="B21">
        <f t="shared" si="1"/>
        <v>25</v>
      </c>
      <c r="C21">
        <f t="shared" si="4"/>
        <v>8</v>
      </c>
      <c r="D21" s="7">
        <f>Eredmények!$B$4/12*(1+Eredmények!$B$7)^('Havi számolás'!B21-24)</f>
        <v>844600</v>
      </c>
      <c r="E21" s="7">
        <f t="shared" si="3"/>
        <v>1307208.6758397792</v>
      </c>
      <c r="F21" s="7">
        <f>Eredmények!$B$8*D21</f>
        <v>67568</v>
      </c>
      <c r="G21" s="7">
        <f>SUM(E21:F21)*((1+Eredmények!$B$9)^(1/12)-1)</f>
        <v>5052.0422518773466</v>
      </c>
      <c r="H21" s="7">
        <f t="shared" si="2"/>
        <v>1379828.7180916565</v>
      </c>
    </row>
    <row r="22" spans="1:8">
      <c r="A22">
        <f t="shared" si="0"/>
        <v>2029</v>
      </c>
      <c r="B22">
        <f t="shared" si="1"/>
        <v>25</v>
      </c>
      <c r="C22">
        <f t="shared" si="4"/>
        <v>9</v>
      </c>
      <c r="D22" s="7">
        <f>Eredmények!$B$4/12*(1+Eredmények!$B$7)^('Havi számolás'!B22-24)</f>
        <v>844600</v>
      </c>
      <c r="E22" s="7">
        <f t="shared" si="3"/>
        <v>1379828.7180916565</v>
      </c>
      <c r="F22" s="7">
        <f>Eredmények!$B$8*D22</f>
        <v>67568</v>
      </c>
      <c r="G22" s="7">
        <f>SUM(E22:F22)*((1+Eredmények!$B$9)^(1/12)-1)</f>
        <v>5318.9070658046667</v>
      </c>
      <c r="H22" s="7">
        <f t="shared" si="2"/>
        <v>1452715.625157461</v>
      </c>
    </row>
    <row r="23" spans="1:8">
      <c r="A23">
        <f t="shared" si="0"/>
        <v>2029</v>
      </c>
      <c r="B23">
        <f t="shared" si="1"/>
        <v>25</v>
      </c>
      <c r="C23">
        <f t="shared" si="4"/>
        <v>10</v>
      </c>
      <c r="D23" s="7">
        <f>Eredmények!$B$4/12*(1+Eredmények!$B$7)^('Havi számolás'!B23-24)</f>
        <v>844600</v>
      </c>
      <c r="E23" s="7">
        <f t="shared" si="3"/>
        <v>1452715.625157461</v>
      </c>
      <c r="F23" s="7">
        <f>Eredmények!$B$8*D23</f>
        <v>67568</v>
      </c>
      <c r="G23" s="7">
        <f>SUM(E23:F23)*((1+Eredmények!$B$9)^(1/12)-1)</f>
        <v>5586.7525570588523</v>
      </c>
      <c r="H23" s="7">
        <f t="shared" si="2"/>
        <v>1525870.3777145199</v>
      </c>
    </row>
    <row r="24" spans="1:8">
      <c r="A24">
        <f t="shared" si="0"/>
        <v>2029</v>
      </c>
      <c r="B24">
        <f t="shared" si="1"/>
        <v>25</v>
      </c>
      <c r="C24">
        <f t="shared" si="4"/>
        <v>11</v>
      </c>
      <c r="D24" s="7">
        <f>Eredmények!$B$4/12*(1+Eredmények!$B$7)^('Havi számolás'!B24-24)</f>
        <v>844600</v>
      </c>
      <c r="E24" s="7">
        <f t="shared" si="3"/>
        <v>1525870.3777145199</v>
      </c>
      <c r="F24" s="7">
        <f>Eredmények!$B$8*D24</f>
        <v>67568</v>
      </c>
      <c r="G24" s="7">
        <f>SUM(E24:F24)*((1+Eredmények!$B$9)^(1/12)-1)</f>
        <v>5855.5823294421643</v>
      </c>
      <c r="H24" s="7">
        <f t="shared" si="2"/>
        <v>1599293.9600439621</v>
      </c>
    </row>
    <row r="25" spans="1:8">
      <c r="A25">
        <f t="shared" si="0"/>
        <v>2029</v>
      </c>
      <c r="B25">
        <f t="shared" si="1"/>
        <v>25</v>
      </c>
      <c r="C25">
        <f t="shared" si="4"/>
        <v>12</v>
      </c>
      <c r="D25" s="7">
        <f>Eredmények!$B$4/12*(1+Eredmények!$B$7)^('Havi számolás'!B25-24)</f>
        <v>844600</v>
      </c>
      <c r="E25" s="7">
        <f t="shared" si="3"/>
        <v>1599293.9600439621</v>
      </c>
      <c r="F25" s="7">
        <f>Eredmények!$B$8*D25</f>
        <v>67568</v>
      </c>
      <c r="G25" s="7">
        <f>SUM(E25:F25)*((1+Eredmények!$B$9)^(1/12)-1)</f>
        <v>6125.4000000001479</v>
      </c>
      <c r="H25" s="7">
        <f t="shared" si="2"/>
        <v>1672987.3600439623</v>
      </c>
    </row>
    <row r="26" spans="1:8">
      <c r="A26">
        <f t="shared" si="0"/>
        <v>2030</v>
      </c>
      <c r="B26">
        <f t="shared" si="1"/>
        <v>26</v>
      </c>
      <c r="C26">
        <f t="shared" si="4"/>
        <v>1</v>
      </c>
      <c r="D26" s="7">
        <f>Eredmények!$B$4/12*(1+Eredmények!$B$7)^('Havi számolás'!B26-24)</f>
        <v>869938</v>
      </c>
      <c r="E26" s="7">
        <f t="shared" si="3"/>
        <v>1672987.3600439623</v>
      </c>
      <c r="F26" s="7">
        <f>Eredmények!$B$8*D26</f>
        <v>69595.040000000008</v>
      </c>
      <c r="G26" s="7">
        <f>SUM(E26:F26)*((1+Eredmények!$B$9)^(1/12)-1)</f>
        <v>6403.6581847173629</v>
      </c>
      <c r="H26" s="7">
        <f t="shared" si="2"/>
        <v>1748986.0582286797</v>
      </c>
    </row>
    <row r="27" spans="1:8">
      <c r="A27">
        <f t="shared" si="0"/>
        <v>2030</v>
      </c>
      <c r="B27">
        <f t="shared" si="1"/>
        <v>26</v>
      </c>
      <c r="C27">
        <f t="shared" si="4"/>
        <v>2</v>
      </c>
      <c r="D27" s="7">
        <f>Eredmények!$B$4/12*(1+Eredmények!$B$7)^('Havi számolás'!B27-24)</f>
        <v>869938</v>
      </c>
      <c r="E27" s="7">
        <f t="shared" si="3"/>
        <v>1748986.0582286797</v>
      </c>
      <c r="F27" s="7">
        <f>Eredmények!$B$8*D27</f>
        <v>69595.040000000008</v>
      </c>
      <c r="G27" s="7">
        <f>SUM(E27:F27)*((1+Eredmények!$B$9)^(1/12)-1)</f>
        <v>6682.9389152275253</v>
      </c>
      <c r="H27" s="7">
        <f t="shared" si="2"/>
        <v>1825264.0371439073</v>
      </c>
    </row>
    <row r="28" spans="1:8">
      <c r="A28">
        <f t="shared" si="0"/>
        <v>2030</v>
      </c>
      <c r="B28">
        <f t="shared" si="1"/>
        <v>26</v>
      </c>
      <c r="C28">
        <f t="shared" si="4"/>
        <v>3</v>
      </c>
      <c r="D28" s="7">
        <f>Eredmények!$B$4/12*(1+Eredmények!$B$7)^('Havi számolás'!B28-24)</f>
        <v>869938</v>
      </c>
      <c r="E28" s="7">
        <f t="shared" si="3"/>
        <v>1825264.0371439073</v>
      </c>
      <c r="F28" s="7">
        <f>Eredmények!$B$8*D28</f>
        <v>69595.040000000008</v>
      </c>
      <c r="G28" s="7">
        <f>SUM(E28:F28)*((1+Eredmények!$B$9)^(1/12)-1)</f>
        <v>6963.2459491915279</v>
      </c>
      <c r="H28" s="7">
        <f t="shared" si="2"/>
        <v>1901822.3230930988</v>
      </c>
    </row>
    <row r="29" spans="1:8">
      <c r="A29">
        <f t="shared" si="0"/>
        <v>2030</v>
      </c>
      <c r="B29">
        <f t="shared" si="1"/>
        <v>26</v>
      </c>
      <c r="C29">
        <f t="shared" si="4"/>
        <v>4</v>
      </c>
      <c r="D29" s="7">
        <f>Eredmények!$B$4/12*(1+Eredmények!$B$7)^('Havi számolás'!B29-24)</f>
        <v>869938</v>
      </c>
      <c r="E29" s="7">
        <f t="shared" si="3"/>
        <v>1901822.3230930988</v>
      </c>
      <c r="F29" s="7">
        <f>Eredmények!$B$8*D29</f>
        <v>69595.040000000008</v>
      </c>
      <c r="G29" s="7">
        <f>SUM(E29:F29)*((1+Eredmények!$B$9)^(1/12)-1)</f>
        <v>7244.5830580789489</v>
      </c>
      <c r="H29" s="7">
        <f t="shared" si="2"/>
        <v>1978661.9461511779</v>
      </c>
    </row>
    <row r="30" spans="1:8">
      <c r="A30">
        <f t="shared" si="0"/>
        <v>2030</v>
      </c>
      <c r="B30">
        <f t="shared" si="1"/>
        <v>26</v>
      </c>
      <c r="C30">
        <f t="shared" si="4"/>
        <v>5</v>
      </c>
      <c r="D30" s="7">
        <f>Eredmények!$B$4/12*(1+Eredmények!$B$7)^('Havi számolás'!B30-24)</f>
        <v>869938</v>
      </c>
      <c r="E30" s="7">
        <f t="shared" si="3"/>
        <v>1978661.9461511779</v>
      </c>
      <c r="F30" s="7">
        <f>Eredmények!$B$8*D30</f>
        <v>69595.040000000008</v>
      </c>
      <c r="G30" s="7">
        <f>SUM(E30:F30)*((1+Eredmények!$B$9)^(1/12)-1)</f>
        <v>7526.9540272188024</v>
      </c>
      <c r="H30" s="7">
        <f t="shared" si="2"/>
        <v>2055783.9401783966</v>
      </c>
    </row>
    <row r="31" spans="1:8">
      <c r="A31">
        <f t="shared" si="0"/>
        <v>2030</v>
      </c>
      <c r="B31">
        <f t="shared" si="1"/>
        <v>26</v>
      </c>
      <c r="C31">
        <f t="shared" si="4"/>
        <v>6</v>
      </c>
      <c r="D31" s="7">
        <f>Eredmények!$B$4/12*(1+Eredmények!$B$7)^('Havi számolás'!B31-24)</f>
        <v>869938</v>
      </c>
      <c r="E31" s="7">
        <f t="shared" si="3"/>
        <v>2055783.9401783966</v>
      </c>
      <c r="F31" s="7">
        <f>Eredmények!$B$8*D31</f>
        <v>69595.040000000008</v>
      </c>
      <c r="G31" s="7">
        <f>SUM(E31:F31)*((1+Eredmények!$B$9)^(1/12)-1)</f>
        <v>7810.3626558504611</v>
      </c>
      <c r="H31" s="7">
        <f t="shared" si="2"/>
        <v>2133189.3428342473</v>
      </c>
    </row>
    <row r="32" spans="1:8">
      <c r="A32">
        <f t="shared" si="0"/>
        <v>2030</v>
      </c>
      <c r="B32">
        <f t="shared" si="1"/>
        <v>26</v>
      </c>
      <c r="C32">
        <f t="shared" si="4"/>
        <v>7</v>
      </c>
      <c r="D32" s="7">
        <f>Eredmények!$B$4/12*(1+Eredmények!$B$7)^('Havi számolás'!B32-24)</f>
        <v>869938</v>
      </c>
      <c r="E32" s="7">
        <f t="shared" si="3"/>
        <v>2133189.3428342473</v>
      </c>
      <c r="F32" s="7">
        <f>Eredmények!$B$8*D32</f>
        <v>69595.040000000008</v>
      </c>
      <c r="G32" s="7">
        <f>SUM(E32:F32)*((1+Eredmények!$B$9)^(1/12)-1)</f>
        <v>8094.81275717478</v>
      </c>
      <c r="H32" s="7">
        <f t="shared" si="2"/>
        <v>2210879.1955914223</v>
      </c>
    </row>
    <row r="33" spans="1:8">
      <c r="A33">
        <f t="shared" si="0"/>
        <v>2030</v>
      </c>
      <c r="B33">
        <f t="shared" si="1"/>
        <v>26</v>
      </c>
      <c r="C33">
        <f t="shared" si="4"/>
        <v>8</v>
      </c>
      <c r="D33" s="7">
        <f>Eredmények!$B$4/12*(1+Eredmények!$B$7)^('Havi számolás'!B33-24)</f>
        <v>869938</v>
      </c>
      <c r="E33" s="7">
        <f t="shared" si="3"/>
        <v>2210879.1955914223</v>
      </c>
      <c r="F33" s="7">
        <f>Eredmények!$B$8*D33</f>
        <v>69595.040000000008</v>
      </c>
      <c r="G33" s="7">
        <f>SUM(E33:F33)*((1+Eredmények!$B$9)^(1/12)-1)</f>
        <v>8380.3081584054016</v>
      </c>
      <c r="H33" s="7">
        <f t="shared" si="2"/>
        <v>2288854.5437498279</v>
      </c>
    </row>
    <row r="34" spans="1:8">
      <c r="A34">
        <f t="shared" si="0"/>
        <v>2030</v>
      </c>
      <c r="B34">
        <f t="shared" si="1"/>
        <v>26</v>
      </c>
      <c r="C34">
        <f t="shared" si="4"/>
        <v>9</v>
      </c>
      <c r="D34" s="7">
        <f>Eredmények!$B$4/12*(1+Eredmények!$B$7)^('Havi számolás'!B34-24)</f>
        <v>869938</v>
      </c>
      <c r="E34" s="7">
        <f t="shared" si="3"/>
        <v>2288854.5437498279</v>
      </c>
      <c r="F34" s="7">
        <f>Eredmények!$B$8*D34</f>
        <v>69595.040000000008</v>
      </c>
      <c r="G34" s="7">
        <f>SUM(E34:F34)*((1+Eredmények!$B$9)^(1/12)-1)</f>
        <v>8666.8527008202473</v>
      </c>
      <c r="H34" s="7">
        <f t="shared" si="2"/>
        <v>2367116.4364506481</v>
      </c>
    </row>
    <row r="35" spans="1:8">
      <c r="A35">
        <f t="shared" si="0"/>
        <v>2030</v>
      </c>
      <c r="B35">
        <f t="shared" si="1"/>
        <v>26</v>
      </c>
      <c r="C35">
        <f t="shared" si="4"/>
        <v>10</v>
      </c>
      <c r="D35" s="7">
        <f>Eredmények!$B$4/12*(1+Eredmények!$B$7)^('Havi számolás'!B35-24)</f>
        <v>869938</v>
      </c>
      <c r="E35" s="7">
        <f t="shared" si="3"/>
        <v>2367116.4364506481</v>
      </c>
      <c r="F35" s="7">
        <f>Eredmények!$B$8*D35</f>
        <v>69595.040000000008</v>
      </c>
      <c r="G35" s="7">
        <f>SUM(E35:F35)*((1+Eredmények!$B$9)^(1/12)-1)</f>
        <v>8954.4502398132008</v>
      </c>
      <c r="H35" s="7">
        <f t="shared" si="2"/>
        <v>2445665.9266904616</v>
      </c>
    </row>
    <row r="36" spans="1:8">
      <c r="A36">
        <f t="shared" si="0"/>
        <v>2030</v>
      </c>
      <c r="B36">
        <f t="shared" si="1"/>
        <v>26</v>
      </c>
      <c r="C36">
        <f t="shared" si="4"/>
        <v>11</v>
      </c>
      <c r="D36" s="7">
        <f>Eredmények!$B$4/12*(1+Eredmények!$B$7)^('Havi számolás'!B36-24)</f>
        <v>869938</v>
      </c>
      <c r="E36" s="7">
        <f t="shared" si="3"/>
        <v>2445665.9266904616</v>
      </c>
      <c r="F36" s="7">
        <f>Eredmények!$B$8*D36</f>
        <v>69595.040000000008</v>
      </c>
      <c r="G36" s="7">
        <f>SUM(E36:F36)*((1+Eredmények!$B$9)^(1/12)-1)</f>
        <v>9243.10464494599</v>
      </c>
      <c r="H36" s="7">
        <f t="shared" si="2"/>
        <v>2524504.0713354074</v>
      </c>
    </row>
    <row r="37" spans="1:8">
      <c r="A37">
        <f t="shared" si="0"/>
        <v>2030</v>
      </c>
      <c r="B37">
        <f t="shared" si="1"/>
        <v>26</v>
      </c>
      <c r="C37">
        <f t="shared" si="4"/>
        <v>12</v>
      </c>
      <c r="D37" s="7">
        <f>Eredmények!$B$4/12*(1+Eredmények!$B$7)^('Havi számolás'!B37-24)</f>
        <v>869938</v>
      </c>
      <c r="E37" s="7">
        <f t="shared" si="3"/>
        <v>2524504.0713354074</v>
      </c>
      <c r="F37" s="7">
        <f>Eredmények!$B$8*D37</f>
        <v>69595.040000000008</v>
      </c>
      <c r="G37" s="7">
        <f>SUM(E37:F37)*((1+Eredmények!$B$9)^(1/12)-1)</f>
        <v>9532.8198000002376</v>
      </c>
      <c r="H37" s="7">
        <f t="shared" si="2"/>
        <v>2603631.9311354076</v>
      </c>
    </row>
    <row r="38" spans="1:8">
      <c r="A38">
        <f t="shared" si="0"/>
        <v>2031</v>
      </c>
      <c r="B38">
        <f t="shared" si="1"/>
        <v>27</v>
      </c>
      <c r="C38">
        <f t="shared" si="4"/>
        <v>1</v>
      </c>
      <c r="D38" s="7">
        <f>Eredmények!$B$4/12*(1+Eredmények!$B$7)^('Havi számolás'!B38-24)</f>
        <v>896036.14</v>
      </c>
      <c r="E38" s="7">
        <f t="shared" si="3"/>
        <v>2603631.9311354076</v>
      </c>
      <c r="F38" s="7">
        <f>Eredmények!$B$8*D38</f>
        <v>71682.891199999998</v>
      </c>
      <c r="G38" s="7">
        <f>SUM(E38:F38)*((1+Eredmények!$B$9)^(1/12)-1)</f>
        <v>9831.2720582462007</v>
      </c>
      <c r="H38" s="7">
        <f t="shared" si="2"/>
        <v>2685146.0943936538</v>
      </c>
    </row>
    <row r="39" spans="1:8">
      <c r="A39">
        <f t="shared" si="0"/>
        <v>2031</v>
      </c>
      <c r="B39">
        <f t="shared" si="1"/>
        <v>27</v>
      </c>
      <c r="C39">
        <f t="shared" si="4"/>
        <v>2</v>
      </c>
      <c r="D39" s="7">
        <f>Eredmények!$B$4/12*(1+Eredmények!$B$7)^('Havi számolás'!B39-24)</f>
        <v>896036.14</v>
      </c>
      <c r="E39" s="7">
        <f t="shared" si="3"/>
        <v>2685146.0943936538</v>
      </c>
      <c r="F39" s="7">
        <f>Eredmények!$B$8*D39</f>
        <v>71682.891199999998</v>
      </c>
      <c r="G39" s="7">
        <f>SUM(E39:F39)*((1+Eredmények!$B$9)^(1/12)-1)</f>
        <v>10130.821071656348</v>
      </c>
      <c r="H39" s="7">
        <f t="shared" si="2"/>
        <v>2766959.8066653102</v>
      </c>
    </row>
    <row r="40" spans="1:8">
      <c r="A40">
        <f t="shared" si="0"/>
        <v>2031</v>
      </c>
      <c r="B40">
        <f t="shared" si="1"/>
        <v>27</v>
      </c>
      <c r="C40">
        <f t="shared" si="4"/>
        <v>3</v>
      </c>
      <c r="D40" s="7">
        <f>Eredmények!$B$4/12*(1+Eredmények!$B$7)^('Havi számolás'!B40-24)</f>
        <v>896036.14</v>
      </c>
      <c r="E40" s="7">
        <f t="shared" si="3"/>
        <v>2766959.8066653102</v>
      </c>
      <c r="F40" s="7">
        <f>Eredmények!$B$8*D40</f>
        <v>71682.891199999998</v>
      </c>
      <c r="G40" s="7">
        <f>SUM(E40:F40)*((1+Eredmények!$B$9)^(1/12)-1)</f>
        <v>10431.470870596866</v>
      </c>
      <c r="H40" s="7">
        <f t="shared" si="2"/>
        <v>2849074.1687359069</v>
      </c>
    </row>
    <row r="41" spans="1:8">
      <c r="A41">
        <f t="shared" si="0"/>
        <v>2031</v>
      </c>
      <c r="B41">
        <f t="shared" si="1"/>
        <v>27</v>
      </c>
      <c r="C41">
        <f t="shared" si="4"/>
        <v>4</v>
      </c>
      <c r="D41" s="7">
        <f>Eredmények!$B$4/12*(1+Eredmények!$B$7)^('Havi számolás'!B41-24)</f>
        <v>896036.14</v>
      </c>
      <c r="E41" s="7">
        <f t="shared" si="3"/>
        <v>2849074.1687359069</v>
      </c>
      <c r="F41" s="7">
        <f>Eredmények!$B$8*D41</f>
        <v>71682.891199999998</v>
      </c>
      <c r="G41" s="7">
        <f>SUM(E41:F41)*((1+Eredmények!$B$9)^(1/12)-1)</f>
        <v>10733.225500244771</v>
      </c>
      <c r="H41" s="7">
        <f t="shared" si="2"/>
        <v>2931490.2854361515</v>
      </c>
    </row>
    <row r="42" spans="1:8">
      <c r="A42">
        <f t="shared" si="0"/>
        <v>2031</v>
      </c>
      <c r="B42">
        <f t="shared" si="1"/>
        <v>27</v>
      </c>
      <c r="C42">
        <f t="shared" si="4"/>
        <v>5</v>
      </c>
      <c r="D42" s="7">
        <f>Eredmények!$B$4/12*(1+Eredmények!$B$7)^('Havi számolás'!B42-24)</f>
        <v>896036.14</v>
      </c>
      <c r="E42" s="7">
        <f t="shared" si="3"/>
        <v>2931490.2854361515</v>
      </c>
      <c r="F42" s="7">
        <f>Eredmények!$B$8*D42</f>
        <v>71682.891199999998</v>
      </c>
      <c r="G42" s="7">
        <f>SUM(E42:F42)*((1+Eredmények!$B$9)^(1/12)-1)</f>
        <v>11036.08902064233</v>
      </c>
      <c r="H42" s="7">
        <f t="shared" si="2"/>
        <v>3014209.265656794</v>
      </c>
    </row>
    <row r="43" spans="1:8">
      <c r="A43">
        <f t="shared" si="0"/>
        <v>2031</v>
      </c>
      <c r="B43">
        <f t="shared" si="1"/>
        <v>27</v>
      </c>
      <c r="C43">
        <f t="shared" si="4"/>
        <v>6</v>
      </c>
      <c r="D43" s="7">
        <f>Eredmények!$B$4/12*(1+Eredmények!$B$7)^('Havi számolás'!B43-24)</f>
        <v>896036.14</v>
      </c>
      <c r="E43" s="7">
        <f t="shared" si="3"/>
        <v>3014209.265656794</v>
      </c>
      <c r="F43" s="7">
        <f>Eredmények!$B$8*D43</f>
        <v>71682.891199999998</v>
      </c>
      <c r="G43" s="7">
        <f>SUM(E43:F43)*((1+Eredmények!$B$9)^(1/12)-1)</f>
        <v>11340.065506751696</v>
      </c>
      <c r="H43" s="7">
        <f t="shared" si="2"/>
        <v>3097232.2223635456</v>
      </c>
    </row>
    <row r="44" spans="1:8">
      <c r="A44">
        <f t="shared" si="0"/>
        <v>2031</v>
      </c>
      <c r="B44">
        <f t="shared" si="1"/>
        <v>27</v>
      </c>
      <c r="C44">
        <f t="shared" si="4"/>
        <v>7</v>
      </c>
      <c r="D44" s="7">
        <f>Eredmények!$B$4/12*(1+Eredmények!$B$7)^('Havi számolás'!B44-24)</f>
        <v>896036.14</v>
      </c>
      <c r="E44" s="7">
        <f t="shared" si="3"/>
        <v>3097232.2223635456</v>
      </c>
      <c r="F44" s="7">
        <f>Eredmények!$B$8*D44</f>
        <v>71682.891199999998</v>
      </c>
      <c r="G44" s="7">
        <f>SUM(E44:F44)*((1+Eredmények!$B$9)^(1/12)-1)</f>
        <v>11645.159048509729</v>
      </c>
      <c r="H44" s="7">
        <f t="shared" si="2"/>
        <v>3180560.2726120553</v>
      </c>
    </row>
    <row r="45" spans="1:8">
      <c r="A45">
        <f t="shared" si="0"/>
        <v>2031</v>
      </c>
      <c r="B45">
        <f t="shared" si="1"/>
        <v>27</v>
      </c>
      <c r="C45">
        <f t="shared" si="4"/>
        <v>8</v>
      </c>
      <c r="D45" s="7">
        <f>Eredmények!$B$4/12*(1+Eredmények!$B$7)^('Havi számolás'!B45-24)</f>
        <v>896036.14</v>
      </c>
      <c r="E45" s="7">
        <f t="shared" si="3"/>
        <v>3180560.2726120553</v>
      </c>
      <c r="F45" s="7">
        <f>Eredmények!$B$8*D45</f>
        <v>71682.891199999998</v>
      </c>
      <c r="G45" s="7">
        <f>SUM(E45:F45)*((1+Eredmények!$B$9)^(1/12)-1)</f>
        <v>11951.373750883027</v>
      </c>
      <c r="H45" s="7">
        <f t="shared" si="2"/>
        <v>3264194.5375629384</v>
      </c>
    </row>
    <row r="46" spans="1:8">
      <c r="A46">
        <f t="shared" si="0"/>
        <v>2031</v>
      </c>
      <c r="B46">
        <f t="shared" si="1"/>
        <v>27</v>
      </c>
      <c r="C46">
        <f t="shared" si="4"/>
        <v>9</v>
      </c>
      <c r="D46" s="7">
        <f>Eredmények!$B$4/12*(1+Eredmények!$B$7)^('Havi számolás'!B46-24)</f>
        <v>896036.14</v>
      </c>
      <c r="E46" s="7">
        <f t="shared" si="3"/>
        <v>3264194.5375629384</v>
      </c>
      <c r="F46" s="7">
        <f>Eredmények!$B$8*D46</f>
        <v>71682.891199999998</v>
      </c>
      <c r="G46" s="7">
        <f>SUM(E46:F46)*((1+Eredmények!$B$9)^(1/12)-1)</f>
        <v>12258.713733923159</v>
      </c>
      <c r="H46" s="7">
        <f t="shared" si="2"/>
        <v>3348136.1424968615</v>
      </c>
    </row>
    <row r="47" spans="1:8">
      <c r="A47">
        <f t="shared" si="0"/>
        <v>2031</v>
      </c>
      <c r="B47">
        <f t="shared" si="1"/>
        <v>27</v>
      </c>
      <c r="C47">
        <f t="shared" si="4"/>
        <v>10</v>
      </c>
      <c r="D47" s="7">
        <f>Eredmények!$B$4/12*(1+Eredmények!$B$7)^('Havi számolás'!B47-24)</f>
        <v>896036.14</v>
      </c>
      <c r="E47" s="7">
        <f t="shared" si="3"/>
        <v>3348136.1424968615</v>
      </c>
      <c r="F47" s="7">
        <f>Eredmények!$B$8*D47</f>
        <v>71682.891199999998</v>
      </c>
      <c r="G47" s="7">
        <f>SUM(E47:F47)*((1+Eredmények!$B$9)^(1/12)-1)</f>
        <v>12567.183132822096</v>
      </c>
      <c r="H47" s="7">
        <f t="shared" si="2"/>
        <v>3432386.2168296836</v>
      </c>
    </row>
    <row r="48" spans="1:8">
      <c r="A48">
        <f t="shared" si="0"/>
        <v>2031</v>
      </c>
      <c r="B48">
        <f t="shared" si="1"/>
        <v>27</v>
      </c>
      <c r="C48">
        <f t="shared" si="4"/>
        <v>11</v>
      </c>
      <c r="D48" s="7">
        <f>Eredmények!$B$4/12*(1+Eredmények!$B$7)^('Havi számolás'!B48-24)</f>
        <v>896036.14</v>
      </c>
      <c r="E48" s="7">
        <f t="shared" si="3"/>
        <v>3432386.2168296836</v>
      </c>
      <c r="F48" s="7">
        <f>Eredmények!$B$8*D48</f>
        <v>71682.891199999998</v>
      </c>
      <c r="G48" s="7">
        <f>SUM(E48:F48)*((1+Eredmények!$B$9)^(1/12)-1)</f>
        <v>12876.786097967853</v>
      </c>
      <c r="H48" s="7">
        <f t="shared" si="2"/>
        <v>3516945.8941276516</v>
      </c>
    </row>
    <row r="49" spans="1:10">
      <c r="A49">
        <f t="shared" si="0"/>
        <v>2031</v>
      </c>
      <c r="B49">
        <f t="shared" si="1"/>
        <v>27</v>
      </c>
      <c r="C49">
        <f t="shared" si="4"/>
        <v>12</v>
      </c>
      <c r="D49" s="7">
        <f>Eredmények!$B$4/12*(1+Eredmények!$B$7)^('Havi számolás'!B49-24)</f>
        <v>896036.14</v>
      </c>
      <c r="E49" s="7">
        <f t="shared" si="3"/>
        <v>3516945.8941276516</v>
      </c>
      <c r="F49" s="7">
        <f>Eredmények!$B$8*D49</f>
        <v>71682.891199999998</v>
      </c>
      <c r="G49" s="7">
        <f>SUM(E49:F49)*((1+Eredmények!$B$9)^(1/12)-1)</f>
        <v>13187.526795000334</v>
      </c>
      <c r="H49" s="7">
        <f t="shared" si="2"/>
        <v>3601816.3121226518</v>
      </c>
    </row>
    <row r="50" spans="1:10">
      <c r="A50" s="10">
        <f t="shared" si="0"/>
        <v>2032</v>
      </c>
      <c r="B50" s="10">
        <f t="shared" si="1"/>
        <v>28</v>
      </c>
      <c r="C50" s="10">
        <f t="shared" si="4"/>
        <v>1</v>
      </c>
      <c r="D50" s="11">
        <f>Eredmények!$B$5/12*(1+Eredmények!$B$7)^('Havi számolás'!B50-28)</f>
        <v>1030441.5609999999</v>
      </c>
      <c r="E50" s="11">
        <f t="shared" si="3"/>
        <v>3601816.3121226518</v>
      </c>
      <c r="F50" s="11">
        <f>Eredmények!$B$8*D50</f>
        <v>82435.324879999986</v>
      </c>
      <c r="G50" s="11">
        <f>SUM(E50:F50)*((1+Eredmények!$B$9)^(1/12)-1)</f>
        <v>13538.922549232204</v>
      </c>
      <c r="H50" s="11">
        <f t="shared" si="2"/>
        <v>3697790.5595518844</v>
      </c>
      <c r="J50" t="s">
        <v>53</v>
      </c>
    </row>
    <row r="51" spans="1:10">
      <c r="A51">
        <f t="shared" si="0"/>
        <v>2032</v>
      </c>
      <c r="B51">
        <f t="shared" si="1"/>
        <v>28</v>
      </c>
      <c r="C51">
        <f t="shared" si="4"/>
        <v>2</v>
      </c>
      <c r="D51" s="7">
        <f>Eredmények!$B$5/12*(1+Eredmények!$B$7)^('Havi számolás'!B51-28)</f>
        <v>1030441.5609999999</v>
      </c>
      <c r="E51" s="7">
        <f t="shared" si="3"/>
        <v>3697790.5595518844</v>
      </c>
      <c r="F51" s="7">
        <f>Eredmények!$B$8*D51</f>
        <v>82435.324879999986</v>
      </c>
      <c r="G51" s="7">
        <f>SUM(E51:F51)*((1+Eredmények!$B$9)^(1/12)-1)</f>
        <v>13891.609615885</v>
      </c>
      <c r="H51" s="7">
        <f t="shared" si="2"/>
        <v>3794117.4940477698</v>
      </c>
    </row>
    <row r="52" spans="1:10">
      <c r="A52">
        <f t="shared" si="0"/>
        <v>2032</v>
      </c>
      <c r="B52">
        <f t="shared" si="1"/>
        <v>28</v>
      </c>
      <c r="C52">
        <f t="shared" si="4"/>
        <v>3</v>
      </c>
      <c r="D52" s="7">
        <f>Eredmények!$B$5/12*(1+Eredmények!$B$7)^('Havi számolás'!B52-28)</f>
        <v>1030441.5609999999</v>
      </c>
      <c r="E52" s="7">
        <f t="shared" si="3"/>
        <v>3794117.4940477698</v>
      </c>
      <c r="F52" s="7">
        <f>Eredmények!$B$8*D52</f>
        <v>82435.324879999986</v>
      </c>
      <c r="G52" s="7">
        <f>SUM(E52:F52)*((1+Eredmények!$B$9)^(1/12)-1)</f>
        <v>14245.592740285745</v>
      </c>
      <c r="H52" s="7">
        <f t="shared" si="2"/>
        <v>3890798.4116680557</v>
      </c>
    </row>
    <row r="53" spans="1:10">
      <c r="A53">
        <f t="shared" si="0"/>
        <v>2032</v>
      </c>
      <c r="B53">
        <f t="shared" si="1"/>
        <v>28</v>
      </c>
      <c r="C53">
        <f t="shared" si="4"/>
        <v>4</v>
      </c>
      <c r="D53" s="7">
        <f>Eredmények!$B$5/12*(1+Eredmények!$B$7)^('Havi számolás'!B53-28)</f>
        <v>1030441.5609999999</v>
      </c>
      <c r="E53" s="7">
        <f t="shared" si="3"/>
        <v>3890798.4116680557</v>
      </c>
      <c r="F53" s="7">
        <f>Eredmények!$B$8*D53</f>
        <v>82435.324879999986</v>
      </c>
      <c r="G53" s="7">
        <f>SUM(E53:F53)*((1+Eredmények!$B$9)^(1/12)-1)</f>
        <v>14600.876685199632</v>
      </c>
      <c r="H53" s="7">
        <f t="shared" si="2"/>
        <v>3987834.6132332557</v>
      </c>
    </row>
    <row r="54" spans="1:10">
      <c r="A54">
        <f t="shared" si="0"/>
        <v>2032</v>
      </c>
      <c r="B54">
        <f t="shared" si="1"/>
        <v>28</v>
      </c>
      <c r="C54">
        <f t="shared" si="4"/>
        <v>5</v>
      </c>
      <c r="D54" s="7">
        <f>Eredmények!$B$5/12*(1+Eredmények!$B$7)^('Havi számolás'!B54-28)</f>
        <v>1030441.5609999999</v>
      </c>
      <c r="E54" s="7">
        <f t="shared" si="3"/>
        <v>3987834.6132332557</v>
      </c>
      <c r="F54" s="7">
        <f>Eredmények!$B$8*D54</f>
        <v>82435.324879999986</v>
      </c>
      <c r="G54" s="7">
        <f>SUM(E54:F54)*((1+Eredmények!$B$9)^(1/12)-1)</f>
        <v>14957.466230894115</v>
      </c>
      <c r="H54" s="7">
        <f t="shared" si="2"/>
        <v>4085227.4043441499</v>
      </c>
    </row>
    <row r="55" spans="1:10">
      <c r="A55">
        <f t="shared" si="0"/>
        <v>2032</v>
      </c>
      <c r="B55">
        <f t="shared" si="1"/>
        <v>28</v>
      </c>
      <c r="C55">
        <f t="shared" si="4"/>
        <v>6</v>
      </c>
      <c r="D55" s="7">
        <f>Eredmények!$B$5/12*(1+Eredmények!$B$7)^('Havi számolás'!B55-28)</f>
        <v>1030441.5609999999</v>
      </c>
      <c r="E55" s="7">
        <f t="shared" si="3"/>
        <v>4085227.4043441499</v>
      </c>
      <c r="F55" s="7">
        <f>Eredmények!$B$8*D55</f>
        <v>82435.324879999986</v>
      </c>
      <c r="G55" s="7">
        <f>SUM(E55:F55)*((1+Eredmények!$B$9)^(1/12)-1)</f>
        <v>15315.366175203211</v>
      </c>
      <c r="H55" s="7">
        <f t="shared" si="2"/>
        <v>4182978.0953993532</v>
      </c>
    </row>
    <row r="56" spans="1:10">
      <c r="A56">
        <f t="shared" si="0"/>
        <v>2032</v>
      </c>
      <c r="B56">
        <f t="shared" si="1"/>
        <v>28</v>
      </c>
      <c r="C56">
        <f t="shared" si="4"/>
        <v>7</v>
      </c>
      <c r="D56" s="7">
        <f>Eredmények!$B$5/12*(1+Eredmények!$B$7)^('Havi számolás'!B56-28)</f>
        <v>1030441.5609999999</v>
      </c>
      <c r="E56" s="7">
        <f t="shared" si="3"/>
        <v>4182978.0953993532</v>
      </c>
      <c r="F56" s="7">
        <f>Eredmények!$B$8*D56</f>
        <v>82435.324879999986</v>
      </c>
      <c r="G56" s="7">
        <f>SUM(E56:F56)*((1+Eredmények!$B$9)^(1/12)-1)</f>
        <v>15674.581333592068</v>
      </c>
      <c r="H56" s="7">
        <f t="shared" si="2"/>
        <v>4281088.0016129445</v>
      </c>
    </row>
    <row r="57" spans="1:10">
      <c r="A57">
        <f t="shared" si="0"/>
        <v>2032</v>
      </c>
      <c r="B57">
        <f t="shared" si="1"/>
        <v>28</v>
      </c>
      <c r="C57">
        <f t="shared" si="4"/>
        <v>8</v>
      </c>
      <c r="D57" s="7">
        <f>Eredmények!$B$5/12*(1+Eredmények!$B$7)^('Havi számolás'!B57-28)</f>
        <v>1030441.5609999999</v>
      </c>
      <c r="E57" s="7">
        <f t="shared" si="3"/>
        <v>4281088.0016129445</v>
      </c>
      <c r="F57" s="7">
        <f>Eredmények!$B$8*D57</f>
        <v>82435.324879999986</v>
      </c>
      <c r="G57" s="7">
        <f>SUM(E57:F57)*((1+Eredmények!$B$9)^(1/12)-1)</f>
        <v>16035.116539221754</v>
      </c>
      <c r="H57" s="7">
        <f t="shared" si="2"/>
        <v>4379558.4430321669</v>
      </c>
    </row>
    <row r="58" spans="1:10">
      <c r="A58">
        <f t="shared" si="0"/>
        <v>2032</v>
      </c>
      <c r="B58">
        <f t="shared" si="1"/>
        <v>28</v>
      </c>
      <c r="C58">
        <f t="shared" si="4"/>
        <v>9</v>
      </c>
      <c r="D58" s="7">
        <f>Eredmények!$B$5/12*(1+Eredmények!$B$7)^('Havi számolás'!B58-28)</f>
        <v>1030441.5609999999</v>
      </c>
      <c r="E58" s="7">
        <f t="shared" si="3"/>
        <v>4379558.4430321669</v>
      </c>
      <c r="F58" s="7">
        <f>Eredmények!$B$8*D58</f>
        <v>82435.324879999986</v>
      </c>
      <c r="G58" s="7">
        <f>SUM(E58:F58)*((1+Eredmények!$B$9)^(1/12)-1)</f>
        <v>16396.976643014277</v>
      </c>
      <c r="H58" s="7">
        <f t="shared" si="2"/>
        <v>4478390.7445551818</v>
      </c>
    </row>
    <row r="59" spans="1:10">
      <c r="A59">
        <f t="shared" si="0"/>
        <v>2032</v>
      </c>
      <c r="B59">
        <f t="shared" si="1"/>
        <v>28</v>
      </c>
      <c r="C59">
        <f t="shared" si="4"/>
        <v>10</v>
      </c>
      <c r="D59" s="7">
        <f>Eredmények!$B$5/12*(1+Eredmények!$B$7)^('Havi számolás'!B59-28)</f>
        <v>1030441.5609999999</v>
      </c>
      <c r="E59" s="7">
        <f t="shared" si="3"/>
        <v>4478390.7445551818</v>
      </c>
      <c r="F59" s="7">
        <f>Eredmények!$B$8*D59</f>
        <v>82435.324879999986</v>
      </c>
      <c r="G59" s="7">
        <f>SUM(E59:F59)*((1+Eredmények!$B$9)^(1/12)-1)</f>
        <v>16760.166513717864</v>
      </c>
      <c r="H59" s="7">
        <f t="shared" si="2"/>
        <v>4577586.2359488998</v>
      </c>
    </row>
    <row r="60" spans="1:10">
      <c r="A60">
        <f t="shared" si="0"/>
        <v>2032</v>
      </c>
      <c r="B60">
        <f t="shared" si="1"/>
        <v>28</v>
      </c>
      <c r="C60">
        <f t="shared" si="4"/>
        <v>11</v>
      </c>
      <c r="D60" s="7">
        <f>Eredmények!$B$5/12*(1+Eredmények!$B$7)^('Havi számolás'!B60-28)</f>
        <v>1030441.5609999999</v>
      </c>
      <c r="E60" s="7">
        <f t="shared" si="3"/>
        <v>4577586.2359488998</v>
      </c>
      <c r="F60" s="7">
        <f>Eredmények!$B$8*D60</f>
        <v>82435.324879999986</v>
      </c>
      <c r="G60" s="7">
        <f>SUM(E60:F60)*((1+Eredmények!$B$9)^(1/12)-1)</f>
        <v>17124.69103797245</v>
      </c>
      <c r="H60" s="7">
        <f t="shared" si="2"/>
        <v>4677146.2518668724</v>
      </c>
    </row>
    <row r="61" spans="1:10">
      <c r="A61">
        <f t="shared" si="0"/>
        <v>2032</v>
      </c>
      <c r="B61">
        <f t="shared" si="1"/>
        <v>28</v>
      </c>
      <c r="C61">
        <f t="shared" si="4"/>
        <v>12</v>
      </c>
      <c r="D61" s="7">
        <f>Eredmények!$B$5/12*(1+Eredmények!$B$7)^('Havi számolás'!B61-28)</f>
        <v>1030441.5609999999</v>
      </c>
      <c r="E61" s="7">
        <f t="shared" si="3"/>
        <v>4677146.2518668724</v>
      </c>
      <c r="F61" s="7">
        <f>Eredmények!$B$8*D61</f>
        <v>82435.324879999986</v>
      </c>
      <c r="G61" s="7">
        <f>SUM(E61:F61)*((1+Eredmények!$B$9)^(1/12)-1)</f>
        <v>17490.555120375459</v>
      </c>
      <c r="H61" s="7">
        <f t="shared" si="2"/>
        <v>4777072.1318672476</v>
      </c>
    </row>
    <row r="62" spans="1:10">
      <c r="A62">
        <f t="shared" si="0"/>
        <v>2033</v>
      </c>
      <c r="B62">
        <f t="shared" si="1"/>
        <v>29</v>
      </c>
      <c r="C62">
        <f t="shared" si="4"/>
        <v>1</v>
      </c>
      <c r="D62" s="7">
        <f>Eredmények!$B$5/12*(1+Eredmények!$B$7)^('Havi számolás'!B62-28)</f>
        <v>1061354.8078299998</v>
      </c>
      <c r="E62" s="7">
        <f t="shared" si="3"/>
        <v>4777072.1318672476</v>
      </c>
      <c r="F62" s="7">
        <f>Eredmények!$B$8*D62</f>
        <v>84908.384626399988</v>
      </c>
      <c r="G62" s="7">
        <f>SUM(E62:F62)*((1+Eredmények!$B$9)^(1/12)-1)</f>
        <v>17866.851706751673</v>
      </c>
      <c r="H62" s="7">
        <f t="shared" si="2"/>
        <v>4879847.368200399</v>
      </c>
    </row>
    <row r="63" spans="1:10">
      <c r="A63">
        <f t="shared" si="0"/>
        <v>2033</v>
      </c>
      <c r="B63">
        <f t="shared" si="1"/>
        <v>29</v>
      </c>
      <c r="C63">
        <f t="shared" si="4"/>
        <v>2</v>
      </c>
      <c r="D63" s="7">
        <f>Eredmények!$B$5/12*(1+Eredmények!$B$7)^('Havi számolás'!B63-28)</f>
        <v>1061354.8078299998</v>
      </c>
      <c r="E63" s="7">
        <f t="shared" si="3"/>
        <v>4879847.368200399</v>
      </c>
      <c r="F63" s="7">
        <f>Eredmények!$B$8*D63</f>
        <v>84908.384626399988</v>
      </c>
      <c r="G63" s="7">
        <f>SUM(E63:F63)*((1+Eredmények!$B$9)^(1/12)-1)</f>
        <v>18244.531111360859</v>
      </c>
      <c r="H63" s="7">
        <f t="shared" si="2"/>
        <v>4983000.2839381592</v>
      </c>
    </row>
    <row r="64" spans="1:10">
      <c r="A64">
        <f t="shared" si="0"/>
        <v>2033</v>
      </c>
      <c r="B64">
        <f t="shared" si="1"/>
        <v>29</v>
      </c>
      <c r="C64">
        <f t="shared" si="4"/>
        <v>3</v>
      </c>
      <c r="D64" s="7">
        <f>Eredmények!$B$5/12*(1+Eredmények!$B$7)^('Havi számolás'!B64-28)</f>
        <v>1061354.8078299998</v>
      </c>
      <c r="E64" s="7">
        <f t="shared" si="3"/>
        <v>4983000.2839381592</v>
      </c>
      <c r="F64" s="7">
        <f>Eredmények!$B$8*D64</f>
        <v>84908.384626399988</v>
      </c>
      <c r="G64" s="7">
        <f>SUM(E64:F64)*((1+Eredmények!$B$9)^(1/12)-1)</f>
        <v>18623.598415796449</v>
      </c>
      <c r="H64" s="7">
        <f t="shared" si="2"/>
        <v>5086532.2669803556</v>
      </c>
    </row>
    <row r="65" spans="1:8">
      <c r="A65">
        <f t="shared" si="0"/>
        <v>2033</v>
      </c>
      <c r="B65">
        <f t="shared" si="1"/>
        <v>29</v>
      </c>
      <c r="C65">
        <f t="shared" si="4"/>
        <v>4</v>
      </c>
      <c r="D65" s="7">
        <f>Eredmények!$B$5/12*(1+Eredmények!$B$7)^('Havi számolás'!B65-28)</f>
        <v>1061354.8078299998</v>
      </c>
      <c r="E65" s="7">
        <f t="shared" si="3"/>
        <v>5086532.2669803556</v>
      </c>
      <c r="F65" s="7">
        <f>Eredmények!$B$8*D65</f>
        <v>84908.384626399988</v>
      </c>
      <c r="G65" s="7">
        <f>SUM(E65:F65)*((1+Eredmények!$B$9)^(1/12)-1)</f>
        <v>19004.058720325782</v>
      </c>
      <c r="H65" s="7">
        <f t="shared" si="2"/>
        <v>5190444.7103270814</v>
      </c>
    </row>
    <row r="66" spans="1:8">
      <c r="A66">
        <f t="shared" si="0"/>
        <v>2033</v>
      </c>
      <c r="B66">
        <f t="shared" si="1"/>
        <v>29</v>
      </c>
      <c r="C66">
        <f t="shared" si="4"/>
        <v>5</v>
      </c>
      <c r="D66" s="7">
        <f>Eredmények!$B$5/12*(1+Eredmények!$B$7)^('Havi számolás'!B66-28)</f>
        <v>1061354.8078299998</v>
      </c>
      <c r="E66" s="7">
        <f t="shared" si="3"/>
        <v>5190444.7103270814</v>
      </c>
      <c r="F66" s="7">
        <f>Eredmények!$B$8*D66</f>
        <v>84908.384626399988</v>
      </c>
      <c r="G66" s="7">
        <f>SUM(E66:F66)*((1+Eredmények!$B$9)^(1/12)-1)</f>
        <v>19385.91714395869</v>
      </c>
      <c r="H66" s="7">
        <f t="shared" si="2"/>
        <v>5294739.0120974397</v>
      </c>
    </row>
    <row r="67" spans="1:8">
      <c r="A67">
        <f t="shared" ref="A67:A130" si="5">INT((ROW(A66)-1)/12+2028)</f>
        <v>2033</v>
      </c>
      <c r="B67">
        <f t="shared" ref="B67:B130" si="6">INT((A67-2004)+(C67-1)/12)</f>
        <v>29</v>
      </c>
      <c r="C67">
        <f t="shared" si="4"/>
        <v>6</v>
      </c>
      <c r="D67" s="7">
        <f>Eredmények!$B$5/12*(1+Eredmények!$B$7)^('Havi számolás'!B67-28)</f>
        <v>1061354.8078299998</v>
      </c>
      <c r="E67" s="7">
        <f t="shared" si="3"/>
        <v>5294739.0120974397</v>
      </c>
      <c r="F67" s="7">
        <f>Eredmények!$B$8*D67</f>
        <v>84908.384626399988</v>
      </c>
      <c r="G67" s="7">
        <f>SUM(E67:F67)*((1+Eredmények!$B$9)^(1/12)-1)</f>
        <v>19769.178824516403</v>
      </c>
      <c r="H67" s="7">
        <f t="shared" ref="H67:H130" si="7">E67+F67+G67</f>
        <v>5399416.5755483555</v>
      </c>
    </row>
    <row r="68" spans="1:8">
      <c r="A68">
        <f t="shared" si="5"/>
        <v>2033</v>
      </c>
      <c r="B68">
        <f t="shared" si="6"/>
        <v>29</v>
      </c>
      <c r="C68">
        <f t="shared" si="4"/>
        <v>7</v>
      </c>
      <c r="D68" s="7">
        <f>Eredmények!$B$5/12*(1+Eredmények!$B$7)^('Havi számolás'!B68-28)</f>
        <v>1061354.8078299998</v>
      </c>
      <c r="E68" s="7">
        <f t="shared" si="3"/>
        <v>5399416.5755483555</v>
      </c>
      <c r="F68" s="7">
        <f>Eredmények!$B$8*D68</f>
        <v>84908.384626399988</v>
      </c>
      <c r="G68" s="7">
        <f>SUM(E68:F68)*((1+Eredmények!$B$9)^(1/12)-1)</f>
        <v>20153.848918700653</v>
      </c>
      <c r="H68" s="7">
        <f t="shared" si="7"/>
        <v>5504478.8090934558</v>
      </c>
    </row>
    <row r="69" spans="1:8">
      <c r="A69">
        <f t="shared" si="5"/>
        <v>2033</v>
      </c>
      <c r="B69">
        <f t="shared" si="6"/>
        <v>29</v>
      </c>
      <c r="C69">
        <f t="shared" si="4"/>
        <v>8</v>
      </c>
      <c r="D69" s="7">
        <f>Eredmények!$B$5/12*(1+Eredmények!$B$7)^('Havi számolás'!B69-28)</f>
        <v>1061354.8078299998</v>
      </c>
      <c r="E69" s="7">
        <f t="shared" ref="E69:E132" si="8">H68</f>
        <v>5504478.8090934558</v>
      </c>
      <c r="F69" s="7">
        <f>Eredmények!$B$8*D69</f>
        <v>84908.384626399988</v>
      </c>
      <c r="G69" s="7">
        <f>SUM(E69:F69)*((1+Eredmények!$B$9)^(1/12)-1)</f>
        <v>20539.932602163077</v>
      </c>
      <c r="H69" s="7">
        <f t="shared" si="7"/>
        <v>5609927.1263220189</v>
      </c>
    </row>
    <row r="70" spans="1:8">
      <c r="A70">
        <f t="shared" si="5"/>
        <v>2033</v>
      </c>
      <c r="B70">
        <f t="shared" si="6"/>
        <v>29</v>
      </c>
      <c r="C70">
        <f t="shared" si="4"/>
        <v>9</v>
      </c>
      <c r="D70" s="7">
        <f>Eredmények!$B$5/12*(1+Eredmények!$B$7)^('Havi számolás'!B70-28)</f>
        <v>1061354.8078299998</v>
      </c>
      <c r="E70" s="7">
        <f t="shared" si="8"/>
        <v>5609927.1263220189</v>
      </c>
      <c r="F70" s="7">
        <f>Eredmények!$B$8*D70</f>
        <v>84908.384626399988</v>
      </c>
      <c r="G70" s="7">
        <f>SUM(E70:F70)*((1+Eredmények!$B$9)^(1/12)-1)</f>
        <v>20927.435069574847</v>
      </c>
      <c r="H70" s="7">
        <f t="shared" si="7"/>
        <v>5715762.9460179936</v>
      </c>
    </row>
    <row r="71" spans="1:8">
      <c r="A71">
        <f t="shared" si="5"/>
        <v>2033</v>
      </c>
      <c r="B71">
        <f t="shared" si="6"/>
        <v>29</v>
      </c>
      <c r="C71">
        <f t="shared" si="4"/>
        <v>10</v>
      </c>
      <c r="D71" s="7">
        <f>Eredmények!$B$5/12*(1+Eredmények!$B$7)^('Havi számolás'!B71-28)</f>
        <v>1061354.8078299998</v>
      </c>
      <c r="E71" s="7">
        <f t="shared" si="8"/>
        <v>5715762.9460179936</v>
      </c>
      <c r="F71" s="7">
        <f>Eredmények!$B$8*D71</f>
        <v>84908.384626399988</v>
      </c>
      <c r="G71" s="7">
        <f>SUM(E71:F71)*((1+Eredmények!$B$9)^(1/12)-1)</f>
        <v>21316.361534696556</v>
      </c>
      <c r="H71" s="7">
        <f t="shared" si="7"/>
        <v>5821987.6921790903</v>
      </c>
    </row>
    <row r="72" spans="1:8">
      <c r="A72">
        <f t="shared" si="5"/>
        <v>2033</v>
      </c>
      <c r="B72">
        <f t="shared" si="6"/>
        <v>29</v>
      </c>
      <c r="C72">
        <f t="shared" si="4"/>
        <v>11</v>
      </c>
      <c r="D72" s="7">
        <f>Eredmények!$B$5/12*(1+Eredmények!$B$7)^('Havi számolás'!B72-28)</f>
        <v>1061354.8078299998</v>
      </c>
      <c r="E72" s="7">
        <f t="shared" si="8"/>
        <v>5821987.6921790903</v>
      </c>
      <c r="F72" s="7">
        <f>Eredmények!$B$8*D72</f>
        <v>84908.384626399988</v>
      </c>
      <c r="G72" s="7">
        <f>SUM(E72:F72)*((1+Eredmények!$B$9)^(1/12)-1)</f>
        <v>21706.717230448372</v>
      </c>
      <c r="H72" s="7">
        <f t="shared" si="7"/>
        <v>5928602.7940359386</v>
      </c>
    </row>
    <row r="73" spans="1:8">
      <c r="A73">
        <f t="shared" si="5"/>
        <v>2033</v>
      </c>
      <c r="B73">
        <f t="shared" si="6"/>
        <v>29</v>
      </c>
      <c r="C73">
        <f t="shared" si="4"/>
        <v>12</v>
      </c>
      <c r="D73" s="7">
        <f>Eredmények!$B$5/12*(1+Eredmények!$B$7)^('Havi számolás'!B73-28)</f>
        <v>1061354.8078299998</v>
      </c>
      <c r="E73" s="7">
        <f t="shared" si="8"/>
        <v>5928602.7940359386</v>
      </c>
      <c r="F73" s="7">
        <f>Eredmények!$B$8*D73</f>
        <v>84908.384626399988</v>
      </c>
      <c r="G73" s="7">
        <f>SUM(E73:F73)*((1+Eredmények!$B$9)^(1/12)-1)</f>
        <v>22098.507408980451</v>
      </c>
      <c r="H73" s="7">
        <f t="shared" si="7"/>
        <v>6035609.6860713186</v>
      </c>
    </row>
    <row r="74" spans="1:8">
      <c r="A74">
        <f t="shared" si="5"/>
        <v>2034</v>
      </c>
      <c r="B74">
        <f t="shared" si="6"/>
        <v>30</v>
      </c>
      <c r="C74">
        <f t="shared" si="4"/>
        <v>1</v>
      </c>
      <c r="D74" s="7">
        <f>Eredmények!$B$5/12*(1+Eredmények!$B$7)^('Havi számolás'!B74-28)</f>
        <v>1093195.4520648997</v>
      </c>
      <c r="E74" s="7">
        <f t="shared" si="8"/>
        <v>6035609.6860713186</v>
      </c>
      <c r="F74" s="7">
        <f>Eredmények!$B$8*D74</f>
        <v>87455.636165191987</v>
      </c>
      <c r="G74" s="7">
        <f>SUM(E74:F74)*((1+Eredmények!$B$9)^(1/12)-1)</f>
        <v>22501.098005643631</v>
      </c>
      <c r="H74" s="7">
        <f t="shared" si="7"/>
        <v>6145566.420242155</v>
      </c>
    </row>
    <row r="75" spans="1:8">
      <c r="A75">
        <f t="shared" si="5"/>
        <v>2034</v>
      </c>
      <c r="B75">
        <f t="shared" si="6"/>
        <v>30</v>
      </c>
      <c r="C75">
        <f t="shared" si="4"/>
        <v>2</v>
      </c>
      <c r="D75" s="7">
        <f>Eredmények!$B$5/12*(1+Eredmények!$B$7)^('Havi számolás'!B75-28)</f>
        <v>1093195.4520648997</v>
      </c>
      <c r="E75" s="7">
        <f t="shared" si="8"/>
        <v>6145566.420242155</v>
      </c>
      <c r="F75" s="7">
        <f>Eredmények!$B$8*D75</f>
        <v>87455.636165191987</v>
      </c>
      <c r="G75" s="7">
        <f>SUM(E75:F75)*((1+Eredmények!$B$9)^(1/12)-1)</f>
        <v>22905.168046015955</v>
      </c>
      <c r="H75" s="7">
        <f t="shared" si="7"/>
        <v>6255927.2244533636</v>
      </c>
    </row>
    <row r="76" spans="1:8">
      <c r="A76">
        <f t="shared" si="5"/>
        <v>2034</v>
      </c>
      <c r="B76">
        <f t="shared" si="6"/>
        <v>30</v>
      </c>
      <c r="C76">
        <f t="shared" si="4"/>
        <v>3</v>
      </c>
      <c r="D76" s="7">
        <f>Eredmények!$B$5/12*(1+Eredmények!$B$7)^('Havi számolás'!B76-28)</f>
        <v>1093195.4520648997</v>
      </c>
      <c r="E76" s="7">
        <f t="shared" si="8"/>
        <v>6255927.2244533636</v>
      </c>
      <c r="F76" s="7">
        <f>Eredmények!$B$8*D76</f>
        <v>87455.636165191987</v>
      </c>
      <c r="G76" s="7">
        <f>SUM(E76:F76)*((1+Eredmények!$B$9)^(1/12)-1)</f>
        <v>23310.722966771074</v>
      </c>
      <c r="H76" s="7">
        <f t="shared" si="7"/>
        <v>6366693.5835853266</v>
      </c>
    </row>
    <row r="77" spans="1:8">
      <c r="A77">
        <f t="shared" si="5"/>
        <v>2034</v>
      </c>
      <c r="B77">
        <f t="shared" si="6"/>
        <v>30</v>
      </c>
      <c r="C77">
        <f t="shared" si="4"/>
        <v>4</v>
      </c>
      <c r="D77" s="7">
        <f>Eredmények!$B$5/12*(1+Eredmények!$B$7)^('Havi számolás'!B77-28)</f>
        <v>1093195.4520648997</v>
      </c>
      <c r="E77" s="7">
        <f t="shared" si="8"/>
        <v>6366693.5835853266</v>
      </c>
      <c r="F77" s="7">
        <f>Eredmények!$B$8*D77</f>
        <v>87455.636165191987</v>
      </c>
      <c r="G77" s="7">
        <f>SUM(E77:F77)*((1+Eredmények!$B$9)^(1/12)-1)</f>
        <v>23717.768224561376</v>
      </c>
      <c r="H77" s="7">
        <f t="shared" si="7"/>
        <v>6477866.9879750805</v>
      </c>
    </row>
    <row r="78" spans="1:8">
      <c r="A78">
        <f t="shared" si="5"/>
        <v>2034</v>
      </c>
      <c r="B78">
        <f t="shared" si="6"/>
        <v>30</v>
      </c>
      <c r="C78">
        <f t="shared" si="4"/>
        <v>5</v>
      </c>
      <c r="D78" s="7">
        <f>Eredmények!$B$5/12*(1+Eredmények!$B$7)^('Havi számolás'!B78-28)</f>
        <v>1093195.4520648997</v>
      </c>
      <c r="E78" s="7">
        <f t="shared" si="8"/>
        <v>6477866.9879750805</v>
      </c>
      <c r="F78" s="7">
        <f>Eredmények!$B$8*D78</f>
        <v>87455.636165191987</v>
      </c>
      <c r="G78" s="7">
        <f>SUM(E78:F78)*((1+Eredmények!$B$9)^(1/12)-1)</f>
        <v>24126.309296091411</v>
      </c>
      <c r="H78" s="7">
        <f t="shared" si="7"/>
        <v>6589448.9334363639</v>
      </c>
    </row>
    <row r="79" spans="1:8">
      <c r="A79">
        <f t="shared" si="5"/>
        <v>2034</v>
      </c>
      <c r="B79">
        <f t="shared" si="6"/>
        <v>30</v>
      </c>
      <c r="C79">
        <f t="shared" ref="C79:C142" si="9">C67</f>
        <v>6</v>
      </c>
      <c r="D79" s="7">
        <f>Eredmények!$B$5/12*(1+Eredmények!$B$7)^('Havi számolás'!B79-28)</f>
        <v>1093195.4520648997</v>
      </c>
      <c r="E79" s="7">
        <f t="shared" si="8"/>
        <v>6589448.9334363639</v>
      </c>
      <c r="F79" s="7">
        <f>Eredmények!$B$8*D79</f>
        <v>87455.636165191987</v>
      </c>
      <c r="G79" s="7">
        <f>SUM(E79:F79)*((1+Eredmények!$B$9)^(1/12)-1)</f>
        <v>24536.351678191568</v>
      </c>
      <c r="H79" s="7">
        <f t="shared" si="7"/>
        <v>6701440.921279748</v>
      </c>
    </row>
    <row r="80" spans="1:8">
      <c r="A80">
        <f t="shared" si="5"/>
        <v>2034</v>
      </c>
      <c r="B80">
        <f t="shared" si="6"/>
        <v>30</v>
      </c>
      <c r="C80">
        <f t="shared" si="9"/>
        <v>7</v>
      </c>
      <c r="D80" s="7">
        <f>Eredmények!$B$5/12*(1+Eredmények!$B$7)^('Havi számolás'!B80-28)</f>
        <v>1093195.4520648997</v>
      </c>
      <c r="E80" s="7">
        <f t="shared" si="8"/>
        <v>6701440.921279748</v>
      </c>
      <c r="F80" s="7">
        <f>Eredmények!$B$8*D80</f>
        <v>87455.636165191987</v>
      </c>
      <c r="G80" s="7">
        <f>SUM(E80:F80)*((1+Eredmények!$B$9)^(1/12)-1)</f>
        <v>24947.900887892047</v>
      </c>
      <c r="H80" s="7">
        <f t="shared" si="7"/>
        <v>6813844.458332832</v>
      </c>
    </row>
    <row r="81" spans="1:8">
      <c r="A81">
        <f t="shared" si="5"/>
        <v>2034</v>
      </c>
      <c r="B81">
        <f t="shared" si="6"/>
        <v>30</v>
      </c>
      <c r="C81">
        <f t="shared" si="9"/>
        <v>8</v>
      </c>
      <c r="D81" s="7">
        <f>Eredmények!$B$5/12*(1+Eredmények!$B$7)^('Havi számolás'!B81-28)</f>
        <v>1093195.4520648997</v>
      </c>
      <c r="E81" s="7">
        <f t="shared" si="8"/>
        <v>6813844.458332832</v>
      </c>
      <c r="F81" s="7">
        <f>Eredmények!$B$8*D81</f>
        <v>87455.636165191987</v>
      </c>
      <c r="G81" s="7">
        <f>SUM(E81:F81)*((1+Eredmények!$B$9)^(1/12)-1)</f>
        <v>25360.962462497071</v>
      </c>
      <c r="H81" s="7">
        <f t="shared" si="7"/>
        <v>6926661.0569605213</v>
      </c>
    </row>
    <row r="82" spans="1:8">
      <c r="A82">
        <f t="shared" si="5"/>
        <v>2034</v>
      </c>
      <c r="B82">
        <f t="shared" si="6"/>
        <v>30</v>
      </c>
      <c r="C82">
        <f t="shared" si="9"/>
        <v>9</v>
      </c>
      <c r="D82" s="7">
        <f>Eredmények!$B$5/12*(1+Eredmények!$B$7)^('Havi számolás'!B82-28)</f>
        <v>1093195.4520648997</v>
      </c>
      <c r="E82" s="7">
        <f t="shared" si="8"/>
        <v>6926661.0569605213</v>
      </c>
      <c r="F82" s="7">
        <f>Eredmények!$B$8*D82</f>
        <v>87455.636165191987</v>
      </c>
      <c r="G82" s="7">
        <f>SUM(E82:F82)*((1+Eredmények!$B$9)^(1/12)-1)</f>
        <v>25775.541959659415</v>
      </c>
      <c r="H82" s="7">
        <f t="shared" si="7"/>
        <v>7039892.2350853728</v>
      </c>
    </row>
    <row r="83" spans="1:8">
      <c r="A83">
        <f t="shared" si="5"/>
        <v>2034</v>
      </c>
      <c r="B83">
        <f t="shared" si="6"/>
        <v>30</v>
      </c>
      <c r="C83">
        <f t="shared" si="9"/>
        <v>10</v>
      </c>
      <c r="D83" s="7">
        <f>Eredmények!$B$5/12*(1+Eredmények!$B$7)^('Havi számolás'!B83-28)</f>
        <v>1093195.4520648997</v>
      </c>
      <c r="E83" s="7">
        <f t="shared" si="8"/>
        <v>7039892.2350853728</v>
      </c>
      <c r="F83" s="7">
        <f>Eredmények!$B$8*D83</f>
        <v>87455.636165191987</v>
      </c>
      <c r="G83" s="7">
        <f>SUM(E83:F83)*((1+Eredmények!$B$9)^(1/12)-1)</f>
        <v>26191.644957455159</v>
      </c>
      <c r="H83" s="7">
        <f t="shared" si="7"/>
        <v>7153539.51620802</v>
      </c>
    </row>
    <row r="84" spans="1:8">
      <c r="A84">
        <f t="shared" si="5"/>
        <v>2034</v>
      </c>
      <c r="B84">
        <f t="shared" si="6"/>
        <v>30</v>
      </c>
      <c r="C84">
        <f t="shared" si="9"/>
        <v>11</v>
      </c>
      <c r="D84" s="7">
        <f>Eredmények!$B$5/12*(1+Eredmények!$B$7)^('Havi számolás'!B84-28)</f>
        <v>1093195.4520648997</v>
      </c>
      <c r="E84" s="7">
        <f t="shared" si="8"/>
        <v>7153539.51620802</v>
      </c>
      <c r="F84" s="7">
        <f>Eredmények!$B$8*D84</f>
        <v>87455.636165191987</v>
      </c>
      <c r="G84" s="7">
        <f>SUM(E84:F84)*((1+Eredmények!$B$9)^(1/12)-1)</f>
        <v>26609.277054458751</v>
      </c>
      <c r="H84" s="7">
        <f t="shared" si="7"/>
        <v>7267604.4294276712</v>
      </c>
    </row>
    <row r="85" spans="1:8">
      <c r="A85">
        <f t="shared" si="5"/>
        <v>2034</v>
      </c>
      <c r="B85">
        <f t="shared" si="6"/>
        <v>30</v>
      </c>
      <c r="C85">
        <f t="shared" si="9"/>
        <v>12</v>
      </c>
      <c r="D85" s="7">
        <f>Eredmények!$B$5/12*(1+Eredmények!$B$7)^('Havi számolás'!B85-28)</f>
        <v>1093195.4520648997</v>
      </c>
      <c r="E85" s="7">
        <f t="shared" si="8"/>
        <v>7267604.4294276712</v>
      </c>
      <c r="F85" s="7">
        <f>Eredmények!$B$8*D85</f>
        <v>87455.636165191987</v>
      </c>
      <c r="G85" s="7">
        <f>SUM(E85:F85)*((1+Eredmények!$B$9)^(1/12)-1)</f>
        <v>27028.44386981834</v>
      </c>
      <c r="H85" s="7">
        <f t="shared" si="7"/>
        <v>7382088.5094626816</v>
      </c>
    </row>
    <row r="86" spans="1:8">
      <c r="A86">
        <f t="shared" si="5"/>
        <v>2035</v>
      </c>
      <c r="B86">
        <f t="shared" si="6"/>
        <v>31</v>
      </c>
      <c r="C86">
        <f t="shared" si="9"/>
        <v>1</v>
      </c>
      <c r="D86" s="7">
        <f>Eredmények!$B$5/12*(1+Eredmények!$B$7)^('Havi számolás'!B86-28)</f>
        <v>1125991.3156268469</v>
      </c>
      <c r="E86" s="7">
        <f t="shared" si="8"/>
        <v>7382088.5094626816</v>
      </c>
      <c r="F86" s="7">
        <f>Eredmények!$B$8*D86</f>
        <v>90079.30525014775</v>
      </c>
      <c r="G86" s="7">
        <f>SUM(E86:F86)*((1+Eredmények!$B$9)^(1/12)-1)</f>
        <v>27458.792527148391</v>
      </c>
      <c r="H86" s="7">
        <f t="shared" si="7"/>
        <v>7499626.6072399775</v>
      </c>
    </row>
    <row r="87" spans="1:8">
      <c r="A87">
        <f t="shared" si="5"/>
        <v>2035</v>
      </c>
      <c r="B87">
        <f t="shared" si="6"/>
        <v>31</v>
      </c>
      <c r="C87">
        <f t="shared" si="9"/>
        <v>2</v>
      </c>
      <c r="D87" s="7">
        <f>Eredmények!$B$5/12*(1+Eredmények!$B$7)^('Havi számolás'!B87-28)</f>
        <v>1125991.3156268469</v>
      </c>
      <c r="E87" s="7">
        <f t="shared" si="8"/>
        <v>7499626.6072399775</v>
      </c>
      <c r="F87" s="7">
        <f>Eredmények!$B$8*D87</f>
        <v>90079.30525014775</v>
      </c>
      <c r="G87" s="7">
        <f>SUM(E87:F87)*((1+Eredmények!$B$9)^(1/12)-1)</f>
        <v>27890.722633769863</v>
      </c>
      <c r="H87" s="7">
        <f t="shared" si="7"/>
        <v>7617596.6351238945</v>
      </c>
    </row>
    <row r="88" spans="1:8">
      <c r="A88">
        <f t="shared" si="5"/>
        <v>2035</v>
      </c>
      <c r="B88">
        <f t="shared" si="6"/>
        <v>31</v>
      </c>
      <c r="C88">
        <f t="shared" si="9"/>
        <v>3</v>
      </c>
      <c r="D88" s="7">
        <f>Eredmények!$B$5/12*(1+Eredmények!$B$7)^('Havi számolás'!B88-28)</f>
        <v>1125991.3156268469</v>
      </c>
      <c r="E88" s="7">
        <f t="shared" si="8"/>
        <v>7617596.6351238945</v>
      </c>
      <c r="F88" s="7">
        <f>Eredmények!$B$8*D88</f>
        <v>90079.30525014775</v>
      </c>
      <c r="G88" s="7">
        <f>SUM(E88:F88)*((1+Eredmények!$B$9)^(1/12)-1)</f>
        <v>28324.24000120748</v>
      </c>
      <c r="H88" s="7">
        <f t="shared" si="7"/>
        <v>7736000.1803752491</v>
      </c>
    </row>
    <row r="89" spans="1:8">
      <c r="A89">
        <f t="shared" si="5"/>
        <v>2035</v>
      </c>
      <c r="B89">
        <f t="shared" si="6"/>
        <v>31</v>
      </c>
      <c r="C89">
        <f t="shared" si="9"/>
        <v>4</v>
      </c>
      <c r="D89" s="7">
        <f>Eredmények!$B$5/12*(1+Eredmények!$B$7)^('Havi számolás'!B89-28)</f>
        <v>1125991.3156268469</v>
      </c>
      <c r="E89" s="7">
        <f t="shared" si="8"/>
        <v>7736000.1803752491</v>
      </c>
      <c r="F89" s="7">
        <f>Eredmények!$B$8*D89</f>
        <v>90079.30525014775</v>
      </c>
      <c r="G89" s="7">
        <f>SUM(E89:F89)*((1+Eredmények!$B$9)^(1/12)-1)</f>
        <v>28759.350462342205</v>
      </c>
      <c r="H89" s="7">
        <f t="shared" si="7"/>
        <v>7854838.8360877391</v>
      </c>
    </row>
    <row r="90" spans="1:8">
      <c r="A90">
        <f t="shared" si="5"/>
        <v>2035</v>
      </c>
      <c r="B90">
        <f t="shared" si="6"/>
        <v>31</v>
      </c>
      <c r="C90">
        <f t="shared" si="9"/>
        <v>5</v>
      </c>
      <c r="D90" s="7">
        <f>Eredmények!$B$5/12*(1+Eredmények!$B$7)^('Havi számolás'!B90-28)</f>
        <v>1125991.3156268469</v>
      </c>
      <c r="E90" s="7">
        <f t="shared" si="8"/>
        <v>7854838.8360877391</v>
      </c>
      <c r="F90" s="7">
        <f>Eredmények!$B$8*D90</f>
        <v>90079.30525014775</v>
      </c>
      <c r="G90" s="7">
        <f>SUM(E90:F90)*((1+Eredmények!$B$9)^(1/12)-1)</f>
        <v>29196.059871489742</v>
      </c>
      <c r="H90" s="7">
        <f t="shared" si="7"/>
        <v>7974114.2012093766</v>
      </c>
    </row>
    <row r="91" spans="1:8">
      <c r="A91">
        <f t="shared" si="5"/>
        <v>2035</v>
      </c>
      <c r="B91">
        <f t="shared" si="6"/>
        <v>31</v>
      </c>
      <c r="C91">
        <f t="shared" si="9"/>
        <v>6</v>
      </c>
      <c r="D91" s="7">
        <f>Eredmények!$B$5/12*(1+Eredmények!$B$7)^('Havi számolás'!B91-28)</f>
        <v>1125991.3156268469</v>
      </c>
      <c r="E91" s="7">
        <f t="shared" si="8"/>
        <v>7974114.2012093766</v>
      </c>
      <c r="F91" s="7">
        <f>Eredmények!$B$8*D91</f>
        <v>90079.30525014775</v>
      </c>
      <c r="G91" s="7">
        <f>SUM(E91:F91)*((1+Eredmények!$B$9)^(1/12)-1)</f>
        <v>29634.374104479273</v>
      </c>
      <c r="H91" s="7">
        <f t="shared" si="7"/>
        <v>8093827.8805640033</v>
      </c>
    </row>
    <row r="92" spans="1:8">
      <c r="A92">
        <f t="shared" si="5"/>
        <v>2035</v>
      </c>
      <c r="B92">
        <f t="shared" si="6"/>
        <v>31</v>
      </c>
      <c r="C92">
        <f t="shared" si="9"/>
        <v>7</v>
      </c>
      <c r="D92" s="7">
        <f>Eredmények!$B$5/12*(1+Eredmények!$B$7)^('Havi számolás'!B92-28)</f>
        <v>1125991.3156268469</v>
      </c>
      <c r="E92" s="7">
        <f t="shared" si="8"/>
        <v>8093827.8805640033</v>
      </c>
      <c r="F92" s="7">
        <f>Eredmények!$B$8*D92</f>
        <v>90079.30525014775</v>
      </c>
      <c r="G92" s="7">
        <f>SUM(E92:F92)*((1+Eredmények!$B$9)^(1/12)-1)</f>
        <v>30074.29905873254</v>
      </c>
      <c r="H92" s="7">
        <f t="shared" si="7"/>
        <v>8213981.4848728832</v>
      </c>
    </row>
    <row r="93" spans="1:8">
      <c r="A93">
        <f t="shared" si="5"/>
        <v>2035</v>
      </c>
      <c r="B93">
        <f t="shared" si="6"/>
        <v>31</v>
      </c>
      <c r="C93">
        <f t="shared" si="9"/>
        <v>8</v>
      </c>
      <c r="D93" s="7">
        <f>Eredmények!$B$5/12*(1+Eredmények!$B$7)^('Havi számolás'!B93-28)</f>
        <v>1125991.3156268469</v>
      </c>
      <c r="E93" s="7">
        <f t="shared" si="8"/>
        <v>8213981.4848728832</v>
      </c>
      <c r="F93" s="7">
        <f>Eredmények!$B$8*D93</f>
        <v>90079.30525014775</v>
      </c>
      <c r="G93" s="7">
        <f>SUM(E93:F93)*((1+Eredmények!$B$9)^(1/12)-1)</f>
        <v>30515.840653343181</v>
      </c>
      <c r="H93" s="7">
        <f t="shared" si="7"/>
        <v>8334576.6307763737</v>
      </c>
    </row>
    <row r="94" spans="1:8">
      <c r="A94">
        <f t="shared" si="5"/>
        <v>2035</v>
      </c>
      <c r="B94">
        <f t="shared" si="6"/>
        <v>31</v>
      </c>
      <c r="C94">
        <f t="shared" si="9"/>
        <v>9</v>
      </c>
      <c r="D94" s="7">
        <f>Eredmények!$B$5/12*(1+Eredmények!$B$7)^('Havi számolás'!B94-28)</f>
        <v>1125991.3156268469</v>
      </c>
      <c r="E94" s="7">
        <f t="shared" si="8"/>
        <v>8334576.6307763737</v>
      </c>
      <c r="F94" s="7">
        <f>Eredmények!$B$8*D94</f>
        <v>90079.30525014775</v>
      </c>
      <c r="G94" s="7">
        <f>SUM(E94:F94)*((1+Eredmények!$B$9)^(1/12)-1)</f>
        <v>30959.00482915638</v>
      </c>
      <c r="H94" s="7">
        <f t="shared" si="7"/>
        <v>8455614.9408556782</v>
      </c>
    </row>
    <row r="95" spans="1:8">
      <c r="A95">
        <f t="shared" si="5"/>
        <v>2035</v>
      </c>
      <c r="B95">
        <f t="shared" si="6"/>
        <v>31</v>
      </c>
      <c r="C95">
        <f t="shared" si="9"/>
        <v>10</v>
      </c>
      <c r="D95" s="7">
        <f>Eredmények!$B$5/12*(1+Eredmények!$B$7)^('Havi számolás'!B95-28)</f>
        <v>1125991.3156268469</v>
      </c>
      <c r="E95" s="7">
        <f t="shared" si="8"/>
        <v>8455614.9408556782</v>
      </c>
      <c r="F95" s="7">
        <f>Eredmények!$B$8*D95</f>
        <v>90079.30525014775</v>
      </c>
      <c r="G95" s="7">
        <f>SUM(E95:F95)*((1+Eredmények!$B$9)^(1/12)-1)</f>
        <v>31403.797548848801</v>
      </c>
      <c r="H95" s="7">
        <f t="shared" si="7"/>
        <v>8577098.0436546747</v>
      </c>
    </row>
    <row r="96" spans="1:8">
      <c r="A96">
        <f t="shared" si="5"/>
        <v>2035</v>
      </c>
      <c r="B96">
        <f t="shared" si="6"/>
        <v>31</v>
      </c>
      <c r="C96">
        <f t="shared" si="9"/>
        <v>11</v>
      </c>
      <c r="D96" s="7">
        <f>Eredmények!$B$5/12*(1+Eredmények!$B$7)^('Havi számolás'!B96-28)</f>
        <v>1125991.3156268469</v>
      </c>
      <c r="E96" s="7">
        <f t="shared" si="8"/>
        <v>8577098.0436546747</v>
      </c>
      <c r="F96" s="7">
        <f>Eredmények!$B$8*D96</f>
        <v>90079.30525014775</v>
      </c>
      <c r="G96" s="7">
        <f>SUM(E96:F96)*((1+Eredmények!$B$9)^(1/12)-1)</f>
        <v>31850.224797008788</v>
      </c>
      <c r="H96" s="7">
        <f t="shared" si="7"/>
        <v>8699027.5737018306</v>
      </c>
    </row>
    <row r="97" spans="1:10">
      <c r="A97">
        <f t="shared" si="5"/>
        <v>2035</v>
      </c>
      <c r="B97">
        <f t="shared" si="6"/>
        <v>31</v>
      </c>
      <c r="C97">
        <f t="shared" si="9"/>
        <v>12</v>
      </c>
      <c r="D97" s="7">
        <f>Eredmények!$B$5/12*(1+Eredmények!$B$7)^('Havi számolás'!B97-28)</f>
        <v>1125991.3156268469</v>
      </c>
      <c r="E97" s="7">
        <f t="shared" si="8"/>
        <v>8699027.5737018306</v>
      </c>
      <c r="F97" s="7">
        <f>Eredmények!$B$8*D97</f>
        <v>90079.30525014775</v>
      </c>
      <c r="G97" s="7">
        <f>SUM(E97:F97)*((1+Eredmények!$B$9)^(1/12)-1)</f>
        <v>32298.292580216923</v>
      </c>
      <c r="H97" s="7">
        <f t="shared" si="7"/>
        <v>8821405.1715321951</v>
      </c>
    </row>
    <row r="98" spans="1:10">
      <c r="A98">
        <f t="shared" si="5"/>
        <v>2036</v>
      </c>
      <c r="B98">
        <f t="shared" si="6"/>
        <v>32</v>
      </c>
      <c r="C98">
        <f t="shared" si="9"/>
        <v>1</v>
      </c>
      <c r="D98" s="7">
        <f>Eredmények!$B$5/12*(1+Eredmények!$B$7)^('Havi számolás'!B98-28)</f>
        <v>1159771.0550956521</v>
      </c>
      <c r="E98" s="7">
        <f t="shared" si="8"/>
        <v>8821405.1715321951</v>
      </c>
      <c r="F98" s="7">
        <f>Eredmények!$B$8*D98</f>
        <v>92781.684407652167</v>
      </c>
      <c r="G98" s="7">
        <f>SUM(E98:F98)*((1+Eredmények!$B$9)^(1/12)-1)</f>
        <v>32757.937655458369</v>
      </c>
      <c r="H98" s="7">
        <f t="shared" si="7"/>
        <v>8946944.7935953047</v>
      </c>
    </row>
    <row r="99" spans="1:10">
      <c r="A99">
        <f t="shared" si="5"/>
        <v>2036</v>
      </c>
      <c r="B99">
        <f t="shared" si="6"/>
        <v>32</v>
      </c>
      <c r="C99">
        <f t="shared" si="9"/>
        <v>2</v>
      </c>
      <c r="D99" s="7">
        <f>Eredmények!$B$5/12*(1+Eredmények!$B$7)^('Havi számolás'!B99-28)</f>
        <v>1159771.0550956521</v>
      </c>
      <c r="E99" s="7">
        <f t="shared" si="8"/>
        <v>8946944.7935953047</v>
      </c>
      <c r="F99" s="7">
        <f>Eredmények!$B$8*D99</f>
        <v>92781.684407652167</v>
      </c>
      <c r="G99" s="7">
        <f>SUM(E99:F99)*((1+Eredmények!$B$9)^(1/12)-1)</f>
        <v>33219.271838743174</v>
      </c>
      <c r="H99" s="7">
        <f t="shared" si="7"/>
        <v>9072945.7498416994</v>
      </c>
    </row>
    <row r="100" spans="1:10">
      <c r="A100">
        <f t="shared" si="5"/>
        <v>2036</v>
      </c>
      <c r="B100">
        <f t="shared" si="6"/>
        <v>32</v>
      </c>
      <c r="C100">
        <f t="shared" si="9"/>
        <v>3</v>
      </c>
      <c r="D100" s="7">
        <f>Eredmények!$B$5/12*(1+Eredmények!$B$7)^('Havi számolás'!B100-28)</f>
        <v>1159771.0550956521</v>
      </c>
      <c r="E100" s="7">
        <f t="shared" si="8"/>
        <v>9072945.7498416994</v>
      </c>
      <c r="F100" s="7">
        <f>Eredmények!$B$8*D100</f>
        <v>92781.684407652167</v>
      </c>
      <c r="G100" s="7">
        <f>SUM(E100:F100)*((1+Eredmények!$B$9)^(1/12)-1)</f>
        <v>33682.301337221455</v>
      </c>
      <c r="H100" s="7">
        <f t="shared" si="7"/>
        <v>9199409.7355865724</v>
      </c>
    </row>
    <row r="101" spans="1:10">
      <c r="A101">
        <f t="shared" si="5"/>
        <v>2036</v>
      </c>
      <c r="B101">
        <f t="shared" si="6"/>
        <v>32</v>
      </c>
      <c r="C101">
        <f t="shared" si="9"/>
        <v>4</v>
      </c>
      <c r="D101" s="7">
        <f>Eredmények!$B$5/12*(1+Eredmények!$B$7)^('Havi számolás'!B101-28)</f>
        <v>1159771.0550956521</v>
      </c>
      <c r="E101" s="7">
        <f t="shared" si="8"/>
        <v>9199409.7355865724</v>
      </c>
      <c r="F101" s="7">
        <f>Eredmények!$B$8*D101</f>
        <v>92781.684407652167</v>
      </c>
      <c r="G101" s="7">
        <f>SUM(E101:F101)*((1+Eredmények!$B$9)^(1/12)-1)</f>
        <v>34147.03238085343</v>
      </c>
      <c r="H101" s="7">
        <f t="shared" si="7"/>
        <v>9326338.4523750767</v>
      </c>
    </row>
    <row r="102" spans="1:10">
      <c r="A102">
        <f t="shared" si="5"/>
        <v>2036</v>
      </c>
      <c r="B102">
        <f t="shared" si="6"/>
        <v>32</v>
      </c>
      <c r="C102">
        <f t="shared" si="9"/>
        <v>5</v>
      </c>
      <c r="D102" s="7">
        <f>Eredmények!$B$5/12*(1+Eredmények!$B$7)^('Havi számolás'!B102-28)</f>
        <v>1159771.0550956521</v>
      </c>
      <c r="E102" s="7">
        <f t="shared" si="8"/>
        <v>9326338.4523750767</v>
      </c>
      <c r="F102" s="7">
        <f>Eredmények!$B$8*D102</f>
        <v>92781.684407652167</v>
      </c>
      <c r="G102" s="7">
        <f>SUM(E102:F102)*((1+Eredmények!$B$9)^(1/12)-1)</f>
        <v>34613.471222493208</v>
      </c>
      <c r="H102" s="7">
        <f t="shared" si="7"/>
        <v>9453733.6080052219</v>
      </c>
    </row>
    <row r="103" spans="1:10">
      <c r="A103">
        <f t="shared" si="5"/>
        <v>2036</v>
      </c>
      <c r="B103">
        <f t="shared" si="6"/>
        <v>32</v>
      </c>
      <c r="C103">
        <f t="shared" si="9"/>
        <v>6</v>
      </c>
      <c r="D103" s="7">
        <f>Eredmények!$B$5/12*(1+Eredmények!$B$7)^('Havi számolás'!B103-28)</f>
        <v>1159771.0550956521</v>
      </c>
      <c r="E103" s="7">
        <f t="shared" si="8"/>
        <v>9453733.6080052219</v>
      </c>
      <c r="F103" s="7">
        <f>Eredmények!$B$8*D103</f>
        <v>92781.684407652167</v>
      </c>
      <c r="G103" s="7">
        <f>SUM(E103:F103)*((1+Eredmények!$B$9)^(1/12)-1)</f>
        <v>35081.624137972984</v>
      </c>
      <c r="H103" s="7">
        <f t="shared" si="7"/>
        <v>9581596.9165508468</v>
      </c>
    </row>
    <row r="104" spans="1:10">
      <c r="A104">
        <f t="shared" si="5"/>
        <v>2036</v>
      </c>
      <c r="B104">
        <f t="shared" si="6"/>
        <v>32</v>
      </c>
      <c r="C104">
        <f t="shared" si="9"/>
        <v>7</v>
      </c>
      <c r="D104" s="7">
        <f>Eredmények!$B$5/12*(1+Eredmények!$B$7)^('Havi számolás'!B104-28)</f>
        <v>1159771.0550956521</v>
      </c>
      <c r="E104" s="7">
        <f t="shared" si="8"/>
        <v>9581596.9165508468</v>
      </c>
      <c r="F104" s="7">
        <f>Eredmények!$B$8*D104</f>
        <v>92781.684407652167</v>
      </c>
      <c r="G104" s="7">
        <f>SUM(E104:F104)*((1+Eredmények!$B$9)^(1/12)-1)</f>
        <v>35551.497426187401</v>
      </c>
      <c r="H104" s="7">
        <f t="shared" si="7"/>
        <v>9709930.0983846858</v>
      </c>
    </row>
    <row r="105" spans="1:10">
      <c r="A105">
        <f t="shared" si="5"/>
        <v>2036</v>
      </c>
      <c r="B105">
        <f t="shared" si="6"/>
        <v>32</v>
      </c>
      <c r="C105">
        <f t="shared" si="9"/>
        <v>8</v>
      </c>
      <c r="D105" s="7">
        <f>Eredmények!$B$5/12*(1+Eredmények!$B$7)^('Havi számolás'!B105-28)</f>
        <v>1159771.0550956521</v>
      </c>
      <c r="E105" s="7">
        <f t="shared" si="8"/>
        <v>9709930.0983846858</v>
      </c>
      <c r="F105" s="7">
        <f>Eredmények!$B$8*D105</f>
        <v>92781.684407652167</v>
      </c>
      <c r="G105" s="7">
        <f>SUM(E105:F105)*((1+Eredmények!$B$9)^(1/12)-1)</f>
        <v>36023.097409178365</v>
      </c>
      <c r="H105" s="7">
        <f t="shared" si="7"/>
        <v>9838734.8802015148</v>
      </c>
    </row>
    <row r="106" spans="1:10">
      <c r="A106">
        <f t="shared" si="5"/>
        <v>2036</v>
      </c>
      <c r="B106">
        <f t="shared" si="6"/>
        <v>32</v>
      </c>
      <c r="C106">
        <f t="shared" si="9"/>
        <v>9</v>
      </c>
      <c r="D106" s="7">
        <f>Eredmények!$B$5/12*(1+Eredmények!$B$7)^('Havi számolás'!B106-28)</f>
        <v>1159771.0550956521</v>
      </c>
      <c r="E106" s="7">
        <f t="shared" si="8"/>
        <v>9838734.8802015148</v>
      </c>
      <c r="F106" s="7">
        <f>Eredmények!$B$8*D106</f>
        <v>92781.684407652167</v>
      </c>
      <c r="G106" s="7">
        <f>SUM(E106:F106)*((1+Eredmények!$B$9)^(1/12)-1)</f>
        <v>36496.43043222007</v>
      </c>
      <c r="H106" s="7">
        <f t="shared" si="7"/>
        <v>9968012.9950413872</v>
      </c>
    </row>
    <row r="107" spans="1:10">
      <c r="A107">
        <f t="shared" si="5"/>
        <v>2036</v>
      </c>
      <c r="B107">
        <f t="shared" si="6"/>
        <v>32</v>
      </c>
      <c r="C107">
        <f t="shared" si="9"/>
        <v>10</v>
      </c>
      <c r="D107" s="7">
        <f>Eredmények!$B$5/12*(1+Eredmények!$B$7)^('Havi számolás'!B107-28)</f>
        <v>1159771.0550956521</v>
      </c>
      <c r="E107" s="7">
        <f t="shared" si="8"/>
        <v>9968012.9950413872</v>
      </c>
      <c r="F107" s="7">
        <f>Eredmények!$B$8*D107</f>
        <v>92781.684407652167</v>
      </c>
      <c r="G107" s="7">
        <f>SUM(E107:F107)*((1+Eredmények!$B$9)^(1/12)-1)</f>
        <v>36971.502863904389</v>
      </c>
      <c r="H107" s="7">
        <f t="shared" si="7"/>
        <v>10097766.182312943</v>
      </c>
    </row>
    <row r="108" spans="1:10">
      <c r="A108">
        <f t="shared" si="5"/>
        <v>2036</v>
      </c>
      <c r="B108">
        <f t="shared" si="6"/>
        <v>32</v>
      </c>
      <c r="C108">
        <f t="shared" si="9"/>
        <v>11</v>
      </c>
      <c r="D108" s="7">
        <f>Eredmények!$B$5/12*(1+Eredmények!$B$7)^('Havi számolás'!B108-28)</f>
        <v>1159771.0550956521</v>
      </c>
      <c r="E108" s="7">
        <f t="shared" si="8"/>
        <v>10097766.182312943</v>
      </c>
      <c r="F108" s="7">
        <f>Eredmények!$B$8*D108</f>
        <v>92781.684407652167</v>
      </c>
      <c r="G108" s="7">
        <f>SUM(E108:F108)*((1+Eredmények!$B$9)^(1/12)-1)</f>
        <v>37448.321096226544</v>
      </c>
      <c r="H108" s="7">
        <f t="shared" si="7"/>
        <v>10227996.187816821</v>
      </c>
    </row>
    <row r="109" spans="1:10">
      <c r="A109">
        <f t="shared" si="5"/>
        <v>2036</v>
      </c>
      <c r="B109">
        <f t="shared" si="6"/>
        <v>32</v>
      </c>
      <c r="C109">
        <f t="shared" si="9"/>
        <v>12</v>
      </c>
      <c r="D109" s="7">
        <f>Eredmények!$B$5/12*(1+Eredmények!$B$7)^('Havi számolás'!B109-28)</f>
        <v>1159771.0550956521</v>
      </c>
      <c r="E109" s="7">
        <f t="shared" si="8"/>
        <v>10227996.187816821</v>
      </c>
      <c r="F109" s="7">
        <f>Eredmények!$B$8*D109</f>
        <v>92781.684407652167</v>
      </c>
      <c r="G109" s="7">
        <f>SUM(E109:F109)*((1+Eredmények!$B$9)^(1/12)-1)</f>
        <v>37926.89154467114</v>
      </c>
      <c r="H109" s="7">
        <f t="shared" si="7"/>
        <v>10358704.763769144</v>
      </c>
    </row>
    <row r="110" spans="1:10">
      <c r="A110" s="10">
        <f t="shared" si="5"/>
        <v>2037</v>
      </c>
      <c r="B110" s="10">
        <f t="shared" si="6"/>
        <v>33</v>
      </c>
      <c r="C110" s="10">
        <f t="shared" si="9"/>
        <v>1</v>
      </c>
      <c r="D110" s="11">
        <f>Eredmények!$B$6/12*(1+Eredmények!$B$7)^('Havi számolás'!B110-33)</f>
        <v>1391725.2661147825</v>
      </c>
      <c r="E110" s="11">
        <f t="shared" si="8"/>
        <v>10358704.763769144</v>
      </c>
      <c r="F110" s="11">
        <f>Eredmények!$B$8*D110</f>
        <v>111338.02128918261</v>
      </c>
      <c r="G110" s="11">
        <f>SUM(E110:F110)*((1+Eredmények!$B$9)^(1/12)-1)</f>
        <v>38475.411649508373</v>
      </c>
      <c r="H110" s="11">
        <f t="shared" si="7"/>
        <v>10508518.196707835</v>
      </c>
      <c r="J110" t="s">
        <v>54</v>
      </c>
    </row>
    <row r="111" spans="1:10">
      <c r="A111">
        <f t="shared" si="5"/>
        <v>2037</v>
      </c>
      <c r="B111">
        <f t="shared" si="6"/>
        <v>33</v>
      </c>
      <c r="C111">
        <f t="shared" si="9"/>
        <v>2</v>
      </c>
      <c r="D111" s="7">
        <f>Eredmények!$B$6/12*(1+Eredmények!$B$7)^('Havi számolás'!B111-33)</f>
        <v>1391725.2661147825</v>
      </c>
      <c r="E111" s="7">
        <f t="shared" si="8"/>
        <v>10508518.196707835</v>
      </c>
      <c r="F111" s="7">
        <f>Eredmények!$B$8*D111</f>
        <v>111338.02128918261</v>
      </c>
      <c r="G111" s="7">
        <f>SUM(E111:F111)*((1+Eredmények!$B$9)^(1/12)-1)</f>
        <v>39025.94746118319</v>
      </c>
      <c r="H111" s="7">
        <f t="shared" si="7"/>
        <v>10658882.165458202</v>
      </c>
    </row>
    <row r="112" spans="1:10">
      <c r="A112">
        <f t="shared" si="5"/>
        <v>2037</v>
      </c>
      <c r="B112">
        <f t="shared" si="6"/>
        <v>33</v>
      </c>
      <c r="C112">
        <f t="shared" si="9"/>
        <v>3</v>
      </c>
      <c r="D112" s="7">
        <f>Eredmények!$B$6/12*(1+Eredmények!$B$7)^('Havi számolás'!B112-33)</f>
        <v>1391725.2661147825</v>
      </c>
      <c r="E112" s="7">
        <f t="shared" si="8"/>
        <v>10658882.165458202</v>
      </c>
      <c r="F112" s="7">
        <f>Eredmények!$B$8*D112</f>
        <v>111338.02128918261</v>
      </c>
      <c r="G112" s="7">
        <f>SUM(E112:F112)*((1+Eredmények!$B$9)^(1/12)-1)</f>
        <v>39578.506387034031</v>
      </c>
      <c r="H112" s="7">
        <f t="shared" si="7"/>
        <v>10809798.69313442</v>
      </c>
    </row>
    <row r="113" spans="1:8">
      <c r="A113">
        <f t="shared" si="5"/>
        <v>2037</v>
      </c>
      <c r="B113">
        <f t="shared" si="6"/>
        <v>33</v>
      </c>
      <c r="C113">
        <f t="shared" si="9"/>
        <v>4</v>
      </c>
      <c r="D113" s="7">
        <f>Eredmények!$B$6/12*(1+Eredmények!$B$7)^('Havi számolás'!B113-33)</f>
        <v>1391725.2661147825</v>
      </c>
      <c r="E113" s="7">
        <f t="shared" si="8"/>
        <v>10809798.69313442</v>
      </c>
      <c r="F113" s="7">
        <f>Eredmények!$B$8*D113</f>
        <v>111338.02128918261</v>
      </c>
      <c r="G113" s="7">
        <f>SUM(E113:F113)*((1+Eredmények!$B$9)^(1/12)-1)</f>
        <v>40133.095861619884</v>
      </c>
      <c r="H113" s="7">
        <f t="shared" si="7"/>
        <v>10961269.810285222</v>
      </c>
    </row>
    <row r="114" spans="1:8">
      <c r="A114">
        <f t="shared" si="5"/>
        <v>2037</v>
      </c>
      <c r="B114">
        <f t="shared" si="6"/>
        <v>33</v>
      </c>
      <c r="C114">
        <f t="shared" si="9"/>
        <v>5</v>
      </c>
      <c r="D114" s="7">
        <f>Eredmények!$B$6/12*(1+Eredmények!$B$7)^('Havi számolás'!B114-33)</f>
        <v>1391725.2661147825</v>
      </c>
      <c r="E114" s="7">
        <f t="shared" si="8"/>
        <v>10961269.810285222</v>
      </c>
      <c r="F114" s="7">
        <f>Eredmények!$B$8*D114</f>
        <v>111338.02128918261</v>
      </c>
      <c r="G114" s="7">
        <f>SUM(E114:F114)*((1+Eredmények!$B$9)^(1/12)-1)</f>
        <v>40689.723346820327</v>
      </c>
      <c r="H114" s="7">
        <f t="shared" si="7"/>
        <v>11113297.554921225</v>
      </c>
    </row>
    <row r="115" spans="1:8">
      <c r="A115">
        <f t="shared" si="5"/>
        <v>2037</v>
      </c>
      <c r="B115">
        <f t="shared" si="6"/>
        <v>33</v>
      </c>
      <c r="C115">
        <f t="shared" si="9"/>
        <v>6</v>
      </c>
      <c r="D115" s="7">
        <f>Eredmények!$B$6/12*(1+Eredmények!$B$7)^('Havi számolás'!B115-33)</f>
        <v>1391725.2661147825</v>
      </c>
      <c r="E115" s="7">
        <f t="shared" si="8"/>
        <v>11113297.554921225</v>
      </c>
      <c r="F115" s="7">
        <f>Eredmények!$B$8*D115</f>
        <v>111338.02128918261</v>
      </c>
      <c r="G115" s="7">
        <f>SUM(E115:F115)*((1+Eredmények!$B$9)^(1/12)-1)</f>
        <v>41248.396331935917</v>
      </c>
      <c r="H115" s="7">
        <f t="shared" si="7"/>
        <v>11265883.972542344</v>
      </c>
    </row>
    <row r="116" spans="1:8">
      <c r="A116">
        <f t="shared" si="5"/>
        <v>2037</v>
      </c>
      <c r="B116">
        <f t="shared" si="6"/>
        <v>33</v>
      </c>
      <c r="C116">
        <f t="shared" si="9"/>
        <v>7</v>
      </c>
      <c r="D116" s="7">
        <f>Eredmények!$B$6/12*(1+Eredmények!$B$7)^('Havi számolás'!B116-33)</f>
        <v>1391725.2661147825</v>
      </c>
      <c r="E116" s="7">
        <f t="shared" si="8"/>
        <v>11265883.972542344</v>
      </c>
      <c r="F116" s="7">
        <f>Eredmények!$B$8*D116</f>
        <v>111338.02128918261</v>
      </c>
      <c r="G116" s="7">
        <f>SUM(E116:F116)*((1+Eredmények!$B$9)^(1/12)-1)</f>
        <v>41809.12233378899</v>
      </c>
      <c r="H116" s="7">
        <f t="shared" si="7"/>
        <v>11419031.116165316</v>
      </c>
    </row>
    <row r="117" spans="1:8">
      <c r="A117">
        <f t="shared" si="5"/>
        <v>2037</v>
      </c>
      <c r="B117">
        <f t="shared" si="6"/>
        <v>33</v>
      </c>
      <c r="C117">
        <f t="shared" si="9"/>
        <v>8</v>
      </c>
      <c r="D117" s="7">
        <f>Eredmények!$B$6/12*(1+Eredmények!$B$7)^('Havi számolás'!B117-33)</f>
        <v>1391725.2661147825</v>
      </c>
      <c r="E117" s="7">
        <f t="shared" si="8"/>
        <v>11419031.116165316</v>
      </c>
      <c r="F117" s="7">
        <f>Eredmények!$B$8*D117</f>
        <v>111338.02128918261</v>
      </c>
      <c r="G117" s="7">
        <f>SUM(E117:F117)*((1+Eredmények!$B$9)^(1/12)-1)</f>
        <v>42371.908896824745</v>
      </c>
      <c r="H117" s="7">
        <f t="shared" si="7"/>
        <v>11572741.046351323</v>
      </c>
    </row>
    <row r="118" spans="1:8">
      <c r="A118">
        <f t="shared" si="5"/>
        <v>2037</v>
      </c>
      <c r="B118">
        <f t="shared" si="6"/>
        <v>33</v>
      </c>
      <c r="C118">
        <f t="shared" si="9"/>
        <v>9</v>
      </c>
      <c r="D118" s="7">
        <f>Eredmények!$B$6/12*(1+Eredmények!$B$7)^('Havi számolás'!B118-33)</f>
        <v>1391725.2661147825</v>
      </c>
      <c r="E118" s="7">
        <f t="shared" si="8"/>
        <v>11572741.046351323</v>
      </c>
      <c r="F118" s="7">
        <f>Eredmények!$B$8*D118</f>
        <v>111338.02128918261</v>
      </c>
      <c r="G118" s="7">
        <f>SUM(E118:F118)*((1+Eredmények!$B$9)^(1/12)-1)</f>
        <v>42936.763593212774</v>
      </c>
      <c r="H118" s="7">
        <f t="shared" si="7"/>
        <v>11727015.831233719</v>
      </c>
    </row>
    <row r="119" spans="1:8">
      <c r="A119">
        <f t="shared" si="5"/>
        <v>2037</v>
      </c>
      <c r="B119">
        <f t="shared" si="6"/>
        <v>33</v>
      </c>
      <c r="C119">
        <f t="shared" si="9"/>
        <v>10</v>
      </c>
      <c r="D119" s="7">
        <f>Eredmények!$B$6/12*(1+Eredmények!$B$7)^('Havi számolás'!B119-33)</f>
        <v>1391725.2661147825</v>
      </c>
      <c r="E119" s="7">
        <f t="shared" si="8"/>
        <v>11727015.831233719</v>
      </c>
      <c r="F119" s="7">
        <f>Eredmények!$B$8*D119</f>
        <v>111338.02128918261</v>
      </c>
      <c r="G119" s="7">
        <f>SUM(E119:F119)*((1+Eredmények!$B$9)^(1/12)-1)</f>
        <v>43503.694022948977</v>
      </c>
      <c r="H119" s="7">
        <f t="shared" si="7"/>
        <v>11881857.546545852</v>
      </c>
    </row>
    <row r="120" spans="1:8">
      <c r="A120">
        <f t="shared" si="5"/>
        <v>2037</v>
      </c>
      <c r="B120">
        <f t="shared" si="6"/>
        <v>33</v>
      </c>
      <c r="C120">
        <f t="shared" si="9"/>
        <v>11</v>
      </c>
      <c r="D120" s="7">
        <f>Eredmények!$B$6/12*(1+Eredmények!$B$7)^('Havi számolás'!B120-33)</f>
        <v>1391725.2661147825</v>
      </c>
      <c r="E120" s="7">
        <f t="shared" si="8"/>
        <v>11881857.546545852</v>
      </c>
      <c r="F120" s="7">
        <f>Eredmények!$B$8*D120</f>
        <v>111338.02128918261</v>
      </c>
      <c r="G120" s="7">
        <f>SUM(E120:F120)*((1+Eredmények!$B$9)^(1/12)-1)</f>
        <v>44072.707813957772</v>
      </c>
      <c r="H120" s="7">
        <f t="shared" si="7"/>
        <v>12037268.275648993</v>
      </c>
    </row>
    <row r="121" spans="1:8">
      <c r="A121">
        <f t="shared" si="5"/>
        <v>2037</v>
      </c>
      <c r="B121">
        <f t="shared" si="6"/>
        <v>33</v>
      </c>
      <c r="C121">
        <f t="shared" si="9"/>
        <v>12</v>
      </c>
      <c r="D121" s="7">
        <f>Eredmények!$B$6/12*(1+Eredmények!$B$7)^('Havi számolás'!B121-33)</f>
        <v>1391725.2661147825</v>
      </c>
      <c r="E121" s="7">
        <f t="shared" si="8"/>
        <v>12037268.275648993</v>
      </c>
      <c r="F121" s="7">
        <f>Eredmények!$B$8*D121</f>
        <v>111338.02128918261</v>
      </c>
      <c r="G121" s="7">
        <f>SUM(E121:F121)*((1+Eredmények!$B$9)^(1/12)-1)</f>
        <v>44643.812622194731</v>
      </c>
      <c r="H121" s="7">
        <f t="shared" si="7"/>
        <v>12193250.10956037</v>
      </c>
    </row>
    <row r="122" spans="1:8">
      <c r="A122">
        <f t="shared" si="5"/>
        <v>2038</v>
      </c>
      <c r="B122">
        <f t="shared" si="6"/>
        <v>34</v>
      </c>
      <c r="C122">
        <f t="shared" si="9"/>
        <v>1</v>
      </c>
      <c r="D122" s="7">
        <f>Eredmények!$B$6/12*(1+Eredmények!$B$7)^('Havi számolás'!B122-33)</f>
        <v>1433477.0240982261</v>
      </c>
      <c r="E122" s="7">
        <f t="shared" si="8"/>
        <v>12193250.10956037</v>
      </c>
      <c r="F122" s="7">
        <f>Eredmények!$B$8*D122</f>
        <v>114678.16192785809</v>
      </c>
      <c r="G122" s="7">
        <f>SUM(E122:F122)*((1+Eredmények!$B$9)^(1/12)-1)</f>
        <v>45229.290511967432</v>
      </c>
      <c r="H122" s="7">
        <f t="shared" si="7"/>
        <v>12353157.562000196</v>
      </c>
    </row>
    <row r="123" spans="1:8">
      <c r="A123">
        <f t="shared" si="5"/>
        <v>2038</v>
      </c>
      <c r="B123">
        <f t="shared" si="6"/>
        <v>34</v>
      </c>
      <c r="C123">
        <f t="shared" si="9"/>
        <v>2</v>
      </c>
      <c r="D123" s="7">
        <f>Eredmények!$B$6/12*(1+Eredmények!$B$7)^('Havi számolás'!B123-33)</f>
        <v>1433477.0240982261</v>
      </c>
      <c r="E123" s="7">
        <f t="shared" si="8"/>
        <v>12353157.562000196</v>
      </c>
      <c r="F123" s="7">
        <f>Eredmények!$B$8*D123</f>
        <v>114678.16192785809</v>
      </c>
      <c r="G123" s="7">
        <f>SUM(E123:F123)*((1+Eredmények!$B$9)^(1/12)-1)</f>
        <v>45816.919921393215</v>
      </c>
      <c r="H123" s="7">
        <f t="shared" si="7"/>
        <v>12513652.643849447</v>
      </c>
    </row>
    <row r="124" spans="1:8">
      <c r="A124">
        <f t="shared" si="5"/>
        <v>2038</v>
      </c>
      <c r="B124">
        <f t="shared" si="6"/>
        <v>34</v>
      </c>
      <c r="C124">
        <f t="shared" si="9"/>
        <v>3</v>
      </c>
      <c r="D124" s="7">
        <f>Eredmények!$B$6/12*(1+Eredmények!$B$7)^('Havi számolás'!B124-33)</f>
        <v>1433477.0240982261</v>
      </c>
      <c r="E124" s="7">
        <f t="shared" si="8"/>
        <v>12513652.643849447</v>
      </c>
      <c r="F124" s="7">
        <f>Eredmények!$B$8*D124</f>
        <v>114678.16192785809</v>
      </c>
      <c r="G124" s="7">
        <f>SUM(E124:F124)*((1+Eredmények!$B$9)^(1/12)-1)</f>
        <v>46406.708756896725</v>
      </c>
      <c r="H124" s="7">
        <f t="shared" si="7"/>
        <v>12674737.514534203</v>
      </c>
    </row>
    <row r="125" spans="1:8">
      <c r="A125">
        <f t="shared" si="5"/>
        <v>2038</v>
      </c>
      <c r="B125">
        <f t="shared" si="6"/>
        <v>34</v>
      </c>
      <c r="C125">
        <f t="shared" si="9"/>
        <v>4</v>
      </c>
      <c r="D125" s="7">
        <f>Eredmények!$B$6/12*(1+Eredmények!$B$7)^('Havi számolás'!B125-33)</f>
        <v>1433477.0240982261</v>
      </c>
      <c r="E125" s="7">
        <f t="shared" si="8"/>
        <v>12674737.514534203</v>
      </c>
      <c r="F125" s="7">
        <f>Eredmények!$B$8*D125</f>
        <v>114678.16192785809</v>
      </c>
      <c r="G125" s="7">
        <f>SUM(E125:F125)*((1+Eredmények!$B$9)^(1/12)-1)</f>
        <v>46998.664953957217</v>
      </c>
      <c r="H125" s="7">
        <f t="shared" si="7"/>
        <v>12836414.341416018</v>
      </c>
    </row>
    <row r="126" spans="1:8">
      <c r="A126">
        <f t="shared" si="5"/>
        <v>2038</v>
      </c>
      <c r="B126">
        <f t="shared" si="6"/>
        <v>34</v>
      </c>
      <c r="C126">
        <f t="shared" si="9"/>
        <v>5</v>
      </c>
      <c r="D126" s="7">
        <f>Eredmények!$B$6/12*(1+Eredmények!$B$7)^('Havi számolás'!B126-33)</f>
        <v>1433477.0240982261</v>
      </c>
      <c r="E126" s="7">
        <f t="shared" si="8"/>
        <v>12836414.341416018</v>
      </c>
      <c r="F126" s="7">
        <f>Eredmények!$B$8*D126</f>
        <v>114678.16192785809</v>
      </c>
      <c r="G126" s="7">
        <f>SUM(E126:F126)*((1+Eredmények!$B$9)^(1/12)-1)</f>
        <v>47592.796477215314</v>
      </c>
      <c r="H126" s="7">
        <f t="shared" si="7"/>
        <v>12998685.299821092</v>
      </c>
    </row>
    <row r="127" spans="1:8">
      <c r="A127">
        <f t="shared" si="5"/>
        <v>2038</v>
      </c>
      <c r="B127">
        <f t="shared" si="6"/>
        <v>34</v>
      </c>
      <c r="C127">
        <f t="shared" si="9"/>
        <v>6</v>
      </c>
      <c r="D127" s="7">
        <f>Eredmények!$B$6/12*(1+Eredmények!$B$7)^('Havi számolás'!B127-33)</f>
        <v>1433477.0240982261</v>
      </c>
      <c r="E127" s="7">
        <f t="shared" si="8"/>
        <v>12998685.299821092</v>
      </c>
      <c r="F127" s="7">
        <f>Eredmények!$B$8*D127</f>
        <v>114678.16192785809</v>
      </c>
      <c r="G127" s="7">
        <f>SUM(E127:F127)*((1+Eredmények!$B$9)^(1/12)-1)</f>
        <v>48189.111320580174</v>
      </c>
      <c r="H127" s="7">
        <f t="shared" si="7"/>
        <v>13161552.57306953</v>
      </c>
    </row>
    <row r="128" spans="1:8">
      <c r="A128">
        <f t="shared" si="5"/>
        <v>2038</v>
      </c>
      <c r="B128">
        <f t="shared" si="6"/>
        <v>34</v>
      </c>
      <c r="C128">
        <f t="shared" si="9"/>
        <v>7</v>
      </c>
      <c r="D128" s="7">
        <f>Eredmények!$B$6/12*(1+Eredmények!$B$7)^('Havi számolás'!B128-33)</f>
        <v>1433477.0240982261</v>
      </c>
      <c r="E128" s="7">
        <f t="shared" si="8"/>
        <v>13161552.57306953</v>
      </c>
      <c r="F128" s="7">
        <f>Eredmények!$B$8*D128</f>
        <v>114678.16192785809</v>
      </c>
      <c r="G128" s="7">
        <f>SUM(E128:F128)*((1+Eredmények!$B$9)^(1/12)-1)</f>
        <v>48787.617507337054</v>
      </c>
      <c r="H128" s="7">
        <f t="shared" si="7"/>
        <v>13325018.352504725</v>
      </c>
    </row>
    <row r="129" spans="1:8">
      <c r="A129">
        <f t="shared" si="5"/>
        <v>2038</v>
      </c>
      <c r="B129">
        <f t="shared" si="6"/>
        <v>34</v>
      </c>
      <c r="C129">
        <f t="shared" si="9"/>
        <v>8</v>
      </c>
      <c r="D129" s="7">
        <f>Eredmények!$B$6/12*(1+Eredmények!$B$7)^('Havi számolás'!B129-33)</f>
        <v>1433477.0240982261</v>
      </c>
      <c r="E129" s="7">
        <f t="shared" si="8"/>
        <v>13325018.352504725</v>
      </c>
      <c r="F129" s="7">
        <f>Eredmények!$B$8*D129</f>
        <v>114678.16192785809</v>
      </c>
      <c r="G129" s="7">
        <f>SUM(E129:F129)*((1+Eredmények!$B$9)^(1/12)-1)</f>
        <v>49388.323090255246</v>
      </c>
      <c r="H129" s="7">
        <f t="shared" si="7"/>
        <v>13489084.837522838</v>
      </c>
    </row>
    <row r="130" spans="1:8">
      <c r="A130">
        <f t="shared" si="5"/>
        <v>2038</v>
      </c>
      <c r="B130">
        <f t="shared" si="6"/>
        <v>34</v>
      </c>
      <c r="C130">
        <f t="shared" si="9"/>
        <v>9</v>
      </c>
      <c r="D130" s="7">
        <f>Eredmények!$B$6/12*(1+Eredmények!$B$7)^('Havi számolás'!B130-33)</f>
        <v>1433477.0240982261</v>
      </c>
      <c r="E130" s="7">
        <f t="shared" si="8"/>
        <v>13489084.837522838</v>
      </c>
      <c r="F130" s="7">
        <f>Eredmények!$B$8*D130</f>
        <v>114678.16192785809</v>
      </c>
      <c r="G130" s="7">
        <f>SUM(E130:F130)*((1+Eredmények!$B$9)^(1/12)-1)</f>
        <v>49991.236151696437</v>
      </c>
      <c r="H130" s="7">
        <f t="shared" si="7"/>
        <v>13653754.235602394</v>
      </c>
    </row>
    <row r="131" spans="1:8">
      <c r="A131">
        <f t="shared" ref="A131:A194" si="10">INT((ROW(A130)-1)/12+2028)</f>
        <v>2038</v>
      </c>
      <c r="B131">
        <f t="shared" ref="B131:B194" si="11">INT((A131-2004)+(C131-1)/12)</f>
        <v>34</v>
      </c>
      <c r="C131">
        <f t="shared" si="9"/>
        <v>10</v>
      </c>
      <c r="D131" s="7">
        <f>Eredmények!$B$6/12*(1+Eredmények!$B$7)^('Havi számolás'!B131-33)</f>
        <v>1433477.0240982261</v>
      </c>
      <c r="E131" s="7">
        <f t="shared" si="8"/>
        <v>13653754.235602394</v>
      </c>
      <c r="F131" s="7">
        <f>Eredmények!$B$8*D131</f>
        <v>114678.16192785809</v>
      </c>
      <c r="G131" s="7">
        <f>SUM(E131:F131)*((1+Eredmények!$B$9)^(1/12)-1)</f>
        <v>50596.364803723467</v>
      </c>
      <c r="H131" s="7">
        <f t="shared" ref="H131:H194" si="12">E131+F131+G131</f>
        <v>13819028.762333976</v>
      </c>
    </row>
    <row r="132" spans="1:8">
      <c r="A132">
        <f t="shared" si="10"/>
        <v>2038</v>
      </c>
      <c r="B132">
        <f t="shared" si="11"/>
        <v>34</v>
      </c>
      <c r="C132">
        <f t="shared" si="9"/>
        <v>11</v>
      </c>
      <c r="D132" s="7">
        <f>Eredmények!$B$6/12*(1+Eredmények!$B$7)^('Havi számolás'!B132-33)</f>
        <v>1433477.0240982261</v>
      </c>
      <c r="E132" s="7">
        <f t="shared" si="8"/>
        <v>13819028.762333976</v>
      </c>
      <c r="F132" s="7">
        <f>Eredmények!$B$8*D132</f>
        <v>114678.16192785809</v>
      </c>
      <c r="G132" s="7">
        <f>SUM(E132:F132)*((1+Eredmények!$B$9)^(1/12)-1)</f>
        <v>51203.717188209441</v>
      </c>
      <c r="H132" s="7">
        <f t="shared" si="12"/>
        <v>13984910.641450044</v>
      </c>
    </row>
    <row r="133" spans="1:8">
      <c r="A133">
        <f t="shared" si="10"/>
        <v>2038</v>
      </c>
      <c r="B133">
        <f t="shared" si="11"/>
        <v>34</v>
      </c>
      <c r="C133">
        <f t="shared" si="9"/>
        <v>12</v>
      </c>
      <c r="D133" s="7">
        <f>Eredmények!$B$6/12*(1+Eredmények!$B$7)^('Havi számolás'!B133-33)</f>
        <v>1433477.0240982261</v>
      </c>
      <c r="E133" s="7">
        <f t="shared" ref="E133:E196" si="13">H132</f>
        <v>13984910.641450044</v>
      </c>
      <c r="F133" s="7">
        <f>Eredmények!$B$8*D133</f>
        <v>114678.16192785809</v>
      </c>
      <c r="G133" s="7">
        <f>SUM(E133:F133)*((1+Eredmények!$B$9)^(1/12)-1)</f>
        <v>51813.301476947294</v>
      </c>
      <c r="H133" s="7">
        <f t="shared" si="12"/>
        <v>14151402.10485485</v>
      </c>
    </row>
    <row r="134" spans="1:8">
      <c r="A134">
        <f t="shared" si="10"/>
        <v>2039</v>
      </c>
      <c r="B134">
        <f t="shared" si="11"/>
        <v>35</v>
      </c>
      <c r="C134">
        <f t="shared" si="9"/>
        <v>1</v>
      </c>
      <c r="D134" s="7">
        <f>Eredmények!$B$6/12*(1+Eredmények!$B$7)^('Havi számolás'!B134-33)</f>
        <v>1476481.3348211728</v>
      </c>
      <c r="E134" s="7">
        <f t="shared" si="13"/>
        <v>14151402.10485485</v>
      </c>
      <c r="F134" s="7">
        <f>Eredmények!$B$8*D134</f>
        <v>118118.50678569383</v>
      </c>
      <c r="G134" s="7">
        <f>SUM(E134:F134)*((1+Eredmények!$B$9)^(1/12)-1)</f>
        <v>52437.768483384083</v>
      </c>
      <c r="H134" s="7">
        <f t="shared" si="12"/>
        <v>14321958.380123928</v>
      </c>
    </row>
    <row r="135" spans="1:8">
      <c r="A135">
        <f t="shared" si="10"/>
        <v>2039</v>
      </c>
      <c r="B135">
        <f t="shared" si="11"/>
        <v>35</v>
      </c>
      <c r="C135">
        <f t="shared" si="9"/>
        <v>2</v>
      </c>
      <c r="D135" s="7">
        <f>Eredmények!$B$6/12*(1+Eredmények!$B$7)^('Havi számolás'!B135-33)</f>
        <v>1476481.3348211728</v>
      </c>
      <c r="E135" s="7">
        <f t="shared" si="13"/>
        <v>14321958.380123928</v>
      </c>
      <c r="F135" s="7">
        <f>Eredmények!$B$8*D135</f>
        <v>118118.50678569383</v>
      </c>
      <c r="G135" s="7">
        <f>SUM(E135:F135)*((1+Eredmények!$B$9)^(1/12)-1)</f>
        <v>53064.530287046386</v>
      </c>
      <c r="H135" s="7">
        <f t="shared" si="12"/>
        <v>14493141.417196669</v>
      </c>
    </row>
    <row r="136" spans="1:8">
      <c r="A136">
        <f t="shared" si="10"/>
        <v>2039</v>
      </c>
      <c r="B136">
        <f t="shared" si="11"/>
        <v>35</v>
      </c>
      <c r="C136">
        <f t="shared" si="9"/>
        <v>3</v>
      </c>
      <c r="D136" s="7">
        <f>Eredmények!$B$6/12*(1+Eredmények!$B$7)^('Havi számolás'!B136-33)</f>
        <v>1476481.3348211728</v>
      </c>
      <c r="E136" s="7">
        <f t="shared" si="13"/>
        <v>14493141.417196669</v>
      </c>
      <c r="F136" s="7">
        <f>Eredmények!$B$8*D136</f>
        <v>118118.50678569383</v>
      </c>
      <c r="G136" s="7">
        <f>SUM(E136:F136)*((1+Eredmények!$B$9)^(1/12)-1)</f>
        <v>53693.595320876622</v>
      </c>
      <c r="H136" s="7">
        <f t="shared" si="12"/>
        <v>14664953.51930324</v>
      </c>
    </row>
    <row r="137" spans="1:8">
      <c r="A137">
        <f t="shared" si="10"/>
        <v>2039</v>
      </c>
      <c r="B137">
        <f t="shared" si="11"/>
        <v>35</v>
      </c>
      <c r="C137">
        <f t="shared" si="9"/>
        <v>4</v>
      </c>
      <c r="D137" s="7">
        <f>Eredmények!$B$6/12*(1+Eredmények!$B$7)^('Havi számolás'!B137-33)</f>
        <v>1476481.3348211728</v>
      </c>
      <c r="E137" s="7">
        <f t="shared" si="13"/>
        <v>14664953.51930324</v>
      </c>
      <c r="F137" s="7">
        <f>Eredmények!$B$8*D137</f>
        <v>118118.50678569383</v>
      </c>
      <c r="G137" s="7">
        <f>SUM(E137:F137)*((1+Eredmények!$B$9)^(1/12)-1)</f>
        <v>54324.972048806667</v>
      </c>
      <c r="H137" s="7">
        <f t="shared" si="12"/>
        <v>14837396.99813774</v>
      </c>
    </row>
    <row r="138" spans="1:8">
      <c r="A138">
        <f t="shared" si="10"/>
        <v>2039</v>
      </c>
      <c r="B138">
        <f t="shared" si="11"/>
        <v>35</v>
      </c>
      <c r="C138">
        <f t="shared" si="9"/>
        <v>5</v>
      </c>
      <c r="D138" s="7">
        <f>Eredmények!$B$6/12*(1+Eredmények!$B$7)^('Havi számolás'!B138-33)</f>
        <v>1476481.3348211728</v>
      </c>
      <c r="E138" s="7">
        <f t="shared" si="13"/>
        <v>14837396.99813774</v>
      </c>
      <c r="F138" s="7">
        <f>Eredmények!$B$8*D138</f>
        <v>118118.50678569383</v>
      </c>
      <c r="G138" s="7">
        <f>SUM(E138:F138)*((1+Eredmények!$B$9)^(1/12)-1)</f>
        <v>54958.668965871722</v>
      </c>
      <c r="H138" s="7">
        <f t="shared" si="12"/>
        <v>15010474.173889307</v>
      </c>
    </row>
    <row r="139" spans="1:8">
      <c r="A139">
        <f t="shared" si="10"/>
        <v>2039</v>
      </c>
      <c r="B139">
        <f t="shared" si="11"/>
        <v>35</v>
      </c>
      <c r="C139">
        <f t="shared" si="9"/>
        <v>6</v>
      </c>
      <c r="D139" s="7">
        <f>Eredmények!$B$6/12*(1+Eredmények!$B$7)^('Havi számolás'!B139-33)</f>
        <v>1476481.3348211728</v>
      </c>
      <c r="E139" s="7">
        <f t="shared" si="13"/>
        <v>15010474.173889307</v>
      </c>
      <c r="F139" s="7">
        <f>Eredmények!$B$8*D139</f>
        <v>118118.50678569383</v>
      </c>
      <c r="G139" s="7">
        <f>SUM(E139:F139)*((1+Eredmények!$B$9)^(1/12)-1)</f>
        <v>55594.694598324641</v>
      </c>
      <c r="H139" s="7">
        <f t="shared" si="12"/>
        <v>15184187.375273326</v>
      </c>
    </row>
    <row r="140" spans="1:8">
      <c r="A140">
        <f t="shared" si="10"/>
        <v>2039</v>
      </c>
      <c r="B140">
        <f t="shared" si="11"/>
        <v>35</v>
      </c>
      <c r="C140">
        <f t="shared" si="9"/>
        <v>7</v>
      </c>
      <c r="D140" s="7">
        <f>Eredmények!$B$6/12*(1+Eredmények!$B$7)^('Havi számolás'!B140-33)</f>
        <v>1476481.3348211728</v>
      </c>
      <c r="E140" s="7">
        <f t="shared" si="13"/>
        <v>15184187.375273326</v>
      </c>
      <c r="F140" s="7">
        <f>Eredmények!$B$8*D140</f>
        <v>118118.50678569383</v>
      </c>
      <c r="G140" s="7">
        <f>SUM(E140:F140)*((1+Eredmények!$B$9)^(1/12)-1)</f>
        <v>56233.057503750613</v>
      </c>
      <c r="H140" s="7">
        <f t="shared" si="12"/>
        <v>15358538.939562771</v>
      </c>
    </row>
    <row r="141" spans="1:8">
      <c r="A141">
        <f t="shared" si="10"/>
        <v>2039</v>
      </c>
      <c r="B141">
        <f t="shared" si="11"/>
        <v>35</v>
      </c>
      <c r="C141">
        <f t="shared" si="9"/>
        <v>8</v>
      </c>
      <c r="D141" s="7">
        <f>Eredmények!$B$6/12*(1+Eredmények!$B$7)^('Havi számolás'!B141-33)</f>
        <v>1476481.3348211728</v>
      </c>
      <c r="E141" s="7">
        <f t="shared" si="13"/>
        <v>15358538.939562771</v>
      </c>
      <c r="F141" s="7">
        <f>Eredmények!$B$8*D141</f>
        <v>118118.50678569383</v>
      </c>
      <c r="G141" s="7">
        <f>SUM(E141:F141)*((1+Eredmények!$B$9)^(1/12)-1)</f>
        <v>56873.766271182336</v>
      </c>
      <c r="H141" s="7">
        <f t="shared" si="12"/>
        <v>15533531.212619647</v>
      </c>
    </row>
    <row r="142" spans="1:8">
      <c r="A142">
        <f t="shared" si="10"/>
        <v>2039</v>
      </c>
      <c r="B142">
        <f t="shared" si="11"/>
        <v>35</v>
      </c>
      <c r="C142">
        <f t="shared" si="9"/>
        <v>9</v>
      </c>
      <c r="D142" s="7">
        <f>Eredmények!$B$6/12*(1+Eredmények!$B$7)^('Havi számolás'!B142-33)</f>
        <v>1476481.3348211728</v>
      </c>
      <c r="E142" s="7">
        <f t="shared" si="13"/>
        <v>15533531.212619647</v>
      </c>
      <c r="F142" s="7">
        <f>Eredmények!$B$8*D142</f>
        <v>118118.50678569383</v>
      </c>
      <c r="G142" s="7">
        <f>SUM(E142:F142)*((1+Eredmények!$B$9)^(1/12)-1)</f>
        <v>57516.829521215557</v>
      </c>
      <c r="H142" s="7">
        <f t="shared" si="12"/>
        <v>15709166.548926558</v>
      </c>
    </row>
    <row r="143" spans="1:8">
      <c r="A143">
        <f t="shared" si="10"/>
        <v>2039</v>
      </c>
      <c r="B143">
        <f t="shared" si="11"/>
        <v>35</v>
      </c>
      <c r="C143">
        <f t="shared" ref="C143:C206" si="14">C131</f>
        <v>10</v>
      </c>
      <c r="D143" s="7">
        <f>Eredmények!$B$6/12*(1+Eredmények!$B$7)^('Havi számolás'!B143-33)</f>
        <v>1476481.3348211728</v>
      </c>
      <c r="E143" s="7">
        <f t="shared" si="13"/>
        <v>15709166.548926558</v>
      </c>
      <c r="F143" s="7">
        <f>Eredmények!$B$8*D143</f>
        <v>118118.50678569383</v>
      </c>
      <c r="G143" s="7">
        <f>SUM(E143:F143)*((1+Eredmények!$B$9)^(1/12)-1)</f>
        <v>58162.255906125079</v>
      </c>
      <c r="H143" s="7">
        <f t="shared" si="12"/>
        <v>15885447.311618378</v>
      </c>
    </row>
    <row r="144" spans="1:8">
      <c r="A144">
        <f t="shared" si="10"/>
        <v>2039</v>
      </c>
      <c r="B144">
        <f t="shared" si="11"/>
        <v>35</v>
      </c>
      <c r="C144">
        <f t="shared" si="14"/>
        <v>11</v>
      </c>
      <c r="D144" s="7">
        <f>Eredmények!$B$6/12*(1+Eredmények!$B$7)^('Havi számolás'!B144-33)</f>
        <v>1476481.3348211728</v>
      </c>
      <c r="E144" s="7">
        <f t="shared" si="13"/>
        <v>15885447.311618378</v>
      </c>
      <c r="F144" s="7">
        <f>Eredmények!$B$8*D144</f>
        <v>118118.50678569383</v>
      </c>
      <c r="G144" s="7">
        <f>SUM(E144:F144)*((1+Eredmények!$B$9)^(1/12)-1)</f>
        <v>58810.05410998116</v>
      </c>
      <c r="H144" s="7">
        <f t="shared" si="12"/>
        <v>16062375.872514054</v>
      </c>
    </row>
    <row r="145" spans="1:8">
      <c r="A145">
        <f t="shared" si="10"/>
        <v>2039</v>
      </c>
      <c r="B145">
        <f t="shared" si="11"/>
        <v>35</v>
      </c>
      <c r="C145">
        <f t="shared" si="14"/>
        <v>12</v>
      </c>
      <c r="D145" s="7">
        <f>Eredmények!$B$6/12*(1+Eredmények!$B$7)^('Havi számolás'!B145-33)</f>
        <v>1476481.3348211728</v>
      </c>
      <c r="E145" s="7">
        <f t="shared" si="13"/>
        <v>16062375.872514054</v>
      </c>
      <c r="F145" s="7">
        <f>Eredmények!$B$8*D145</f>
        <v>118118.50678569383</v>
      </c>
      <c r="G145" s="7">
        <f>SUM(E145:F145)*((1+Eredmények!$B$9)^(1/12)-1)</f>
        <v>59460.232848766354</v>
      </c>
      <c r="H145" s="7">
        <f t="shared" si="12"/>
        <v>16239954.612148516</v>
      </c>
    </row>
    <row r="146" spans="1:8">
      <c r="A146">
        <f t="shared" si="10"/>
        <v>2040</v>
      </c>
      <c r="B146">
        <f t="shared" si="11"/>
        <v>36</v>
      </c>
      <c r="C146">
        <f t="shared" si="14"/>
        <v>1</v>
      </c>
      <c r="D146" s="7">
        <f>Eredmények!$B$6/12*(1+Eredmények!$B$7)^('Havi számolás'!B146-33)</f>
        <v>1520775.774865808</v>
      </c>
      <c r="E146" s="7">
        <f t="shared" si="13"/>
        <v>16239954.612148516</v>
      </c>
      <c r="F146" s="7">
        <f>Eredmények!$B$8*D146</f>
        <v>121662.06198926464</v>
      </c>
      <c r="G146" s="7">
        <f>SUM(E146:F146)*((1+Eredmények!$B$9)^(1/12)-1)</f>
        <v>60125.822760465846</v>
      </c>
      <c r="H146" s="7">
        <f t="shared" si="12"/>
        <v>16421742.496898247</v>
      </c>
    </row>
    <row r="147" spans="1:8">
      <c r="A147">
        <f t="shared" si="10"/>
        <v>2040</v>
      </c>
      <c r="B147">
        <f t="shared" si="11"/>
        <v>36</v>
      </c>
      <c r="C147">
        <f t="shared" si="14"/>
        <v>2</v>
      </c>
      <c r="D147" s="7">
        <f>Eredmények!$B$6/12*(1+Eredmények!$B$7)^('Havi számolás'!B147-33)</f>
        <v>1520775.774865808</v>
      </c>
      <c r="E147" s="7">
        <f t="shared" si="13"/>
        <v>16421742.496898247</v>
      </c>
      <c r="F147" s="7">
        <f>Eredmények!$B$8*D147</f>
        <v>121662.06198926464</v>
      </c>
      <c r="G147" s="7">
        <f>SUM(E147:F147)*((1+Eredmények!$B$9)^(1/12)-1)</f>
        <v>60793.85858822969</v>
      </c>
      <c r="H147" s="7">
        <f t="shared" si="12"/>
        <v>16604198.417475741</v>
      </c>
    </row>
    <row r="148" spans="1:8">
      <c r="A148">
        <f t="shared" si="10"/>
        <v>2040</v>
      </c>
      <c r="B148">
        <f t="shared" si="11"/>
        <v>36</v>
      </c>
      <c r="C148">
        <f t="shared" si="14"/>
        <v>3</v>
      </c>
      <c r="D148" s="7">
        <f>Eredmények!$B$6/12*(1+Eredmények!$B$7)^('Havi számolás'!B148-33)</f>
        <v>1520775.774865808</v>
      </c>
      <c r="E148" s="7">
        <f t="shared" si="13"/>
        <v>16604198.417475741</v>
      </c>
      <c r="F148" s="7">
        <f>Eredmények!$B$8*D148</f>
        <v>121662.06198926464</v>
      </c>
      <c r="G148" s="7">
        <f>SUM(E148:F148)*((1+Eredmények!$B$9)^(1/12)-1)</f>
        <v>61464.349320333225</v>
      </c>
      <c r="H148" s="7">
        <f t="shared" si="12"/>
        <v>16787324.828785338</v>
      </c>
    </row>
    <row r="149" spans="1:8">
      <c r="A149">
        <f t="shared" si="10"/>
        <v>2040</v>
      </c>
      <c r="B149">
        <f t="shared" si="11"/>
        <v>36</v>
      </c>
      <c r="C149">
        <f t="shared" si="14"/>
        <v>4</v>
      </c>
      <c r="D149" s="7">
        <f>Eredmények!$B$6/12*(1+Eredmények!$B$7)^('Havi számolás'!B149-33)</f>
        <v>1520775.774865808</v>
      </c>
      <c r="E149" s="7">
        <f t="shared" si="13"/>
        <v>16787324.828785338</v>
      </c>
      <c r="F149" s="7">
        <f>Eredmények!$B$8*D149</f>
        <v>121662.06198926464</v>
      </c>
      <c r="G149" s="7">
        <f>SUM(E149:F149)*((1+Eredmények!$B$9)^(1/12)-1)</f>
        <v>62137.303978082004</v>
      </c>
      <c r="H149" s="7">
        <f t="shared" si="12"/>
        <v>16971124.194752686</v>
      </c>
    </row>
    <row r="150" spans="1:8">
      <c r="A150">
        <f t="shared" si="10"/>
        <v>2040</v>
      </c>
      <c r="B150">
        <f t="shared" si="11"/>
        <v>36</v>
      </c>
      <c r="C150">
        <f t="shared" si="14"/>
        <v>5</v>
      </c>
      <c r="D150" s="7">
        <f>Eredmények!$B$6/12*(1+Eredmények!$B$7)^('Havi számolás'!B150-33)</f>
        <v>1520775.774865808</v>
      </c>
      <c r="E150" s="7">
        <f t="shared" si="13"/>
        <v>16971124.194752686</v>
      </c>
      <c r="F150" s="7">
        <f>Eredmények!$B$8*D150</f>
        <v>121662.06198926464</v>
      </c>
      <c r="G150" s="7">
        <f>SUM(E150:F150)*((1+Eredmények!$B$9)^(1/12)-1)</f>
        <v>62812.731615933146</v>
      </c>
      <c r="H150" s="7">
        <f t="shared" si="12"/>
        <v>17155598.988357887</v>
      </c>
    </row>
    <row r="151" spans="1:8">
      <c r="A151">
        <f t="shared" si="10"/>
        <v>2040</v>
      </c>
      <c r="B151">
        <f t="shared" si="11"/>
        <v>36</v>
      </c>
      <c r="C151">
        <f t="shared" si="14"/>
        <v>6</v>
      </c>
      <c r="D151" s="7">
        <f>Eredmények!$B$6/12*(1+Eredmények!$B$7)^('Havi számolás'!B151-33)</f>
        <v>1520775.774865808</v>
      </c>
      <c r="E151" s="7">
        <f t="shared" si="13"/>
        <v>17155598.988357887</v>
      </c>
      <c r="F151" s="7">
        <f>Eredmények!$B$8*D151</f>
        <v>121662.06198926464</v>
      </c>
      <c r="G151" s="7">
        <f>SUM(E151:F151)*((1+Eredmények!$B$9)^(1/12)-1)</f>
        <v>63490.641321617186</v>
      </c>
      <c r="H151" s="7">
        <f t="shared" si="12"/>
        <v>17340751.691668771</v>
      </c>
    </row>
    <row r="152" spans="1:8">
      <c r="A152">
        <f t="shared" si="10"/>
        <v>2040</v>
      </c>
      <c r="B152">
        <f t="shared" si="11"/>
        <v>36</v>
      </c>
      <c r="C152">
        <f t="shared" si="14"/>
        <v>7</v>
      </c>
      <c r="D152" s="7">
        <f>Eredmények!$B$6/12*(1+Eredmények!$B$7)^('Havi számolás'!B152-33)</f>
        <v>1520775.774865808</v>
      </c>
      <c r="E152" s="7">
        <f t="shared" si="13"/>
        <v>17340751.691668771</v>
      </c>
      <c r="F152" s="7">
        <f>Eredmények!$B$8*D152</f>
        <v>121662.06198926464</v>
      </c>
      <c r="G152" s="7">
        <f>SUM(E152:F152)*((1+Eredmények!$B$9)^(1/12)-1)</f>
        <v>64171.042216260321</v>
      </c>
      <c r="H152" s="7">
        <f t="shared" si="12"/>
        <v>17526584.795874298</v>
      </c>
    </row>
    <row r="153" spans="1:8">
      <c r="A153">
        <f t="shared" si="10"/>
        <v>2040</v>
      </c>
      <c r="B153">
        <f t="shared" si="11"/>
        <v>36</v>
      </c>
      <c r="C153">
        <f t="shared" si="14"/>
        <v>8</v>
      </c>
      <c r="D153" s="7">
        <f>Eredmények!$B$6/12*(1+Eredmények!$B$7)^('Havi számolás'!B153-33)</f>
        <v>1520775.774865808</v>
      </c>
      <c r="E153" s="7">
        <f t="shared" si="13"/>
        <v>17526584.795874298</v>
      </c>
      <c r="F153" s="7">
        <f>Eredmények!$B$8*D153</f>
        <v>121662.06198926464</v>
      </c>
      <c r="G153" s="7">
        <f>SUM(E153:F153)*((1+Eredmények!$B$9)^(1/12)-1)</f>
        <v>64853.943454507149</v>
      </c>
      <c r="H153" s="7">
        <f t="shared" si="12"/>
        <v>17713100.801318072</v>
      </c>
    </row>
    <row r="154" spans="1:8">
      <c r="A154">
        <f t="shared" si="10"/>
        <v>2040</v>
      </c>
      <c r="B154">
        <f t="shared" si="11"/>
        <v>36</v>
      </c>
      <c r="C154">
        <f t="shared" si="14"/>
        <v>9</v>
      </c>
      <c r="D154" s="7">
        <f>Eredmények!$B$6/12*(1+Eredmények!$B$7)^('Havi számolás'!B154-33)</f>
        <v>1520775.774865808</v>
      </c>
      <c r="E154" s="7">
        <f t="shared" si="13"/>
        <v>17713100.801318072</v>
      </c>
      <c r="F154" s="7">
        <f>Eredmények!$B$8*D154</f>
        <v>121662.06198926464</v>
      </c>
      <c r="G154" s="7">
        <f>SUM(E154:F154)*((1+Eredmények!$B$9)^(1/12)-1)</f>
        <v>65539.354224643859</v>
      </c>
      <c r="H154" s="7">
        <f t="shared" si="12"/>
        <v>17900302.217531983</v>
      </c>
    </row>
    <row r="155" spans="1:8">
      <c r="A155">
        <f t="shared" si="10"/>
        <v>2040</v>
      </c>
      <c r="B155">
        <f t="shared" si="11"/>
        <v>36</v>
      </c>
      <c r="C155">
        <f t="shared" si="14"/>
        <v>10</v>
      </c>
      <c r="D155" s="7">
        <f>Eredmények!$B$6/12*(1+Eredmények!$B$7)^('Havi számolás'!B155-33)</f>
        <v>1520775.774865808</v>
      </c>
      <c r="E155" s="7">
        <f t="shared" si="13"/>
        <v>17900302.217531983</v>
      </c>
      <c r="F155" s="7">
        <f>Eredmények!$B$8*D155</f>
        <v>121662.06198926464</v>
      </c>
      <c r="G155" s="7">
        <f>SUM(E155:F155)*((1+Eredmények!$B$9)^(1/12)-1)</f>
        <v>66227.283748721835</v>
      </c>
      <c r="H155" s="7">
        <f t="shared" si="12"/>
        <v>18088191.563269973</v>
      </c>
    </row>
    <row r="156" spans="1:8">
      <c r="A156">
        <f t="shared" si="10"/>
        <v>2040</v>
      </c>
      <c r="B156">
        <f t="shared" si="11"/>
        <v>36</v>
      </c>
      <c r="C156">
        <f t="shared" si="14"/>
        <v>11</v>
      </c>
      <c r="D156" s="7">
        <f>Eredmények!$B$6/12*(1+Eredmények!$B$7)^('Havi számolás'!B156-33)</f>
        <v>1520775.774865808</v>
      </c>
      <c r="E156" s="7">
        <f t="shared" si="13"/>
        <v>18088191.563269973</v>
      </c>
      <c r="F156" s="7">
        <f>Eredmények!$B$8*D156</f>
        <v>121662.06198926464</v>
      </c>
      <c r="G156" s="7">
        <f>SUM(E156:F156)*((1+Eredmények!$B$9)^(1/12)-1)</f>
        <v>66917.741282681731</v>
      </c>
      <c r="H156" s="7">
        <f t="shared" si="12"/>
        <v>18276771.366541922</v>
      </c>
    </row>
    <row r="157" spans="1:8">
      <c r="A157">
        <f t="shared" si="10"/>
        <v>2040</v>
      </c>
      <c r="B157">
        <f t="shared" si="11"/>
        <v>36</v>
      </c>
      <c r="C157">
        <f t="shared" si="14"/>
        <v>12</v>
      </c>
      <c r="D157" s="7">
        <f>Eredmények!$B$6/12*(1+Eredmények!$B$7)^('Havi számolás'!B157-33)</f>
        <v>1520775.774865808</v>
      </c>
      <c r="E157" s="7">
        <f t="shared" si="13"/>
        <v>18276771.366541922</v>
      </c>
      <c r="F157" s="7">
        <f>Eredmények!$B$8*D157</f>
        <v>121662.06198926464</v>
      </c>
      <c r="G157" s="7">
        <f>SUM(E157:F157)*((1+Eredmények!$B$9)^(1/12)-1)</f>
        <v>67610.736116478016</v>
      </c>
      <c r="H157" s="7">
        <f t="shared" si="12"/>
        <v>18466044.164647665</v>
      </c>
    </row>
    <row r="158" spans="1:8">
      <c r="A158">
        <f t="shared" si="10"/>
        <v>2041</v>
      </c>
      <c r="B158">
        <f t="shared" si="11"/>
        <v>37</v>
      </c>
      <c r="C158">
        <f t="shared" si="14"/>
        <v>1</v>
      </c>
      <c r="D158" s="7">
        <f>Eredmények!$B$6/12*(1+Eredmények!$B$7)^('Havi számolás'!B158-33)</f>
        <v>1566399.0481117822</v>
      </c>
      <c r="E158" s="7">
        <f t="shared" si="13"/>
        <v>18466044.164647665</v>
      </c>
      <c r="F158" s="7">
        <f>Eredmények!$B$8*D158</f>
        <v>125311.92384894258</v>
      </c>
      <c r="G158" s="7">
        <f>SUM(E158:F158)*((1+Eredmények!$B$9)^(1/12)-1)</f>
        <v>68319.690120876228</v>
      </c>
      <c r="H158" s="7">
        <f t="shared" si="12"/>
        <v>18659675.778617483</v>
      </c>
    </row>
    <row r="159" spans="1:8">
      <c r="A159">
        <f t="shared" si="10"/>
        <v>2041</v>
      </c>
      <c r="B159">
        <f t="shared" si="11"/>
        <v>37</v>
      </c>
      <c r="C159">
        <f t="shared" si="14"/>
        <v>2</v>
      </c>
      <c r="D159" s="7">
        <f>Eredmények!$B$6/12*(1+Eredmények!$B$7)^('Havi számolás'!B159-33)</f>
        <v>1566399.0481117822</v>
      </c>
      <c r="E159" s="7">
        <f t="shared" si="13"/>
        <v>18659675.778617483</v>
      </c>
      <c r="F159" s="7">
        <f>Eredmények!$B$8*D159</f>
        <v>125311.92384894258</v>
      </c>
      <c r="G159" s="7">
        <f>SUM(E159:F159)*((1+Eredmények!$B$9)^(1/12)-1)</f>
        <v>69031.249396114275</v>
      </c>
      <c r="H159" s="7">
        <f t="shared" si="12"/>
        <v>18854018.95186254</v>
      </c>
    </row>
    <row r="160" spans="1:8">
      <c r="A160">
        <f t="shared" si="10"/>
        <v>2041</v>
      </c>
      <c r="B160">
        <f t="shared" si="11"/>
        <v>37</v>
      </c>
      <c r="C160">
        <f t="shared" si="14"/>
        <v>3</v>
      </c>
      <c r="D160" s="7">
        <f>Eredmények!$B$6/12*(1+Eredmények!$B$7)^('Havi számolás'!B160-33)</f>
        <v>1566399.0481117822</v>
      </c>
      <c r="E160" s="7">
        <f t="shared" si="13"/>
        <v>18854018.95186254</v>
      </c>
      <c r="F160" s="7">
        <f>Eredmények!$B$8*D160</f>
        <v>125311.92384894258</v>
      </c>
      <c r="G160" s="7">
        <f>SUM(E160:F160)*((1+Eredmények!$B$9)^(1/12)-1)</f>
        <v>69745.42351606593</v>
      </c>
      <c r="H160" s="7">
        <f t="shared" si="12"/>
        <v>19049076.299227547</v>
      </c>
    </row>
    <row r="161" spans="1:8">
      <c r="A161">
        <f t="shared" si="10"/>
        <v>2041</v>
      </c>
      <c r="B161">
        <f t="shared" si="11"/>
        <v>37</v>
      </c>
      <c r="C161">
        <f t="shared" si="14"/>
        <v>4</v>
      </c>
      <c r="D161" s="7">
        <f>Eredmények!$B$6/12*(1+Eredmények!$B$7)^('Havi számolás'!B161-33)</f>
        <v>1566399.0481117822</v>
      </c>
      <c r="E161" s="7">
        <f t="shared" si="13"/>
        <v>19049076.299227547</v>
      </c>
      <c r="F161" s="7">
        <f>Eredmények!$B$8*D161</f>
        <v>125311.92384894258</v>
      </c>
      <c r="G161" s="7">
        <f>SUM(E161:F161)*((1+Eredmények!$B$9)^(1/12)-1)</f>
        <v>70462.22208978713</v>
      </c>
      <c r="H161" s="7">
        <f t="shared" si="12"/>
        <v>19244850.445166275</v>
      </c>
    </row>
    <row r="162" spans="1:8">
      <c r="A162">
        <f t="shared" si="10"/>
        <v>2041</v>
      </c>
      <c r="B162">
        <f t="shared" si="11"/>
        <v>37</v>
      </c>
      <c r="C162">
        <f t="shared" si="14"/>
        <v>5</v>
      </c>
      <c r="D162" s="7">
        <f>Eredmények!$B$6/12*(1+Eredmények!$B$7)^('Havi számolás'!B162-33)</f>
        <v>1566399.0481117822</v>
      </c>
      <c r="E162" s="7">
        <f t="shared" si="13"/>
        <v>19244850.445166275</v>
      </c>
      <c r="F162" s="7">
        <f>Eredmények!$B$8*D162</f>
        <v>125311.92384894258</v>
      </c>
      <c r="G162" s="7">
        <f>SUM(E162:F162)*((1+Eredmények!$B$9)^(1/12)-1)</f>
        <v>71181.654761645274</v>
      </c>
      <c r="H162" s="7">
        <f t="shared" si="12"/>
        <v>19441344.023776863</v>
      </c>
    </row>
    <row r="163" spans="1:8">
      <c r="A163">
        <f t="shared" si="10"/>
        <v>2041</v>
      </c>
      <c r="B163">
        <f t="shared" si="11"/>
        <v>37</v>
      </c>
      <c r="C163">
        <f t="shared" si="14"/>
        <v>6</v>
      </c>
      <c r="D163" s="7">
        <f>Eredmények!$B$6/12*(1+Eredmények!$B$7)^('Havi számolás'!B163-33)</f>
        <v>1566399.0481117822</v>
      </c>
      <c r="E163" s="7">
        <f t="shared" si="13"/>
        <v>19441344.023776863</v>
      </c>
      <c r="F163" s="7">
        <f>Eredmények!$B$8*D163</f>
        <v>125311.92384894258</v>
      </c>
      <c r="G163" s="7">
        <f>SUM(E163:F163)*((1+Eredmények!$B$9)^(1/12)-1)</f>
        <v>71903.731211448932</v>
      </c>
      <c r="H163" s="7">
        <f t="shared" si="12"/>
        <v>19638559.678837255</v>
      </c>
    </row>
    <row r="164" spans="1:8">
      <c r="A164">
        <f t="shared" si="10"/>
        <v>2041</v>
      </c>
      <c r="B164">
        <f t="shared" si="11"/>
        <v>37</v>
      </c>
      <c r="C164">
        <f t="shared" si="14"/>
        <v>7</v>
      </c>
      <c r="D164" s="7">
        <f>Eredmények!$B$6/12*(1+Eredmények!$B$7)^('Havi számolás'!B164-33)</f>
        <v>1566399.0481117822</v>
      </c>
      <c r="E164" s="7">
        <f t="shared" si="13"/>
        <v>19638559.678837255</v>
      </c>
      <c r="F164" s="7">
        <f>Eredmények!$B$8*D164</f>
        <v>125311.92384894258</v>
      </c>
      <c r="G164" s="7">
        <f>SUM(E164:F164)*((1+Eredmények!$B$9)^(1/12)-1)</f>
        <v>72628.461154578181</v>
      </c>
      <c r="H164" s="7">
        <f t="shared" si="12"/>
        <v>19836500.063840773</v>
      </c>
    </row>
    <row r="165" spans="1:8">
      <c r="A165">
        <f t="shared" si="10"/>
        <v>2041</v>
      </c>
      <c r="B165">
        <f t="shared" si="11"/>
        <v>37</v>
      </c>
      <c r="C165">
        <f t="shared" si="14"/>
        <v>8</v>
      </c>
      <c r="D165" s="7">
        <f>Eredmények!$B$6/12*(1+Eredmények!$B$7)^('Havi számolás'!B165-33)</f>
        <v>1566399.0481117822</v>
      </c>
      <c r="E165" s="7">
        <f t="shared" si="13"/>
        <v>19836500.063840773</v>
      </c>
      <c r="F165" s="7">
        <f>Eredmények!$B$8*D165</f>
        <v>125311.92384894258</v>
      </c>
      <c r="G165" s="7">
        <f>SUM(E165:F165)*((1+Eredmények!$B$9)^(1/12)-1)</f>
        <v>73355.854342115199</v>
      </c>
      <c r="H165" s="7">
        <f t="shared" si="12"/>
        <v>20035167.842031829</v>
      </c>
    </row>
    <row r="166" spans="1:8">
      <c r="A166">
        <f t="shared" si="10"/>
        <v>2041</v>
      </c>
      <c r="B166">
        <f t="shared" si="11"/>
        <v>37</v>
      </c>
      <c r="C166">
        <f t="shared" si="14"/>
        <v>9</v>
      </c>
      <c r="D166" s="7">
        <f>Eredmények!$B$6/12*(1+Eredmények!$B$7)^('Havi számolás'!B166-33)</f>
        <v>1566399.0481117822</v>
      </c>
      <c r="E166" s="7">
        <f t="shared" si="13"/>
        <v>20035167.842031829</v>
      </c>
      <c r="F166" s="7">
        <f>Eredmények!$B$8*D166</f>
        <v>125311.92384894258</v>
      </c>
      <c r="G166" s="7">
        <f>SUM(E166:F166)*((1+Eredmények!$B$9)^(1/12)-1)</f>
        <v>74085.920560975588</v>
      </c>
      <c r="H166" s="7">
        <f t="shared" si="12"/>
        <v>20234565.686441746</v>
      </c>
    </row>
    <row r="167" spans="1:8">
      <c r="A167">
        <f t="shared" si="10"/>
        <v>2041</v>
      </c>
      <c r="B167">
        <f t="shared" si="11"/>
        <v>37</v>
      </c>
      <c r="C167">
        <f t="shared" si="14"/>
        <v>10</v>
      </c>
      <c r="D167" s="7">
        <f>Eredmények!$B$6/12*(1+Eredmények!$B$7)^('Havi számolás'!B167-33)</f>
        <v>1566399.0481117822</v>
      </c>
      <c r="E167" s="7">
        <f t="shared" si="13"/>
        <v>20234565.686441746</v>
      </c>
      <c r="F167" s="7">
        <f>Eredmények!$B$8*D167</f>
        <v>125311.92384894258</v>
      </c>
      <c r="G167" s="7">
        <f>SUM(E167:F167)*((1+Eredmények!$B$9)^(1/12)-1)</f>
        <v>74818.669634039994</v>
      </c>
      <c r="H167" s="7">
        <f t="shared" si="12"/>
        <v>20434696.279924728</v>
      </c>
    </row>
    <row r="168" spans="1:8">
      <c r="A168">
        <f t="shared" si="10"/>
        <v>2041</v>
      </c>
      <c r="B168">
        <f t="shared" si="11"/>
        <v>37</v>
      </c>
      <c r="C168">
        <f t="shared" si="14"/>
        <v>11</v>
      </c>
      <c r="D168" s="7">
        <f>Eredmények!$B$6/12*(1+Eredmények!$B$7)^('Havi számolás'!B168-33)</f>
        <v>1566399.0481117822</v>
      </c>
      <c r="E168" s="7">
        <f t="shared" si="13"/>
        <v>20434696.279924728</v>
      </c>
      <c r="F168" s="7">
        <f>Eredmények!$B$8*D168</f>
        <v>125311.92384894258</v>
      </c>
      <c r="G168" s="7">
        <f>SUM(E168:F168)*((1+Eredmények!$B$9)^(1/12)-1)</f>
        <v>75554.111420286266</v>
      </c>
      <c r="H168" s="7">
        <f t="shared" si="12"/>
        <v>20635562.315193955</v>
      </c>
    </row>
    <row r="169" spans="1:8">
      <c r="A169">
        <f t="shared" si="10"/>
        <v>2041</v>
      </c>
      <c r="B169">
        <f t="shared" si="11"/>
        <v>37</v>
      </c>
      <c r="C169">
        <f t="shared" si="14"/>
        <v>12</v>
      </c>
      <c r="D169" s="7">
        <f>Eredmények!$B$6/12*(1+Eredmények!$B$7)^('Havi számolás'!B169-33)</f>
        <v>1566399.0481117822</v>
      </c>
      <c r="E169" s="7">
        <f t="shared" si="13"/>
        <v>20635562.315193955</v>
      </c>
      <c r="F169" s="7">
        <f>Eredmények!$B$8*D169</f>
        <v>125311.92384894258</v>
      </c>
      <c r="G169" s="7">
        <f>SUM(E169:F169)*((1+Eredmények!$B$9)^(1/12)-1)</f>
        <v>76292.2558149221</v>
      </c>
      <c r="H169" s="7">
        <f t="shared" si="12"/>
        <v>20837166.494857818</v>
      </c>
    </row>
    <row r="170" spans="1:8">
      <c r="A170">
        <f t="shared" si="10"/>
        <v>2042</v>
      </c>
      <c r="B170">
        <f t="shared" si="11"/>
        <v>38</v>
      </c>
      <c r="C170">
        <f t="shared" si="14"/>
        <v>1</v>
      </c>
      <c r="D170" s="7">
        <f>Eredmények!$B$6/12*(1+Eredmények!$B$7)^('Havi számolás'!B170-33)</f>
        <v>1613391.0195551354</v>
      </c>
      <c r="E170" s="7">
        <f t="shared" si="13"/>
        <v>20837166.494857818</v>
      </c>
      <c r="F170" s="7">
        <f>Eredmények!$B$8*D170</f>
        <v>129071.28156441083</v>
      </c>
      <c r="G170" s="7">
        <f>SUM(E170:F170)*((1+Eredmények!$B$9)^(1/12)-1)</f>
        <v>77046.927672590638</v>
      </c>
      <c r="H170" s="7">
        <f t="shared" si="12"/>
        <v>21043284.70409482</v>
      </c>
    </row>
    <row r="171" spans="1:8">
      <c r="A171">
        <f t="shared" si="10"/>
        <v>2042</v>
      </c>
      <c r="B171">
        <f t="shared" si="11"/>
        <v>38</v>
      </c>
      <c r="C171">
        <f t="shared" si="14"/>
        <v>2</v>
      </c>
      <c r="D171" s="7">
        <f>Eredmények!$B$6/12*(1+Eredmények!$B$7)^('Havi számolás'!B171-33)</f>
        <v>1613391.0195551354</v>
      </c>
      <c r="E171" s="7">
        <f t="shared" si="13"/>
        <v>21043284.70409482</v>
      </c>
      <c r="F171" s="7">
        <f>Eredmények!$B$8*D171</f>
        <v>129071.28156441083</v>
      </c>
      <c r="G171" s="7">
        <f>SUM(E171:F171)*((1+Eredmények!$B$9)^(1/12)-1)</f>
        <v>77804.372805495979</v>
      </c>
      <c r="H171" s="7">
        <f t="shared" si="12"/>
        <v>21250160.358464725</v>
      </c>
    </row>
    <row r="172" spans="1:8">
      <c r="A172">
        <f t="shared" si="10"/>
        <v>2042</v>
      </c>
      <c r="B172">
        <f t="shared" si="11"/>
        <v>38</v>
      </c>
      <c r="C172">
        <f t="shared" si="14"/>
        <v>3</v>
      </c>
      <c r="D172" s="7">
        <f>Eredmények!$B$6/12*(1+Eredmények!$B$7)^('Havi számolás'!B172-33)</f>
        <v>1613391.0195551354</v>
      </c>
      <c r="E172" s="7">
        <f t="shared" si="13"/>
        <v>21250160.358464725</v>
      </c>
      <c r="F172" s="7">
        <f>Eredmények!$B$8*D172</f>
        <v>129071.28156441083</v>
      </c>
      <c r="G172" s="7">
        <f>SUM(E172:F172)*((1+Eredmények!$B$9)^(1/12)-1)</f>
        <v>78564.601404896035</v>
      </c>
      <c r="H172" s="7">
        <f t="shared" si="12"/>
        <v>21457796.241434034</v>
      </c>
    </row>
    <row r="173" spans="1:8">
      <c r="A173">
        <f t="shared" si="10"/>
        <v>2042</v>
      </c>
      <c r="B173">
        <f t="shared" si="11"/>
        <v>38</v>
      </c>
      <c r="C173">
        <f t="shared" si="14"/>
        <v>4</v>
      </c>
      <c r="D173" s="7">
        <f>Eredmények!$B$6/12*(1+Eredmények!$B$7)^('Havi számolás'!B173-33)</f>
        <v>1613391.0195551354</v>
      </c>
      <c r="E173" s="7">
        <f t="shared" si="13"/>
        <v>21457796.241434034</v>
      </c>
      <c r="F173" s="7">
        <f>Eredmények!$B$8*D173</f>
        <v>129071.28156441083</v>
      </c>
      <c r="G173" s="7">
        <f>SUM(E173:F173)*((1+Eredmények!$B$9)^(1/12)-1)</f>
        <v>79327.623699499658</v>
      </c>
      <c r="H173" s="7">
        <f t="shared" si="12"/>
        <v>21666195.146697946</v>
      </c>
    </row>
    <row r="174" spans="1:8">
      <c r="A174">
        <f t="shared" si="10"/>
        <v>2042</v>
      </c>
      <c r="B174">
        <f t="shared" si="11"/>
        <v>38</v>
      </c>
      <c r="C174">
        <f t="shared" si="14"/>
        <v>5</v>
      </c>
      <c r="D174" s="7">
        <f>Eredmények!$B$6/12*(1+Eredmények!$B$7)^('Havi számolás'!B174-33)</f>
        <v>1613391.0195551354</v>
      </c>
      <c r="E174" s="7">
        <f t="shared" si="13"/>
        <v>21666195.146697946</v>
      </c>
      <c r="F174" s="7">
        <f>Eredmények!$B$8*D174</f>
        <v>129071.28156441083</v>
      </c>
      <c r="G174" s="7">
        <f>SUM(E174:F174)*((1+Eredmények!$B$9)^(1/12)-1)</f>
        <v>80093.449955604228</v>
      </c>
      <c r="H174" s="7">
        <f t="shared" si="12"/>
        <v>21875359.878217962</v>
      </c>
    </row>
    <row r="175" spans="1:8">
      <c r="A175">
        <f t="shared" si="10"/>
        <v>2042</v>
      </c>
      <c r="B175">
        <f t="shared" si="11"/>
        <v>38</v>
      </c>
      <c r="C175">
        <f t="shared" si="14"/>
        <v>6</v>
      </c>
      <c r="D175" s="7">
        <f>Eredmények!$B$6/12*(1+Eredmények!$B$7)^('Havi számolás'!B175-33)</f>
        <v>1613391.0195551354</v>
      </c>
      <c r="E175" s="7">
        <f t="shared" si="13"/>
        <v>21875359.878217962</v>
      </c>
      <c r="F175" s="7">
        <f>Eredmények!$B$8*D175</f>
        <v>129071.28156441083</v>
      </c>
      <c r="G175" s="7">
        <f>SUM(E175:F175)*((1+Eredmények!$B$9)^(1/12)-1)</f>
        <v>80862.090477233825</v>
      </c>
      <c r="H175" s="7">
        <f t="shared" si="12"/>
        <v>22085293.250259608</v>
      </c>
    </row>
    <row r="176" spans="1:8">
      <c r="A176">
        <f t="shared" si="10"/>
        <v>2042</v>
      </c>
      <c r="B176">
        <f t="shared" si="11"/>
        <v>38</v>
      </c>
      <c r="C176">
        <f t="shared" si="14"/>
        <v>7</v>
      </c>
      <c r="D176" s="7">
        <f>Eredmények!$B$6/12*(1+Eredmények!$B$7)^('Havi számolás'!B176-33)</f>
        <v>1613391.0195551354</v>
      </c>
      <c r="E176" s="7">
        <f t="shared" si="13"/>
        <v>22085293.250259608</v>
      </c>
      <c r="F176" s="7">
        <f>Eredmények!$B$8*D176</f>
        <v>129071.28156441083</v>
      </c>
      <c r="G176" s="7">
        <f>SUM(E176:F176)*((1+Eredmények!$B$9)^(1/12)-1)</f>
        <v>81633.555606277878</v>
      </c>
      <c r="H176" s="7">
        <f t="shared" si="12"/>
        <v>22295998.087430298</v>
      </c>
    </row>
    <row r="177" spans="1:8">
      <c r="A177">
        <f t="shared" si="10"/>
        <v>2042</v>
      </c>
      <c r="B177">
        <f t="shared" si="11"/>
        <v>38</v>
      </c>
      <c r="C177">
        <f t="shared" si="14"/>
        <v>8</v>
      </c>
      <c r="D177" s="7">
        <f>Eredmények!$B$6/12*(1+Eredmények!$B$7)^('Havi számolás'!B177-33)</f>
        <v>1613391.0195551354</v>
      </c>
      <c r="E177" s="7">
        <f t="shared" si="13"/>
        <v>22295998.087430298</v>
      </c>
      <c r="F177" s="7">
        <f>Eredmények!$B$8*D177</f>
        <v>129071.28156441083</v>
      </c>
      <c r="G177" s="7">
        <f>SUM(E177:F177)*((1+Eredmények!$B$9)^(1/12)-1)</f>
        <v>82407.855722630251</v>
      </c>
      <c r="H177" s="7">
        <f t="shared" si="12"/>
        <v>22507477.224717338</v>
      </c>
    </row>
    <row r="178" spans="1:8">
      <c r="A178">
        <f t="shared" si="10"/>
        <v>2042</v>
      </c>
      <c r="B178">
        <f t="shared" si="11"/>
        <v>38</v>
      </c>
      <c r="C178">
        <f t="shared" si="14"/>
        <v>9</v>
      </c>
      <c r="D178" s="7">
        <f>Eredmények!$B$6/12*(1+Eredmények!$B$7)^('Havi számolás'!B178-33)</f>
        <v>1613391.0195551354</v>
      </c>
      <c r="E178" s="7">
        <f t="shared" si="13"/>
        <v>22507477.224717338</v>
      </c>
      <c r="F178" s="7">
        <f>Eredmények!$B$8*D178</f>
        <v>129071.28156441083</v>
      </c>
      <c r="G178" s="7">
        <f>SUM(E178:F178)*((1+Eredmények!$B$9)^(1/12)-1)</f>
        <v>83185.001244328931</v>
      </c>
      <c r="H178" s="7">
        <f t="shared" si="12"/>
        <v>22719733.507526077</v>
      </c>
    </row>
    <row r="179" spans="1:8">
      <c r="A179">
        <f t="shared" si="10"/>
        <v>2042</v>
      </c>
      <c r="B179">
        <f t="shared" si="11"/>
        <v>38</v>
      </c>
      <c r="C179">
        <f t="shared" si="14"/>
        <v>10</v>
      </c>
      <c r="D179" s="7">
        <f>Eredmények!$B$6/12*(1+Eredmények!$B$7)^('Havi számolás'!B179-33)</f>
        <v>1613391.0195551354</v>
      </c>
      <c r="E179" s="7">
        <f t="shared" si="13"/>
        <v>22719733.507526077</v>
      </c>
      <c r="F179" s="7">
        <f>Eredmények!$B$8*D179</f>
        <v>129071.28156441083</v>
      </c>
      <c r="G179" s="7">
        <f>SUM(E179:F179)*((1+Eredmények!$B$9)^(1/12)-1)</f>
        <v>83965.002627696274</v>
      </c>
      <c r="H179" s="7">
        <f t="shared" si="12"/>
        <v>22932769.791718185</v>
      </c>
    </row>
    <row r="180" spans="1:8">
      <c r="A180">
        <f t="shared" si="10"/>
        <v>2042</v>
      </c>
      <c r="B180">
        <f t="shared" si="11"/>
        <v>38</v>
      </c>
      <c r="C180">
        <f t="shared" si="14"/>
        <v>11</v>
      </c>
      <c r="D180" s="7">
        <f>Eredmények!$B$6/12*(1+Eredmények!$B$7)^('Havi számolás'!B180-33)</f>
        <v>1613391.0195551354</v>
      </c>
      <c r="E180" s="7">
        <f t="shared" si="13"/>
        <v>22932769.791718185</v>
      </c>
      <c r="F180" s="7">
        <f>Eredmények!$B$8*D180</f>
        <v>129071.28156441083</v>
      </c>
      <c r="G180" s="7">
        <f>SUM(E180:F180)*((1+Eredmények!$B$9)^(1/12)-1)</f>
        <v>84747.870367479569</v>
      </c>
      <c r="H180" s="7">
        <f t="shared" si="12"/>
        <v>23146588.943650074</v>
      </c>
    </row>
    <row r="181" spans="1:8">
      <c r="A181">
        <f t="shared" si="10"/>
        <v>2042</v>
      </c>
      <c r="B181">
        <f t="shared" si="11"/>
        <v>38</v>
      </c>
      <c r="C181">
        <f t="shared" si="14"/>
        <v>12</v>
      </c>
      <c r="D181" s="7">
        <f>Eredmények!$B$6/12*(1+Eredmények!$B$7)^('Havi számolás'!B181-33)</f>
        <v>1613391.0195551354</v>
      </c>
      <c r="E181" s="7">
        <f t="shared" si="13"/>
        <v>23146588.943650074</v>
      </c>
      <c r="F181" s="7">
        <f>Eredmények!$B$8*D181</f>
        <v>129071.28156441083</v>
      </c>
      <c r="G181" s="7">
        <f>SUM(E181:F181)*((1+Eredmények!$B$9)^(1/12)-1)</f>
        <v>85533.614996992314</v>
      </c>
      <c r="H181" s="7">
        <f t="shared" si="12"/>
        <v>23361193.840211477</v>
      </c>
    </row>
    <row r="182" spans="1:8">
      <c r="A182">
        <f t="shared" si="10"/>
        <v>2043</v>
      </c>
      <c r="B182">
        <f t="shared" si="11"/>
        <v>39</v>
      </c>
      <c r="C182">
        <f t="shared" si="14"/>
        <v>1</v>
      </c>
      <c r="D182" s="7">
        <f>Eredmények!$B$6/12*(1+Eredmények!$B$7)^('Havi számolás'!B182-33)</f>
        <v>1661792.7501417897</v>
      </c>
      <c r="E182" s="7">
        <f t="shared" si="13"/>
        <v>23361193.840211477</v>
      </c>
      <c r="F182" s="7">
        <f>Eredmények!$B$8*D182</f>
        <v>132943.42001134317</v>
      </c>
      <c r="G182" s="7">
        <f>SUM(E182:F182)*((1+Eredmények!$B$9)^(1/12)-1)</f>
        <v>86336.476459020501</v>
      </c>
      <c r="H182" s="7">
        <f t="shared" si="12"/>
        <v>23580473.736681838</v>
      </c>
    </row>
    <row r="183" spans="1:8">
      <c r="A183">
        <f t="shared" si="10"/>
        <v>2043</v>
      </c>
      <c r="B183">
        <f t="shared" si="11"/>
        <v>39</v>
      </c>
      <c r="C183">
        <f t="shared" si="14"/>
        <v>2</v>
      </c>
      <c r="D183" s="7">
        <f>Eredmények!$B$6/12*(1+Eredmények!$B$7)^('Havi számolás'!B183-33)</f>
        <v>1661792.7501417897</v>
      </c>
      <c r="E183" s="7">
        <f t="shared" si="13"/>
        <v>23580473.736681838</v>
      </c>
      <c r="F183" s="7">
        <f>Eredmények!$B$8*D183</f>
        <v>132943.42001134317</v>
      </c>
      <c r="G183" s="7">
        <f>SUM(E183:F183)*((1+Eredmények!$B$9)^(1/12)-1)</f>
        <v>87142.288283896603</v>
      </c>
      <c r="H183" s="7">
        <f t="shared" si="12"/>
        <v>23800559.444977075</v>
      </c>
    </row>
    <row r="184" spans="1:8">
      <c r="A184">
        <f t="shared" si="10"/>
        <v>2043</v>
      </c>
      <c r="B184">
        <f t="shared" si="11"/>
        <v>39</v>
      </c>
      <c r="C184">
        <f t="shared" si="14"/>
        <v>3</v>
      </c>
      <c r="D184" s="7">
        <f>Eredmények!$B$6/12*(1+Eredmények!$B$7)^('Havi számolás'!B184-33)</f>
        <v>1661792.7501417897</v>
      </c>
      <c r="E184" s="7">
        <f t="shared" si="13"/>
        <v>23800559.444977075</v>
      </c>
      <c r="F184" s="7">
        <f>Eredmények!$B$8*D184</f>
        <v>132943.42001134317</v>
      </c>
      <c r="G184" s="7">
        <f>SUM(E184:F184)*((1+Eredmények!$B$9)^(1/12)-1)</f>
        <v>87951.061313641752</v>
      </c>
      <c r="H184" s="7">
        <f t="shared" si="12"/>
        <v>24021453.926302057</v>
      </c>
    </row>
    <row r="185" spans="1:8">
      <c r="A185">
        <f t="shared" si="10"/>
        <v>2043</v>
      </c>
      <c r="B185">
        <f t="shared" si="11"/>
        <v>39</v>
      </c>
      <c r="C185">
        <f t="shared" si="14"/>
        <v>4</v>
      </c>
      <c r="D185" s="7">
        <f>Eredmények!$B$6/12*(1+Eredmények!$B$7)^('Havi számolás'!B185-33)</f>
        <v>1661792.7501417897</v>
      </c>
      <c r="E185" s="7">
        <f t="shared" si="13"/>
        <v>24021453.926302057</v>
      </c>
      <c r="F185" s="7">
        <f>Eredmények!$B$8*D185</f>
        <v>132943.42001134317</v>
      </c>
      <c r="G185" s="7">
        <f>SUM(E185:F185)*((1+Eredmények!$B$9)^(1/12)-1)</f>
        <v>88762.80643011941</v>
      </c>
      <c r="H185" s="7">
        <f t="shared" si="12"/>
        <v>24243160.152743518</v>
      </c>
    </row>
    <row r="186" spans="1:8">
      <c r="A186">
        <f t="shared" si="10"/>
        <v>2043</v>
      </c>
      <c r="B186">
        <f t="shared" si="11"/>
        <v>39</v>
      </c>
      <c r="C186">
        <f t="shared" si="14"/>
        <v>5</v>
      </c>
      <c r="D186" s="7">
        <f>Eredmények!$B$6/12*(1+Eredmények!$B$7)^('Havi számolás'!B186-33)</f>
        <v>1661792.7501417897</v>
      </c>
      <c r="E186" s="7">
        <f t="shared" si="13"/>
        <v>24243160.152743518</v>
      </c>
      <c r="F186" s="7">
        <f>Eredmények!$B$8*D186</f>
        <v>132943.42001134317</v>
      </c>
      <c r="G186" s="7">
        <f>SUM(E186:F186)*((1+Eredmények!$B$9)^(1/12)-1)</f>
        <v>89577.534555181875</v>
      </c>
      <c r="H186" s="7">
        <f t="shared" si="12"/>
        <v>24465681.107310042</v>
      </c>
    </row>
    <row r="187" spans="1:8">
      <c r="A187">
        <f t="shared" si="10"/>
        <v>2043</v>
      </c>
      <c r="B187">
        <f t="shared" si="11"/>
        <v>39</v>
      </c>
      <c r="C187">
        <f t="shared" si="14"/>
        <v>6</v>
      </c>
      <c r="D187" s="7">
        <f>Eredmények!$B$6/12*(1+Eredmények!$B$7)^('Havi számolás'!B187-33)</f>
        <v>1661792.7501417897</v>
      </c>
      <c r="E187" s="7">
        <f t="shared" si="13"/>
        <v>24465681.107310042</v>
      </c>
      <c r="F187" s="7">
        <f>Eredmények!$B$8*D187</f>
        <v>132943.42001134317</v>
      </c>
      <c r="G187" s="7">
        <f>SUM(E187:F187)*((1+Eredmények!$B$9)^(1/12)-1)</f>
        <v>90395.256650817115</v>
      </c>
      <c r="H187" s="7">
        <f t="shared" si="12"/>
        <v>24689019.7839722</v>
      </c>
    </row>
    <row r="188" spans="1:8">
      <c r="A188">
        <f t="shared" si="10"/>
        <v>2043</v>
      </c>
      <c r="B188">
        <f t="shared" si="11"/>
        <v>39</v>
      </c>
      <c r="C188">
        <f t="shared" si="14"/>
        <v>7</v>
      </c>
      <c r="D188" s="7">
        <f>Eredmények!$B$6/12*(1+Eredmények!$B$7)^('Havi számolás'!B188-33)</f>
        <v>1661792.7501417897</v>
      </c>
      <c r="E188" s="7">
        <f t="shared" si="13"/>
        <v>24689019.7839722</v>
      </c>
      <c r="F188" s="7">
        <f>Eredmények!$B$8*D188</f>
        <v>132943.42001134317</v>
      </c>
      <c r="G188" s="7">
        <f>SUM(E188:F188)*((1+Eredmények!$B$9)^(1/12)-1)</f>
        <v>91215.983719296346</v>
      </c>
      <c r="H188" s="7">
        <f t="shared" si="12"/>
        <v>24913179.187702838</v>
      </c>
    </row>
    <row r="189" spans="1:8">
      <c r="A189">
        <f t="shared" si="10"/>
        <v>2043</v>
      </c>
      <c r="B189">
        <f t="shared" si="11"/>
        <v>39</v>
      </c>
      <c r="C189">
        <f t="shared" si="14"/>
        <v>8</v>
      </c>
      <c r="D189" s="7">
        <f>Eredmények!$B$6/12*(1+Eredmények!$B$7)^('Havi számolás'!B189-33)</f>
        <v>1661792.7501417897</v>
      </c>
      <c r="E189" s="7">
        <f t="shared" si="13"/>
        <v>24913179.187702838</v>
      </c>
      <c r="F189" s="7">
        <f>Eredmények!$B$8*D189</f>
        <v>132943.42001134317</v>
      </c>
      <c r="G189" s="7">
        <f>SUM(E189:F189)*((1+Eredmények!$B$9)^(1/12)-1)</f>
        <v>92039.726803322017</v>
      </c>
      <c r="H189" s="7">
        <f t="shared" si="12"/>
        <v>25138162.334517501</v>
      </c>
    </row>
    <row r="190" spans="1:8">
      <c r="A190">
        <f t="shared" si="10"/>
        <v>2043</v>
      </c>
      <c r="B190">
        <f t="shared" si="11"/>
        <v>39</v>
      </c>
      <c r="C190">
        <f t="shared" si="14"/>
        <v>9</v>
      </c>
      <c r="D190" s="7">
        <f>Eredmények!$B$6/12*(1+Eredmények!$B$7)^('Havi számolás'!B190-33)</f>
        <v>1661792.7501417897</v>
      </c>
      <c r="E190" s="7">
        <f t="shared" si="13"/>
        <v>25138162.334517501</v>
      </c>
      <c r="F190" s="7">
        <f>Eredmények!$B$8*D190</f>
        <v>132943.42001134317</v>
      </c>
      <c r="G190" s="7">
        <f>SUM(E190:F190)*((1+Eredmények!$B$9)^(1/12)-1)</f>
        <v>92866.496986176397</v>
      </c>
      <c r="H190" s="7">
        <f t="shared" si="12"/>
        <v>25363972.25151502</v>
      </c>
    </row>
    <row r="191" spans="1:8">
      <c r="A191">
        <f t="shared" si="10"/>
        <v>2043</v>
      </c>
      <c r="B191">
        <f t="shared" si="11"/>
        <v>39</v>
      </c>
      <c r="C191">
        <f t="shared" si="14"/>
        <v>10</v>
      </c>
      <c r="D191" s="7">
        <f>Eredmények!$B$6/12*(1+Eredmények!$B$7)^('Havi számolás'!B191-33)</f>
        <v>1661792.7501417897</v>
      </c>
      <c r="E191" s="7">
        <f t="shared" si="13"/>
        <v>25363972.25151502</v>
      </c>
      <c r="F191" s="7">
        <f>Eredmények!$B$8*D191</f>
        <v>132943.42001134317</v>
      </c>
      <c r="G191" s="7">
        <f>SUM(E191:F191)*((1+Eredmények!$B$9)^(1/12)-1)</f>
        <v>93696.305391870745</v>
      </c>
      <c r="H191" s="7">
        <f t="shared" si="12"/>
        <v>25590611.976918232</v>
      </c>
    </row>
    <row r="192" spans="1:8">
      <c r="A192">
        <f t="shared" si="10"/>
        <v>2043</v>
      </c>
      <c r="B192">
        <f t="shared" si="11"/>
        <v>39</v>
      </c>
      <c r="C192">
        <f t="shared" si="14"/>
        <v>11</v>
      </c>
      <c r="D192" s="7">
        <f>Eredmények!$B$6/12*(1+Eredmények!$B$7)^('Havi számolás'!B192-33)</f>
        <v>1661792.7501417897</v>
      </c>
      <c r="E192" s="7">
        <f t="shared" si="13"/>
        <v>25590611.976918232</v>
      </c>
      <c r="F192" s="7">
        <f>Eredmények!$B$8*D192</f>
        <v>132943.42001134317</v>
      </c>
      <c r="G192" s="7">
        <f>SUM(E192:F192)*((1+Eredmények!$B$9)^(1/12)-1)</f>
        <v>94529.163185294892</v>
      </c>
      <c r="H192" s="7">
        <f t="shared" si="12"/>
        <v>25818084.560114868</v>
      </c>
    </row>
    <row r="193" spans="1:8">
      <c r="A193">
        <f t="shared" si="10"/>
        <v>2043</v>
      </c>
      <c r="B193">
        <f t="shared" si="11"/>
        <v>39</v>
      </c>
      <c r="C193">
        <f t="shared" si="14"/>
        <v>12</v>
      </c>
      <c r="D193" s="7">
        <f>Eredmények!$B$6/12*(1+Eredmények!$B$7)^('Havi számolás'!B193-33)</f>
        <v>1661792.7501417897</v>
      </c>
      <c r="E193" s="7">
        <f t="shared" si="13"/>
        <v>25818084.560114868</v>
      </c>
      <c r="F193" s="7">
        <f>Eredmények!$B$8*D193</f>
        <v>132943.42001134317</v>
      </c>
      <c r="G193" s="7">
        <f>SUM(E193:F193)*((1+Eredmények!$B$9)^(1/12)-1)</f>
        <v>95365.081572367548</v>
      </c>
      <c r="H193" s="7">
        <f t="shared" si="12"/>
        <v>26046393.061698578</v>
      </c>
    </row>
    <row r="194" spans="1:8">
      <c r="A194">
        <f t="shared" si="10"/>
        <v>2044</v>
      </c>
      <c r="B194">
        <f t="shared" si="11"/>
        <v>40</v>
      </c>
      <c r="C194">
        <f t="shared" si="14"/>
        <v>1</v>
      </c>
      <c r="D194" s="7">
        <f>Eredmények!$B$6/12*(1+Eredmények!$B$7)^('Havi számolás'!B194-33)</f>
        <v>1711646.5326460435</v>
      </c>
      <c r="E194" s="7">
        <f t="shared" si="13"/>
        <v>26046393.061698578</v>
      </c>
      <c r="F194" s="7">
        <f>Eredmények!$B$8*D194</f>
        <v>136931.72261168348</v>
      </c>
      <c r="G194" s="7">
        <f>SUM(E194:F194)*((1+Eredmények!$B$9)^(1/12)-1)</f>
        <v>96218.728052074555</v>
      </c>
      <c r="H194" s="7">
        <f t="shared" si="12"/>
        <v>26279543.512362339</v>
      </c>
    </row>
    <row r="195" spans="1:8">
      <c r="A195">
        <f t="shared" ref="A195:A258" si="15">INT((ROW(A194)-1)/12+2028)</f>
        <v>2044</v>
      </c>
      <c r="B195">
        <f t="shared" ref="B195:B258" si="16">INT((A195-2004)+(C195-1)/12)</f>
        <v>40</v>
      </c>
      <c r="C195">
        <f t="shared" si="14"/>
        <v>2</v>
      </c>
      <c r="D195" s="7">
        <f>Eredmények!$B$6/12*(1+Eredmények!$B$7)^('Havi számolás'!B195-33)</f>
        <v>1711646.5326460435</v>
      </c>
      <c r="E195" s="7">
        <f t="shared" si="13"/>
        <v>26279543.512362339</v>
      </c>
      <c r="F195" s="7">
        <f>Eredmények!$B$8*D195</f>
        <v>136931.72261168348</v>
      </c>
      <c r="G195" s="7">
        <f>SUM(E195:F195)*((1+Eredmények!$B$9)^(1/12)-1)</f>
        <v>97075.511519889827</v>
      </c>
      <c r="H195" s="7">
        <f t="shared" ref="H195:H258" si="17">E195+F195+G195</f>
        <v>26513550.746493913</v>
      </c>
    </row>
    <row r="196" spans="1:8">
      <c r="A196">
        <f t="shared" si="15"/>
        <v>2044</v>
      </c>
      <c r="B196">
        <f t="shared" si="16"/>
        <v>40</v>
      </c>
      <c r="C196">
        <f t="shared" si="14"/>
        <v>3</v>
      </c>
      <c r="D196" s="7">
        <f>Eredmények!$B$6/12*(1+Eredmények!$B$7)^('Havi számolás'!B196-33)</f>
        <v>1711646.5326460435</v>
      </c>
      <c r="E196" s="7">
        <f t="shared" si="13"/>
        <v>26513550.746493913</v>
      </c>
      <c r="F196" s="7">
        <f>Eredmények!$B$8*D196</f>
        <v>136931.72261168348</v>
      </c>
      <c r="G196" s="7">
        <f>SUM(E196:F196)*((1+Eredmények!$B$9)^(1/12)-1)</f>
        <v>97935.443503646762</v>
      </c>
      <c r="H196" s="7">
        <f t="shared" si="17"/>
        <v>26748417.912609246</v>
      </c>
    </row>
    <row r="197" spans="1:8">
      <c r="A197">
        <f t="shared" si="15"/>
        <v>2044</v>
      </c>
      <c r="B197">
        <f t="shared" si="16"/>
        <v>40</v>
      </c>
      <c r="C197">
        <f t="shared" si="14"/>
        <v>4</v>
      </c>
      <c r="D197" s="7">
        <f>Eredmények!$B$6/12*(1+Eredmények!$B$7)^('Havi számolás'!B197-33)</f>
        <v>1711646.5326460435</v>
      </c>
      <c r="E197" s="7">
        <f t="shared" ref="E197:E260" si="18">H196</f>
        <v>26748417.912609246</v>
      </c>
      <c r="F197" s="7">
        <f>Eredmények!$B$8*D197</f>
        <v>136931.72261168348</v>
      </c>
      <c r="G197" s="7">
        <f>SUM(E197:F197)*((1+Eredmények!$B$9)^(1/12)-1)</f>
        <v>98798.535573541347</v>
      </c>
      <c r="H197" s="7">
        <f t="shared" si="17"/>
        <v>26984148.170794472</v>
      </c>
    </row>
    <row r="198" spans="1:8">
      <c r="A198">
        <f t="shared" si="15"/>
        <v>2044</v>
      </c>
      <c r="B198">
        <f t="shared" si="16"/>
        <v>40</v>
      </c>
      <c r="C198">
        <f t="shared" si="14"/>
        <v>5</v>
      </c>
      <c r="D198" s="7">
        <f>Eredmények!$B$6/12*(1+Eredmények!$B$7)^('Havi számolás'!B198-33)</f>
        <v>1711646.5326460435</v>
      </c>
      <c r="E198" s="7">
        <f t="shared" si="18"/>
        <v>26984148.170794472</v>
      </c>
      <c r="F198" s="7">
        <f>Eredmények!$B$8*D198</f>
        <v>136931.72261168348</v>
      </c>
      <c r="G198" s="7">
        <f>SUM(E198:F198)*((1+Eredmények!$B$9)^(1/12)-1)</f>
        <v>99664.799342287821</v>
      </c>
      <c r="H198" s="7">
        <f t="shared" si="17"/>
        <v>27220744.692748446</v>
      </c>
    </row>
    <row r="199" spans="1:8">
      <c r="A199">
        <f t="shared" si="15"/>
        <v>2044</v>
      </c>
      <c r="B199">
        <f t="shared" si="16"/>
        <v>40</v>
      </c>
      <c r="C199">
        <f t="shared" si="14"/>
        <v>6</v>
      </c>
      <c r="D199" s="7">
        <f>Eredmények!$B$6/12*(1+Eredmények!$B$7)^('Havi számolás'!B199-33)</f>
        <v>1711646.5326460435</v>
      </c>
      <c r="E199" s="7">
        <f t="shared" si="18"/>
        <v>27220744.692748446</v>
      </c>
      <c r="F199" s="7">
        <f>Eredmények!$B$8*D199</f>
        <v>136931.72261168348</v>
      </c>
      <c r="G199" s="7">
        <f>SUM(E199:F199)*((1+Eredmények!$B$9)^(1/12)-1)</f>
        <v>100534.24646527495</v>
      </c>
      <c r="H199" s="7">
        <f t="shared" si="17"/>
        <v>27458210.661825404</v>
      </c>
    </row>
    <row r="200" spans="1:8">
      <c r="A200">
        <f t="shared" si="15"/>
        <v>2044</v>
      </c>
      <c r="B200">
        <f t="shared" si="16"/>
        <v>40</v>
      </c>
      <c r="C200">
        <f t="shared" si="14"/>
        <v>7</v>
      </c>
      <c r="D200" s="7">
        <f>Eredmények!$B$6/12*(1+Eredmények!$B$7)^('Havi számolás'!B200-33)</f>
        <v>1711646.5326460435</v>
      </c>
      <c r="E200" s="7">
        <f t="shared" si="18"/>
        <v>27458210.661825404</v>
      </c>
      <c r="F200" s="7">
        <f>Eredmények!$B$8*D200</f>
        <v>136931.72261168348</v>
      </c>
      <c r="G200" s="7">
        <f>SUM(E200:F200)*((1+Eredmények!$B$9)^(1/12)-1)</f>
        <v>101406.8886407228</v>
      </c>
      <c r="H200" s="7">
        <f t="shared" si="17"/>
        <v>27696549.273077812</v>
      </c>
    </row>
    <row r="201" spans="1:8">
      <c r="A201">
        <f t="shared" si="15"/>
        <v>2044</v>
      </c>
      <c r="B201">
        <f t="shared" si="16"/>
        <v>40</v>
      </c>
      <c r="C201">
        <f t="shared" si="14"/>
        <v>8</v>
      </c>
      <c r="D201" s="7">
        <f>Eredmények!$B$6/12*(1+Eredmények!$B$7)^('Havi számolás'!B201-33)</f>
        <v>1711646.5326460435</v>
      </c>
      <c r="E201" s="7">
        <f t="shared" si="18"/>
        <v>27696549.273077812</v>
      </c>
      <c r="F201" s="7">
        <f>Eredmények!$B$8*D201</f>
        <v>136931.72261168348</v>
      </c>
      <c r="G201" s="7">
        <f>SUM(E201:F201)*((1+Eredmények!$B$9)^(1/12)-1)</f>
        <v>102282.73760984022</v>
      </c>
      <c r="H201" s="7">
        <f t="shared" si="17"/>
        <v>27935763.733299337</v>
      </c>
    </row>
    <row r="202" spans="1:8">
      <c r="A202">
        <f t="shared" si="15"/>
        <v>2044</v>
      </c>
      <c r="B202">
        <f t="shared" si="16"/>
        <v>40</v>
      </c>
      <c r="C202">
        <f t="shared" si="14"/>
        <v>9</v>
      </c>
      <c r="D202" s="7">
        <f>Eredmények!$B$6/12*(1+Eredmények!$B$7)^('Havi számolás'!B202-33)</f>
        <v>1711646.5326460435</v>
      </c>
      <c r="E202" s="7">
        <f t="shared" si="18"/>
        <v>27935763.733299337</v>
      </c>
      <c r="F202" s="7">
        <f>Eredmények!$B$8*D202</f>
        <v>136931.72261168348</v>
      </c>
      <c r="G202" s="7">
        <f>SUM(E202:F202)*((1+Eredmények!$B$9)^(1/12)-1)</f>
        <v>103161.80515698271</v>
      </c>
      <c r="H202" s="7">
        <f t="shared" si="17"/>
        <v>28175857.261068005</v>
      </c>
    </row>
    <row r="203" spans="1:8">
      <c r="A203">
        <f t="shared" si="15"/>
        <v>2044</v>
      </c>
      <c r="B203">
        <f t="shared" si="16"/>
        <v>40</v>
      </c>
      <c r="C203">
        <f t="shared" si="14"/>
        <v>10</v>
      </c>
      <c r="D203" s="7">
        <f>Eredmények!$B$6/12*(1+Eredmények!$B$7)^('Havi számolás'!B203-33)</f>
        <v>1711646.5326460435</v>
      </c>
      <c r="E203" s="7">
        <f t="shared" si="18"/>
        <v>28175857.261068005</v>
      </c>
      <c r="F203" s="7">
        <f>Eredmények!$B$8*D203</f>
        <v>136931.72261168348</v>
      </c>
      <c r="G203" s="7">
        <f>SUM(E203:F203)*((1+Eredmények!$B$9)^(1/12)-1)</f>
        <v>104044.10310981105</v>
      </c>
      <c r="H203" s="7">
        <f t="shared" si="17"/>
        <v>28416833.0867895</v>
      </c>
    </row>
    <row r="204" spans="1:8">
      <c r="A204">
        <f t="shared" si="15"/>
        <v>2044</v>
      </c>
      <c r="B204">
        <f t="shared" si="16"/>
        <v>40</v>
      </c>
      <c r="C204">
        <f t="shared" si="14"/>
        <v>11</v>
      </c>
      <c r="D204" s="7">
        <f>Eredmények!$B$6/12*(1+Eredmények!$B$7)^('Havi számolás'!B204-33)</f>
        <v>1711646.5326460435</v>
      </c>
      <c r="E204" s="7">
        <f t="shared" si="18"/>
        <v>28416833.0867895</v>
      </c>
      <c r="F204" s="7">
        <f>Eredmények!$B$8*D204</f>
        <v>136931.72261168348</v>
      </c>
      <c r="G204" s="7">
        <f>SUM(E204:F204)*((1+Eredmények!$B$9)^(1/12)-1)</f>
        <v>104929.64333945043</v>
      </c>
      <c r="H204" s="7">
        <f t="shared" si="17"/>
        <v>28658694.452740636</v>
      </c>
    </row>
    <row r="205" spans="1:8">
      <c r="A205">
        <f t="shared" si="15"/>
        <v>2044</v>
      </c>
      <c r="B205">
        <f t="shared" si="16"/>
        <v>40</v>
      </c>
      <c r="C205">
        <f t="shared" si="14"/>
        <v>12</v>
      </c>
      <c r="D205" s="7">
        <f>Eredmények!$B$6/12*(1+Eredmények!$B$7)^('Havi számolás'!B205-33)</f>
        <v>1711646.5326460435</v>
      </c>
      <c r="E205" s="7">
        <f t="shared" si="18"/>
        <v>28658694.452740636</v>
      </c>
      <c r="F205" s="7">
        <f>Eredmények!$B$8*D205</f>
        <v>136931.72261168348</v>
      </c>
      <c r="G205" s="7">
        <f>SUM(E205:F205)*((1+Eredmények!$B$9)^(1/12)-1)</f>
        <v>105818.43776065017</v>
      </c>
      <c r="H205" s="7">
        <f t="shared" si="17"/>
        <v>28901444.613112971</v>
      </c>
    </row>
    <row r="206" spans="1:8">
      <c r="A206">
        <f t="shared" si="15"/>
        <v>2045</v>
      </c>
      <c r="B206">
        <f t="shared" si="16"/>
        <v>41</v>
      </c>
      <c r="C206">
        <f t="shared" si="14"/>
        <v>1</v>
      </c>
      <c r="D206" s="7">
        <f>Eredmények!$B$6/12*(1+Eredmények!$B$7)^('Havi számolás'!B206-33)</f>
        <v>1762995.9286254246</v>
      </c>
      <c r="E206" s="7">
        <f t="shared" si="18"/>
        <v>28901444.613112971</v>
      </c>
      <c r="F206" s="7">
        <f>Eredmények!$B$8*D206</f>
        <v>141039.67429003396</v>
      </c>
      <c r="G206" s="7">
        <f>SUM(E206:F206)*((1+Eredmények!$B$9)^(1/12)-1)</f>
        <v>106725.59427138812</v>
      </c>
      <c r="H206" s="7">
        <f t="shared" si="17"/>
        <v>29149209.881674394</v>
      </c>
    </row>
    <row r="207" spans="1:8">
      <c r="A207">
        <f t="shared" si="15"/>
        <v>2045</v>
      </c>
      <c r="B207">
        <f t="shared" si="16"/>
        <v>41</v>
      </c>
      <c r="C207">
        <f t="shared" ref="C207:C270" si="19">C195</f>
        <v>2</v>
      </c>
      <c r="D207" s="7">
        <f>Eredmények!$B$6/12*(1+Eredmények!$B$7)^('Havi számolás'!B207-33)</f>
        <v>1762995.9286254246</v>
      </c>
      <c r="E207" s="7">
        <f t="shared" si="18"/>
        <v>29149209.881674394</v>
      </c>
      <c r="F207" s="7">
        <f>Eredmények!$B$8*D207</f>
        <v>141039.67429003396</v>
      </c>
      <c r="G207" s="7">
        <f>SUM(E207:F207)*((1+Eredmények!$B$9)^(1/12)-1)</f>
        <v>107636.08440939939</v>
      </c>
      <c r="H207" s="7">
        <f t="shared" si="17"/>
        <v>29397885.64037383</v>
      </c>
    </row>
    <row r="208" spans="1:8">
      <c r="A208">
        <f t="shared" si="15"/>
        <v>2045</v>
      </c>
      <c r="B208">
        <f t="shared" si="16"/>
        <v>41</v>
      </c>
      <c r="C208">
        <f t="shared" si="19"/>
        <v>3</v>
      </c>
      <c r="D208" s="7">
        <f>Eredmények!$B$6/12*(1+Eredmények!$B$7)^('Havi számolás'!B208-33)</f>
        <v>1762995.9286254246</v>
      </c>
      <c r="E208" s="7">
        <f t="shared" si="18"/>
        <v>29397885.64037383</v>
      </c>
      <c r="F208" s="7">
        <f>Eredmények!$B$8*D208</f>
        <v>141039.67429003396</v>
      </c>
      <c r="G208" s="7">
        <f>SUM(E208:F208)*((1+Eredmények!$B$9)^(1/12)-1)</f>
        <v>108549.92042512885</v>
      </c>
      <c r="H208" s="7">
        <f t="shared" si="17"/>
        <v>29647475.235088993</v>
      </c>
    </row>
    <row r="209" spans="1:8">
      <c r="A209">
        <f t="shared" si="15"/>
        <v>2045</v>
      </c>
      <c r="B209">
        <f t="shared" si="16"/>
        <v>41</v>
      </c>
      <c r="C209">
        <f t="shared" si="19"/>
        <v>4</v>
      </c>
      <c r="D209" s="7">
        <f>Eredmények!$B$6/12*(1+Eredmények!$B$7)^('Havi számolás'!B209-33)</f>
        <v>1762995.9286254246</v>
      </c>
      <c r="E209" s="7">
        <f t="shared" si="18"/>
        <v>29647475.235088993</v>
      </c>
      <c r="F209" s="7">
        <f>Eredmények!$B$8*D209</f>
        <v>141039.67429003396</v>
      </c>
      <c r="G209" s="7">
        <f>SUM(E209:F209)*((1+Eredmények!$B$9)^(1/12)-1)</f>
        <v>109467.11461403935</v>
      </c>
      <c r="H209" s="7">
        <f t="shared" si="17"/>
        <v>29897982.023993067</v>
      </c>
    </row>
    <row r="210" spans="1:8">
      <c r="A210">
        <f t="shared" si="15"/>
        <v>2045</v>
      </c>
      <c r="B210">
        <f t="shared" si="16"/>
        <v>41</v>
      </c>
      <c r="C210">
        <f t="shared" si="19"/>
        <v>5</v>
      </c>
      <c r="D210" s="7">
        <f>Eredmények!$B$6/12*(1+Eredmények!$B$7)^('Havi számolás'!B210-33)</f>
        <v>1762995.9286254246</v>
      </c>
      <c r="E210" s="7">
        <f t="shared" si="18"/>
        <v>29897982.023993067</v>
      </c>
      <c r="F210" s="7">
        <f>Eredmények!$B$8*D210</f>
        <v>141039.67429003396</v>
      </c>
      <c r="G210" s="7">
        <f>SUM(E210:F210)*((1+Eredmények!$B$9)^(1/12)-1)</f>
        <v>110387.6793167773</v>
      </c>
      <c r="H210" s="7">
        <f t="shared" si="17"/>
        <v>30149409.37759988</v>
      </c>
    </row>
    <row r="211" spans="1:8">
      <c r="A211">
        <f t="shared" si="15"/>
        <v>2045</v>
      </c>
      <c r="B211">
        <f t="shared" si="16"/>
        <v>41</v>
      </c>
      <c r="C211">
        <f t="shared" si="19"/>
        <v>6</v>
      </c>
      <c r="D211" s="7">
        <f>Eredmények!$B$6/12*(1+Eredmények!$B$7)^('Havi számolás'!B211-33)</f>
        <v>1762995.9286254246</v>
      </c>
      <c r="E211" s="7">
        <f t="shared" si="18"/>
        <v>30149409.37759988</v>
      </c>
      <c r="F211" s="7">
        <f>Eredmények!$B$8*D211</f>
        <v>141039.67429003396</v>
      </c>
      <c r="G211" s="7">
        <f>SUM(E211:F211)*((1+Eredmények!$B$9)^(1/12)-1)</f>
        <v>111311.62691933857</v>
      </c>
      <c r="H211" s="7">
        <f t="shared" si="17"/>
        <v>30401760.678809255</v>
      </c>
    </row>
    <row r="212" spans="1:8">
      <c r="A212">
        <f t="shared" si="15"/>
        <v>2045</v>
      </c>
      <c r="B212">
        <f t="shared" si="16"/>
        <v>41</v>
      </c>
      <c r="C212">
        <f t="shared" si="19"/>
        <v>7</v>
      </c>
      <c r="D212" s="7">
        <f>Eredmények!$B$6/12*(1+Eredmények!$B$7)^('Havi számolás'!B212-33)</f>
        <v>1762995.9286254246</v>
      </c>
      <c r="E212" s="7">
        <f t="shared" si="18"/>
        <v>30401760.678809255</v>
      </c>
      <c r="F212" s="7">
        <f>Eredmények!$B$8*D212</f>
        <v>141039.67429003396</v>
      </c>
      <c r="G212" s="7">
        <f>SUM(E212:F212)*((1+Eredmények!$B$9)^(1/12)-1)</f>
        <v>112238.96985323526</v>
      </c>
      <c r="H212" s="7">
        <f t="shared" si="17"/>
        <v>30655039.322952524</v>
      </c>
    </row>
    <row r="213" spans="1:8">
      <c r="A213">
        <f t="shared" si="15"/>
        <v>2045</v>
      </c>
      <c r="B213">
        <f t="shared" si="16"/>
        <v>41</v>
      </c>
      <c r="C213">
        <f t="shared" si="19"/>
        <v>8</v>
      </c>
      <c r="D213" s="7">
        <f>Eredmények!$B$6/12*(1+Eredmények!$B$7)^('Havi számolás'!B213-33)</f>
        <v>1762995.9286254246</v>
      </c>
      <c r="E213" s="7">
        <f t="shared" si="18"/>
        <v>30655039.322952524</v>
      </c>
      <c r="F213" s="7">
        <f>Eredmények!$B$8*D213</f>
        <v>141039.67429003396</v>
      </c>
      <c r="G213" s="7">
        <f>SUM(E213:F213)*((1+Eredmények!$B$9)^(1/12)-1)</f>
        <v>113169.72059566285</v>
      </c>
      <c r="H213" s="7">
        <f t="shared" si="17"/>
        <v>30909248.71783822</v>
      </c>
    </row>
    <row r="214" spans="1:8">
      <c r="A214">
        <f t="shared" si="15"/>
        <v>2045</v>
      </c>
      <c r="B214">
        <f t="shared" si="16"/>
        <v>41</v>
      </c>
      <c r="C214">
        <f t="shared" si="19"/>
        <v>9</v>
      </c>
      <c r="D214" s="7">
        <f>Eredmények!$B$6/12*(1+Eredmények!$B$7)^('Havi számolás'!B214-33)</f>
        <v>1762995.9286254246</v>
      </c>
      <c r="E214" s="7">
        <f t="shared" si="18"/>
        <v>30909248.71783822</v>
      </c>
      <c r="F214" s="7">
        <f>Eredmények!$B$8*D214</f>
        <v>141039.67429003396</v>
      </c>
      <c r="G214" s="7">
        <f>SUM(E214:F214)*((1+Eredmények!$B$9)^(1/12)-1)</f>
        <v>114103.89166966816</v>
      </c>
      <c r="H214" s="7">
        <f t="shared" si="17"/>
        <v>31164392.283797923</v>
      </c>
    </row>
    <row r="215" spans="1:8">
      <c r="A215">
        <f t="shared" si="15"/>
        <v>2045</v>
      </c>
      <c r="B215">
        <f t="shared" si="16"/>
        <v>41</v>
      </c>
      <c r="C215">
        <f t="shared" si="19"/>
        <v>10</v>
      </c>
      <c r="D215" s="7">
        <f>Eredmények!$B$6/12*(1+Eredmények!$B$7)^('Havi számolás'!B215-33)</f>
        <v>1762995.9286254246</v>
      </c>
      <c r="E215" s="7">
        <f t="shared" si="18"/>
        <v>31164392.283797923</v>
      </c>
      <c r="F215" s="7">
        <f>Eredmények!$B$8*D215</f>
        <v>141039.67429003396</v>
      </c>
      <c r="G215" s="7">
        <f>SUM(E215:F215)*((1+Eredmények!$B$9)^(1/12)-1)</f>
        <v>115041.49564431785</v>
      </c>
      <c r="H215" s="7">
        <f t="shared" si="17"/>
        <v>31420473.453732274</v>
      </c>
    </row>
    <row r="216" spans="1:8">
      <c r="A216">
        <f t="shared" si="15"/>
        <v>2045</v>
      </c>
      <c r="B216">
        <f t="shared" si="16"/>
        <v>41</v>
      </c>
      <c r="C216">
        <f t="shared" si="19"/>
        <v>11</v>
      </c>
      <c r="D216" s="7">
        <f>Eredmények!$B$6/12*(1+Eredmények!$B$7)^('Havi számolás'!B216-33)</f>
        <v>1762995.9286254246</v>
      </c>
      <c r="E216" s="7">
        <f t="shared" si="18"/>
        <v>31420473.453732274</v>
      </c>
      <c r="F216" s="7">
        <f>Eredmények!$B$8*D216</f>
        <v>141039.67429003396</v>
      </c>
      <c r="G216" s="7">
        <f>SUM(E216:F216)*((1+Eredmények!$B$9)^(1/12)-1)</f>
        <v>115982.54513486748</v>
      </c>
      <c r="H216" s="7">
        <f t="shared" si="17"/>
        <v>31677495.673157178</v>
      </c>
    </row>
    <row r="217" spans="1:8">
      <c r="A217">
        <f t="shared" si="15"/>
        <v>2045</v>
      </c>
      <c r="B217">
        <f t="shared" si="16"/>
        <v>41</v>
      </c>
      <c r="C217">
        <f t="shared" si="19"/>
        <v>12</v>
      </c>
      <c r="D217" s="7">
        <f>Eredmények!$B$6/12*(1+Eredmények!$B$7)^('Havi számolás'!B217-33)</f>
        <v>1762995.9286254246</v>
      </c>
      <c r="E217" s="7">
        <f t="shared" si="18"/>
        <v>31677495.673157178</v>
      </c>
      <c r="F217" s="7">
        <f>Eredmények!$B$8*D217</f>
        <v>141039.67429003396</v>
      </c>
      <c r="G217" s="7">
        <f>SUM(E217:F217)*((1+Eredmények!$B$9)^(1/12)-1)</f>
        <v>116927.05280293126</v>
      </c>
      <c r="H217" s="7">
        <f t="shared" si="17"/>
        <v>31935462.400250144</v>
      </c>
    </row>
    <row r="218" spans="1:8">
      <c r="A218">
        <f t="shared" si="15"/>
        <v>2046</v>
      </c>
      <c r="B218">
        <f t="shared" si="16"/>
        <v>42</v>
      </c>
      <c r="C218">
        <f t="shared" si="19"/>
        <v>1</v>
      </c>
      <c r="D218" s="7">
        <f>Eredmények!$B$6/12*(1+Eredmények!$B$7)^('Havi számolás'!B218-33)</f>
        <v>1815885.8064841873</v>
      </c>
      <c r="E218" s="7">
        <f t="shared" si="18"/>
        <v>31935462.400250144</v>
      </c>
      <c r="F218" s="7">
        <f>Eredmények!$B$8*D218</f>
        <v>145270.86451873498</v>
      </c>
      <c r="G218" s="7">
        <f>SUM(E218:F218)*((1+Eredmények!$B$9)^(1/12)-1)</f>
        <v>117890.58017427988</v>
      </c>
      <c r="H218" s="7">
        <f t="shared" si="17"/>
        <v>32198623.844943158</v>
      </c>
    </row>
    <row r="219" spans="1:8">
      <c r="A219">
        <f t="shared" si="15"/>
        <v>2046</v>
      </c>
      <c r="B219">
        <f t="shared" si="16"/>
        <v>42</v>
      </c>
      <c r="C219">
        <f t="shared" si="19"/>
        <v>2</v>
      </c>
      <c r="D219" s="7">
        <f>Eredmények!$B$6/12*(1+Eredmények!$B$7)^('Havi számolás'!B219-33)</f>
        <v>1815885.8064841873</v>
      </c>
      <c r="E219" s="7">
        <f t="shared" si="18"/>
        <v>32198623.844943158</v>
      </c>
      <c r="F219" s="7">
        <f>Eredmények!$B$8*D219</f>
        <v>145270.86451873498</v>
      </c>
      <c r="G219" s="7">
        <f>SUM(E219:F219)*((1+Eredmények!$B$9)^(1/12)-1)</f>
        <v>118857.64832507032</v>
      </c>
      <c r="H219" s="7">
        <f t="shared" si="17"/>
        <v>32462752.357786965</v>
      </c>
    </row>
    <row r="220" spans="1:8">
      <c r="A220">
        <f t="shared" si="15"/>
        <v>2046</v>
      </c>
      <c r="B220">
        <f t="shared" si="16"/>
        <v>42</v>
      </c>
      <c r="C220">
        <f t="shared" si="19"/>
        <v>3</v>
      </c>
      <c r="D220" s="7">
        <f>Eredmények!$B$6/12*(1+Eredmények!$B$7)^('Havi számolás'!B220-33)</f>
        <v>1815885.8064841873</v>
      </c>
      <c r="E220" s="7">
        <f t="shared" si="18"/>
        <v>32462752.357786965</v>
      </c>
      <c r="F220" s="7">
        <f>Eredmények!$B$8*D220</f>
        <v>145270.86451873498</v>
      </c>
      <c r="G220" s="7">
        <f>SUM(E220:F220)*((1+Eredmények!$B$9)^(1/12)-1)</f>
        <v>119828.27026699214</v>
      </c>
      <c r="H220" s="7">
        <f t="shared" si="17"/>
        <v>32727851.492572691</v>
      </c>
    </row>
    <row r="221" spans="1:8">
      <c r="A221">
        <f t="shared" si="15"/>
        <v>2046</v>
      </c>
      <c r="B221">
        <f t="shared" si="16"/>
        <v>42</v>
      </c>
      <c r="C221">
        <f t="shared" si="19"/>
        <v>4</v>
      </c>
      <c r="D221" s="7">
        <f>Eredmények!$B$6/12*(1+Eredmények!$B$7)^('Havi számolás'!B221-33)</f>
        <v>1815885.8064841873</v>
      </c>
      <c r="E221" s="7">
        <f t="shared" si="18"/>
        <v>32727851.492572691</v>
      </c>
      <c r="F221" s="7">
        <f>Eredmények!$B$8*D221</f>
        <v>145270.86451873498</v>
      </c>
      <c r="G221" s="7">
        <f>SUM(E221:F221)*((1+Eredmények!$B$9)^(1/12)-1)</f>
        <v>120802.4590595504</v>
      </c>
      <c r="H221" s="7">
        <f t="shared" si="17"/>
        <v>32993924.816150978</v>
      </c>
    </row>
    <row r="222" spans="1:8">
      <c r="A222">
        <f t="shared" si="15"/>
        <v>2046</v>
      </c>
      <c r="B222">
        <f t="shared" si="16"/>
        <v>42</v>
      </c>
      <c r="C222">
        <f t="shared" si="19"/>
        <v>5</v>
      </c>
      <c r="D222" s="7">
        <f>Eredmények!$B$6/12*(1+Eredmények!$B$7)^('Havi számolás'!B222-33)</f>
        <v>1815885.8064841873</v>
      </c>
      <c r="E222" s="7">
        <f t="shared" si="18"/>
        <v>32993924.816150978</v>
      </c>
      <c r="F222" s="7">
        <f>Eredmények!$B$8*D222</f>
        <v>145270.86451873498</v>
      </c>
      <c r="G222" s="7">
        <f>SUM(E222:F222)*((1+Eredmények!$B$9)^(1/12)-1)</f>
        <v>121780.22781024137</v>
      </c>
      <c r="H222" s="7">
        <f t="shared" si="17"/>
        <v>33260975.908479955</v>
      </c>
    </row>
    <row r="223" spans="1:8">
      <c r="A223">
        <f t="shared" si="15"/>
        <v>2046</v>
      </c>
      <c r="B223">
        <f t="shared" si="16"/>
        <v>42</v>
      </c>
      <c r="C223">
        <f t="shared" si="19"/>
        <v>6</v>
      </c>
      <c r="D223" s="7">
        <f>Eredmények!$B$6/12*(1+Eredmények!$B$7)^('Havi számolás'!B223-33)</f>
        <v>1815885.8064841873</v>
      </c>
      <c r="E223" s="7">
        <f t="shared" si="18"/>
        <v>33260975.908479955</v>
      </c>
      <c r="F223" s="7">
        <f>Eredmények!$B$8*D223</f>
        <v>145270.86451873498</v>
      </c>
      <c r="G223" s="7">
        <f>SUM(E223:F223)*((1+Eredmények!$B$9)^(1/12)-1)</f>
        <v>122761.58967472882</v>
      </c>
      <c r="H223" s="7">
        <f t="shared" si="17"/>
        <v>33529008.36267342</v>
      </c>
    </row>
    <row r="224" spans="1:8">
      <c r="A224">
        <f t="shared" si="15"/>
        <v>2046</v>
      </c>
      <c r="B224">
        <f t="shared" si="16"/>
        <v>42</v>
      </c>
      <c r="C224">
        <f t="shared" si="19"/>
        <v>7</v>
      </c>
      <c r="D224" s="7">
        <f>Eredmények!$B$6/12*(1+Eredmények!$B$7)^('Havi számolás'!B224-33)</f>
        <v>1815885.8064841873</v>
      </c>
      <c r="E224" s="7">
        <f t="shared" si="18"/>
        <v>33529008.36267342</v>
      </c>
      <c r="F224" s="7">
        <f>Eredmények!$B$8*D224</f>
        <v>145270.86451873498</v>
      </c>
      <c r="G224" s="7">
        <f>SUM(E224:F224)*((1+Eredmények!$B$9)^(1/12)-1)</f>
        <v>123746.55785702112</v>
      </c>
      <c r="H224" s="7">
        <f t="shared" si="17"/>
        <v>33798025.785049178</v>
      </c>
    </row>
    <row r="225" spans="1:8">
      <c r="A225">
        <f t="shared" si="15"/>
        <v>2046</v>
      </c>
      <c r="B225">
        <f t="shared" si="16"/>
        <v>42</v>
      </c>
      <c r="C225">
        <f t="shared" si="19"/>
        <v>8</v>
      </c>
      <c r="D225" s="7">
        <f>Eredmények!$B$6/12*(1+Eredmények!$B$7)^('Havi számolás'!B225-33)</f>
        <v>1815885.8064841873</v>
      </c>
      <c r="E225" s="7">
        <f t="shared" si="18"/>
        <v>33798025.785049178</v>
      </c>
      <c r="F225" s="7">
        <f>Eredmények!$B$8*D225</f>
        <v>145270.86451873498</v>
      </c>
      <c r="G225" s="7">
        <f>SUM(E225:F225)*((1+Eredmények!$B$9)^(1/12)-1)</f>
        <v>124735.14560964884</v>
      </c>
      <c r="H225" s="7">
        <f t="shared" si="17"/>
        <v>34068031.795177557</v>
      </c>
    </row>
    <row r="226" spans="1:8">
      <c r="A226">
        <f t="shared" si="15"/>
        <v>2046</v>
      </c>
      <c r="B226">
        <f t="shared" si="16"/>
        <v>42</v>
      </c>
      <c r="C226">
        <f t="shared" si="19"/>
        <v>9</v>
      </c>
      <c r="D226" s="7">
        <f>Eredmények!$B$6/12*(1+Eredmények!$B$7)^('Havi számolás'!B226-33)</f>
        <v>1815885.8064841873</v>
      </c>
      <c r="E226" s="7">
        <f t="shared" si="18"/>
        <v>34068031.795177557</v>
      </c>
      <c r="F226" s="7">
        <f>Eredmények!$B$8*D226</f>
        <v>145270.86451873498</v>
      </c>
      <c r="G226" s="7">
        <f>SUM(E226:F226)*((1+Eredmények!$B$9)^(1/12)-1)</f>
        <v>125727.36623384306</v>
      </c>
      <c r="H226" s="7">
        <f t="shared" si="17"/>
        <v>34339030.025930129</v>
      </c>
    </row>
    <row r="227" spans="1:8">
      <c r="A227">
        <f t="shared" si="15"/>
        <v>2046</v>
      </c>
      <c r="B227">
        <f t="shared" si="16"/>
        <v>42</v>
      </c>
      <c r="C227">
        <f t="shared" si="19"/>
        <v>10</v>
      </c>
      <c r="D227" s="7">
        <f>Eredmények!$B$6/12*(1+Eredmények!$B$7)^('Havi számolás'!B227-33)</f>
        <v>1815885.8064841873</v>
      </c>
      <c r="E227" s="7">
        <f t="shared" si="18"/>
        <v>34339030.025930129</v>
      </c>
      <c r="F227" s="7">
        <f>Eredmények!$B$8*D227</f>
        <v>145270.86451873498</v>
      </c>
      <c r="G227" s="7">
        <f>SUM(E227:F227)*((1+Eredmények!$B$9)^(1/12)-1)</f>
        <v>126723.23307971437</v>
      </c>
      <c r="H227" s="7">
        <f t="shared" si="17"/>
        <v>34611024.123528577</v>
      </c>
    </row>
    <row r="228" spans="1:8">
      <c r="A228">
        <f t="shared" si="15"/>
        <v>2046</v>
      </c>
      <c r="B228">
        <f t="shared" si="16"/>
        <v>42</v>
      </c>
      <c r="C228">
        <f t="shared" si="19"/>
        <v>11</v>
      </c>
      <c r="D228" s="7">
        <f>Eredmények!$B$6/12*(1+Eredmények!$B$7)^('Havi számolás'!B228-33)</f>
        <v>1815885.8064841873</v>
      </c>
      <c r="E228" s="7">
        <f t="shared" si="18"/>
        <v>34611024.123528577</v>
      </c>
      <c r="F228" s="7">
        <f>Eredmények!$B$8*D228</f>
        <v>145270.86451873498</v>
      </c>
      <c r="G228" s="7">
        <f>SUM(E228:F228)*((1+Eredmények!$B$9)^(1/12)-1)</f>
        <v>127722.75954643248</v>
      </c>
      <c r="H228" s="7">
        <f t="shared" si="17"/>
        <v>34884017.747593738</v>
      </c>
    </row>
    <row r="229" spans="1:8">
      <c r="A229">
        <f t="shared" si="15"/>
        <v>2046</v>
      </c>
      <c r="B229">
        <f t="shared" si="16"/>
        <v>42</v>
      </c>
      <c r="C229">
        <f t="shared" si="19"/>
        <v>12</v>
      </c>
      <c r="D229" s="7">
        <f>Eredmények!$B$6/12*(1+Eredmények!$B$7)^('Havi számolás'!B229-33)</f>
        <v>1815885.8064841873</v>
      </c>
      <c r="E229" s="7">
        <f t="shared" si="18"/>
        <v>34884017.747593738</v>
      </c>
      <c r="F229" s="7">
        <f>Eredmények!$B$8*D229</f>
        <v>145270.86451873498</v>
      </c>
      <c r="G229" s="7">
        <f>SUM(E229:F229)*((1+Eredmények!$B$9)^(1/12)-1)</f>
        <v>128725.95908240645</v>
      </c>
      <c r="H229" s="7">
        <f t="shared" si="17"/>
        <v>35158014.57119488</v>
      </c>
    </row>
    <row r="230" spans="1:8">
      <c r="A230">
        <f t="shared" si="15"/>
        <v>2047</v>
      </c>
      <c r="B230">
        <f t="shared" si="16"/>
        <v>43</v>
      </c>
      <c r="C230">
        <f t="shared" si="19"/>
        <v>1</v>
      </c>
      <c r="D230" s="7">
        <f>Eredmények!$B$6/12*(1+Eredmények!$B$7)^('Havi számolás'!B230-33)</f>
        <v>1870362.3806787129</v>
      </c>
      <c r="E230" s="7">
        <f t="shared" si="18"/>
        <v>35158014.57119488</v>
      </c>
      <c r="F230" s="7">
        <f>Eredmények!$B$8*D230</f>
        <v>149628.99045429702</v>
      </c>
      <c r="G230" s="7">
        <f>SUM(E230:F230)*((1+Eredmények!$B$9)^(1/12)-1)</f>
        <v>129748.86046762206</v>
      </c>
      <c r="H230" s="7">
        <f t="shared" si="17"/>
        <v>35437392.422116794</v>
      </c>
    </row>
    <row r="231" spans="1:8">
      <c r="A231">
        <f t="shared" si="15"/>
        <v>2047</v>
      </c>
      <c r="B231">
        <f t="shared" si="16"/>
        <v>43</v>
      </c>
      <c r="C231">
        <f t="shared" si="19"/>
        <v>2</v>
      </c>
      <c r="D231" s="7">
        <f>Eredmények!$B$6/12*(1+Eredmények!$B$7)^('Havi számolás'!B231-33)</f>
        <v>1870362.3806787129</v>
      </c>
      <c r="E231" s="7">
        <f t="shared" si="18"/>
        <v>35437392.422116794</v>
      </c>
      <c r="F231" s="7">
        <f>Eredmények!$B$8*D231</f>
        <v>149628.99045429702</v>
      </c>
      <c r="G231" s="7">
        <f>SUM(E231:F231)*((1+Eredmények!$B$9)^(1/12)-1)</f>
        <v>130775.52082046375</v>
      </c>
      <c r="H231" s="7">
        <f t="shared" si="17"/>
        <v>35717796.933391549</v>
      </c>
    </row>
    <row r="232" spans="1:8">
      <c r="A232">
        <f t="shared" si="15"/>
        <v>2047</v>
      </c>
      <c r="B232">
        <f t="shared" si="16"/>
        <v>43</v>
      </c>
      <c r="C232">
        <f t="shared" si="19"/>
        <v>3</v>
      </c>
      <c r="D232" s="7">
        <f>Eredmények!$B$6/12*(1+Eredmények!$B$7)^('Havi számolás'!B232-33)</f>
        <v>1870362.3806787129</v>
      </c>
      <c r="E232" s="7">
        <f t="shared" si="18"/>
        <v>35717796.933391549</v>
      </c>
      <c r="F232" s="7">
        <f>Eredmények!$B$8*D232</f>
        <v>149628.99045429702</v>
      </c>
      <c r="G232" s="7">
        <f>SUM(E232:F232)*((1+Eredmények!$B$9)^(1/12)-1)</f>
        <v>131805.95395442113</v>
      </c>
      <c r="H232" s="7">
        <f t="shared" si="17"/>
        <v>35999231.877800263</v>
      </c>
    </row>
    <row r="233" spans="1:8">
      <c r="A233">
        <f t="shared" si="15"/>
        <v>2047</v>
      </c>
      <c r="B233">
        <f t="shared" si="16"/>
        <v>43</v>
      </c>
      <c r="C233">
        <f t="shared" si="19"/>
        <v>4</v>
      </c>
      <c r="D233" s="7">
        <f>Eredmények!$B$6/12*(1+Eredmények!$B$7)^('Havi számolás'!B233-33)</f>
        <v>1870362.3806787129</v>
      </c>
      <c r="E233" s="7">
        <f t="shared" si="18"/>
        <v>35999231.877800263</v>
      </c>
      <c r="F233" s="7">
        <f>Eredmények!$B$8*D233</f>
        <v>149628.99045429702</v>
      </c>
      <c r="G233" s="7">
        <f>SUM(E233:F233)*((1+Eredmények!$B$9)^(1/12)-1)</f>
        <v>132840.1737337457</v>
      </c>
      <c r="H233" s="7">
        <f t="shared" si="17"/>
        <v>36281701.041988306</v>
      </c>
    </row>
    <row r="234" spans="1:8">
      <c r="A234">
        <f t="shared" si="15"/>
        <v>2047</v>
      </c>
      <c r="B234">
        <f t="shared" si="16"/>
        <v>43</v>
      </c>
      <c r="C234">
        <f t="shared" si="19"/>
        <v>5</v>
      </c>
      <c r="D234" s="7">
        <f>Eredmények!$B$6/12*(1+Eredmények!$B$7)^('Havi számolás'!B234-33)</f>
        <v>1870362.3806787129</v>
      </c>
      <c r="E234" s="7">
        <f t="shared" si="18"/>
        <v>36281701.041988306</v>
      </c>
      <c r="F234" s="7">
        <f>Eredmények!$B$8*D234</f>
        <v>149628.99045429702</v>
      </c>
      <c r="G234" s="7">
        <f>SUM(E234:F234)*((1+Eredmények!$B$9)^(1/12)-1)</f>
        <v>133878.19407363745</v>
      </c>
      <c r="H234" s="7">
        <f t="shared" si="17"/>
        <v>36565208.226516239</v>
      </c>
    </row>
    <row r="235" spans="1:8">
      <c r="A235">
        <f t="shared" si="15"/>
        <v>2047</v>
      </c>
      <c r="B235">
        <f t="shared" si="16"/>
        <v>43</v>
      </c>
      <c r="C235">
        <f t="shared" si="19"/>
        <v>6</v>
      </c>
      <c r="D235" s="7">
        <f>Eredmények!$B$6/12*(1+Eredmények!$B$7)^('Havi számolás'!B235-33)</f>
        <v>1870362.3806787129</v>
      </c>
      <c r="E235" s="7">
        <f t="shared" si="18"/>
        <v>36565208.226516239</v>
      </c>
      <c r="F235" s="7">
        <f>Eredmények!$B$8*D235</f>
        <v>149628.99045429702</v>
      </c>
      <c r="G235" s="7">
        <f>SUM(E235:F235)*((1+Eredmények!$B$9)^(1/12)-1)</f>
        <v>134920.02894043209</v>
      </c>
      <c r="H235" s="7">
        <f t="shared" si="17"/>
        <v>36849757.245910965</v>
      </c>
    </row>
    <row r="236" spans="1:8">
      <c r="A236">
        <f t="shared" si="15"/>
        <v>2047</v>
      </c>
      <c r="B236">
        <f t="shared" si="16"/>
        <v>43</v>
      </c>
      <c r="C236">
        <f t="shared" si="19"/>
        <v>7</v>
      </c>
      <c r="D236" s="7">
        <f>Eredmények!$B$6/12*(1+Eredmények!$B$7)^('Havi számolás'!B236-33)</f>
        <v>1870362.3806787129</v>
      </c>
      <c r="E236" s="7">
        <f t="shared" si="18"/>
        <v>36849757.245910965</v>
      </c>
      <c r="F236" s="7">
        <f>Eredmények!$B$8*D236</f>
        <v>149628.99045429702</v>
      </c>
      <c r="G236" s="7">
        <f>SUM(E236:F236)*((1+Eredmények!$B$9)^(1/12)-1)</f>
        <v>135965.69235178892</v>
      </c>
      <c r="H236" s="7">
        <f t="shared" si="17"/>
        <v>37135351.928717047</v>
      </c>
    </row>
    <row r="237" spans="1:8">
      <c r="A237">
        <f t="shared" si="15"/>
        <v>2047</v>
      </c>
      <c r="B237">
        <f t="shared" si="16"/>
        <v>43</v>
      </c>
      <c r="C237">
        <f t="shared" si="19"/>
        <v>8</v>
      </c>
      <c r="D237" s="7">
        <f>Eredmények!$B$6/12*(1+Eredmények!$B$7)^('Havi számolás'!B237-33)</f>
        <v>1870362.3806787129</v>
      </c>
      <c r="E237" s="7">
        <f t="shared" si="18"/>
        <v>37135351.928717047</v>
      </c>
      <c r="F237" s="7">
        <f>Eredmények!$B$8*D237</f>
        <v>149628.99045429702</v>
      </c>
      <c r="G237" s="7">
        <f>SUM(E237:F237)*((1+Eredmények!$B$9)^(1/12)-1)</f>
        <v>137015.19837687947</v>
      </c>
      <c r="H237" s="7">
        <f t="shared" si="17"/>
        <v>37421996.11754822</v>
      </c>
    </row>
    <row r="238" spans="1:8">
      <c r="A238">
        <f t="shared" si="15"/>
        <v>2047</v>
      </c>
      <c r="B238">
        <f t="shared" si="16"/>
        <v>43</v>
      </c>
      <c r="C238">
        <f t="shared" si="19"/>
        <v>9</v>
      </c>
      <c r="D238" s="7">
        <f>Eredmények!$B$6/12*(1+Eredmények!$B$7)^('Havi számolás'!B238-33)</f>
        <v>1870362.3806787129</v>
      </c>
      <c r="E238" s="7">
        <f t="shared" si="18"/>
        <v>37421996.11754822</v>
      </c>
      <c r="F238" s="7">
        <f>Eredmények!$B$8*D238</f>
        <v>149628.99045429702</v>
      </c>
      <c r="G238" s="7">
        <f>SUM(E238:F238)*((1+Eredmények!$B$9)^(1/12)-1)</f>
        <v>138068.56113657687</v>
      </c>
      <c r="H238" s="7">
        <f t="shared" si="17"/>
        <v>37709693.669139087</v>
      </c>
    </row>
    <row r="239" spans="1:8">
      <c r="A239">
        <f t="shared" si="15"/>
        <v>2047</v>
      </c>
      <c r="B239">
        <f t="shared" si="16"/>
        <v>43</v>
      </c>
      <c r="C239">
        <f t="shared" si="19"/>
        <v>10</v>
      </c>
      <c r="D239" s="7">
        <f>Eredmények!$B$6/12*(1+Eredmények!$B$7)^('Havi számolás'!B239-33)</f>
        <v>1870362.3806787129</v>
      </c>
      <c r="E239" s="7">
        <f t="shared" si="18"/>
        <v>37709693.669139087</v>
      </c>
      <c r="F239" s="7">
        <f>Eredmények!$B$8*D239</f>
        <v>149628.99045429702</v>
      </c>
      <c r="G239" s="7">
        <f>SUM(E239:F239)*((1+Eredmények!$B$9)^(1/12)-1)</f>
        <v>139125.79480364567</v>
      </c>
      <c r="H239" s="7">
        <f t="shared" si="17"/>
        <v>37998448.45439703</v>
      </c>
    </row>
    <row r="240" spans="1:8">
      <c r="A240">
        <f t="shared" si="15"/>
        <v>2047</v>
      </c>
      <c r="B240">
        <f t="shared" si="16"/>
        <v>43</v>
      </c>
      <c r="C240">
        <f t="shared" si="19"/>
        <v>11</v>
      </c>
      <c r="D240" s="7">
        <f>Eredmények!$B$6/12*(1+Eredmények!$B$7)^('Havi számolás'!B240-33)</f>
        <v>1870362.3806787129</v>
      </c>
      <c r="E240" s="7">
        <f t="shared" si="18"/>
        <v>37998448.45439703</v>
      </c>
      <c r="F240" s="7">
        <f>Eredmények!$B$8*D240</f>
        <v>149628.99045429702</v>
      </c>
      <c r="G240" s="7">
        <f>SUM(E240:F240)*((1+Eredmények!$B$9)^(1/12)-1)</f>
        <v>140186.91360293268</v>
      </c>
      <c r="H240" s="7">
        <f t="shared" si="17"/>
        <v>38288264.358454257</v>
      </c>
    </row>
    <row r="241" spans="1:8">
      <c r="A241">
        <f t="shared" si="15"/>
        <v>2047</v>
      </c>
      <c r="B241">
        <f t="shared" si="16"/>
        <v>43</v>
      </c>
      <c r="C241">
        <f t="shared" si="19"/>
        <v>12</v>
      </c>
      <c r="D241" s="7">
        <f>Eredmények!$B$6/12*(1+Eredmények!$B$7)^('Havi számolás'!B241-33)</f>
        <v>1870362.3806787129</v>
      </c>
      <c r="E241" s="7">
        <f t="shared" si="18"/>
        <v>38288264.358454257</v>
      </c>
      <c r="F241" s="7">
        <f>Eredmények!$B$8*D241</f>
        <v>149628.99045429702</v>
      </c>
      <c r="G241" s="7">
        <f>SUM(E241:F241)*((1+Eredmények!$B$9)^(1/12)-1)</f>
        <v>141251.93181155829</v>
      </c>
      <c r="H241" s="7">
        <f t="shared" si="17"/>
        <v>38579145.280720107</v>
      </c>
    </row>
    <row r="242" spans="1:8">
      <c r="A242">
        <f t="shared" si="15"/>
        <v>2048</v>
      </c>
      <c r="B242">
        <f t="shared" si="16"/>
        <v>44</v>
      </c>
      <c r="C242">
        <f t="shared" si="19"/>
        <v>1</v>
      </c>
      <c r="D242" s="7">
        <f>Eredmények!$B$6/12*(1+Eredmények!$B$7)^('Havi számolás'!B242-33)</f>
        <v>1926473.2520990744</v>
      </c>
      <c r="E242" s="7">
        <f t="shared" si="18"/>
        <v>38579145.280720107</v>
      </c>
      <c r="F242" s="7">
        <f>Eredmények!$B$8*D242</f>
        <v>154117.86016792594</v>
      </c>
      <c r="G242" s="7">
        <f>SUM(E242:F242)*((1+Eredmények!$B$9)^(1/12)-1)</f>
        <v>142337.35949972956</v>
      </c>
      <c r="H242" s="7">
        <f t="shared" si="17"/>
        <v>38875600.500387765</v>
      </c>
    </row>
    <row r="243" spans="1:8">
      <c r="A243">
        <f t="shared" si="15"/>
        <v>2048</v>
      </c>
      <c r="B243">
        <f t="shared" si="16"/>
        <v>44</v>
      </c>
      <c r="C243">
        <f t="shared" si="19"/>
        <v>2</v>
      </c>
      <c r="D243" s="7">
        <f>Eredmények!$B$6/12*(1+Eredmények!$B$7)^('Havi számolás'!B243-33)</f>
        <v>1926473.2520990744</v>
      </c>
      <c r="E243" s="7">
        <f t="shared" si="18"/>
        <v>38875600.500387765</v>
      </c>
      <c r="F243" s="7">
        <f>Eredmények!$B$8*D243</f>
        <v>154117.86016792594</v>
      </c>
      <c r="G243" s="7">
        <f>SUM(E243:F243)*((1+Eredmények!$B$9)^(1/12)-1)</f>
        <v>143426.77592777283</v>
      </c>
      <c r="H243" s="7">
        <f t="shared" si="17"/>
        <v>39173145.136483468</v>
      </c>
    </row>
    <row r="244" spans="1:8">
      <c r="A244">
        <f t="shared" si="15"/>
        <v>2048</v>
      </c>
      <c r="B244">
        <f t="shared" si="16"/>
        <v>44</v>
      </c>
      <c r="C244">
        <f t="shared" si="19"/>
        <v>3</v>
      </c>
      <c r="D244" s="7">
        <f>Eredmények!$B$6/12*(1+Eredmények!$B$7)^('Havi számolás'!B244-33)</f>
        <v>1926473.2520990744</v>
      </c>
      <c r="E244" s="7">
        <f t="shared" si="18"/>
        <v>39173145.136483468</v>
      </c>
      <c r="F244" s="7">
        <f>Eredmények!$B$8*D244</f>
        <v>154117.86016792594</v>
      </c>
      <c r="G244" s="7">
        <f>SUM(E244:F244)*((1+Eredmények!$B$9)^(1/12)-1)</f>
        <v>144520.1957535469</v>
      </c>
      <c r="H244" s="7">
        <f t="shared" si="17"/>
        <v>39471783.192404941</v>
      </c>
    </row>
    <row r="245" spans="1:8">
      <c r="A245">
        <f t="shared" si="15"/>
        <v>2048</v>
      </c>
      <c r="B245">
        <f t="shared" si="16"/>
        <v>44</v>
      </c>
      <c r="C245">
        <f t="shared" si="19"/>
        <v>4</v>
      </c>
      <c r="D245" s="7">
        <f>Eredmények!$B$6/12*(1+Eredmények!$B$7)^('Havi számolás'!B245-33)</f>
        <v>1926473.2520990744</v>
      </c>
      <c r="E245" s="7">
        <f t="shared" si="18"/>
        <v>39471783.192404941</v>
      </c>
      <c r="F245" s="7">
        <f>Eredmények!$B$8*D245</f>
        <v>154117.86016792594</v>
      </c>
      <c r="G245" s="7">
        <f>SUM(E245:F245)*((1+Eredmények!$B$9)^(1/12)-1)</f>
        <v>145617.6336887753</v>
      </c>
      <c r="H245" s="7">
        <f t="shared" si="17"/>
        <v>39771518.686261646</v>
      </c>
    </row>
    <row r="246" spans="1:8">
      <c r="A246">
        <f t="shared" si="15"/>
        <v>2048</v>
      </c>
      <c r="B246">
        <f t="shared" si="16"/>
        <v>44</v>
      </c>
      <c r="C246">
        <f t="shared" si="19"/>
        <v>5</v>
      </c>
      <c r="D246" s="7">
        <f>Eredmények!$B$6/12*(1+Eredmények!$B$7)^('Havi számolás'!B246-33)</f>
        <v>1926473.2520990744</v>
      </c>
      <c r="E246" s="7">
        <f t="shared" si="18"/>
        <v>39771518.686261646</v>
      </c>
      <c r="F246" s="7">
        <f>Eredmények!$B$8*D246</f>
        <v>154117.86016792594</v>
      </c>
      <c r="G246" s="7">
        <f>SUM(E246:F246)*((1+Eredmények!$B$9)^(1/12)-1)</f>
        <v>146719.10449924451</v>
      </c>
      <c r="H246" s="7">
        <f t="shared" si="17"/>
        <v>40072355.650928818</v>
      </c>
    </row>
    <row r="247" spans="1:8">
      <c r="A247">
        <f t="shared" si="15"/>
        <v>2048</v>
      </c>
      <c r="B247">
        <f t="shared" si="16"/>
        <v>44</v>
      </c>
      <c r="C247">
        <f t="shared" si="19"/>
        <v>6</v>
      </c>
      <c r="D247" s="7">
        <f>Eredmények!$B$6/12*(1+Eredmények!$B$7)^('Havi számolás'!B247-33)</f>
        <v>1926473.2520990744</v>
      </c>
      <c r="E247" s="7">
        <f t="shared" si="18"/>
        <v>40072355.650928818</v>
      </c>
      <c r="F247" s="7">
        <f>Eredmények!$B$8*D247</f>
        <v>154117.86016792594</v>
      </c>
      <c r="G247" s="7">
        <f>SUM(E247:F247)*((1+Eredmények!$B$9)^(1/12)-1)</f>
        <v>147824.62300500233</v>
      </c>
      <c r="H247" s="7">
        <f t="shared" si="17"/>
        <v>40374298.134101748</v>
      </c>
    </row>
    <row r="248" spans="1:8">
      <c r="A248">
        <f t="shared" si="15"/>
        <v>2048</v>
      </c>
      <c r="B248">
        <f t="shared" si="16"/>
        <v>44</v>
      </c>
      <c r="C248">
        <f t="shared" si="19"/>
        <v>7</v>
      </c>
      <c r="D248" s="7">
        <f>Eredmények!$B$6/12*(1+Eredmények!$B$7)^('Havi számolás'!B248-33)</f>
        <v>1926473.2520990744</v>
      </c>
      <c r="E248" s="7">
        <f t="shared" si="18"/>
        <v>40374298.134101748</v>
      </c>
      <c r="F248" s="7">
        <f>Eredmények!$B$8*D248</f>
        <v>154117.86016792594</v>
      </c>
      <c r="G248" s="7">
        <f>SUM(E248:F248)*((1+Eredmények!$B$9)^(1/12)-1)</f>
        <v>148934.20408055745</v>
      </c>
      <c r="H248" s="7">
        <f t="shared" si="17"/>
        <v>40677350.198350236</v>
      </c>
    </row>
    <row r="249" spans="1:8">
      <c r="A249">
        <f t="shared" si="15"/>
        <v>2048</v>
      </c>
      <c r="B249">
        <f t="shared" si="16"/>
        <v>44</v>
      </c>
      <c r="C249">
        <f t="shared" si="19"/>
        <v>8</v>
      </c>
      <c r="D249" s="7">
        <f>Eredmények!$B$6/12*(1+Eredmények!$B$7)^('Havi számolás'!B249-33)</f>
        <v>1926473.2520990744</v>
      </c>
      <c r="E249" s="7">
        <f t="shared" si="18"/>
        <v>40677350.198350236</v>
      </c>
      <c r="F249" s="7">
        <f>Eredmények!$B$8*D249</f>
        <v>154117.86016792594</v>
      </c>
      <c r="G249" s="7">
        <f>SUM(E249:F249)*((1+Eredmények!$B$9)^(1/12)-1)</f>
        <v>150047.86265507957</v>
      </c>
      <c r="H249" s="7">
        <f t="shared" si="17"/>
        <v>40981515.921173245</v>
      </c>
    </row>
    <row r="250" spans="1:8">
      <c r="A250">
        <f t="shared" si="15"/>
        <v>2048</v>
      </c>
      <c r="B250">
        <f t="shared" si="16"/>
        <v>44</v>
      </c>
      <c r="C250">
        <f t="shared" si="19"/>
        <v>9</v>
      </c>
      <c r="D250" s="7">
        <f>Eredmények!$B$6/12*(1+Eredmények!$B$7)^('Havi számolás'!B250-33)</f>
        <v>1926473.2520990744</v>
      </c>
      <c r="E250" s="7">
        <f t="shared" si="18"/>
        <v>40981515.921173245</v>
      </c>
      <c r="F250" s="7">
        <f>Eredmények!$B$8*D250</f>
        <v>154117.86016792594</v>
      </c>
      <c r="G250" s="7">
        <f>SUM(E250:F250)*((1+Eredmények!$B$9)^(1/12)-1)</f>
        <v>151165.61371260026</v>
      </c>
      <c r="H250" s="7">
        <f t="shared" si="17"/>
        <v>41286799.395053774</v>
      </c>
    </row>
    <row r="251" spans="1:8">
      <c r="A251">
        <f t="shared" si="15"/>
        <v>2048</v>
      </c>
      <c r="B251">
        <f t="shared" si="16"/>
        <v>44</v>
      </c>
      <c r="C251">
        <f t="shared" si="19"/>
        <v>10</v>
      </c>
      <c r="D251" s="7">
        <f>Eredmények!$B$6/12*(1+Eredmények!$B$7)^('Havi számolás'!B251-33)</f>
        <v>1926473.2520990744</v>
      </c>
      <c r="E251" s="7">
        <f t="shared" si="18"/>
        <v>41286799.395053774</v>
      </c>
      <c r="F251" s="7">
        <f>Eredmények!$B$8*D251</f>
        <v>154117.86016792594</v>
      </c>
      <c r="G251" s="7">
        <f>SUM(E251:F251)*((1+Eredmények!$B$9)^(1/12)-1)</f>
        <v>152287.47229221443</v>
      </c>
      <c r="H251" s="7">
        <f t="shared" si="17"/>
        <v>41593204.727513917</v>
      </c>
    </row>
    <row r="252" spans="1:8">
      <c r="A252">
        <f t="shared" si="15"/>
        <v>2048</v>
      </c>
      <c r="B252">
        <f t="shared" si="16"/>
        <v>44</v>
      </c>
      <c r="C252">
        <f t="shared" si="19"/>
        <v>11</v>
      </c>
      <c r="D252" s="7">
        <f>Eredmények!$B$6/12*(1+Eredmények!$B$7)^('Havi számolás'!B252-33)</f>
        <v>1926473.2520990744</v>
      </c>
      <c r="E252" s="7">
        <f t="shared" si="18"/>
        <v>41593204.727513917</v>
      </c>
      <c r="F252" s="7">
        <f>Eredmények!$B$8*D252</f>
        <v>154117.86016792594</v>
      </c>
      <c r="G252" s="7">
        <f>SUM(E252:F252)*((1+Eredmények!$B$9)^(1/12)-1)</f>
        <v>153413.45348828295</v>
      </c>
      <c r="H252" s="7">
        <f t="shared" si="17"/>
        <v>41900736.041170128</v>
      </c>
    </row>
    <row r="253" spans="1:8">
      <c r="A253">
        <f t="shared" si="15"/>
        <v>2048</v>
      </c>
      <c r="B253">
        <f t="shared" si="16"/>
        <v>44</v>
      </c>
      <c r="C253">
        <f t="shared" si="19"/>
        <v>12</v>
      </c>
      <c r="D253" s="7">
        <f>Eredmények!$B$6/12*(1+Eredmények!$B$7)^('Havi számolás'!B253-33)</f>
        <v>1926473.2520990744</v>
      </c>
      <c r="E253" s="7">
        <f t="shared" si="18"/>
        <v>41900736.041170128</v>
      </c>
      <c r="F253" s="7">
        <f>Eredmények!$B$8*D253</f>
        <v>154117.86016792594</v>
      </c>
      <c r="G253" s="7">
        <f>SUM(E253:F253)*((1+Eredmények!$B$9)^(1/12)-1)</f>
        <v>154543.57245063549</v>
      </c>
      <c r="H253" s="7">
        <f t="shared" si="17"/>
        <v>42209397.473788694</v>
      </c>
    </row>
    <row r="254" spans="1:8">
      <c r="A254">
        <f t="shared" si="15"/>
        <v>2049</v>
      </c>
      <c r="B254">
        <f t="shared" si="16"/>
        <v>45</v>
      </c>
      <c r="C254">
        <f t="shared" si="19"/>
        <v>1</v>
      </c>
      <c r="D254" s="7">
        <f>Eredmények!$B$6/12*(1+Eredmények!$B$7)^('Havi számolás'!B254-33)</f>
        <v>1984267.4496620463</v>
      </c>
      <c r="E254" s="7">
        <f t="shared" si="18"/>
        <v>42209397.473788694</v>
      </c>
      <c r="F254" s="7">
        <f>Eredmények!$B$8*D254</f>
        <v>158741.39597296371</v>
      </c>
      <c r="G254" s="7">
        <f>SUM(E254:F254)*((1+Eredmények!$B$9)^(1/12)-1)</f>
        <v>155694.83499761412</v>
      </c>
      <c r="H254" s="7">
        <f t="shared" si="17"/>
        <v>42523833.704759277</v>
      </c>
    </row>
    <row r="255" spans="1:8">
      <c r="A255">
        <f t="shared" si="15"/>
        <v>2049</v>
      </c>
      <c r="B255">
        <f t="shared" si="16"/>
        <v>45</v>
      </c>
      <c r="C255">
        <f t="shared" si="19"/>
        <v>2</v>
      </c>
      <c r="D255" s="7">
        <f>Eredmények!$B$6/12*(1+Eredmények!$B$7)^('Havi számolás'!B255-33)</f>
        <v>1984267.4496620463</v>
      </c>
      <c r="E255" s="7">
        <f t="shared" si="18"/>
        <v>42523833.704759277</v>
      </c>
      <c r="F255" s="7">
        <f>Eredmények!$B$8*D255</f>
        <v>158741.39597296371</v>
      </c>
      <c r="G255" s="7">
        <f>SUM(E255:F255)*((1+Eredmények!$B$9)^(1/12)-1)</f>
        <v>156850.32821502275</v>
      </c>
      <c r="H255" s="7">
        <f t="shared" si="17"/>
        <v>42839425.42894727</v>
      </c>
    </row>
    <row r="256" spans="1:8">
      <c r="A256">
        <f t="shared" si="15"/>
        <v>2049</v>
      </c>
      <c r="B256">
        <f t="shared" si="16"/>
        <v>45</v>
      </c>
      <c r="C256">
        <f t="shared" si="19"/>
        <v>3</v>
      </c>
      <c r="D256" s="7">
        <f>Eredmények!$B$6/12*(1+Eredmények!$B$7)^('Havi számolás'!B256-33)</f>
        <v>1984267.4496620463</v>
      </c>
      <c r="E256" s="7">
        <f t="shared" si="18"/>
        <v>42839425.42894727</v>
      </c>
      <c r="F256" s="7">
        <f>Eredmények!$B$8*D256</f>
        <v>158741.39597296371</v>
      </c>
      <c r="G256" s="7">
        <f>SUM(E256:F256)*((1+Eredmények!$B$9)^(1/12)-1)</f>
        <v>158010.06764976884</v>
      </c>
      <c r="H256" s="7">
        <f t="shared" si="17"/>
        <v>43156176.892570004</v>
      </c>
    </row>
    <row r="257" spans="1:8">
      <c r="A257">
        <f t="shared" si="15"/>
        <v>2049</v>
      </c>
      <c r="B257">
        <f t="shared" si="16"/>
        <v>45</v>
      </c>
      <c r="C257">
        <f t="shared" si="19"/>
        <v>4</v>
      </c>
      <c r="D257" s="7">
        <f>Eredmények!$B$6/12*(1+Eredmények!$B$7)^('Havi számolás'!B257-33)</f>
        <v>1984267.4496620463</v>
      </c>
      <c r="E257" s="7">
        <f t="shared" si="18"/>
        <v>43156176.892570004</v>
      </c>
      <c r="F257" s="7">
        <f>Eredmények!$B$8*D257</f>
        <v>158741.39597296371</v>
      </c>
      <c r="G257" s="7">
        <f>SUM(E257:F257)*((1+Eredmények!$B$9)^(1/12)-1)</f>
        <v>159174.06890589182</v>
      </c>
      <c r="H257" s="7">
        <f t="shared" si="17"/>
        <v>43474092.357448861</v>
      </c>
    </row>
    <row r="258" spans="1:8">
      <c r="A258">
        <f t="shared" si="15"/>
        <v>2049</v>
      </c>
      <c r="B258">
        <f t="shared" si="16"/>
        <v>45</v>
      </c>
      <c r="C258">
        <f t="shared" si="19"/>
        <v>5</v>
      </c>
      <c r="D258" s="7">
        <f>Eredmények!$B$6/12*(1+Eredmények!$B$7)^('Havi számolás'!B258-33)</f>
        <v>1984267.4496620463</v>
      </c>
      <c r="E258" s="7">
        <f t="shared" si="18"/>
        <v>43474092.357448861</v>
      </c>
      <c r="F258" s="7">
        <f>Eredmények!$B$8*D258</f>
        <v>158741.39597296371</v>
      </c>
      <c r="G258" s="7">
        <f>SUM(E258:F258)*((1+Eredmények!$B$9)^(1/12)-1)</f>
        <v>160342.34764477288</v>
      </c>
      <c r="H258" s="7">
        <f t="shared" si="17"/>
        <v>43793176.101066604</v>
      </c>
    </row>
    <row r="259" spans="1:8">
      <c r="A259">
        <f t="shared" ref="A259:A322" si="20">INT((ROW(A258)-1)/12+2028)</f>
        <v>2049</v>
      </c>
      <c r="B259">
        <f t="shared" ref="B259:B322" si="21">INT((A259-2004)+(C259-1)/12)</f>
        <v>45</v>
      </c>
      <c r="C259">
        <f t="shared" si="19"/>
        <v>6</v>
      </c>
      <c r="D259" s="7">
        <f>Eredmények!$B$6/12*(1+Eredmények!$B$7)^('Havi számolás'!B259-33)</f>
        <v>1984267.4496620463</v>
      </c>
      <c r="E259" s="7">
        <f t="shared" si="18"/>
        <v>43793176.101066604</v>
      </c>
      <c r="F259" s="7">
        <f>Eredmények!$B$8*D259</f>
        <v>158741.39597296371</v>
      </c>
      <c r="G259" s="7">
        <f>SUM(E259:F259)*((1+Eredmények!$B$9)^(1/12)-1)</f>
        <v>161514.91958534595</v>
      </c>
      <c r="H259" s="7">
        <f t="shared" ref="H259:H322" si="22">E259+F259+G259</f>
        <v>44113432.416624919</v>
      </c>
    </row>
    <row r="260" spans="1:8">
      <c r="A260">
        <f t="shared" si="20"/>
        <v>2049</v>
      </c>
      <c r="B260">
        <f t="shared" si="21"/>
        <v>45</v>
      </c>
      <c r="C260">
        <f t="shared" si="19"/>
        <v>7</v>
      </c>
      <c r="D260" s="7">
        <f>Eredmények!$B$6/12*(1+Eredmények!$B$7)^('Havi számolás'!B260-33)</f>
        <v>1984267.4496620463</v>
      </c>
      <c r="E260" s="7">
        <f t="shared" si="18"/>
        <v>44113432.416624919</v>
      </c>
      <c r="F260" s="7">
        <f>Eredmények!$B$8*D260</f>
        <v>158741.39597296371</v>
      </c>
      <c r="G260" s="7">
        <f>SUM(E260:F260)*((1+Eredmények!$B$9)^(1/12)-1)</f>
        <v>162691.80050430892</v>
      </c>
      <c r="H260" s="7">
        <f t="shared" si="22"/>
        <v>44434865.613102198</v>
      </c>
    </row>
    <row r="261" spans="1:8">
      <c r="A261">
        <f t="shared" si="20"/>
        <v>2049</v>
      </c>
      <c r="B261">
        <f t="shared" si="21"/>
        <v>45</v>
      </c>
      <c r="C261">
        <f t="shared" si="19"/>
        <v>8</v>
      </c>
      <c r="D261" s="7">
        <f>Eredmények!$B$6/12*(1+Eredmények!$B$7)^('Havi számolás'!B261-33)</f>
        <v>1984267.4496620463</v>
      </c>
      <c r="E261" s="7">
        <f t="shared" ref="E261:E324" si="23">H260</f>
        <v>44434865.613102198</v>
      </c>
      <c r="F261" s="7">
        <f>Eredmények!$B$8*D261</f>
        <v>158741.39597296371</v>
      </c>
      <c r="G261" s="7">
        <f>SUM(E261:F261)*((1+Eredmények!$B$9)^(1/12)-1)</f>
        <v>163873.00623633608</v>
      </c>
      <c r="H261" s="7">
        <f t="shared" si="22"/>
        <v>44757480.015311502</v>
      </c>
    </row>
    <row r="262" spans="1:8">
      <c r="A262">
        <f t="shared" si="20"/>
        <v>2049</v>
      </c>
      <c r="B262">
        <f t="shared" si="21"/>
        <v>45</v>
      </c>
      <c r="C262">
        <f t="shared" si="19"/>
        <v>9</v>
      </c>
      <c r="D262" s="7">
        <f>Eredmények!$B$6/12*(1+Eredmények!$B$7)^('Havi számolás'!B262-33)</f>
        <v>1984267.4496620463</v>
      </c>
      <c r="E262" s="7">
        <f t="shared" si="23"/>
        <v>44757480.015311502</v>
      </c>
      <c r="F262" s="7">
        <f>Eredmények!$B$8*D262</f>
        <v>158741.39597296371</v>
      </c>
      <c r="G262" s="7">
        <f>SUM(E262:F262)*((1+Eredmények!$B$9)^(1/12)-1)</f>
        <v>165058.55267429116</v>
      </c>
      <c r="H262" s="7">
        <f t="shared" si="22"/>
        <v>45081279.963958763</v>
      </c>
    </row>
    <row r="263" spans="1:8">
      <c r="A263">
        <f t="shared" si="20"/>
        <v>2049</v>
      </c>
      <c r="B263">
        <f t="shared" si="21"/>
        <v>45</v>
      </c>
      <c r="C263">
        <f t="shared" si="19"/>
        <v>10</v>
      </c>
      <c r="D263" s="7">
        <f>Eredmények!$B$6/12*(1+Eredmények!$B$7)^('Havi számolás'!B263-33)</f>
        <v>1984267.4496620463</v>
      </c>
      <c r="E263" s="7">
        <f t="shared" si="23"/>
        <v>45081279.963958763</v>
      </c>
      <c r="F263" s="7">
        <f>Eredmények!$B$8*D263</f>
        <v>158741.39597296371</v>
      </c>
      <c r="G263" s="7">
        <f>SUM(E263:F263)*((1+Eredmények!$B$9)^(1/12)-1)</f>
        <v>166248.45576944106</v>
      </c>
      <c r="H263" s="7">
        <f t="shared" si="22"/>
        <v>45406269.815701172</v>
      </c>
    </row>
    <row r="264" spans="1:8">
      <c r="A264">
        <f t="shared" si="20"/>
        <v>2049</v>
      </c>
      <c r="B264">
        <f t="shared" si="21"/>
        <v>45</v>
      </c>
      <c r="C264">
        <f t="shared" si="19"/>
        <v>11</v>
      </c>
      <c r="D264" s="7">
        <f>Eredmények!$B$6/12*(1+Eredmények!$B$7)^('Havi számolás'!B264-33)</f>
        <v>1984267.4496620463</v>
      </c>
      <c r="E264" s="7">
        <f t="shared" si="23"/>
        <v>45406269.815701172</v>
      </c>
      <c r="F264" s="7">
        <f>Eredmények!$B$8*D264</f>
        <v>158741.39597296371</v>
      </c>
      <c r="G264" s="7">
        <f>SUM(E264:F264)*((1+Eredmények!$B$9)^(1/12)-1)</f>
        <v>167442.73153167067</v>
      </c>
      <c r="H264" s="7">
        <f t="shared" si="22"/>
        <v>45732453.943205811</v>
      </c>
    </row>
    <row r="265" spans="1:8">
      <c r="A265">
        <f t="shared" si="20"/>
        <v>2049</v>
      </c>
      <c r="B265">
        <f t="shared" si="21"/>
        <v>45</v>
      </c>
      <c r="C265">
        <f t="shared" si="19"/>
        <v>12</v>
      </c>
      <c r="D265" s="7">
        <f>Eredmények!$B$6/12*(1+Eredmények!$B$7)^('Havi számolás'!B265-33)</f>
        <v>1984267.4496620463</v>
      </c>
      <c r="E265" s="7">
        <f t="shared" si="23"/>
        <v>45732453.943205811</v>
      </c>
      <c r="F265" s="7">
        <f>Eredmények!$B$8*D265</f>
        <v>158741.39597296371</v>
      </c>
      <c r="G265" s="7">
        <f>SUM(E265:F265)*((1+Eredmények!$B$9)^(1/12)-1)</f>
        <v>168641.39602969799</v>
      </c>
      <c r="H265" s="7">
        <f t="shared" si="22"/>
        <v>46059836.735208474</v>
      </c>
    </row>
    <row r="266" spans="1:8">
      <c r="A266">
        <f t="shared" si="20"/>
        <v>2050</v>
      </c>
      <c r="B266">
        <f t="shared" si="21"/>
        <v>46</v>
      </c>
      <c r="C266">
        <f t="shared" si="19"/>
        <v>1</v>
      </c>
      <c r="D266" s="7">
        <f>Eredmények!$B$6/12*(1+Eredmények!$B$7)^('Havi számolás'!B266-33)</f>
        <v>2043795.4731519076</v>
      </c>
      <c r="E266" s="7">
        <f t="shared" si="23"/>
        <v>46059836.735208474</v>
      </c>
      <c r="F266" s="7">
        <f>Eredmények!$B$8*D266</f>
        <v>163503.63785215261</v>
      </c>
      <c r="G266" s="7">
        <f>SUM(E266:F266)*((1+Eredmények!$B$9)^(1/12)-1)</f>
        <v>169861.96572251545</v>
      </c>
      <c r="H266" s="7">
        <f t="shared" si="22"/>
        <v>46393202.338783145</v>
      </c>
    </row>
    <row r="267" spans="1:8">
      <c r="A267">
        <f t="shared" si="20"/>
        <v>2050</v>
      </c>
      <c r="B267">
        <f t="shared" si="21"/>
        <v>46</v>
      </c>
      <c r="C267">
        <f t="shared" si="19"/>
        <v>2</v>
      </c>
      <c r="D267" s="7">
        <f>Eredmények!$B$6/12*(1+Eredmények!$B$7)^('Havi számolás'!B267-33)</f>
        <v>2043795.4731519076</v>
      </c>
      <c r="E267" s="7">
        <f t="shared" si="23"/>
        <v>46393202.338783145</v>
      </c>
      <c r="F267" s="7">
        <f>Eredmények!$B$8*D267</f>
        <v>163503.63785215261</v>
      </c>
      <c r="G267" s="7">
        <f>SUM(E267:F267)*((1+Eredmények!$B$9)^(1/12)-1)</f>
        <v>171087.02077631393</v>
      </c>
      <c r="H267" s="7">
        <f t="shared" si="22"/>
        <v>46727792.997411616</v>
      </c>
    </row>
    <row r="268" spans="1:8">
      <c r="A268">
        <f t="shared" si="20"/>
        <v>2050</v>
      </c>
      <c r="B268">
        <f t="shared" si="21"/>
        <v>46</v>
      </c>
      <c r="C268">
        <f t="shared" si="19"/>
        <v>3</v>
      </c>
      <c r="D268" s="7">
        <f>Eredmények!$B$6/12*(1+Eredmények!$B$7)^('Havi számolás'!B268-33)</f>
        <v>2043795.4731519076</v>
      </c>
      <c r="E268" s="7">
        <f t="shared" si="23"/>
        <v>46727792.997411616</v>
      </c>
      <c r="F268" s="7">
        <f>Eredmények!$B$8*D268</f>
        <v>163503.63785215261</v>
      </c>
      <c r="G268" s="7">
        <f>SUM(E268:F268)*((1+Eredmények!$B$9)^(1/12)-1)</f>
        <v>172316.57767394022</v>
      </c>
      <c r="H268" s="7">
        <f t="shared" si="22"/>
        <v>47063613.212937713</v>
      </c>
    </row>
    <row r="269" spans="1:8">
      <c r="A269">
        <f t="shared" si="20"/>
        <v>2050</v>
      </c>
      <c r="B269">
        <f t="shared" si="21"/>
        <v>46</v>
      </c>
      <c r="C269">
        <f t="shared" si="19"/>
        <v>4</v>
      </c>
      <c r="D269" s="7">
        <f>Eredmények!$B$6/12*(1+Eredmények!$B$7)^('Havi számolás'!B269-33)</f>
        <v>2043795.4731519076</v>
      </c>
      <c r="E269" s="7">
        <f t="shared" si="23"/>
        <v>47063613.212937713</v>
      </c>
      <c r="F269" s="7">
        <f>Eredmények!$B$8*D269</f>
        <v>163503.63785215261</v>
      </c>
      <c r="G269" s="7">
        <f>SUM(E269:F269)*((1+Eredmények!$B$9)^(1/12)-1)</f>
        <v>173550.65295881225</v>
      </c>
      <c r="H269" s="7">
        <f t="shared" si="22"/>
        <v>47400667.503748678</v>
      </c>
    </row>
    <row r="270" spans="1:8">
      <c r="A270">
        <f t="shared" si="20"/>
        <v>2050</v>
      </c>
      <c r="B270">
        <f t="shared" si="21"/>
        <v>46</v>
      </c>
      <c r="C270">
        <f t="shared" si="19"/>
        <v>5</v>
      </c>
      <c r="D270" s="7">
        <f>Eredmények!$B$6/12*(1+Eredmények!$B$7)^('Havi számolás'!B270-33)</f>
        <v>2043795.4731519076</v>
      </c>
      <c r="E270" s="7">
        <f t="shared" si="23"/>
        <v>47400667.503748678</v>
      </c>
      <c r="F270" s="7">
        <f>Eredmények!$B$8*D270</f>
        <v>163503.63785215261</v>
      </c>
      <c r="G270" s="7">
        <f>SUM(E270:F270)*((1+Eredmények!$B$9)^(1/12)-1)</f>
        <v>174789.26323514196</v>
      </c>
      <c r="H270" s="7">
        <f t="shared" si="22"/>
        <v>47738960.404835977</v>
      </c>
    </row>
    <row r="271" spans="1:8">
      <c r="A271">
        <f t="shared" si="20"/>
        <v>2050</v>
      </c>
      <c r="B271">
        <f t="shared" si="21"/>
        <v>46</v>
      </c>
      <c r="C271">
        <f t="shared" ref="C271:C334" si="24">C259</f>
        <v>6</v>
      </c>
      <c r="D271" s="7">
        <f>Eredmények!$B$6/12*(1+Eredmények!$B$7)^('Havi számolás'!B271-33)</f>
        <v>2043795.4731519076</v>
      </c>
      <c r="E271" s="7">
        <f t="shared" si="23"/>
        <v>47738960.404835977</v>
      </c>
      <c r="F271" s="7">
        <f>Eredmények!$B$8*D271</f>
        <v>163503.63785215261</v>
      </c>
      <c r="G271" s="7">
        <f>SUM(E271:F271)*((1+Eredmények!$B$9)^(1/12)-1)</f>
        <v>176032.4251681586</v>
      </c>
      <c r="H271" s="7">
        <f t="shared" si="22"/>
        <v>48078496.467856288</v>
      </c>
    </row>
    <row r="272" spans="1:8">
      <c r="A272">
        <f t="shared" si="20"/>
        <v>2050</v>
      </c>
      <c r="B272">
        <f t="shared" si="21"/>
        <v>46</v>
      </c>
      <c r="C272">
        <f t="shared" si="24"/>
        <v>7</v>
      </c>
      <c r="D272" s="7">
        <f>Eredmények!$B$6/12*(1+Eredmények!$B$7)^('Havi számolás'!B272-33)</f>
        <v>2043795.4731519076</v>
      </c>
      <c r="E272" s="7">
        <f t="shared" si="23"/>
        <v>48078496.467856288</v>
      </c>
      <c r="F272" s="7">
        <f>Eredmények!$B$8*D272</f>
        <v>163503.63785215261</v>
      </c>
      <c r="G272" s="7">
        <f>SUM(E272:F272)*((1+Eredmények!$B$9)^(1/12)-1)</f>
        <v>177280.15548433296</v>
      </c>
      <c r="H272" s="7">
        <f t="shared" si="22"/>
        <v>48419280.261192776</v>
      </c>
    </row>
    <row r="273" spans="1:8">
      <c r="A273">
        <f t="shared" si="20"/>
        <v>2050</v>
      </c>
      <c r="B273">
        <f t="shared" si="21"/>
        <v>46</v>
      </c>
      <c r="C273">
        <f t="shared" si="24"/>
        <v>8</v>
      </c>
      <c r="D273" s="7">
        <f>Eredmények!$B$6/12*(1+Eredmények!$B$7)^('Havi számolás'!B273-33)</f>
        <v>2043795.4731519076</v>
      </c>
      <c r="E273" s="7">
        <f t="shared" si="23"/>
        <v>48419280.261192776</v>
      </c>
      <c r="F273" s="7">
        <f>Eredmények!$B$8*D273</f>
        <v>163503.63785215261</v>
      </c>
      <c r="G273" s="7">
        <f>SUM(E273:F273)*((1+Eredmények!$B$9)^(1/12)-1)</f>
        <v>178532.47097160242</v>
      </c>
      <c r="H273" s="7">
        <f t="shared" si="22"/>
        <v>48761316.37001653</v>
      </c>
    </row>
    <row r="274" spans="1:8">
      <c r="A274">
        <f t="shared" si="20"/>
        <v>2050</v>
      </c>
      <c r="B274">
        <f t="shared" si="21"/>
        <v>46</v>
      </c>
      <c r="C274">
        <f t="shared" si="24"/>
        <v>9</v>
      </c>
      <c r="D274" s="7">
        <f>Eredmények!$B$6/12*(1+Eredmények!$B$7)^('Havi számolás'!B274-33)</f>
        <v>2043795.4731519076</v>
      </c>
      <c r="E274" s="7">
        <f t="shared" si="23"/>
        <v>48761316.37001653</v>
      </c>
      <c r="F274" s="7">
        <f>Eredmények!$B$8*D274</f>
        <v>163503.63785215261</v>
      </c>
      <c r="G274" s="7">
        <f>SUM(E274:F274)*((1+Eredmények!$B$9)^(1/12)-1)</f>
        <v>179789.38847959679</v>
      </c>
      <c r="H274" s="7">
        <f t="shared" si="22"/>
        <v>49104609.396348283</v>
      </c>
    </row>
    <row r="275" spans="1:8">
      <c r="A275">
        <f t="shared" si="20"/>
        <v>2050</v>
      </c>
      <c r="B275">
        <f t="shared" si="21"/>
        <v>46</v>
      </c>
      <c r="C275">
        <f t="shared" si="24"/>
        <v>10</v>
      </c>
      <c r="D275" s="7">
        <f>Eredmények!$B$6/12*(1+Eredmények!$B$7)^('Havi számolás'!B275-33)</f>
        <v>2043795.4731519076</v>
      </c>
      <c r="E275" s="7">
        <f t="shared" si="23"/>
        <v>49104609.396348283</v>
      </c>
      <c r="F275" s="7">
        <f>Eredmények!$B$8*D275</f>
        <v>163503.63785215261</v>
      </c>
      <c r="G275" s="7">
        <f>SUM(E275:F275)*((1+Eredmények!$B$9)^(1/12)-1)</f>
        <v>181050.92491986512</v>
      </c>
      <c r="H275" s="7">
        <f t="shared" si="22"/>
        <v>49449163.959120303</v>
      </c>
    </row>
    <row r="276" spans="1:8">
      <c r="A276">
        <f t="shared" si="20"/>
        <v>2050</v>
      </c>
      <c r="B276">
        <f t="shared" si="21"/>
        <v>46</v>
      </c>
      <c r="C276">
        <f t="shared" si="24"/>
        <v>11</v>
      </c>
      <c r="D276" s="7">
        <f>Eredmények!$B$6/12*(1+Eredmények!$B$7)^('Havi számolás'!B276-33)</f>
        <v>2043795.4731519076</v>
      </c>
      <c r="E276" s="7">
        <f t="shared" si="23"/>
        <v>49449163.959120303</v>
      </c>
      <c r="F276" s="7">
        <f>Eredmények!$B$8*D276</f>
        <v>163503.63785215261</v>
      </c>
      <c r="G276" s="7">
        <f>SUM(E276:F276)*((1+Eredmények!$B$9)^(1/12)-1)</f>
        <v>182317.09726610317</v>
      </c>
      <c r="H276" s="7">
        <f t="shared" si="22"/>
        <v>49794984.694238558</v>
      </c>
    </row>
    <row r="277" spans="1:8">
      <c r="A277">
        <f t="shared" si="20"/>
        <v>2050</v>
      </c>
      <c r="B277">
        <f t="shared" si="21"/>
        <v>46</v>
      </c>
      <c r="C277">
        <f t="shared" si="24"/>
        <v>12</v>
      </c>
      <c r="D277" s="7">
        <f>Eredmények!$B$6/12*(1+Eredmények!$B$7)^('Havi számolás'!B277-33)</f>
        <v>2043795.4731519076</v>
      </c>
      <c r="E277" s="7">
        <f t="shared" si="23"/>
        <v>49794984.694238558</v>
      </c>
      <c r="F277" s="7">
        <f>Eredmények!$B$8*D277</f>
        <v>163503.63785215261</v>
      </c>
      <c r="G277" s="7">
        <f>SUM(E277:F277)*((1+Eredmények!$B$9)^(1/12)-1)</f>
        <v>183587.92255438172</v>
      </c>
      <c r="H277" s="7">
        <f t="shared" si="22"/>
        <v>50142076.254645094</v>
      </c>
    </row>
    <row r="278" spans="1:8">
      <c r="A278">
        <f t="shared" si="20"/>
        <v>2051</v>
      </c>
      <c r="B278">
        <f t="shared" si="21"/>
        <v>47</v>
      </c>
      <c r="C278">
        <f t="shared" si="24"/>
        <v>1</v>
      </c>
      <c r="D278" s="7">
        <f>Eredmények!$B$6/12*(1+Eredmények!$B$7)^('Havi számolás'!B278-33)</f>
        <v>2105109.3373464649</v>
      </c>
      <c r="E278" s="7">
        <f t="shared" si="23"/>
        <v>50142076.254645094</v>
      </c>
      <c r="F278" s="7">
        <f>Eredmények!$B$8*D278</f>
        <v>168408.7469877172</v>
      </c>
      <c r="G278" s="7">
        <f>SUM(E278:F278)*((1+Eredmények!$B$9)^(1/12)-1)</f>
        <v>184881.44322453748</v>
      </c>
      <c r="H278" s="7">
        <f t="shared" si="22"/>
        <v>50495366.444857344</v>
      </c>
    </row>
    <row r="279" spans="1:8">
      <c r="A279">
        <f t="shared" si="20"/>
        <v>2051</v>
      </c>
      <c r="B279">
        <f t="shared" si="21"/>
        <v>47</v>
      </c>
      <c r="C279">
        <f t="shared" si="24"/>
        <v>2</v>
      </c>
      <c r="D279" s="7">
        <f>Eredmények!$B$6/12*(1+Eredmények!$B$7)^('Havi számolás'!B279-33)</f>
        <v>2105109.3373464649</v>
      </c>
      <c r="E279" s="7">
        <f t="shared" si="23"/>
        <v>50495366.444857344</v>
      </c>
      <c r="F279" s="7">
        <f>Eredmények!$B$8*D279</f>
        <v>168408.7469877172</v>
      </c>
      <c r="G279" s="7">
        <f>SUM(E279:F279)*((1+Eredmények!$B$9)^(1/12)-1)</f>
        <v>186179.71733661156</v>
      </c>
      <c r="H279" s="7">
        <f t="shared" si="22"/>
        <v>50849954.909181669</v>
      </c>
    </row>
    <row r="280" spans="1:8">
      <c r="A280">
        <f t="shared" si="20"/>
        <v>2051</v>
      </c>
      <c r="B280">
        <f t="shared" si="21"/>
        <v>47</v>
      </c>
      <c r="C280">
        <f t="shared" si="24"/>
        <v>3</v>
      </c>
      <c r="D280" s="7">
        <f>Eredmények!$B$6/12*(1+Eredmények!$B$7)^('Havi számolás'!B280-33)</f>
        <v>2105109.3373464649</v>
      </c>
      <c r="E280" s="7">
        <f t="shared" si="23"/>
        <v>50849954.909181669</v>
      </c>
      <c r="F280" s="7">
        <f>Eredmények!$B$8*D280</f>
        <v>168408.7469877172</v>
      </c>
      <c r="G280" s="7">
        <f>SUM(E280:F280)*((1+Eredmények!$B$9)^(1/12)-1)</f>
        <v>187482.76235859707</v>
      </c>
      <c r="H280" s="7">
        <f t="shared" si="22"/>
        <v>51205846.418527983</v>
      </c>
    </row>
    <row r="281" spans="1:8">
      <c r="A281">
        <f t="shared" si="20"/>
        <v>2051</v>
      </c>
      <c r="B281">
        <f t="shared" si="21"/>
        <v>47</v>
      </c>
      <c r="C281">
        <f t="shared" si="24"/>
        <v>4</v>
      </c>
      <c r="D281" s="7">
        <f>Eredmények!$B$6/12*(1+Eredmények!$B$7)^('Havi számolás'!B281-33)</f>
        <v>2105109.3373464649</v>
      </c>
      <c r="E281" s="7">
        <f t="shared" si="23"/>
        <v>51205846.418527983</v>
      </c>
      <c r="F281" s="7">
        <f>Eredmények!$B$8*D281</f>
        <v>168408.7469877172</v>
      </c>
      <c r="G281" s="7">
        <f>SUM(E281:F281)*((1+Eredmények!$B$9)^(1/12)-1)</f>
        <v>188790.59582267856</v>
      </c>
      <c r="H281" s="7">
        <f t="shared" si="22"/>
        <v>51563045.761338376</v>
      </c>
    </row>
    <row r="282" spans="1:8">
      <c r="A282">
        <f t="shared" si="20"/>
        <v>2051</v>
      </c>
      <c r="B282">
        <f t="shared" si="21"/>
        <v>47</v>
      </c>
      <c r="C282">
        <f t="shared" si="24"/>
        <v>5</v>
      </c>
      <c r="D282" s="7">
        <f>Eredmények!$B$6/12*(1+Eredmények!$B$7)^('Havi számolás'!B282-33)</f>
        <v>2105109.3373464649</v>
      </c>
      <c r="E282" s="7">
        <f t="shared" si="23"/>
        <v>51563045.761338376</v>
      </c>
      <c r="F282" s="7">
        <f>Eredmények!$B$8*D282</f>
        <v>168408.7469877172</v>
      </c>
      <c r="G282" s="7">
        <f>SUM(E282:F282)*((1+Eredmények!$B$9)^(1/12)-1)</f>
        <v>190103.23532546806</v>
      </c>
      <c r="H282" s="7">
        <f t="shared" si="22"/>
        <v>51921557.743651561</v>
      </c>
    </row>
    <row r="283" spans="1:8">
      <c r="A283">
        <f t="shared" si="20"/>
        <v>2051</v>
      </c>
      <c r="B283">
        <f t="shared" si="21"/>
        <v>47</v>
      </c>
      <c r="C283">
        <f t="shared" si="24"/>
        <v>6</v>
      </c>
      <c r="D283" s="7">
        <f>Eredmények!$B$6/12*(1+Eredmények!$B$7)^('Havi számolás'!B283-33)</f>
        <v>2105109.3373464649</v>
      </c>
      <c r="E283" s="7">
        <f t="shared" si="23"/>
        <v>51921557.743651561</v>
      </c>
      <c r="F283" s="7">
        <f>Eredmények!$B$8*D283</f>
        <v>168408.7469877172</v>
      </c>
      <c r="G283" s="7">
        <f>SUM(E283:F283)*((1+Eredmények!$B$9)^(1/12)-1)</f>
        <v>191420.6985282418</v>
      </c>
      <c r="H283" s="7">
        <f t="shared" si="22"/>
        <v>52281387.189167522</v>
      </c>
    </row>
    <row r="284" spans="1:8">
      <c r="A284">
        <f t="shared" si="20"/>
        <v>2051</v>
      </c>
      <c r="B284">
        <f t="shared" si="21"/>
        <v>47</v>
      </c>
      <c r="C284">
        <f t="shared" si="24"/>
        <v>7</v>
      </c>
      <c r="D284" s="7">
        <f>Eredmények!$B$6/12*(1+Eredmények!$B$7)^('Havi számolás'!B284-33)</f>
        <v>2105109.3373464649</v>
      </c>
      <c r="E284" s="7">
        <f t="shared" si="23"/>
        <v>52281387.189167522</v>
      </c>
      <c r="F284" s="7">
        <f>Eredmények!$B$8*D284</f>
        <v>168408.7469877172</v>
      </c>
      <c r="G284" s="7">
        <f>SUM(E284:F284)*((1+Eredmények!$B$9)^(1/12)-1)</f>
        <v>192743.00315717782</v>
      </c>
      <c r="H284" s="7">
        <f t="shared" si="22"/>
        <v>52642538.939312413</v>
      </c>
    </row>
    <row r="285" spans="1:8">
      <c r="A285">
        <f t="shared" si="20"/>
        <v>2051</v>
      </c>
      <c r="B285">
        <f t="shared" si="21"/>
        <v>47</v>
      </c>
      <c r="C285">
        <f t="shared" si="24"/>
        <v>8</v>
      </c>
      <c r="D285" s="7">
        <f>Eredmények!$B$6/12*(1+Eredmények!$B$7)^('Havi számolás'!B285-33)</f>
        <v>2105109.3373464649</v>
      </c>
      <c r="E285" s="7">
        <f t="shared" si="23"/>
        <v>52642538.939312413</v>
      </c>
      <c r="F285" s="7">
        <f>Eredmények!$B$8*D285</f>
        <v>168408.7469877172</v>
      </c>
      <c r="G285" s="7">
        <f>SUM(E285:F285)*((1+Eredmények!$B$9)^(1/12)-1)</f>
        <v>194070.16700359451</v>
      </c>
      <c r="H285" s="7">
        <f t="shared" si="22"/>
        <v>53005017.853303723</v>
      </c>
    </row>
    <row r="286" spans="1:8">
      <c r="A286">
        <f t="shared" si="20"/>
        <v>2051</v>
      </c>
      <c r="B286">
        <f t="shared" si="21"/>
        <v>47</v>
      </c>
      <c r="C286">
        <f t="shared" si="24"/>
        <v>9</v>
      </c>
      <c r="D286" s="7">
        <f>Eredmények!$B$6/12*(1+Eredmények!$B$7)^('Havi számolás'!B286-33)</f>
        <v>2105109.3373464649</v>
      </c>
      <c r="E286" s="7">
        <f t="shared" si="23"/>
        <v>53005017.853303723</v>
      </c>
      <c r="F286" s="7">
        <f>Eredmények!$B$8*D286</f>
        <v>168408.7469877172</v>
      </c>
      <c r="G286" s="7">
        <f>SUM(E286:F286)*((1+Eredmények!$B$9)^(1/12)-1)</f>
        <v>195402.20792418992</v>
      </c>
      <c r="H286" s="7">
        <f t="shared" si="22"/>
        <v>53368828.808215626</v>
      </c>
    </row>
    <row r="287" spans="1:8">
      <c r="A287">
        <f t="shared" si="20"/>
        <v>2051</v>
      </c>
      <c r="B287">
        <f t="shared" si="21"/>
        <v>47</v>
      </c>
      <c r="C287">
        <f t="shared" si="24"/>
        <v>10</v>
      </c>
      <c r="D287" s="7">
        <f>Eredmények!$B$6/12*(1+Eredmények!$B$7)^('Havi számolás'!B287-33)</f>
        <v>2105109.3373464649</v>
      </c>
      <c r="E287" s="7">
        <f t="shared" si="23"/>
        <v>53368828.808215626</v>
      </c>
      <c r="F287" s="7">
        <f>Eredmények!$B$8*D287</f>
        <v>168408.7469877172</v>
      </c>
      <c r="G287" s="7">
        <f>SUM(E287:F287)*((1+Eredmények!$B$9)^(1/12)-1)</f>
        <v>196739.14384128209</v>
      </c>
      <c r="H287" s="7">
        <f t="shared" si="22"/>
        <v>53733976.699044622</v>
      </c>
    </row>
    <row r="288" spans="1:8">
      <c r="A288">
        <f t="shared" si="20"/>
        <v>2051</v>
      </c>
      <c r="B288">
        <f t="shared" si="21"/>
        <v>47</v>
      </c>
      <c r="C288">
        <f t="shared" si="24"/>
        <v>11</v>
      </c>
      <c r="D288" s="7">
        <f>Eredmények!$B$6/12*(1+Eredmények!$B$7)^('Havi számolás'!B288-33)</f>
        <v>2105109.3373464649</v>
      </c>
      <c r="E288" s="7">
        <f t="shared" si="23"/>
        <v>53733976.699044622</v>
      </c>
      <c r="F288" s="7">
        <f>Eredmények!$B$8*D288</f>
        <v>168408.7469877172</v>
      </c>
      <c r="G288" s="7">
        <f>SUM(E288:F288)*((1+Eredmények!$B$9)^(1/12)-1)</f>
        <v>198080.99274305016</v>
      </c>
      <c r="H288" s="7">
        <f t="shared" si="22"/>
        <v>54100466.43877539</v>
      </c>
    </row>
    <row r="289" spans="1:8">
      <c r="A289">
        <f t="shared" si="20"/>
        <v>2051</v>
      </c>
      <c r="B289">
        <f t="shared" si="21"/>
        <v>47</v>
      </c>
      <c r="C289">
        <f t="shared" si="24"/>
        <v>12</v>
      </c>
      <c r="D289" s="7">
        <f>Eredmények!$B$6/12*(1+Eredmények!$B$7)^('Havi számolás'!B289-33)</f>
        <v>2105109.3373464649</v>
      </c>
      <c r="E289" s="7">
        <f t="shared" si="23"/>
        <v>54100466.43877539</v>
      </c>
      <c r="F289" s="7">
        <f>Eredmények!$B$8*D289</f>
        <v>168408.7469877172</v>
      </c>
      <c r="G289" s="7">
        <f>SUM(E289:F289)*((1+Eredmények!$B$9)^(1/12)-1)</f>
        <v>199427.77268377645</v>
      </c>
      <c r="H289" s="7">
        <f t="shared" si="22"/>
        <v>54468302.958446883</v>
      </c>
    </row>
    <row r="290" spans="1:8">
      <c r="A290">
        <f t="shared" si="20"/>
        <v>2052</v>
      </c>
      <c r="B290">
        <f t="shared" si="21"/>
        <v>48</v>
      </c>
      <c r="C290">
        <f t="shared" si="24"/>
        <v>1</v>
      </c>
      <c r="D290" s="7">
        <f>Eredmények!$B$6/12*(1+Eredmények!$B$7)^('Havi számolás'!B290-33)</f>
        <v>2168262.6174668591</v>
      </c>
      <c r="E290" s="7">
        <f t="shared" si="23"/>
        <v>54468302.958446883</v>
      </c>
      <c r="F290" s="7">
        <f>Eredmények!$B$8*D290</f>
        <v>173461.00939734874</v>
      </c>
      <c r="G290" s="7">
        <f>SUM(E290:F290)*((1+Eredmények!$B$9)^(1/12)-1)</f>
        <v>200798.06788548562</v>
      </c>
      <c r="H290" s="7">
        <f t="shared" si="22"/>
        <v>54842562.035729721</v>
      </c>
    </row>
    <row r="291" spans="1:8">
      <c r="A291">
        <f t="shared" si="20"/>
        <v>2052</v>
      </c>
      <c r="B291">
        <f t="shared" si="21"/>
        <v>48</v>
      </c>
      <c r="C291">
        <f t="shared" si="24"/>
        <v>2</v>
      </c>
      <c r="D291" s="7">
        <f>Eredmények!$B$6/12*(1+Eredmények!$B$7)^('Havi számolás'!B291-33)</f>
        <v>2168262.6174668591</v>
      </c>
      <c r="E291" s="7">
        <f t="shared" si="23"/>
        <v>54842562.035729721</v>
      </c>
      <c r="F291" s="7">
        <f>Eredmények!$B$8*D291</f>
        <v>173461.00939734874</v>
      </c>
      <c r="G291" s="7">
        <f>SUM(E291:F291)*((1+Eredmények!$B$9)^(1/12)-1)</f>
        <v>202173.39866088342</v>
      </c>
      <c r="H291" s="7">
        <f t="shared" si="22"/>
        <v>55218196.443787955</v>
      </c>
    </row>
    <row r="292" spans="1:8">
      <c r="A292">
        <f t="shared" si="20"/>
        <v>2052</v>
      </c>
      <c r="B292">
        <f t="shared" si="21"/>
        <v>48</v>
      </c>
      <c r="C292">
        <f t="shared" si="24"/>
        <v>3</v>
      </c>
      <c r="D292" s="7">
        <f>Eredmények!$B$6/12*(1+Eredmények!$B$7)^('Havi számolás'!B292-33)</f>
        <v>2168262.6174668591</v>
      </c>
      <c r="E292" s="7">
        <f t="shared" si="23"/>
        <v>55218196.443787955</v>
      </c>
      <c r="F292" s="7">
        <f>Eredmények!$B$8*D292</f>
        <v>173461.00939734874</v>
      </c>
      <c r="G292" s="7">
        <f>SUM(E292:F292)*((1+Eredmények!$B$9)^(1/12)-1)</f>
        <v>203553.78351474335</v>
      </c>
      <c r="H292" s="7">
        <f t="shared" si="22"/>
        <v>55595211.236700051</v>
      </c>
    </row>
    <row r="293" spans="1:8">
      <c r="A293">
        <f t="shared" si="20"/>
        <v>2052</v>
      </c>
      <c r="B293">
        <f t="shared" si="21"/>
        <v>48</v>
      </c>
      <c r="C293">
        <f t="shared" si="24"/>
        <v>4</v>
      </c>
      <c r="D293" s="7">
        <f>Eredmények!$B$6/12*(1+Eredmények!$B$7)^('Havi számolás'!B293-33)</f>
        <v>2168262.6174668591</v>
      </c>
      <c r="E293" s="7">
        <f t="shared" si="23"/>
        <v>55595211.236700051</v>
      </c>
      <c r="F293" s="7">
        <f>Eredmények!$B$8*D293</f>
        <v>173461.00939734874</v>
      </c>
      <c r="G293" s="7">
        <f>SUM(E293:F293)*((1+Eredmények!$B$9)^(1/12)-1)</f>
        <v>204939.24101984047</v>
      </c>
      <c r="H293" s="7">
        <f t="shared" si="22"/>
        <v>55973611.487117238</v>
      </c>
    </row>
    <row r="294" spans="1:8">
      <c r="A294">
        <f t="shared" si="20"/>
        <v>2052</v>
      </c>
      <c r="B294">
        <f t="shared" si="21"/>
        <v>48</v>
      </c>
      <c r="C294">
        <f t="shared" si="24"/>
        <v>5</v>
      </c>
      <c r="D294" s="7">
        <f>Eredmények!$B$6/12*(1+Eredmények!$B$7)^('Havi számolás'!B294-33)</f>
        <v>2168262.6174668591</v>
      </c>
      <c r="E294" s="7">
        <f t="shared" si="23"/>
        <v>55973611.487117238</v>
      </c>
      <c r="F294" s="7">
        <f>Eredmények!$B$8*D294</f>
        <v>173461.00939734874</v>
      </c>
      <c r="G294" s="7">
        <f>SUM(E294:F294)*((1+Eredmények!$B$9)^(1/12)-1)</f>
        <v>206329.78981720121</v>
      </c>
      <c r="H294" s="7">
        <f t="shared" si="22"/>
        <v>56353402.286331788</v>
      </c>
    </row>
    <row r="295" spans="1:8">
      <c r="A295">
        <f t="shared" si="20"/>
        <v>2052</v>
      </c>
      <c r="B295">
        <f t="shared" si="21"/>
        <v>48</v>
      </c>
      <c r="C295">
        <f t="shared" si="24"/>
        <v>6</v>
      </c>
      <c r="D295" s="7">
        <f>Eredmények!$B$6/12*(1+Eredmények!$B$7)^('Havi számolás'!B295-33)</f>
        <v>2168262.6174668591</v>
      </c>
      <c r="E295" s="7">
        <f t="shared" si="23"/>
        <v>56353402.286331788</v>
      </c>
      <c r="F295" s="7">
        <f>Eredmények!$B$8*D295</f>
        <v>173461.00939734874</v>
      </c>
      <c r="G295" s="7">
        <f>SUM(E295:F295)*((1+Eredmények!$B$9)^(1/12)-1)</f>
        <v>207725.44861635426</v>
      </c>
      <c r="H295" s="7">
        <f t="shared" si="22"/>
        <v>56734588.744345494</v>
      </c>
    </row>
    <row r="296" spans="1:8">
      <c r="A296">
        <f t="shared" si="20"/>
        <v>2052</v>
      </c>
      <c r="B296">
        <f t="shared" si="21"/>
        <v>48</v>
      </c>
      <c r="C296">
        <f t="shared" si="24"/>
        <v>7</v>
      </c>
      <c r="D296" s="7">
        <f>Eredmények!$B$6/12*(1+Eredmények!$B$7)^('Havi számolás'!B296-33)</f>
        <v>2168262.6174668591</v>
      </c>
      <c r="E296" s="7">
        <f t="shared" si="23"/>
        <v>56734588.744345494</v>
      </c>
      <c r="F296" s="7">
        <f>Eredmények!$B$8*D296</f>
        <v>173461.00939734874</v>
      </c>
      <c r="G296" s="7">
        <f>SUM(E296:F296)*((1+Eredmények!$B$9)^(1/12)-1)</f>
        <v>209126.23619558226</v>
      </c>
      <c r="H296" s="7">
        <f t="shared" si="22"/>
        <v>57117175.989938423</v>
      </c>
    </row>
    <row r="297" spans="1:8">
      <c r="A297">
        <f t="shared" si="20"/>
        <v>2052</v>
      </c>
      <c r="B297">
        <f t="shared" si="21"/>
        <v>48</v>
      </c>
      <c r="C297">
        <f t="shared" si="24"/>
        <v>8</v>
      </c>
      <c r="D297" s="7">
        <f>Eredmények!$B$6/12*(1+Eredmények!$B$7)^('Havi számolás'!B297-33)</f>
        <v>2168262.6174668591</v>
      </c>
      <c r="E297" s="7">
        <f t="shared" si="23"/>
        <v>57117175.989938423</v>
      </c>
      <c r="F297" s="7">
        <f>Eredmények!$B$8*D297</f>
        <v>173461.00939734874</v>
      </c>
      <c r="G297" s="7">
        <f>SUM(E297:F297)*((1+Eredmények!$B$9)^(1/12)-1)</f>
        <v>210532.1714021744</v>
      </c>
      <c r="H297" s="7">
        <f t="shared" si="22"/>
        <v>57501169.170737945</v>
      </c>
    </row>
    <row r="298" spans="1:8">
      <c r="A298">
        <f t="shared" si="20"/>
        <v>2052</v>
      </c>
      <c r="B298">
        <f t="shared" si="21"/>
        <v>48</v>
      </c>
      <c r="C298">
        <f t="shared" si="24"/>
        <v>9</v>
      </c>
      <c r="D298" s="7">
        <f>Eredmények!$B$6/12*(1+Eredmények!$B$7)^('Havi számolás'!B298-33)</f>
        <v>2168262.6174668591</v>
      </c>
      <c r="E298" s="7">
        <f t="shared" si="23"/>
        <v>57501169.170737945</v>
      </c>
      <c r="F298" s="7">
        <f>Eredmények!$B$8*D298</f>
        <v>173461.00939734874</v>
      </c>
      <c r="G298" s="7">
        <f>SUM(E298:F298)*((1+Eredmények!$B$9)^(1/12)-1)</f>
        <v>211943.27315268011</v>
      </c>
      <c r="H298" s="7">
        <f t="shared" si="22"/>
        <v>57886573.453287974</v>
      </c>
    </row>
    <row r="299" spans="1:8">
      <c r="A299">
        <f t="shared" si="20"/>
        <v>2052</v>
      </c>
      <c r="B299">
        <f t="shared" si="21"/>
        <v>48</v>
      </c>
      <c r="C299">
        <f t="shared" si="24"/>
        <v>10</v>
      </c>
      <c r="D299" s="7">
        <f>Eredmények!$B$6/12*(1+Eredmények!$B$7)^('Havi számolás'!B299-33)</f>
        <v>2168262.6174668591</v>
      </c>
      <c r="E299" s="7">
        <f t="shared" si="23"/>
        <v>57886573.453287974</v>
      </c>
      <c r="F299" s="7">
        <f>Eredmények!$B$8*D299</f>
        <v>173461.00939734874</v>
      </c>
      <c r="G299" s="7">
        <f>SUM(E299:F299)*((1+Eredmények!$B$9)^(1/12)-1)</f>
        <v>213359.5604331636</v>
      </c>
      <c r="H299" s="7">
        <f t="shared" si="22"/>
        <v>58273394.023118488</v>
      </c>
    </row>
    <row r="300" spans="1:8">
      <c r="A300">
        <f t="shared" si="20"/>
        <v>2052</v>
      </c>
      <c r="B300">
        <f t="shared" si="21"/>
        <v>48</v>
      </c>
      <c r="C300">
        <f t="shared" si="24"/>
        <v>11</v>
      </c>
      <c r="D300" s="7">
        <f>Eredmények!$B$6/12*(1+Eredmények!$B$7)^('Havi számolás'!B300-33)</f>
        <v>2168262.6174668591</v>
      </c>
      <c r="E300" s="7">
        <f t="shared" si="23"/>
        <v>58273394.023118488</v>
      </c>
      <c r="F300" s="7">
        <f>Eredmények!$B$8*D300</f>
        <v>173461.00939734874</v>
      </c>
      <c r="G300" s="7">
        <f>SUM(E300:F300)*((1+Eredmények!$B$9)^(1/12)-1)</f>
        <v>214781.05229945912</v>
      </c>
      <c r="H300" s="7">
        <f t="shared" si="22"/>
        <v>58661636.084815301</v>
      </c>
    </row>
    <row r="301" spans="1:8">
      <c r="A301">
        <f t="shared" si="20"/>
        <v>2052</v>
      </c>
      <c r="B301">
        <f t="shared" si="21"/>
        <v>48</v>
      </c>
      <c r="C301">
        <f t="shared" si="24"/>
        <v>12</v>
      </c>
      <c r="D301" s="7">
        <f>Eredmények!$B$6/12*(1+Eredmények!$B$7)^('Havi számolás'!B301-33)</f>
        <v>2168262.6174668591</v>
      </c>
      <c r="E301" s="7">
        <f t="shared" si="23"/>
        <v>58661636.084815301</v>
      </c>
      <c r="F301" s="7">
        <f>Eredmények!$B$8*D301</f>
        <v>173461.00939734874</v>
      </c>
      <c r="G301" s="7">
        <f>SUM(E301:F301)*((1+Eredmények!$B$9)^(1/12)-1)</f>
        <v>216207.76787742754</v>
      </c>
      <c r="H301" s="7">
        <f t="shared" si="22"/>
        <v>59051304.862090081</v>
      </c>
    </row>
    <row r="302" spans="1:8">
      <c r="A302">
        <f t="shared" si="20"/>
        <v>2053</v>
      </c>
      <c r="B302">
        <f t="shared" si="21"/>
        <v>49</v>
      </c>
      <c r="C302">
        <f t="shared" si="24"/>
        <v>1</v>
      </c>
      <c r="D302" s="7">
        <f>Eredmények!$B$6/12*(1+Eredmények!$B$7)^('Havi számolás'!B302-33)</f>
        <v>2233310.4959908645</v>
      </c>
      <c r="E302" s="7">
        <f t="shared" si="23"/>
        <v>59051304.862090081</v>
      </c>
      <c r="F302" s="7">
        <f>Eredmények!$B$8*D302</f>
        <v>178664.83967926915</v>
      </c>
      <c r="G302" s="7">
        <f>SUM(E302:F302)*((1+Eredmények!$B$9)^(1/12)-1)</f>
        <v>217658.84944765191</v>
      </c>
      <c r="H302" s="7">
        <f t="shared" si="22"/>
        <v>59447628.551217005</v>
      </c>
    </row>
    <row r="303" spans="1:8">
      <c r="A303">
        <f t="shared" si="20"/>
        <v>2053</v>
      </c>
      <c r="B303">
        <f t="shared" si="21"/>
        <v>49</v>
      </c>
      <c r="C303">
        <f t="shared" si="24"/>
        <v>2</v>
      </c>
      <c r="D303" s="7">
        <f>Eredmények!$B$6/12*(1+Eredmények!$B$7)^('Havi számolás'!B303-33)</f>
        <v>2233310.4959908645</v>
      </c>
      <c r="E303" s="7">
        <f t="shared" si="23"/>
        <v>59447628.551217005</v>
      </c>
      <c r="F303" s="7">
        <f>Eredmények!$B$8*D303</f>
        <v>178664.83967926915</v>
      </c>
      <c r="G303" s="7">
        <f>SUM(E303:F303)*((1+Eredmények!$B$9)^(1/12)-1)</f>
        <v>219115.26346607134</v>
      </c>
      <c r="H303" s="7">
        <f t="shared" si="22"/>
        <v>59845408.654362351</v>
      </c>
    </row>
    <row r="304" spans="1:8">
      <c r="A304">
        <f t="shared" si="20"/>
        <v>2053</v>
      </c>
      <c r="B304">
        <f t="shared" si="21"/>
        <v>49</v>
      </c>
      <c r="C304">
        <f t="shared" si="24"/>
        <v>3</v>
      </c>
      <c r="D304" s="7">
        <f>Eredmények!$B$6/12*(1+Eredmények!$B$7)^('Havi számolás'!B304-33)</f>
        <v>2233310.4959908645</v>
      </c>
      <c r="E304" s="7">
        <f t="shared" si="23"/>
        <v>59845408.654362351</v>
      </c>
      <c r="F304" s="7">
        <f>Eredmények!$B$8*D304</f>
        <v>178664.83967926915</v>
      </c>
      <c r="G304" s="7">
        <f>SUM(E304:F304)*((1+Eredmények!$B$9)^(1/12)-1)</f>
        <v>220577.02952841661</v>
      </c>
      <c r="H304" s="7">
        <f t="shared" si="22"/>
        <v>60244650.523570038</v>
      </c>
    </row>
    <row r="305" spans="1:8">
      <c r="A305">
        <f t="shared" si="20"/>
        <v>2053</v>
      </c>
      <c r="B305">
        <f t="shared" si="21"/>
        <v>49</v>
      </c>
      <c r="C305">
        <f t="shared" si="24"/>
        <v>4</v>
      </c>
      <c r="D305" s="7">
        <f>Eredmények!$B$6/12*(1+Eredmények!$B$7)^('Havi számolás'!B305-33)</f>
        <v>2233310.4959908645</v>
      </c>
      <c r="E305" s="7">
        <f t="shared" si="23"/>
        <v>60244650.523570038</v>
      </c>
      <c r="F305" s="7">
        <f>Eredmények!$B$8*D305</f>
        <v>178664.83967926915</v>
      </c>
      <c r="G305" s="7">
        <f>SUM(E305:F305)*((1+Eredmények!$B$9)^(1/12)-1)</f>
        <v>222044.16730242898</v>
      </c>
      <c r="H305" s="7">
        <f t="shared" si="22"/>
        <v>60645359.530551739</v>
      </c>
    </row>
    <row r="306" spans="1:8">
      <c r="A306">
        <f t="shared" si="20"/>
        <v>2053</v>
      </c>
      <c r="B306">
        <f t="shared" si="21"/>
        <v>49</v>
      </c>
      <c r="C306">
        <f t="shared" si="24"/>
        <v>5</v>
      </c>
      <c r="D306" s="7">
        <f>Eredmények!$B$6/12*(1+Eredmények!$B$7)^('Havi számolás'!B306-33)</f>
        <v>2233310.4959908645</v>
      </c>
      <c r="E306" s="7">
        <f t="shared" si="23"/>
        <v>60645359.530551739</v>
      </c>
      <c r="F306" s="7">
        <f>Eredmények!$B$8*D306</f>
        <v>178664.83967926915</v>
      </c>
      <c r="G306" s="7">
        <f>SUM(E306:F306)*((1+Eredmények!$B$9)^(1/12)-1)</f>
        <v>223516.69652812506</v>
      </c>
      <c r="H306" s="7">
        <f t="shared" si="22"/>
        <v>61047541.066759132</v>
      </c>
    </row>
    <row r="307" spans="1:8">
      <c r="A307">
        <f t="shared" si="20"/>
        <v>2053</v>
      </c>
      <c r="B307">
        <f t="shared" si="21"/>
        <v>49</v>
      </c>
      <c r="C307">
        <f t="shared" si="24"/>
        <v>6</v>
      </c>
      <c r="D307" s="7">
        <f>Eredmények!$B$6/12*(1+Eredmények!$B$7)^('Havi számolás'!B307-33)</f>
        <v>2233310.4959908645</v>
      </c>
      <c r="E307" s="7">
        <f t="shared" si="23"/>
        <v>61047541.066759132</v>
      </c>
      <c r="F307" s="7">
        <f>Eredmények!$B$8*D307</f>
        <v>178664.83967926915</v>
      </c>
      <c r="G307" s="7">
        <f>SUM(E307:F307)*((1+Eredmények!$B$9)^(1/12)-1)</f>
        <v>224994.63701806212</v>
      </c>
      <c r="H307" s="7">
        <f t="shared" si="22"/>
        <v>61451200.543456465</v>
      </c>
    </row>
    <row r="308" spans="1:8">
      <c r="A308">
        <f t="shared" si="20"/>
        <v>2053</v>
      </c>
      <c r="B308">
        <f t="shared" si="21"/>
        <v>49</v>
      </c>
      <c r="C308">
        <f t="shared" si="24"/>
        <v>7</v>
      </c>
      <c r="D308" s="7">
        <f>Eredmények!$B$6/12*(1+Eredmények!$B$7)^('Havi számolás'!B308-33)</f>
        <v>2233310.4959908645</v>
      </c>
      <c r="E308" s="7">
        <f t="shared" si="23"/>
        <v>61451200.543456465</v>
      </c>
      <c r="F308" s="7">
        <f>Eredmények!$B$8*D308</f>
        <v>178664.83967926915</v>
      </c>
      <c r="G308" s="7">
        <f>SUM(E308:F308)*((1+Eredmények!$B$9)^(1/12)-1)</f>
        <v>226478.00865760489</v>
      </c>
      <c r="H308" s="7">
        <f t="shared" si="22"/>
        <v>61856343.39179334</v>
      </c>
    </row>
    <row r="309" spans="1:8">
      <c r="A309">
        <f t="shared" si="20"/>
        <v>2053</v>
      </c>
      <c r="B309">
        <f t="shared" si="21"/>
        <v>49</v>
      </c>
      <c r="C309">
        <f t="shared" si="24"/>
        <v>8</v>
      </c>
      <c r="D309" s="7">
        <f>Eredmények!$B$6/12*(1+Eredmények!$B$7)^('Havi számolás'!B309-33)</f>
        <v>2233310.4959908645</v>
      </c>
      <c r="E309" s="7">
        <f t="shared" si="23"/>
        <v>61856343.39179334</v>
      </c>
      <c r="F309" s="7">
        <f>Eredmények!$B$8*D309</f>
        <v>178664.83967926915</v>
      </c>
      <c r="G309" s="7">
        <f>SUM(E309:F309)*((1+Eredmények!$B$9)^(1/12)-1)</f>
        <v>227966.83140519302</v>
      </c>
      <c r="H309" s="7">
        <f t="shared" si="22"/>
        <v>62262975.062877804</v>
      </c>
    </row>
    <row r="310" spans="1:8">
      <c r="A310">
        <f t="shared" si="20"/>
        <v>2053</v>
      </c>
      <c r="B310">
        <f t="shared" si="21"/>
        <v>49</v>
      </c>
      <c r="C310">
        <f t="shared" si="24"/>
        <v>9</v>
      </c>
      <c r="D310" s="7">
        <f>Eredmények!$B$6/12*(1+Eredmények!$B$7)^('Havi számolás'!B310-33)</f>
        <v>2233310.4959908645</v>
      </c>
      <c r="E310" s="7">
        <f t="shared" si="23"/>
        <v>62262975.062877804</v>
      </c>
      <c r="F310" s="7">
        <f>Eredmények!$B$8*D310</f>
        <v>178664.83967926915</v>
      </c>
      <c r="G310" s="7">
        <f>SUM(E310:F310)*((1+Eredmények!$B$9)^(1/12)-1)</f>
        <v>229461.12529260953</v>
      </c>
      <c r="H310" s="7">
        <f t="shared" si="22"/>
        <v>62671101.027849682</v>
      </c>
    </row>
    <row r="311" spans="1:8">
      <c r="A311">
        <f t="shared" si="20"/>
        <v>2053</v>
      </c>
      <c r="B311">
        <f t="shared" si="21"/>
        <v>49</v>
      </c>
      <c r="C311">
        <f t="shared" si="24"/>
        <v>10</v>
      </c>
      <c r="D311" s="7">
        <f>Eredmények!$B$6/12*(1+Eredmények!$B$7)^('Havi számolás'!B311-33)</f>
        <v>2233310.4959908645</v>
      </c>
      <c r="E311" s="7">
        <f t="shared" si="23"/>
        <v>62671101.027849682</v>
      </c>
      <c r="F311" s="7">
        <f>Eredmények!$B$8*D311</f>
        <v>178664.83967926915</v>
      </c>
      <c r="G311" s="7">
        <f>SUM(E311:F311)*((1+Eredmények!$B$9)^(1/12)-1)</f>
        <v>230960.91042525056</v>
      </c>
      <c r="H311" s="7">
        <f t="shared" si="22"/>
        <v>63080726.777954206</v>
      </c>
    </row>
    <row r="312" spans="1:8">
      <c r="A312">
        <f t="shared" si="20"/>
        <v>2053</v>
      </c>
      <c r="B312">
        <f t="shared" si="21"/>
        <v>49</v>
      </c>
      <c r="C312">
        <f t="shared" si="24"/>
        <v>11</v>
      </c>
      <c r="D312" s="7">
        <f>Eredmények!$B$6/12*(1+Eredmények!$B$7)^('Havi számolás'!B312-33)</f>
        <v>2233310.4959908645</v>
      </c>
      <c r="E312" s="7">
        <f t="shared" si="23"/>
        <v>63080726.777954206</v>
      </c>
      <c r="F312" s="7">
        <f>Eredmények!$B$8*D312</f>
        <v>178664.83967926915</v>
      </c>
      <c r="G312" s="7">
        <f>SUM(E312:F312)*((1+Eredmények!$B$9)^(1/12)-1)</f>
        <v>232466.20698239567</v>
      </c>
      <c r="H312" s="7">
        <f t="shared" si="22"/>
        <v>63491857.824615873</v>
      </c>
    </row>
    <row r="313" spans="1:8">
      <c r="A313">
        <f t="shared" si="20"/>
        <v>2053</v>
      </c>
      <c r="B313">
        <f t="shared" si="21"/>
        <v>49</v>
      </c>
      <c r="C313">
        <f t="shared" si="24"/>
        <v>12</v>
      </c>
      <c r="D313" s="7">
        <f>Eredmények!$B$6/12*(1+Eredmények!$B$7)^('Havi számolás'!B313-33)</f>
        <v>2233310.4959908645</v>
      </c>
      <c r="E313" s="7">
        <f t="shared" si="23"/>
        <v>63491857.824615873</v>
      </c>
      <c r="F313" s="7">
        <f>Eredmények!$B$8*D313</f>
        <v>178664.83967926915</v>
      </c>
      <c r="G313" s="7">
        <f>SUM(E313:F313)*((1+Eredmények!$B$9)^(1/12)-1)</f>
        <v>233977.0352174794</v>
      </c>
      <c r="H313" s="7">
        <f t="shared" si="22"/>
        <v>63904499.699512623</v>
      </c>
    </row>
    <row r="314" spans="1:8">
      <c r="A314">
        <f t="shared" si="20"/>
        <v>2054</v>
      </c>
      <c r="B314">
        <f t="shared" si="21"/>
        <v>50</v>
      </c>
      <c r="C314">
        <f t="shared" si="24"/>
        <v>1</v>
      </c>
      <c r="D314" s="7">
        <f>Eredmények!$B$6/12*(1+Eredmények!$B$7)^('Havi számolás'!B314-33)</f>
        <v>2300309.8108705906</v>
      </c>
      <c r="E314" s="7">
        <f t="shared" si="23"/>
        <v>63904499.699512623</v>
      </c>
      <c r="F314" s="7">
        <f>Eredmények!$B$8*D314</f>
        <v>184024.78486964726</v>
      </c>
      <c r="G314" s="7">
        <f>SUM(E314:F314)*((1+Eredmények!$B$9)^(1/12)-1)</f>
        <v>235513.11223533528</v>
      </c>
      <c r="H314" s="7">
        <f t="shared" si="22"/>
        <v>64324037.596617609</v>
      </c>
    </row>
    <row r="315" spans="1:8">
      <c r="A315">
        <f t="shared" si="20"/>
        <v>2054</v>
      </c>
      <c r="B315">
        <f t="shared" si="21"/>
        <v>50</v>
      </c>
      <c r="C315">
        <f t="shared" si="24"/>
        <v>2</v>
      </c>
      <c r="D315" s="7">
        <f>Eredmények!$B$6/12*(1+Eredmények!$B$7)^('Havi számolás'!B315-33)</f>
        <v>2300309.8108705906</v>
      </c>
      <c r="E315" s="7">
        <f t="shared" si="23"/>
        <v>64324037.596617609</v>
      </c>
      <c r="F315" s="7">
        <f>Eredmények!$B$8*D315</f>
        <v>184024.78486964726</v>
      </c>
      <c r="G315" s="7">
        <f>SUM(E315:F315)*((1+Eredmények!$B$9)^(1/12)-1)</f>
        <v>237054.83404345621</v>
      </c>
      <c r="H315" s="7">
        <f t="shared" si="22"/>
        <v>64745117.215530716</v>
      </c>
    </row>
    <row r="316" spans="1:8">
      <c r="A316">
        <f t="shared" si="20"/>
        <v>2054</v>
      </c>
      <c r="B316">
        <f t="shared" si="21"/>
        <v>50</v>
      </c>
      <c r="C316">
        <f t="shared" si="24"/>
        <v>3</v>
      </c>
      <c r="D316" s="7">
        <f>Eredmények!$B$6/12*(1+Eredmények!$B$7)^('Havi számolás'!B316-33)</f>
        <v>2300309.8108705906</v>
      </c>
      <c r="E316" s="7">
        <f t="shared" si="23"/>
        <v>64745117.215530716</v>
      </c>
      <c r="F316" s="7">
        <f>Eredmények!$B$8*D316</f>
        <v>184024.78486964726</v>
      </c>
      <c r="G316" s="7">
        <f>SUM(E316:F316)*((1+Eredmények!$B$9)^(1/12)-1)</f>
        <v>238602.22138537045</v>
      </c>
      <c r="H316" s="7">
        <f t="shared" si="22"/>
        <v>65167744.221785732</v>
      </c>
    </row>
    <row r="317" spans="1:8">
      <c r="A317">
        <f t="shared" si="20"/>
        <v>2054</v>
      </c>
      <c r="B317">
        <f t="shared" si="21"/>
        <v>50</v>
      </c>
      <c r="C317">
        <f t="shared" si="24"/>
        <v>4</v>
      </c>
      <c r="D317" s="7">
        <f>Eredmények!$B$6/12*(1+Eredmények!$B$7)^('Havi számolás'!B317-33)</f>
        <v>2300309.8108705906</v>
      </c>
      <c r="E317" s="7">
        <f t="shared" si="23"/>
        <v>65167744.221785732</v>
      </c>
      <c r="F317" s="7">
        <f>Eredmények!$B$8*D317</f>
        <v>184024.78486964726</v>
      </c>
      <c r="G317" s="7">
        <f>SUM(E317:F317)*((1+Eredmények!$B$9)^(1/12)-1)</f>
        <v>240155.29508083485</v>
      </c>
      <c r="H317" s="7">
        <f t="shared" si="22"/>
        <v>65591924.301736213</v>
      </c>
    </row>
    <row r="318" spans="1:8">
      <c r="A318">
        <f t="shared" si="20"/>
        <v>2054</v>
      </c>
      <c r="B318">
        <f t="shared" si="21"/>
        <v>50</v>
      </c>
      <c r="C318">
        <f t="shared" si="24"/>
        <v>5</v>
      </c>
      <c r="D318" s="7">
        <f>Eredmények!$B$6/12*(1+Eredmények!$B$7)^('Havi számolás'!B318-33)</f>
        <v>2300309.8108705906</v>
      </c>
      <c r="E318" s="7">
        <f t="shared" si="23"/>
        <v>65591924.301736213</v>
      </c>
      <c r="F318" s="7">
        <f>Eredmények!$B$8*D318</f>
        <v>184024.78486964726</v>
      </c>
      <c r="G318" s="7">
        <f>SUM(E318:F318)*((1+Eredmények!$B$9)^(1/12)-1)</f>
        <v>241714.07602611496</v>
      </c>
      <c r="H318" s="7">
        <f t="shared" si="22"/>
        <v>66017663.162631974</v>
      </c>
    </row>
    <row r="319" spans="1:8">
      <c r="A319">
        <f t="shared" si="20"/>
        <v>2054</v>
      </c>
      <c r="B319">
        <f t="shared" si="21"/>
        <v>50</v>
      </c>
      <c r="C319">
        <f t="shared" si="24"/>
        <v>6</v>
      </c>
      <c r="D319" s="7">
        <f>Eredmények!$B$6/12*(1+Eredmények!$B$7)^('Havi számolás'!B319-33)</f>
        <v>2300309.8108705906</v>
      </c>
      <c r="E319" s="7">
        <f t="shared" si="23"/>
        <v>66017663.162631974</v>
      </c>
      <c r="F319" s="7">
        <f>Eredmények!$B$8*D319</f>
        <v>184024.78486964726</v>
      </c>
      <c r="G319" s="7">
        <f>SUM(E319:F319)*((1+Eredmények!$B$9)^(1/12)-1)</f>
        <v>243278.58519426596</v>
      </c>
      <c r="H319" s="7">
        <f t="shared" si="22"/>
        <v>66444966.532695889</v>
      </c>
    </row>
    <row r="320" spans="1:8">
      <c r="A320">
        <f t="shared" si="20"/>
        <v>2054</v>
      </c>
      <c r="B320">
        <f t="shared" si="21"/>
        <v>50</v>
      </c>
      <c r="C320">
        <f t="shared" si="24"/>
        <v>7</v>
      </c>
      <c r="D320" s="7">
        <f>Eredmények!$B$6/12*(1+Eredmények!$B$7)^('Havi számolás'!B320-33)</f>
        <v>2300309.8108705906</v>
      </c>
      <c r="E320" s="7">
        <f t="shared" si="23"/>
        <v>66444966.532695889</v>
      </c>
      <c r="F320" s="7">
        <f>Eredmények!$B$8*D320</f>
        <v>184024.78486964726</v>
      </c>
      <c r="G320" s="7">
        <f>SUM(E320:F320)*((1+Eredmények!$B$9)^(1/12)-1)</f>
        <v>244848.84363541519</v>
      </c>
      <c r="H320" s="7">
        <f t="shared" si="22"/>
        <v>66873840.161200956</v>
      </c>
    </row>
    <row r="321" spans="1:8">
      <c r="A321">
        <f t="shared" si="20"/>
        <v>2054</v>
      </c>
      <c r="B321">
        <f t="shared" si="21"/>
        <v>50</v>
      </c>
      <c r="C321">
        <f t="shared" si="24"/>
        <v>8</v>
      </c>
      <c r="D321" s="7">
        <f>Eredmények!$B$6/12*(1+Eredmények!$B$7)^('Havi számolás'!B321-33)</f>
        <v>2300309.8108705906</v>
      </c>
      <c r="E321" s="7">
        <f t="shared" si="23"/>
        <v>66873840.161200956</v>
      </c>
      <c r="F321" s="7">
        <f>Eredmények!$B$8*D321</f>
        <v>184024.78486964726</v>
      </c>
      <c r="G321" s="7">
        <f>SUM(E321:F321)*((1+Eredmények!$B$9)^(1/12)-1)</f>
        <v>246424.87247704508</v>
      </c>
      <c r="H321" s="7">
        <f t="shared" si="22"/>
        <v>67304289.818547651</v>
      </c>
    </row>
    <row r="322" spans="1:8">
      <c r="A322">
        <f t="shared" si="20"/>
        <v>2054</v>
      </c>
      <c r="B322">
        <f t="shared" si="21"/>
        <v>50</v>
      </c>
      <c r="C322">
        <f t="shared" si="24"/>
        <v>9</v>
      </c>
      <c r="D322" s="7">
        <f>Eredmények!$B$6/12*(1+Eredmények!$B$7)^('Havi számolás'!B322-33)</f>
        <v>2300309.8108705906</v>
      </c>
      <c r="E322" s="7">
        <f t="shared" si="23"/>
        <v>67304289.818547651</v>
      </c>
      <c r="F322" s="7">
        <f>Eredmények!$B$8*D322</f>
        <v>184024.78486964726</v>
      </c>
      <c r="G322" s="7">
        <f>SUM(E322:F322)*((1+Eredmények!$B$9)^(1/12)-1)</f>
        <v>248006.69292427751</v>
      </c>
      <c r="H322" s="7">
        <f t="shared" si="22"/>
        <v>67736321.296341568</v>
      </c>
    </row>
    <row r="323" spans="1:8">
      <c r="A323">
        <f t="shared" ref="A323:A386" si="25">INT((ROW(A322)-1)/12+2028)</f>
        <v>2054</v>
      </c>
      <c r="B323">
        <f t="shared" ref="B323:B386" si="26">INT((A323-2004)+(C323-1)/12)</f>
        <v>50</v>
      </c>
      <c r="C323">
        <f t="shared" si="24"/>
        <v>10</v>
      </c>
      <c r="D323" s="7">
        <f>Eredmények!$B$6/12*(1+Eredmények!$B$7)^('Havi számolás'!B323-33)</f>
        <v>2300309.8108705906</v>
      </c>
      <c r="E323" s="7">
        <f t="shared" si="23"/>
        <v>67736321.296341568</v>
      </c>
      <c r="F323" s="7">
        <f>Eredmények!$B$8*D323</f>
        <v>184024.78486964726</v>
      </c>
      <c r="G323" s="7">
        <f>SUM(E323:F323)*((1+Eredmények!$B$9)^(1/12)-1)</f>
        <v>249594.32626015923</v>
      </c>
      <c r="H323" s="7">
        <f t="shared" ref="H323:H386" si="27">E323+F323+G323</f>
        <v>68169940.407471374</v>
      </c>
    </row>
    <row r="324" spans="1:8">
      <c r="A324">
        <f t="shared" si="25"/>
        <v>2054</v>
      </c>
      <c r="B324">
        <f t="shared" si="26"/>
        <v>50</v>
      </c>
      <c r="C324">
        <f t="shared" si="24"/>
        <v>11</v>
      </c>
      <c r="D324" s="7">
        <f>Eredmények!$B$6/12*(1+Eredmények!$B$7)^('Havi számolás'!B324-33)</f>
        <v>2300309.8108705906</v>
      </c>
      <c r="E324" s="7">
        <f t="shared" si="23"/>
        <v>68169940.407471374</v>
      </c>
      <c r="F324" s="7">
        <f>Eredmények!$B$8*D324</f>
        <v>184024.78486964726</v>
      </c>
      <c r="G324" s="7">
        <f>SUM(E324:F324)*((1+Eredmények!$B$9)^(1/12)-1)</f>
        <v>251187.79384594809</v>
      </c>
      <c r="H324" s="7">
        <f t="shared" si="27"/>
        <v>68605152.986186966</v>
      </c>
    </row>
    <row r="325" spans="1:8">
      <c r="A325">
        <f t="shared" si="25"/>
        <v>2054</v>
      </c>
      <c r="B325">
        <f t="shared" si="26"/>
        <v>50</v>
      </c>
      <c r="C325">
        <f t="shared" si="24"/>
        <v>12</v>
      </c>
      <c r="D325" s="7">
        <f>Eredmények!$B$6/12*(1+Eredmények!$B$7)^('Havi számolás'!B325-33)</f>
        <v>2300309.8108705906</v>
      </c>
      <c r="E325" s="7">
        <f t="shared" ref="E325:E388" si="28">H324</f>
        <v>68605152.986186966</v>
      </c>
      <c r="F325" s="7">
        <f>Eredmények!$B$8*D325</f>
        <v>184024.78486964726</v>
      </c>
      <c r="G325" s="7">
        <f>SUM(E325:F325)*((1+Eredmények!$B$9)^(1/12)-1)</f>
        <v>252787.11712140052</v>
      </c>
      <c r="H325" s="7">
        <f t="shared" si="27"/>
        <v>69041964.888178006</v>
      </c>
    </row>
    <row r="326" spans="1:8">
      <c r="A326">
        <f t="shared" si="25"/>
        <v>2055</v>
      </c>
      <c r="B326">
        <f t="shared" si="26"/>
        <v>51</v>
      </c>
      <c r="C326">
        <f t="shared" si="24"/>
        <v>1</v>
      </c>
      <c r="D326" s="7">
        <f>Eredmények!$B$6/12*(1+Eredmények!$B$7)^('Havi számolás'!B326-33)</f>
        <v>2369319.1051967083</v>
      </c>
      <c r="E326" s="7">
        <f t="shared" si="28"/>
        <v>69041964.888178006</v>
      </c>
      <c r="F326" s="7">
        <f>Eredmények!$B$8*D326</f>
        <v>189545.52841573668</v>
      </c>
      <c r="G326" s="7">
        <f>SUM(E326:F326)*((1+Eredmények!$B$9)^(1/12)-1)</f>
        <v>254412.60528534048</v>
      </c>
      <c r="H326" s="7">
        <f t="shared" si="27"/>
        <v>69485923.021879092</v>
      </c>
    </row>
    <row r="327" spans="1:8">
      <c r="A327">
        <f t="shared" si="25"/>
        <v>2055</v>
      </c>
      <c r="B327">
        <f t="shared" si="26"/>
        <v>51</v>
      </c>
      <c r="C327">
        <f t="shared" si="24"/>
        <v>2</v>
      </c>
      <c r="D327" s="7">
        <f>Eredmények!$B$6/12*(1+Eredmények!$B$7)^('Havi számolás'!B327-33)</f>
        <v>2369319.1051967083</v>
      </c>
      <c r="E327" s="7">
        <f t="shared" si="28"/>
        <v>69485923.021879092</v>
      </c>
      <c r="F327" s="7">
        <f>Eredmények!$B$8*D327</f>
        <v>189545.52841573668</v>
      </c>
      <c r="G327" s="7">
        <f>SUM(E327:F327)*((1+Eredmények!$B$9)^(1/12)-1)</f>
        <v>256044.06680846564</v>
      </c>
      <c r="H327" s="7">
        <f t="shared" si="27"/>
        <v>69931512.617103294</v>
      </c>
    </row>
    <row r="328" spans="1:8">
      <c r="A328">
        <f t="shared" si="25"/>
        <v>2055</v>
      </c>
      <c r="B328">
        <f t="shared" si="26"/>
        <v>51</v>
      </c>
      <c r="C328">
        <f t="shared" si="24"/>
        <v>3</v>
      </c>
      <c r="D328" s="7">
        <f>Eredmények!$B$6/12*(1+Eredmények!$B$7)^('Havi számolás'!B328-33)</f>
        <v>2369319.1051967083</v>
      </c>
      <c r="E328" s="7">
        <f t="shared" si="28"/>
        <v>69931512.617103294</v>
      </c>
      <c r="F328" s="7">
        <f>Eredmények!$B$8*D328</f>
        <v>189545.52841573668</v>
      </c>
      <c r="G328" s="7">
        <f>SUM(E328:F328)*((1+Eredmények!$B$9)^(1/12)-1)</f>
        <v>257681.5236417324</v>
      </c>
      <c r="H328" s="7">
        <f t="shared" si="27"/>
        <v>70378739.669160768</v>
      </c>
    </row>
    <row r="329" spans="1:8">
      <c r="A329">
        <f t="shared" si="25"/>
        <v>2055</v>
      </c>
      <c r="B329">
        <f t="shared" si="26"/>
        <v>51</v>
      </c>
      <c r="C329">
        <f t="shared" si="24"/>
        <v>4</v>
      </c>
      <c r="D329" s="7">
        <f>Eredmények!$B$6/12*(1+Eredmények!$B$7)^('Havi számolás'!B329-33)</f>
        <v>2369319.1051967083</v>
      </c>
      <c r="E329" s="7">
        <f t="shared" si="28"/>
        <v>70378739.669160768</v>
      </c>
      <c r="F329" s="7">
        <f>Eredmények!$B$8*D329</f>
        <v>189545.52841573668</v>
      </c>
      <c r="G329" s="7">
        <f>SUM(E329:F329)*((1+Eredmények!$B$9)^(1/12)-1)</f>
        <v>259324.99781676286</v>
      </c>
      <c r="H329" s="7">
        <f t="shared" si="27"/>
        <v>70827610.195393264</v>
      </c>
    </row>
    <row r="330" spans="1:8">
      <c r="A330">
        <f t="shared" si="25"/>
        <v>2055</v>
      </c>
      <c r="B330">
        <f t="shared" si="26"/>
        <v>51</v>
      </c>
      <c r="C330">
        <f t="shared" si="24"/>
        <v>5</v>
      </c>
      <c r="D330" s="7">
        <f>Eredmények!$B$6/12*(1+Eredmények!$B$7)^('Havi számolás'!B330-33)</f>
        <v>2369319.1051967083</v>
      </c>
      <c r="E330" s="7">
        <f t="shared" si="28"/>
        <v>70827610.195393264</v>
      </c>
      <c r="F330" s="7">
        <f>Eredmények!$B$8*D330</f>
        <v>189545.52841573668</v>
      </c>
      <c r="G330" s="7">
        <f>SUM(E330:F330)*((1+Eredmények!$B$9)^(1/12)-1)</f>
        <v>260974.51144614108</v>
      </c>
      <c r="H330" s="7">
        <f t="shared" si="27"/>
        <v>71278130.235255152</v>
      </c>
    </row>
    <row r="331" spans="1:8">
      <c r="A331">
        <f t="shared" si="25"/>
        <v>2055</v>
      </c>
      <c r="B331">
        <f t="shared" si="26"/>
        <v>51</v>
      </c>
      <c r="C331">
        <f t="shared" si="24"/>
        <v>6</v>
      </c>
      <c r="D331" s="7">
        <f>Eredmények!$B$6/12*(1+Eredmények!$B$7)^('Havi számolás'!B331-33)</f>
        <v>2369319.1051967083</v>
      </c>
      <c r="E331" s="7">
        <f t="shared" si="28"/>
        <v>71278130.235255152</v>
      </c>
      <c r="F331" s="7">
        <f>Eredmények!$B$8*D331</f>
        <v>189545.52841573668</v>
      </c>
      <c r="G331" s="7">
        <f>SUM(E331:F331)*((1+Eredmények!$B$9)^(1/12)-1)</f>
        <v>262630.0867237107</v>
      </c>
      <c r="H331" s="7">
        <f t="shared" si="27"/>
        <v>71730305.850394607</v>
      </c>
    </row>
    <row r="332" spans="1:8">
      <c r="A332">
        <f t="shared" si="25"/>
        <v>2055</v>
      </c>
      <c r="B332">
        <f t="shared" si="26"/>
        <v>51</v>
      </c>
      <c r="C332">
        <f t="shared" si="24"/>
        <v>7</v>
      </c>
      <c r="D332" s="7">
        <f>Eredmények!$B$6/12*(1+Eredmények!$B$7)^('Havi számolás'!B332-33)</f>
        <v>2369319.1051967083</v>
      </c>
      <c r="E332" s="7">
        <f t="shared" si="28"/>
        <v>71730305.850394607</v>
      </c>
      <c r="F332" s="7">
        <f>Eredmények!$B$8*D332</f>
        <v>189545.52841573668</v>
      </c>
      <c r="G332" s="7">
        <f>SUM(E332:F332)*((1+Eredmények!$B$9)^(1/12)-1)</f>
        <v>264291.74592487351</v>
      </c>
      <c r="H332" s="7">
        <f t="shared" si="27"/>
        <v>72184143.124735221</v>
      </c>
    </row>
    <row r="333" spans="1:8">
      <c r="A333">
        <f t="shared" si="25"/>
        <v>2055</v>
      </c>
      <c r="B333">
        <f t="shared" si="26"/>
        <v>51</v>
      </c>
      <c r="C333">
        <f t="shared" si="24"/>
        <v>8</v>
      </c>
      <c r="D333" s="7">
        <f>Eredmények!$B$6/12*(1+Eredmények!$B$7)^('Havi számolás'!B333-33)</f>
        <v>2369319.1051967083</v>
      </c>
      <c r="E333" s="7">
        <f t="shared" si="28"/>
        <v>72184143.124735221</v>
      </c>
      <c r="F333" s="7">
        <f>Eredmények!$B$8*D333</f>
        <v>189545.52841573668</v>
      </c>
      <c r="G333" s="7">
        <f>SUM(E333:F333)*((1+Eredmények!$B$9)^(1/12)-1)</f>
        <v>265959.51140688907</v>
      </c>
      <c r="H333" s="7">
        <f t="shared" si="27"/>
        <v>72639648.164557844</v>
      </c>
    </row>
    <row r="334" spans="1:8">
      <c r="A334">
        <f t="shared" si="25"/>
        <v>2055</v>
      </c>
      <c r="B334">
        <f t="shared" si="26"/>
        <v>51</v>
      </c>
      <c r="C334">
        <f t="shared" si="24"/>
        <v>9</v>
      </c>
      <c r="D334" s="7">
        <f>Eredmények!$B$6/12*(1+Eredmények!$B$7)^('Havi számolás'!B334-33)</f>
        <v>2369319.1051967083</v>
      </c>
      <c r="E334" s="7">
        <f t="shared" si="28"/>
        <v>72639648.164557844</v>
      </c>
      <c r="F334" s="7">
        <f>Eredmények!$B$8*D334</f>
        <v>189545.52841573668</v>
      </c>
      <c r="G334" s="7">
        <f>SUM(E334:F334)*((1+Eredmények!$B$9)^(1/12)-1)</f>
        <v>267633.40560917556</v>
      </c>
      <c r="H334" s="7">
        <f t="shared" si="27"/>
        <v>73096827.098582759</v>
      </c>
    </row>
    <row r="335" spans="1:8">
      <c r="A335">
        <f t="shared" si="25"/>
        <v>2055</v>
      </c>
      <c r="B335">
        <f t="shared" si="26"/>
        <v>51</v>
      </c>
      <c r="C335">
        <f t="shared" ref="C335:C398" si="29">C323</f>
        <v>10</v>
      </c>
      <c r="D335" s="7">
        <f>Eredmények!$B$6/12*(1+Eredmények!$B$7)^('Havi számolás'!B335-33)</f>
        <v>2369319.1051967083</v>
      </c>
      <c r="E335" s="7">
        <f t="shared" si="28"/>
        <v>73096827.098582759</v>
      </c>
      <c r="F335" s="7">
        <f>Eredmények!$B$8*D335</f>
        <v>189545.52841573668</v>
      </c>
      <c r="G335" s="7">
        <f>SUM(E335:F335)*((1+Eredmények!$B$9)^(1/12)-1)</f>
        <v>269313.45105361205</v>
      </c>
      <c r="H335" s="7">
        <f t="shared" si="27"/>
        <v>73555686.078052118</v>
      </c>
    </row>
    <row r="336" spans="1:8">
      <c r="A336">
        <f t="shared" si="25"/>
        <v>2055</v>
      </c>
      <c r="B336">
        <f t="shared" si="26"/>
        <v>51</v>
      </c>
      <c r="C336">
        <f t="shared" si="29"/>
        <v>11</v>
      </c>
      <c r="D336" s="7">
        <f>Eredmények!$B$6/12*(1+Eredmények!$B$7)^('Havi számolás'!B336-33)</f>
        <v>2369319.1051967083</v>
      </c>
      <c r="E336" s="7">
        <f t="shared" si="28"/>
        <v>73555686.078052118</v>
      </c>
      <c r="F336" s="7">
        <f>Eredmények!$B$8*D336</f>
        <v>189545.52841573668</v>
      </c>
      <c r="G336" s="7">
        <f>SUM(E336:F336)*((1+Eredmények!$B$9)^(1/12)-1)</f>
        <v>270999.67034484091</v>
      </c>
      <c r="H336" s="7">
        <f t="shared" si="27"/>
        <v>74016231.276812702</v>
      </c>
    </row>
    <row r="337" spans="1:8">
      <c r="A337">
        <f t="shared" si="25"/>
        <v>2055</v>
      </c>
      <c r="B337">
        <f t="shared" si="26"/>
        <v>51</v>
      </c>
      <c r="C337">
        <f t="shared" si="29"/>
        <v>12</v>
      </c>
      <c r="D337" s="7">
        <f>Eredmények!$B$6/12*(1+Eredmények!$B$7)^('Havi számolás'!B337-33)</f>
        <v>2369319.1051967083</v>
      </c>
      <c r="E337" s="7">
        <f t="shared" si="28"/>
        <v>74016231.276812702</v>
      </c>
      <c r="F337" s="7">
        <f>Eredmények!$B$8*D337</f>
        <v>189545.52841573668</v>
      </c>
      <c r="G337" s="7">
        <f>SUM(E337:F337)*((1+Eredmények!$B$9)^(1/12)-1)</f>
        <v>272692.08617057232</v>
      </c>
      <c r="H337" s="7">
        <f t="shared" si="27"/>
        <v>74478468.891399011</v>
      </c>
    </row>
    <row r="338" spans="1:8">
      <c r="A338">
        <f t="shared" si="25"/>
        <v>2056</v>
      </c>
      <c r="B338">
        <f t="shared" si="26"/>
        <v>52</v>
      </c>
      <c r="C338">
        <f t="shared" si="29"/>
        <v>1</v>
      </c>
      <c r="D338" s="7">
        <f>Eredmények!$B$6/12*(1+Eredmények!$B$7)^('Havi számolás'!B338-33)</f>
        <v>2440398.6783526093</v>
      </c>
      <c r="E338" s="7">
        <f t="shared" si="28"/>
        <v>74478468.891399011</v>
      </c>
      <c r="F338" s="7">
        <f>Eredmények!$B$8*D338</f>
        <v>195231.89426820874</v>
      </c>
      <c r="G338" s="7">
        <f>SUM(E338:F338)*((1+Eredmények!$B$9)^(1/12)-1)</f>
        <v>274411.61761257862</v>
      </c>
      <c r="H338" s="7">
        <f t="shared" si="27"/>
        <v>74948112.403279811</v>
      </c>
    </row>
    <row r="339" spans="1:8">
      <c r="A339">
        <f t="shared" si="25"/>
        <v>2056</v>
      </c>
      <c r="B339">
        <f t="shared" si="26"/>
        <v>52</v>
      </c>
      <c r="C339">
        <f t="shared" si="29"/>
        <v>2</v>
      </c>
      <c r="D339" s="7">
        <f>Eredmények!$B$6/12*(1+Eredmények!$B$7)^('Havi számolás'!B339-33)</f>
        <v>2440398.6783526093</v>
      </c>
      <c r="E339" s="7">
        <f t="shared" si="28"/>
        <v>74948112.403279811</v>
      </c>
      <c r="F339" s="7">
        <f>Eredmények!$B$8*D339</f>
        <v>195231.89426820874</v>
      </c>
      <c r="G339" s="7">
        <f>SUM(E339:F339)*((1+Eredmények!$B$9)^(1/12)-1)</f>
        <v>276137.46800489235</v>
      </c>
      <c r="H339" s="7">
        <f t="shared" si="27"/>
        <v>75419481.765552923</v>
      </c>
    </row>
    <row r="340" spans="1:8">
      <c r="A340">
        <f t="shared" si="25"/>
        <v>2056</v>
      </c>
      <c r="B340">
        <f t="shared" si="26"/>
        <v>52</v>
      </c>
      <c r="C340">
        <f t="shared" si="29"/>
        <v>3</v>
      </c>
      <c r="D340" s="7">
        <f>Eredmények!$B$6/12*(1+Eredmények!$B$7)^('Havi számolás'!B340-33)</f>
        <v>2440398.6783526093</v>
      </c>
      <c r="E340" s="7">
        <f t="shared" si="28"/>
        <v>75419481.765552923</v>
      </c>
      <c r="F340" s="7">
        <f>Eredmények!$B$8*D340</f>
        <v>195231.89426820874</v>
      </c>
      <c r="G340" s="7">
        <f>SUM(E340:F340)*((1+Eredmények!$B$9)^(1/12)-1)</f>
        <v>277869.66056845151</v>
      </c>
      <c r="H340" s="7">
        <f t="shared" si="27"/>
        <v>75892583.320389584</v>
      </c>
    </row>
    <row r="341" spans="1:8">
      <c r="A341">
        <f t="shared" si="25"/>
        <v>2056</v>
      </c>
      <c r="B341">
        <f t="shared" si="26"/>
        <v>52</v>
      </c>
      <c r="C341">
        <f t="shared" si="29"/>
        <v>4</v>
      </c>
      <c r="D341" s="7">
        <f>Eredmények!$B$6/12*(1+Eredmények!$B$7)^('Havi számolás'!B341-33)</f>
        <v>2440398.6783526093</v>
      </c>
      <c r="E341" s="7">
        <f t="shared" si="28"/>
        <v>75892583.320389584</v>
      </c>
      <c r="F341" s="7">
        <f>Eredmények!$B$8*D341</f>
        <v>195231.89426820874</v>
      </c>
      <c r="G341" s="7">
        <f>SUM(E341:F341)*((1+Eredmények!$B$9)^(1/12)-1)</f>
        <v>279608.21860952658</v>
      </c>
      <c r="H341" s="7">
        <f t="shared" si="27"/>
        <v>76367423.433267325</v>
      </c>
    </row>
    <row r="342" spans="1:8">
      <c r="A342">
        <f t="shared" si="25"/>
        <v>2056</v>
      </c>
      <c r="B342">
        <f t="shared" si="26"/>
        <v>52</v>
      </c>
      <c r="C342">
        <f t="shared" si="29"/>
        <v>5</v>
      </c>
      <c r="D342" s="7">
        <f>Eredmények!$B$6/12*(1+Eredmények!$B$7)^('Havi számolás'!B342-33)</f>
        <v>2440398.6783526093</v>
      </c>
      <c r="E342" s="7">
        <f t="shared" si="28"/>
        <v>76367423.433267325</v>
      </c>
      <c r="F342" s="7">
        <f>Eredmények!$B$8*D342</f>
        <v>195231.89426820874</v>
      </c>
      <c r="G342" s="7">
        <f>SUM(E342:F342)*((1+Eredmények!$B$9)^(1/12)-1)</f>
        <v>281353.16552003421</v>
      </c>
      <c r="H342" s="7">
        <f t="shared" si="27"/>
        <v>76844008.493055567</v>
      </c>
    </row>
    <row r="343" spans="1:8">
      <c r="A343">
        <f t="shared" si="25"/>
        <v>2056</v>
      </c>
      <c r="B343">
        <f t="shared" si="26"/>
        <v>52</v>
      </c>
      <c r="C343">
        <f t="shared" si="29"/>
        <v>6</v>
      </c>
      <c r="D343" s="7">
        <f>Eredmények!$B$6/12*(1+Eredmények!$B$7)^('Havi számolás'!B343-33)</f>
        <v>2440398.6783526093</v>
      </c>
      <c r="E343" s="7">
        <f t="shared" si="28"/>
        <v>76844008.493055567</v>
      </c>
      <c r="F343" s="7">
        <f>Eredmények!$B$8*D343</f>
        <v>195231.89426820874</v>
      </c>
      <c r="G343" s="7">
        <f>SUM(E343:F343)*((1+Eredmények!$B$9)^(1/12)-1)</f>
        <v>283104.52477785177</v>
      </c>
      <c r="H343" s="7">
        <f t="shared" si="27"/>
        <v>77322344.912101626</v>
      </c>
    </row>
    <row r="344" spans="1:8">
      <c r="A344">
        <f t="shared" si="25"/>
        <v>2056</v>
      </c>
      <c r="B344">
        <f t="shared" si="26"/>
        <v>52</v>
      </c>
      <c r="C344">
        <f t="shared" si="29"/>
        <v>7</v>
      </c>
      <c r="D344" s="7">
        <f>Eredmények!$B$6/12*(1+Eredmények!$B$7)^('Havi számolás'!B344-33)</f>
        <v>2440398.6783526093</v>
      </c>
      <c r="E344" s="7">
        <f t="shared" si="28"/>
        <v>77322344.912101626</v>
      </c>
      <c r="F344" s="7">
        <f>Eredmények!$B$8*D344</f>
        <v>195231.89426820874</v>
      </c>
      <c r="G344" s="7">
        <f>SUM(E344:F344)*((1+Eredmények!$B$9)^(1/12)-1)</f>
        <v>284862.31994713354</v>
      </c>
      <c r="H344" s="7">
        <f t="shared" si="27"/>
        <v>77802439.12631698</v>
      </c>
    </row>
    <row r="345" spans="1:8">
      <c r="A345">
        <f t="shared" si="25"/>
        <v>2056</v>
      </c>
      <c r="B345">
        <f t="shared" si="26"/>
        <v>52</v>
      </c>
      <c r="C345">
        <f t="shared" si="29"/>
        <v>8</v>
      </c>
      <c r="D345" s="7">
        <f>Eredmények!$B$6/12*(1+Eredmények!$B$7)^('Havi számolás'!B345-33)</f>
        <v>2440398.6783526093</v>
      </c>
      <c r="E345" s="7">
        <f t="shared" si="28"/>
        <v>77802439.12631698</v>
      </c>
      <c r="F345" s="7">
        <f>Eredmények!$B$8*D345</f>
        <v>195231.89426820874</v>
      </c>
      <c r="G345" s="7">
        <f>SUM(E345:F345)*((1+Eredmények!$B$9)^(1/12)-1)</f>
        <v>286626.57467862748</v>
      </c>
      <c r="H345" s="7">
        <f t="shared" si="27"/>
        <v>78284297.595263824</v>
      </c>
    </row>
    <row r="346" spans="1:8">
      <c r="A346">
        <f t="shared" si="25"/>
        <v>2056</v>
      </c>
      <c r="B346">
        <f t="shared" si="26"/>
        <v>52</v>
      </c>
      <c r="C346">
        <f t="shared" si="29"/>
        <v>9</v>
      </c>
      <c r="D346" s="7">
        <f>Eredmények!$B$6/12*(1+Eredmények!$B$7)^('Havi számolás'!B346-33)</f>
        <v>2440398.6783526093</v>
      </c>
      <c r="E346" s="7">
        <f t="shared" si="28"/>
        <v>78284297.595263824</v>
      </c>
      <c r="F346" s="7">
        <f>Eredmények!$B$8*D346</f>
        <v>195231.89426820874</v>
      </c>
      <c r="G346" s="7">
        <f>SUM(E346:F346)*((1+Eredmények!$B$9)^(1/12)-1)</f>
        <v>288397.31270999345</v>
      </c>
      <c r="H346" s="7">
        <f t="shared" si="27"/>
        <v>78767926.802242026</v>
      </c>
    </row>
    <row r="347" spans="1:8">
      <c r="A347">
        <f t="shared" si="25"/>
        <v>2056</v>
      </c>
      <c r="B347">
        <f t="shared" si="26"/>
        <v>52</v>
      </c>
      <c r="C347">
        <f t="shared" si="29"/>
        <v>10</v>
      </c>
      <c r="D347" s="7">
        <f>Eredmények!$B$6/12*(1+Eredmények!$B$7)^('Havi számolás'!B347-33)</f>
        <v>2440398.6783526093</v>
      </c>
      <c r="E347" s="7">
        <f t="shared" si="28"/>
        <v>78767926.802242026</v>
      </c>
      <c r="F347" s="7">
        <f>Eredmények!$B$8*D347</f>
        <v>195231.89426820874</v>
      </c>
      <c r="G347" s="7">
        <f>SUM(E347:F347)*((1+Eredmények!$B$9)^(1/12)-1)</f>
        <v>290174.55786612275</v>
      </c>
      <c r="H347" s="7">
        <f t="shared" si="27"/>
        <v>79253333.254376367</v>
      </c>
    </row>
    <row r="348" spans="1:8">
      <c r="A348">
        <f t="shared" si="25"/>
        <v>2056</v>
      </c>
      <c r="B348">
        <f t="shared" si="26"/>
        <v>52</v>
      </c>
      <c r="C348">
        <f t="shared" si="29"/>
        <v>11</v>
      </c>
      <c r="D348" s="7">
        <f>Eredmények!$B$6/12*(1+Eredmények!$B$7)^('Havi számolás'!B348-33)</f>
        <v>2440398.6783526093</v>
      </c>
      <c r="E348" s="7">
        <f t="shared" si="28"/>
        <v>79253333.254376367</v>
      </c>
      <c r="F348" s="7">
        <f>Eredmények!$B$8*D348</f>
        <v>195231.89426820874</v>
      </c>
      <c r="G348" s="7">
        <f>SUM(E348:F348)*((1+Eredmények!$B$9)^(1/12)-1)</f>
        <v>291958.33405945875</v>
      </c>
      <c r="H348" s="7">
        <f t="shared" si="27"/>
        <v>79740523.482704043</v>
      </c>
    </row>
    <row r="349" spans="1:8">
      <c r="A349">
        <f t="shared" si="25"/>
        <v>2056</v>
      </c>
      <c r="B349">
        <f t="shared" si="26"/>
        <v>52</v>
      </c>
      <c r="C349">
        <f t="shared" si="29"/>
        <v>12</v>
      </c>
      <c r="D349" s="7">
        <f>Eredmények!$B$6/12*(1+Eredmények!$B$7)^('Havi számolás'!B349-33)</f>
        <v>2440398.6783526093</v>
      </c>
      <c r="E349" s="7">
        <f t="shared" si="28"/>
        <v>79740523.482704043</v>
      </c>
      <c r="F349" s="7">
        <f>Eredmények!$B$8*D349</f>
        <v>195231.89426820874</v>
      </c>
      <c r="G349" s="7">
        <f>SUM(E349:F349)*((1+Eredmények!$B$9)^(1/12)-1)</f>
        <v>293748.66529031825</v>
      </c>
      <c r="H349" s="7">
        <f t="shared" si="27"/>
        <v>80229504.042262569</v>
      </c>
    </row>
    <row r="350" spans="1:8">
      <c r="A350">
        <f t="shared" si="25"/>
        <v>2057</v>
      </c>
      <c r="B350">
        <f t="shared" si="26"/>
        <v>53</v>
      </c>
      <c r="C350">
        <f t="shared" si="29"/>
        <v>1</v>
      </c>
      <c r="D350" s="7">
        <f>Eredmények!$B$6/12*(1+Eredmények!$B$7)^('Havi számolás'!B350-33)</f>
        <v>2513610.6387031875</v>
      </c>
      <c r="E350" s="7">
        <f t="shared" si="28"/>
        <v>80229504.042262569</v>
      </c>
      <c r="F350" s="7">
        <f>Eredmények!$B$8*D350</f>
        <v>201088.85109625501</v>
      </c>
      <c r="G350" s="7">
        <f>SUM(E350:F350)*((1+Eredmények!$B$9)^(1/12)-1)</f>
        <v>295567.09884722444</v>
      </c>
      <c r="H350" s="7">
        <f t="shared" si="27"/>
        <v>80726159.992206052</v>
      </c>
    </row>
    <row r="351" spans="1:8">
      <c r="A351">
        <f t="shared" si="25"/>
        <v>2057</v>
      </c>
      <c r="B351">
        <f t="shared" si="26"/>
        <v>53</v>
      </c>
      <c r="C351">
        <f t="shared" si="29"/>
        <v>2</v>
      </c>
      <c r="D351" s="7">
        <f>Eredmények!$B$6/12*(1+Eredmények!$B$7)^('Havi számolás'!B351-33)</f>
        <v>2513610.6387031875</v>
      </c>
      <c r="E351" s="7">
        <f t="shared" si="28"/>
        <v>80726159.992206052</v>
      </c>
      <c r="F351" s="7">
        <f>Eredmények!$B$8*D351</f>
        <v>201088.85109625501</v>
      </c>
      <c r="G351" s="7">
        <f>SUM(E351:F351)*((1+Eredmények!$B$9)^(1/12)-1)</f>
        <v>297392.21480085963</v>
      </c>
      <c r="H351" s="7">
        <f t="shared" si="27"/>
        <v>81224641.058103174</v>
      </c>
    </row>
    <row r="352" spans="1:8">
      <c r="A352">
        <f t="shared" si="25"/>
        <v>2057</v>
      </c>
      <c r="B352">
        <f t="shared" si="26"/>
        <v>53</v>
      </c>
      <c r="C352">
        <f t="shared" si="29"/>
        <v>3</v>
      </c>
      <c r="D352" s="7">
        <f>Eredmények!$B$6/12*(1+Eredmények!$B$7)^('Havi számolás'!B352-33)</f>
        <v>2513610.6387031875</v>
      </c>
      <c r="E352" s="7">
        <f t="shared" si="28"/>
        <v>81224641.058103174</v>
      </c>
      <c r="F352" s="7">
        <f>Eredmények!$B$8*D352</f>
        <v>201088.85109625501</v>
      </c>
      <c r="G352" s="7">
        <f>SUM(E352:F352)*((1+Eredmények!$B$9)^(1/12)-1)</f>
        <v>299224.03770775819</v>
      </c>
      <c r="H352" s="7">
        <f t="shared" si="27"/>
        <v>81724953.946907192</v>
      </c>
    </row>
    <row r="353" spans="1:8">
      <c r="A353">
        <f t="shared" si="25"/>
        <v>2057</v>
      </c>
      <c r="B353">
        <f t="shared" si="26"/>
        <v>53</v>
      </c>
      <c r="C353">
        <f t="shared" si="29"/>
        <v>4</v>
      </c>
      <c r="D353" s="7">
        <f>Eredmények!$B$6/12*(1+Eredmények!$B$7)^('Havi számolás'!B353-33)</f>
        <v>2513610.6387031875</v>
      </c>
      <c r="E353" s="7">
        <f t="shared" si="28"/>
        <v>81724953.946907192</v>
      </c>
      <c r="F353" s="7">
        <f>Eredmények!$B$8*D353</f>
        <v>201088.85109625501</v>
      </c>
      <c r="G353" s="7">
        <f>SUM(E353:F353)*((1+Eredmények!$B$9)^(1/12)-1)</f>
        <v>301062.59221469489</v>
      </c>
      <c r="H353" s="7">
        <f t="shared" si="27"/>
        <v>82227105.390218139</v>
      </c>
    </row>
    <row r="354" spans="1:8">
      <c r="A354">
        <f t="shared" si="25"/>
        <v>2057</v>
      </c>
      <c r="B354">
        <f t="shared" si="26"/>
        <v>53</v>
      </c>
      <c r="C354">
        <f t="shared" si="29"/>
        <v>5</v>
      </c>
      <c r="D354" s="7">
        <f>Eredmények!$B$6/12*(1+Eredmények!$B$7)^('Havi számolás'!B354-33)</f>
        <v>2513610.6387031875</v>
      </c>
      <c r="E354" s="7">
        <f t="shared" si="28"/>
        <v>82227105.390218139</v>
      </c>
      <c r="F354" s="7">
        <f>Eredmények!$B$8*D354</f>
        <v>201088.85109625501</v>
      </c>
      <c r="G354" s="7">
        <f>SUM(E354:F354)*((1+Eredmények!$B$9)^(1/12)-1)</f>
        <v>302907.90305901691</v>
      </c>
      <c r="H354" s="7">
        <f t="shared" si="27"/>
        <v>82731102.144373417</v>
      </c>
    </row>
    <row r="355" spans="1:8">
      <c r="A355">
        <f t="shared" si="25"/>
        <v>2057</v>
      </c>
      <c r="B355">
        <f t="shared" si="26"/>
        <v>53</v>
      </c>
      <c r="C355">
        <f t="shared" si="29"/>
        <v>6</v>
      </c>
      <c r="D355" s="7">
        <f>Eredmények!$B$6/12*(1+Eredmények!$B$7)^('Havi számolás'!B355-33)</f>
        <v>2513610.6387031875</v>
      </c>
      <c r="E355" s="7">
        <f t="shared" si="28"/>
        <v>82731102.144373417</v>
      </c>
      <c r="F355" s="7">
        <f>Eredmények!$B$8*D355</f>
        <v>201088.85109625501</v>
      </c>
      <c r="G355" s="7">
        <f>SUM(E355:F355)*((1+Eredmények!$B$9)^(1/12)-1)</f>
        <v>304759.99506897636</v>
      </c>
      <c r="H355" s="7">
        <f t="shared" si="27"/>
        <v>83236950.990538657</v>
      </c>
    </row>
    <row r="356" spans="1:8">
      <c r="A356">
        <f t="shared" si="25"/>
        <v>2057</v>
      </c>
      <c r="B356">
        <f t="shared" si="26"/>
        <v>53</v>
      </c>
      <c r="C356">
        <f t="shared" si="29"/>
        <v>7</v>
      </c>
      <c r="D356" s="7">
        <f>Eredmények!$B$6/12*(1+Eredmények!$B$7)^('Havi számolás'!B356-33)</f>
        <v>2513610.6387031875</v>
      </c>
      <c r="E356" s="7">
        <f t="shared" si="28"/>
        <v>83236950.990538657</v>
      </c>
      <c r="F356" s="7">
        <f>Eredmények!$B$8*D356</f>
        <v>201088.85109625501</v>
      </c>
      <c r="G356" s="7">
        <f>SUM(E356:F356)*((1+Eredmények!$B$9)^(1/12)-1)</f>
        <v>306618.8931640645</v>
      </c>
      <c r="H356" s="7">
        <f t="shared" si="27"/>
        <v>83744658.734798983</v>
      </c>
    </row>
    <row r="357" spans="1:8">
      <c r="A357">
        <f t="shared" si="25"/>
        <v>2057</v>
      </c>
      <c r="B357">
        <f t="shared" si="26"/>
        <v>53</v>
      </c>
      <c r="C357">
        <f t="shared" si="29"/>
        <v>8</v>
      </c>
      <c r="D357" s="7">
        <f>Eredmények!$B$6/12*(1+Eredmények!$B$7)^('Havi számolás'!B357-33)</f>
        <v>2513610.6387031875</v>
      </c>
      <c r="E357" s="7">
        <f t="shared" si="28"/>
        <v>83744658.734798983</v>
      </c>
      <c r="F357" s="7">
        <f>Eredmények!$B$8*D357</f>
        <v>201088.85109625501</v>
      </c>
      <c r="G357" s="7">
        <f>SUM(E357:F357)*((1+Eredmények!$B$9)^(1/12)-1)</f>
        <v>308484.62235534698</v>
      </c>
      <c r="H357" s="7">
        <f t="shared" si="27"/>
        <v>84254232.208250582</v>
      </c>
    </row>
    <row r="358" spans="1:8">
      <c r="A358">
        <f t="shared" si="25"/>
        <v>2057</v>
      </c>
      <c r="B358">
        <f t="shared" si="26"/>
        <v>53</v>
      </c>
      <c r="C358">
        <f t="shared" si="29"/>
        <v>9</v>
      </c>
      <c r="D358" s="7">
        <f>Eredmények!$B$6/12*(1+Eredmények!$B$7)^('Havi számolás'!B358-33)</f>
        <v>2513610.6387031875</v>
      </c>
      <c r="E358" s="7">
        <f t="shared" si="28"/>
        <v>84254232.208250582</v>
      </c>
      <c r="F358" s="7">
        <f>Eredmények!$B$8*D358</f>
        <v>201088.85109625501</v>
      </c>
      <c r="G358" s="7">
        <f>SUM(E358:F358)*((1+Eredmények!$B$9)^(1/12)-1)</f>
        <v>310357.20774580014</v>
      </c>
      <c r="H358" s="7">
        <f t="shared" si="27"/>
        <v>84765678.267092645</v>
      </c>
    </row>
    <row r="359" spans="1:8">
      <c r="A359">
        <f t="shared" si="25"/>
        <v>2057</v>
      </c>
      <c r="B359">
        <f t="shared" si="26"/>
        <v>53</v>
      </c>
      <c r="C359">
        <f t="shared" si="29"/>
        <v>10</v>
      </c>
      <c r="D359" s="7">
        <f>Eredmények!$B$6/12*(1+Eredmények!$B$7)^('Havi számolás'!B359-33)</f>
        <v>2513610.6387031875</v>
      </c>
      <c r="E359" s="7">
        <f t="shared" si="28"/>
        <v>84765678.267092645</v>
      </c>
      <c r="F359" s="7">
        <f>Eredmények!$B$8*D359</f>
        <v>201088.85109625501</v>
      </c>
      <c r="G359" s="7">
        <f>SUM(E359:F359)*((1+Eredmények!$B$9)^(1/12)-1)</f>
        <v>312236.67453064932</v>
      </c>
      <c r="H359" s="7">
        <f t="shared" si="27"/>
        <v>85279003.792719558</v>
      </c>
    </row>
    <row r="360" spans="1:8">
      <c r="A360">
        <f t="shared" si="25"/>
        <v>2057</v>
      </c>
      <c r="B360">
        <f t="shared" si="26"/>
        <v>53</v>
      </c>
      <c r="C360">
        <f t="shared" si="29"/>
        <v>11</v>
      </c>
      <c r="D360" s="7">
        <f>Eredmények!$B$6/12*(1+Eredmények!$B$7)^('Havi számolás'!B360-33)</f>
        <v>2513610.6387031875</v>
      </c>
      <c r="E360" s="7">
        <f t="shared" si="28"/>
        <v>85279003.792719558</v>
      </c>
      <c r="F360" s="7">
        <f>Eredmények!$B$8*D360</f>
        <v>201088.85109625501</v>
      </c>
      <c r="G360" s="7">
        <f>SUM(E360:F360)*((1+Eredmények!$B$9)^(1/12)-1)</f>
        <v>314123.04799770733</v>
      </c>
      <c r="H360" s="7">
        <f t="shared" si="27"/>
        <v>85794215.691813529</v>
      </c>
    </row>
    <row r="361" spans="1:8">
      <c r="A361">
        <f t="shared" si="25"/>
        <v>2057</v>
      </c>
      <c r="B361">
        <f t="shared" si="26"/>
        <v>53</v>
      </c>
      <c r="C361">
        <f t="shared" si="29"/>
        <v>12</v>
      </c>
      <c r="D361" s="7">
        <f>Eredmények!$B$6/12*(1+Eredmények!$B$7)^('Havi számolás'!B361-33)</f>
        <v>2513610.6387031875</v>
      </c>
      <c r="E361" s="7">
        <f t="shared" si="28"/>
        <v>85794215.691813529</v>
      </c>
      <c r="F361" s="7">
        <f>Eredmények!$B$8*D361</f>
        <v>201088.85109625501</v>
      </c>
      <c r="G361" s="7">
        <f>SUM(E361:F361)*((1+Eredmények!$B$9)^(1/12)-1)</f>
        <v>316016.35352771473</v>
      </c>
      <c r="H361" s="7">
        <f t="shared" si="27"/>
        <v>86311320.896437496</v>
      </c>
    </row>
    <row r="362" spans="1:8">
      <c r="A362">
        <f t="shared" si="25"/>
        <v>2058</v>
      </c>
      <c r="B362">
        <f t="shared" si="26"/>
        <v>54</v>
      </c>
      <c r="C362">
        <f t="shared" si="29"/>
        <v>1</v>
      </c>
      <c r="D362" s="7">
        <f>Eredmények!$B$6/12*(1+Eredmények!$B$7)^('Havi számolás'!B362-33)</f>
        <v>2589018.9578642831</v>
      </c>
      <c r="E362" s="7">
        <f t="shared" si="28"/>
        <v>86311320.896437496</v>
      </c>
      <c r="F362" s="7">
        <f>Eredmények!$B$8*D362</f>
        <v>207121.51662914266</v>
      </c>
      <c r="G362" s="7">
        <f>SUM(E362:F362)*((1+Eredmények!$B$9)^(1/12)-1)</f>
        <v>317938.78549069166</v>
      </c>
      <c r="H362" s="7">
        <f t="shared" si="27"/>
        <v>86836381.198557332</v>
      </c>
    </row>
    <row r="363" spans="1:8">
      <c r="A363">
        <f t="shared" si="25"/>
        <v>2058</v>
      </c>
      <c r="B363">
        <f t="shared" si="26"/>
        <v>54</v>
      </c>
      <c r="C363">
        <f t="shared" si="29"/>
        <v>2</v>
      </c>
      <c r="D363" s="7">
        <f>Eredmények!$B$6/12*(1+Eredmények!$B$7)^('Havi számolás'!B363-33)</f>
        <v>2589018.9578642831</v>
      </c>
      <c r="E363" s="7">
        <f t="shared" si="28"/>
        <v>86836381.198557332</v>
      </c>
      <c r="F363" s="7">
        <f>Eredmények!$B$8*D363</f>
        <v>207121.51662914266</v>
      </c>
      <c r="G363" s="7">
        <f>SUM(E363:F363)*((1+Eredmények!$B$9)^(1/12)-1)</f>
        <v>319868.28202471789</v>
      </c>
      <c r="H363" s="7">
        <f t="shared" si="27"/>
        <v>87363370.997211188</v>
      </c>
    </row>
    <row r="364" spans="1:8">
      <c r="A364">
        <f t="shared" si="25"/>
        <v>2058</v>
      </c>
      <c r="B364">
        <f t="shared" si="26"/>
        <v>54</v>
      </c>
      <c r="C364">
        <f t="shared" si="29"/>
        <v>3</v>
      </c>
      <c r="D364" s="7">
        <f>Eredmények!$B$6/12*(1+Eredmények!$B$7)^('Havi számolás'!B364-33)</f>
        <v>2589018.9578642831</v>
      </c>
      <c r="E364" s="7">
        <f t="shared" si="28"/>
        <v>87363370.997211188</v>
      </c>
      <c r="F364" s="7">
        <f>Eredmények!$B$8*D364</f>
        <v>207121.51662914266</v>
      </c>
      <c r="G364" s="7">
        <f>SUM(E364:F364)*((1+Eredmények!$B$9)^(1/12)-1)</f>
        <v>321804.8690907454</v>
      </c>
      <c r="H364" s="7">
        <f t="shared" si="27"/>
        <v>87892297.382931083</v>
      </c>
    </row>
    <row r="365" spans="1:8">
      <c r="A365">
        <f t="shared" si="25"/>
        <v>2058</v>
      </c>
      <c r="B365">
        <f t="shared" si="26"/>
        <v>54</v>
      </c>
      <c r="C365">
        <f t="shared" si="29"/>
        <v>4</v>
      </c>
      <c r="D365" s="7">
        <f>Eredmények!$B$6/12*(1+Eredmények!$B$7)^('Havi számolás'!B365-33)</f>
        <v>2589018.9578642831</v>
      </c>
      <c r="E365" s="7">
        <f t="shared" si="28"/>
        <v>87892297.382931083</v>
      </c>
      <c r="F365" s="7">
        <f>Eredmények!$B$8*D365</f>
        <v>207121.51662914266</v>
      </c>
      <c r="G365" s="7">
        <f>SUM(E365:F365)*((1+Eredmények!$B$9)^(1/12)-1)</f>
        <v>323748.57274512795</v>
      </c>
      <c r="H365" s="7">
        <f t="shared" si="27"/>
        <v>88423167.472305357</v>
      </c>
    </row>
    <row r="366" spans="1:8">
      <c r="A366">
        <f t="shared" si="25"/>
        <v>2058</v>
      </c>
      <c r="B366">
        <f t="shared" si="26"/>
        <v>54</v>
      </c>
      <c r="C366">
        <f t="shared" si="29"/>
        <v>5</v>
      </c>
      <c r="D366" s="7">
        <f>Eredmények!$B$6/12*(1+Eredmények!$B$7)^('Havi számolás'!B366-33)</f>
        <v>2589018.9578642831</v>
      </c>
      <c r="E366" s="7">
        <f t="shared" si="28"/>
        <v>88423167.472305357</v>
      </c>
      <c r="F366" s="7">
        <f>Eredmények!$B$8*D366</f>
        <v>207121.51662914266</v>
      </c>
      <c r="G366" s="7">
        <f>SUM(E366:F366)*((1+Eredmények!$B$9)^(1/12)-1)</f>
        <v>325699.41913997126</v>
      </c>
      <c r="H366" s="7">
        <f t="shared" si="27"/>
        <v>88955988.408074468</v>
      </c>
    </row>
    <row r="367" spans="1:8">
      <c r="A367">
        <f t="shared" si="25"/>
        <v>2058</v>
      </c>
      <c r="B367">
        <f t="shared" si="26"/>
        <v>54</v>
      </c>
      <c r="C367">
        <f t="shared" si="29"/>
        <v>6</v>
      </c>
      <c r="D367" s="7">
        <f>Eredmények!$B$6/12*(1+Eredmények!$B$7)^('Havi számolás'!B367-33)</f>
        <v>2589018.9578642831</v>
      </c>
      <c r="E367" s="7">
        <f t="shared" si="28"/>
        <v>88955988.408074468</v>
      </c>
      <c r="F367" s="7">
        <f>Eredmények!$B$8*D367</f>
        <v>207121.51662914266</v>
      </c>
      <c r="G367" s="7">
        <f>SUM(E367:F367)*((1+Eredmények!$B$9)^(1/12)-1)</f>
        <v>327657.43452348514</v>
      </c>
      <c r="H367" s="7">
        <f t="shared" si="27"/>
        <v>89490767.359227091</v>
      </c>
    </row>
    <row r="368" spans="1:8">
      <c r="A368">
        <f t="shared" si="25"/>
        <v>2058</v>
      </c>
      <c r="B368">
        <f t="shared" si="26"/>
        <v>54</v>
      </c>
      <c r="C368">
        <f t="shared" si="29"/>
        <v>7</v>
      </c>
      <c r="D368" s="7">
        <f>Eredmények!$B$6/12*(1+Eredmények!$B$7)^('Havi számolás'!B368-33)</f>
        <v>2589018.9578642831</v>
      </c>
      <c r="E368" s="7">
        <f t="shared" si="28"/>
        <v>89490767.359227091</v>
      </c>
      <c r="F368" s="7">
        <f>Eredmények!$B$8*D368</f>
        <v>207121.51662914266</v>
      </c>
      <c r="G368" s="7">
        <f>SUM(E368:F368)*((1+Eredmények!$B$9)^(1/12)-1)</f>
        <v>329622.6452403366</v>
      </c>
      <c r="H368" s="7">
        <f t="shared" si="27"/>
        <v>90027511.521096572</v>
      </c>
    </row>
    <row r="369" spans="1:8">
      <c r="A369">
        <f t="shared" si="25"/>
        <v>2058</v>
      </c>
      <c r="B369">
        <f t="shared" si="26"/>
        <v>54</v>
      </c>
      <c r="C369">
        <f t="shared" si="29"/>
        <v>8</v>
      </c>
      <c r="D369" s="7">
        <f>Eredmények!$B$6/12*(1+Eredmények!$B$7)^('Havi számolás'!B369-33)</f>
        <v>2589018.9578642831</v>
      </c>
      <c r="E369" s="7">
        <f t="shared" si="28"/>
        <v>90027511.521096572</v>
      </c>
      <c r="F369" s="7">
        <f>Eredmények!$B$8*D369</f>
        <v>207121.51662914266</v>
      </c>
      <c r="G369" s="7">
        <f>SUM(E369:F369)*((1+Eredmények!$B$9)^(1/12)-1)</f>
        <v>331595.07773200417</v>
      </c>
      <c r="H369" s="7">
        <f t="shared" si="27"/>
        <v>90566228.115457714</v>
      </c>
    </row>
    <row r="370" spans="1:8">
      <c r="A370">
        <f t="shared" si="25"/>
        <v>2058</v>
      </c>
      <c r="B370">
        <f t="shared" si="26"/>
        <v>54</v>
      </c>
      <c r="C370">
        <f t="shared" si="29"/>
        <v>9</v>
      </c>
      <c r="D370" s="7">
        <f>Eredmények!$B$6/12*(1+Eredmények!$B$7)^('Havi számolás'!B370-33)</f>
        <v>2589018.9578642831</v>
      </c>
      <c r="E370" s="7">
        <f t="shared" si="28"/>
        <v>90566228.115457714</v>
      </c>
      <c r="F370" s="7">
        <f>Eredmények!$B$8*D370</f>
        <v>207121.51662914266</v>
      </c>
      <c r="G370" s="7">
        <f>SUM(E370:F370)*((1+Eredmények!$B$9)^(1/12)-1)</f>
        <v>333574.75853713381</v>
      </c>
      <c r="H370" s="7">
        <f t="shared" si="27"/>
        <v>91106924.390623987</v>
      </c>
    </row>
    <row r="371" spans="1:8">
      <c r="A371">
        <f t="shared" si="25"/>
        <v>2058</v>
      </c>
      <c r="B371">
        <f t="shared" si="26"/>
        <v>54</v>
      </c>
      <c r="C371">
        <f t="shared" si="29"/>
        <v>10</v>
      </c>
      <c r="D371" s="7">
        <f>Eredmények!$B$6/12*(1+Eredmények!$B$7)^('Havi számolás'!B371-33)</f>
        <v>2589018.9578642831</v>
      </c>
      <c r="E371" s="7">
        <f t="shared" si="28"/>
        <v>91106924.390623987</v>
      </c>
      <c r="F371" s="7">
        <f>Eredmények!$B$8*D371</f>
        <v>207121.51662914266</v>
      </c>
      <c r="G371" s="7">
        <f>SUM(E371:F371)*((1+Eredmények!$B$9)^(1/12)-1)</f>
        <v>335561.71429189603</v>
      </c>
      <c r="H371" s="7">
        <f t="shared" si="27"/>
        <v>91649607.621545032</v>
      </c>
    </row>
    <row r="372" spans="1:8">
      <c r="A372">
        <f t="shared" si="25"/>
        <v>2058</v>
      </c>
      <c r="B372">
        <f t="shared" si="26"/>
        <v>54</v>
      </c>
      <c r="C372">
        <f t="shared" si="29"/>
        <v>11</v>
      </c>
      <c r="D372" s="7">
        <f>Eredmények!$B$6/12*(1+Eredmények!$B$7)^('Havi számolás'!B372-33)</f>
        <v>2589018.9578642831</v>
      </c>
      <c r="E372" s="7">
        <f t="shared" si="28"/>
        <v>91649607.621545032</v>
      </c>
      <c r="F372" s="7">
        <f>Eredmények!$B$8*D372</f>
        <v>207121.51662914266</v>
      </c>
      <c r="G372" s="7">
        <f>SUM(E372:F372)*((1+Eredmények!$B$9)^(1/12)-1)</f>
        <v>337555.97173034411</v>
      </c>
      <c r="H372" s="7">
        <f t="shared" si="27"/>
        <v>92194285.109904528</v>
      </c>
    </row>
    <row r="373" spans="1:8">
      <c r="A373">
        <f t="shared" si="25"/>
        <v>2058</v>
      </c>
      <c r="B373">
        <f t="shared" si="26"/>
        <v>54</v>
      </c>
      <c r="C373">
        <f t="shared" si="29"/>
        <v>12</v>
      </c>
      <c r="D373" s="7">
        <f>Eredmények!$B$6/12*(1+Eredmények!$B$7)^('Havi számolás'!B373-33)</f>
        <v>2589018.9578642831</v>
      </c>
      <c r="E373" s="7">
        <f t="shared" si="28"/>
        <v>92194285.109904528</v>
      </c>
      <c r="F373" s="7">
        <f>Eredmények!$B$8*D373</f>
        <v>207121.51662914266</v>
      </c>
      <c r="G373" s="7">
        <f>SUM(E373:F373)*((1+Eredmények!$B$9)^(1/12)-1)</f>
        <v>339557.55768477393</v>
      </c>
      <c r="H373" s="7">
        <f t="shared" si="27"/>
        <v>92740964.184218451</v>
      </c>
    </row>
    <row r="374" spans="1:8">
      <c r="A374">
        <f t="shared" si="25"/>
        <v>2059</v>
      </c>
      <c r="B374">
        <f t="shared" si="26"/>
        <v>55</v>
      </c>
      <c r="C374">
        <f t="shared" si="29"/>
        <v>1</v>
      </c>
      <c r="D374" s="7">
        <f>Eredmények!$B$6/12*(1+Eredmények!$B$7)^('Havi számolás'!B374-33)</f>
        <v>2666689.5266002119</v>
      </c>
      <c r="E374" s="7">
        <f t="shared" si="28"/>
        <v>92740964.184218451</v>
      </c>
      <c r="F374" s="7">
        <f>Eredmények!$B$8*D374</f>
        <v>213335.16212801696</v>
      </c>
      <c r="G374" s="7">
        <f>SUM(E374:F374)*((1+Eredmények!$B$9)^(1/12)-1)</f>
        <v>341589.3330489751</v>
      </c>
      <c r="H374" s="7">
        <f t="shared" si="27"/>
        <v>93295888.679395437</v>
      </c>
    </row>
    <row r="375" spans="1:8">
      <c r="A375">
        <f t="shared" si="25"/>
        <v>2059</v>
      </c>
      <c r="B375">
        <f t="shared" si="26"/>
        <v>55</v>
      </c>
      <c r="C375">
        <f t="shared" si="29"/>
        <v>2</v>
      </c>
      <c r="D375" s="7">
        <f>Eredmények!$B$6/12*(1+Eredmények!$B$7)^('Havi számolás'!B375-33)</f>
        <v>2666689.5266002119</v>
      </c>
      <c r="E375" s="7">
        <f t="shared" si="28"/>
        <v>93295888.679395437</v>
      </c>
      <c r="F375" s="7">
        <f>Eredmények!$B$8*D375</f>
        <v>213335.16212801696</v>
      </c>
      <c r="G375" s="7">
        <f>SUM(E375:F375)*((1+Eredmények!$B$9)^(1/12)-1)</f>
        <v>343628.57480038411</v>
      </c>
      <c r="H375" s="7">
        <f t="shared" si="27"/>
        <v>93852852.416323841</v>
      </c>
    </row>
    <row r="376" spans="1:8">
      <c r="A376">
        <f t="shared" si="25"/>
        <v>2059</v>
      </c>
      <c r="B376">
        <f t="shared" si="26"/>
        <v>55</v>
      </c>
      <c r="C376">
        <f t="shared" si="29"/>
        <v>3</v>
      </c>
      <c r="D376" s="7">
        <f>Eredmények!$B$6/12*(1+Eredmények!$B$7)^('Havi számolás'!B376-33)</f>
        <v>2666689.5266002119</v>
      </c>
      <c r="E376" s="7">
        <f t="shared" si="28"/>
        <v>93852852.416323841</v>
      </c>
      <c r="F376" s="7">
        <f>Eredmények!$B$8*D376</f>
        <v>213335.16212801696</v>
      </c>
      <c r="G376" s="7">
        <f>SUM(E376:F376)*((1+Eredmények!$B$9)^(1/12)-1)</f>
        <v>345675.31037655106</v>
      </c>
      <c r="H376" s="7">
        <f t="shared" si="27"/>
        <v>94411862.888828412</v>
      </c>
    </row>
    <row r="377" spans="1:8">
      <c r="A377">
        <f t="shared" si="25"/>
        <v>2059</v>
      </c>
      <c r="B377">
        <f t="shared" si="26"/>
        <v>55</v>
      </c>
      <c r="C377">
        <f t="shared" si="29"/>
        <v>4</v>
      </c>
      <c r="D377" s="7">
        <f>Eredmények!$B$6/12*(1+Eredmények!$B$7)^('Havi számolás'!B377-33)</f>
        <v>2666689.5266002119</v>
      </c>
      <c r="E377" s="7">
        <f t="shared" si="28"/>
        <v>94411862.888828412</v>
      </c>
      <c r="F377" s="7">
        <f>Eredmények!$B$8*D377</f>
        <v>213335.16212801696</v>
      </c>
      <c r="G377" s="7">
        <f>SUM(E377:F377)*((1+Eredmények!$B$9)^(1/12)-1)</f>
        <v>347729.56731585349</v>
      </c>
      <c r="H377" s="7">
        <f t="shared" si="27"/>
        <v>94972927.618272275</v>
      </c>
    </row>
    <row r="378" spans="1:8">
      <c r="A378">
        <f t="shared" si="25"/>
        <v>2059</v>
      </c>
      <c r="B378">
        <f t="shared" si="26"/>
        <v>55</v>
      </c>
      <c r="C378">
        <f t="shared" si="29"/>
        <v>5</v>
      </c>
      <c r="D378" s="7">
        <f>Eredmények!$B$6/12*(1+Eredmények!$B$7)^('Havi számolás'!B378-33)</f>
        <v>2666689.5266002119</v>
      </c>
      <c r="E378" s="7">
        <f t="shared" si="28"/>
        <v>94972927.618272275</v>
      </c>
      <c r="F378" s="7">
        <f>Eredmények!$B$8*D378</f>
        <v>213335.16212801696</v>
      </c>
      <c r="G378" s="7">
        <f>SUM(E378:F378)*((1+Eredmények!$B$9)^(1/12)-1)</f>
        <v>349791.37325786741</v>
      </c>
      <c r="H378" s="7">
        <f t="shared" si="27"/>
        <v>95536054.153658152</v>
      </c>
    </row>
    <row r="379" spans="1:8">
      <c r="A379">
        <f t="shared" si="25"/>
        <v>2059</v>
      </c>
      <c r="B379">
        <f t="shared" si="26"/>
        <v>55</v>
      </c>
      <c r="C379">
        <f t="shared" si="29"/>
        <v>6</v>
      </c>
      <c r="D379" s="7">
        <f>Eredmények!$B$6/12*(1+Eredmények!$B$7)^('Havi számolás'!B379-33)</f>
        <v>2666689.5266002119</v>
      </c>
      <c r="E379" s="7">
        <f t="shared" si="28"/>
        <v>95536054.153658152</v>
      </c>
      <c r="F379" s="7">
        <f>Eredmények!$B$8*D379</f>
        <v>213335.16212801696</v>
      </c>
      <c r="G379" s="7">
        <f>SUM(E379:F379)*((1+Eredmények!$B$9)^(1/12)-1)</f>
        <v>351860.75594373886</v>
      </c>
      <c r="H379" s="7">
        <f t="shared" si="27"/>
        <v>96101250.071729913</v>
      </c>
    </row>
    <row r="380" spans="1:8">
      <c r="A380">
        <f t="shared" si="25"/>
        <v>2059</v>
      </c>
      <c r="B380">
        <f t="shared" si="26"/>
        <v>55</v>
      </c>
      <c r="C380">
        <f t="shared" si="29"/>
        <v>7</v>
      </c>
      <c r="D380" s="7">
        <f>Eredmények!$B$6/12*(1+Eredmények!$B$7)^('Havi számolás'!B380-33)</f>
        <v>2666689.5266002119</v>
      </c>
      <c r="E380" s="7">
        <f t="shared" si="28"/>
        <v>96101250.071729913</v>
      </c>
      <c r="F380" s="7">
        <f>Eredmények!$B$8*D380</f>
        <v>213335.16212801696</v>
      </c>
      <c r="G380" s="7">
        <f>SUM(E380:F380)*((1+Eredmények!$B$9)^(1/12)-1)</f>
        <v>353937.74321655749</v>
      </c>
      <c r="H380" s="7">
        <f t="shared" si="27"/>
        <v>96668522.977074489</v>
      </c>
    </row>
    <row r="381" spans="1:8">
      <c r="A381">
        <f t="shared" si="25"/>
        <v>2059</v>
      </c>
      <c r="B381">
        <f t="shared" si="26"/>
        <v>55</v>
      </c>
      <c r="C381">
        <f t="shared" si="29"/>
        <v>8</v>
      </c>
      <c r="D381" s="7">
        <f>Eredmények!$B$6/12*(1+Eredmények!$B$7)^('Havi számolás'!B381-33)</f>
        <v>2666689.5266002119</v>
      </c>
      <c r="E381" s="7">
        <f t="shared" si="28"/>
        <v>96668522.977074489</v>
      </c>
      <c r="F381" s="7">
        <f>Eredmények!$B$8*D381</f>
        <v>213335.16212801696</v>
      </c>
      <c r="G381" s="7">
        <f>SUM(E381:F381)*((1+Eredmények!$B$9)^(1/12)-1)</f>
        <v>356022.36302173085</v>
      </c>
      <c r="H381" s="7">
        <f t="shared" si="27"/>
        <v>97237880.502224237</v>
      </c>
    </row>
    <row r="382" spans="1:8">
      <c r="A382">
        <f t="shared" si="25"/>
        <v>2059</v>
      </c>
      <c r="B382">
        <f t="shared" si="26"/>
        <v>55</v>
      </c>
      <c r="C382">
        <f t="shared" si="29"/>
        <v>9</v>
      </c>
      <c r="D382" s="7">
        <f>Eredmények!$B$6/12*(1+Eredmények!$B$7)^('Havi számolás'!B382-33)</f>
        <v>2666689.5266002119</v>
      </c>
      <c r="E382" s="7">
        <f t="shared" si="28"/>
        <v>97237880.502224237</v>
      </c>
      <c r="F382" s="7">
        <f>Eredmények!$B$8*D382</f>
        <v>213335.16212801696</v>
      </c>
      <c r="G382" s="7">
        <f>SUM(E382:F382)*((1+Eredmények!$B$9)^(1/12)-1)</f>
        <v>358114.64340736059</v>
      </c>
      <c r="H382" s="7">
        <f t="shared" si="27"/>
        <v>97809330.307759613</v>
      </c>
    </row>
    <row r="383" spans="1:8">
      <c r="A383">
        <f t="shared" si="25"/>
        <v>2059</v>
      </c>
      <c r="B383">
        <f t="shared" si="26"/>
        <v>55</v>
      </c>
      <c r="C383">
        <f t="shared" si="29"/>
        <v>10</v>
      </c>
      <c r="D383" s="7">
        <f>Eredmények!$B$6/12*(1+Eredmények!$B$7)^('Havi számolás'!B383-33)</f>
        <v>2666689.5266002119</v>
      </c>
      <c r="E383" s="7">
        <f t="shared" si="28"/>
        <v>97809330.307759613</v>
      </c>
      <c r="F383" s="7">
        <f>Eredmények!$B$8*D383</f>
        <v>213335.16212801696</v>
      </c>
      <c r="G383" s="7">
        <f>SUM(E383:F383)*((1+Eredmények!$B$9)^(1/12)-1)</f>
        <v>360214.61252461979</v>
      </c>
      <c r="H383" s="7">
        <f t="shared" si="27"/>
        <v>98382880.082412243</v>
      </c>
    </row>
    <row r="384" spans="1:8">
      <c r="A384">
        <f t="shared" si="25"/>
        <v>2059</v>
      </c>
      <c r="B384">
        <f t="shared" si="26"/>
        <v>55</v>
      </c>
      <c r="C384">
        <f t="shared" si="29"/>
        <v>11</v>
      </c>
      <c r="D384" s="7">
        <f>Eredmények!$B$6/12*(1+Eredmények!$B$7)^('Havi számolás'!B384-33)</f>
        <v>2666689.5266002119</v>
      </c>
      <c r="E384" s="7">
        <f t="shared" si="28"/>
        <v>98382880.082412243</v>
      </c>
      <c r="F384" s="7">
        <f>Eredmények!$B$8*D384</f>
        <v>213335.16212801696</v>
      </c>
      <c r="G384" s="7">
        <f>SUM(E384:F384)*((1+Eredmények!$B$9)^(1/12)-1)</f>
        <v>362322.29862813174</v>
      </c>
      <c r="H384" s="7">
        <f t="shared" si="27"/>
        <v>98958537.543168396</v>
      </c>
    </row>
    <row r="385" spans="1:8">
      <c r="A385">
        <f t="shared" si="25"/>
        <v>2059</v>
      </c>
      <c r="B385">
        <f t="shared" si="26"/>
        <v>55</v>
      </c>
      <c r="C385">
        <f t="shared" si="29"/>
        <v>12</v>
      </c>
      <c r="D385" s="7">
        <f>Eredmények!$B$6/12*(1+Eredmények!$B$7)^('Havi számolás'!B385-33)</f>
        <v>2666689.5266002119</v>
      </c>
      <c r="E385" s="7">
        <f t="shared" si="28"/>
        <v>98958537.543168396</v>
      </c>
      <c r="F385" s="7">
        <f>Eredmények!$B$8*D385</f>
        <v>213335.16212801696</v>
      </c>
      <c r="G385" s="7">
        <f>SUM(E385:F385)*((1+Eredmények!$B$9)^(1/12)-1)</f>
        <v>364437.73007635004</v>
      </c>
      <c r="H385" s="7">
        <f t="shared" si="27"/>
        <v>99536310.435372755</v>
      </c>
    </row>
    <row r="386" spans="1:8">
      <c r="A386">
        <f t="shared" si="25"/>
        <v>2060</v>
      </c>
      <c r="B386">
        <f t="shared" si="26"/>
        <v>56</v>
      </c>
      <c r="C386">
        <f t="shared" si="29"/>
        <v>1</v>
      </c>
      <c r="D386" s="7">
        <f>Eredmények!$B$6/12*(1+Eredmények!$B$7)^('Havi számolás'!B386-33)</f>
        <v>2746690.212398218</v>
      </c>
      <c r="E386" s="7">
        <f t="shared" si="28"/>
        <v>99536310.435372755</v>
      </c>
      <c r="F386" s="7">
        <f>Eredmények!$B$8*D386</f>
        <v>219735.21699185745</v>
      </c>
      <c r="G386" s="7">
        <f>SUM(E386:F386)*((1+Eredmények!$B$9)^(1/12)-1)</f>
        <v>366584.4543137172</v>
      </c>
      <c r="H386" s="7">
        <f t="shared" si="27"/>
        <v>100122630.10667832</v>
      </c>
    </row>
    <row r="387" spans="1:8">
      <c r="A387">
        <f t="shared" ref="A387:A450" si="30">INT((ROW(A386)-1)/12+2028)</f>
        <v>2060</v>
      </c>
      <c r="B387">
        <f t="shared" ref="B387:B450" si="31">INT((A387-2004)+(C387-1)/12)</f>
        <v>56</v>
      </c>
      <c r="C387">
        <f t="shared" si="29"/>
        <v>2</v>
      </c>
      <c r="D387" s="7">
        <f>Eredmények!$B$6/12*(1+Eredmények!$B$7)^('Havi számolás'!B387-33)</f>
        <v>2746690.212398218</v>
      </c>
      <c r="E387" s="7">
        <f t="shared" si="28"/>
        <v>100122630.10667832</v>
      </c>
      <c r="F387" s="7">
        <f>Eredmények!$B$8*D387</f>
        <v>219735.21699185745</v>
      </c>
      <c r="G387" s="7">
        <f>SUM(E387:F387)*((1+Eredmények!$B$9)^(1/12)-1)</f>
        <v>368739.0673534919</v>
      </c>
      <c r="H387" s="7">
        <f t="shared" ref="H387:H450" si="32">E387+F387+G387</f>
        <v>100711104.39102367</v>
      </c>
    </row>
    <row r="388" spans="1:8">
      <c r="A388">
        <f t="shared" si="30"/>
        <v>2060</v>
      </c>
      <c r="B388">
        <f t="shared" si="31"/>
        <v>56</v>
      </c>
      <c r="C388">
        <f t="shared" si="29"/>
        <v>3</v>
      </c>
      <c r="D388" s="7">
        <f>Eredmények!$B$6/12*(1+Eredmények!$B$7)^('Havi számolás'!B388-33)</f>
        <v>2746690.212398218</v>
      </c>
      <c r="E388" s="7">
        <f t="shared" si="28"/>
        <v>100711104.39102367</v>
      </c>
      <c r="F388" s="7">
        <f>Eredmények!$B$8*D388</f>
        <v>219735.21699185745</v>
      </c>
      <c r="G388" s="7">
        <f>SUM(E388:F388)*((1+Eredmények!$B$9)^(1/12)-1)</f>
        <v>370901.59818551951</v>
      </c>
      <c r="H388" s="7">
        <f t="shared" si="32"/>
        <v>101301741.20620105</v>
      </c>
    </row>
    <row r="389" spans="1:8">
      <c r="A389">
        <f t="shared" si="30"/>
        <v>2060</v>
      </c>
      <c r="B389">
        <f t="shared" si="31"/>
        <v>56</v>
      </c>
      <c r="C389">
        <f t="shared" si="29"/>
        <v>4</v>
      </c>
      <c r="D389" s="7">
        <f>Eredmények!$B$6/12*(1+Eredmények!$B$7)^('Havi számolás'!B389-33)</f>
        <v>2746690.212398218</v>
      </c>
      <c r="E389" s="7">
        <f t="shared" ref="E389:E452" si="33">H388</f>
        <v>101301741.20620105</v>
      </c>
      <c r="F389" s="7">
        <f>Eredmények!$B$8*D389</f>
        <v>219735.21699185745</v>
      </c>
      <c r="G389" s="7">
        <f>SUM(E389:F389)*((1+Eredmények!$B$9)^(1/12)-1)</f>
        <v>373072.07590617746</v>
      </c>
      <c r="H389" s="7">
        <f t="shared" si="32"/>
        <v>101894548.49909908</v>
      </c>
    </row>
    <row r="390" spans="1:8">
      <c r="A390">
        <f t="shared" si="30"/>
        <v>2060</v>
      </c>
      <c r="B390">
        <f t="shared" si="31"/>
        <v>56</v>
      </c>
      <c r="C390">
        <f t="shared" si="29"/>
        <v>5</v>
      </c>
      <c r="D390" s="7">
        <f>Eredmények!$B$6/12*(1+Eredmények!$B$7)^('Havi számolás'!B390-33)</f>
        <v>2746690.212398218</v>
      </c>
      <c r="E390" s="7">
        <f t="shared" si="33"/>
        <v>101894548.49909908</v>
      </c>
      <c r="F390" s="7">
        <f>Eredmények!$B$8*D390</f>
        <v>219735.21699185745</v>
      </c>
      <c r="G390" s="7">
        <f>SUM(E390:F390)*((1+Eredmények!$B$9)^(1/12)-1)</f>
        <v>375250.52971876669</v>
      </c>
      <c r="H390" s="7">
        <f t="shared" si="32"/>
        <v>102489534.2458097</v>
      </c>
    </row>
    <row r="391" spans="1:8">
      <c r="A391">
        <f t="shared" si="30"/>
        <v>2060</v>
      </c>
      <c r="B391">
        <f t="shared" si="31"/>
        <v>56</v>
      </c>
      <c r="C391">
        <f t="shared" si="29"/>
        <v>6</v>
      </c>
      <c r="D391" s="7">
        <f>Eredmények!$B$6/12*(1+Eredmények!$B$7)^('Havi számolás'!B391-33)</f>
        <v>2746690.212398218</v>
      </c>
      <c r="E391" s="7">
        <f t="shared" si="33"/>
        <v>102489534.2458097</v>
      </c>
      <c r="F391" s="7">
        <f>Eredmények!$B$8*D391</f>
        <v>219735.21699185745</v>
      </c>
      <c r="G391" s="7">
        <f>SUM(E391:F391)*((1+Eredmények!$B$9)^(1/12)-1)</f>
        <v>377436.98893390479</v>
      </c>
      <c r="H391" s="7">
        <f t="shared" si="32"/>
        <v>103086706.45173547</v>
      </c>
    </row>
    <row r="392" spans="1:8">
      <c r="A392">
        <f t="shared" si="30"/>
        <v>2060</v>
      </c>
      <c r="B392">
        <f t="shared" si="31"/>
        <v>56</v>
      </c>
      <c r="C392">
        <f t="shared" si="29"/>
        <v>7</v>
      </c>
      <c r="D392" s="7">
        <f>Eredmények!$B$6/12*(1+Eredmények!$B$7)^('Havi számolás'!B392-33)</f>
        <v>2746690.212398218</v>
      </c>
      <c r="E392" s="7">
        <f t="shared" si="33"/>
        <v>103086706.45173547</v>
      </c>
      <c r="F392" s="7">
        <f>Eredmények!$B$8*D392</f>
        <v>219735.21699185745</v>
      </c>
      <c r="G392" s="7">
        <f>SUM(E392:F392)*((1+Eredmények!$B$9)^(1/12)-1)</f>
        <v>379631.48296992044</v>
      </c>
      <c r="H392" s="7">
        <f t="shared" si="32"/>
        <v>103686073.15169725</v>
      </c>
    </row>
    <row r="393" spans="1:8">
      <c r="A393">
        <f t="shared" si="30"/>
        <v>2060</v>
      </c>
      <c r="B393">
        <f t="shared" si="31"/>
        <v>56</v>
      </c>
      <c r="C393">
        <f t="shared" si="29"/>
        <v>8</v>
      </c>
      <c r="D393" s="7">
        <f>Eredmények!$B$6/12*(1+Eredmények!$B$7)^('Havi számolás'!B393-33)</f>
        <v>2746690.212398218</v>
      </c>
      <c r="E393" s="7">
        <f t="shared" si="33"/>
        <v>103686073.15169725</v>
      </c>
      <c r="F393" s="7">
        <f>Eredmények!$B$8*D393</f>
        <v>219735.21699185745</v>
      </c>
      <c r="G393" s="7">
        <f>SUM(E393:F393)*((1+Eredmények!$B$9)^(1/12)-1)</f>
        <v>381834.04135324882</v>
      </c>
      <c r="H393" s="7">
        <f t="shared" si="32"/>
        <v>104287642.41004236</v>
      </c>
    </row>
    <row r="394" spans="1:8">
      <c r="A394">
        <f t="shared" si="30"/>
        <v>2060</v>
      </c>
      <c r="B394">
        <f t="shared" si="31"/>
        <v>56</v>
      </c>
      <c r="C394">
        <f t="shared" si="29"/>
        <v>9</v>
      </c>
      <c r="D394" s="7">
        <f>Eredmények!$B$6/12*(1+Eredmények!$B$7)^('Havi számolás'!B394-33)</f>
        <v>2746690.212398218</v>
      </c>
      <c r="E394" s="7">
        <f t="shared" si="33"/>
        <v>104287642.41004236</v>
      </c>
      <c r="F394" s="7">
        <f>Eredmények!$B$8*D394</f>
        <v>219735.21699185745</v>
      </c>
      <c r="G394" s="7">
        <f>SUM(E394:F394)*((1+Eredmények!$B$9)^(1/12)-1)</f>
        <v>384044.69371882925</v>
      </c>
      <c r="H394" s="7">
        <f t="shared" si="32"/>
        <v>104891422.32075305</v>
      </c>
    </row>
    <row r="395" spans="1:8">
      <c r="A395">
        <f t="shared" si="30"/>
        <v>2060</v>
      </c>
      <c r="B395">
        <f t="shared" si="31"/>
        <v>56</v>
      </c>
      <c r="C395">
        <f t="shared" si="29"/>
        <v>10</v>
      </c>
      <c r="D395" s="7">
        <f>Eredmények!$B$6/12*(1+Eredmények!$B$7)^('Havi számolás'!B395-33)</f>
        <v>2746690.212398218</v>
      </c>
      <c r="E395" s="7">
        <f t="shared" si="33"/>
        <v>104891422.32075305</v>
      </c>
      <c r="F395" s="7">
        <f>Eredmények!$B$8*D395</f>
        <v>219735.21699185745</v>
      </c>
      <c r="G395" s="7">
        <f>SUM(E395:F395)*((1+Eredmények!$B$9)^(1/12)-1)</f>
        <v>386263.46981050383</v>
      </c>
      <c r="H395" s="7">
        <f t="shared" si="32"/>
        <v>105497421.00755541</v>
      </c>
    </row>
    <row r="396" spans="1:8">
      <c r="A396">
        <f t="shared" si="30"/>
        <v>2060</v>
      </c>
      <c r="B396">
        <f t="shared" si="31"/>
        <v>56</v>
      </c>
      <c r="C396">
        <f t="shared" si="29"/>
        <v>11</v>
      </c>
      <c r="D396" s="7">
        <f>Eredmények!$B$6/12*(1+Eredmények!$B$7)^('Havi számolás'!B396-33)</f>
        <v>2746690.212398218</v>
      </c>
      <c r="E396" s="7">
        <f t="shared" si="33"/>
        <v>105497421.00755541</v>
      </c>
      <c r="F396" s="7">
        <f>Eredmények!$B$8*D396</f>
        <v>219735.21699185745</v>
      </c>
      <c r="G396" s="7">
        <f>SUM(E396:F396)*((1+Eredmények!$B$9)^(1/12)-1)</f>
        <v>388490.39948141749</v>
      </c>
      <c r="H396" s="7">
        <f t="shared" si="32"/>
        <v>106105646.62402868</v>
      </c>
    </row>
    <row r="397" spans="1:8">
      <c r="A397">
        <f t="shared" si="30"/>
        <v>2060</v>
      </c>
      <c r="B397">
        <f t="shared" si="31"/>
        <v>56</v>
      </c>
      <c r="C397">
        <f t="shared" si="29"/>
        <v>12</v>
      </c>
      <c r="D397" s="7">
        <f>Eredmények!$B$6/12*(1+Eredmények!$B$7)^('Havi számolás'!B397-33)</f>
        <v>2746690.212398218</v>
      </c>
      <c r="E397" s="7">
        <f t="shared" si="33"/>
        <v>106105646.62402868</v>
      </c>
      <c r="F397" s="7">
        <f>Eredmények!$B$8*D397</f>
        <v>219735.21699185745</v>
      </c>
      <c r="G397" s="7">
        <f>SUM(E397:F397)*((1+Eredmények!$B$9)^(1/12)-1)</f>
        <v>390725.51269442</v>
      </c>
      <c r="H397" s="7">
        <f t="shared" si="32"/>
        <v>106716107.35371496</v>
      </c>
    </row>
    <row r="398" spans="1:8">
      <c r="A398">
        <f t="shared" si="30"/>
        <v>2061</v>
      </c>
      <c r="B398">
        <f t="shared" si="31"/>
        <v>57</v>
      </c>
      <c r="C398">
        <f t="shared" si="29"/>
        <v>1</v>
      </c>
      <c r="D398" s="7">
        <f>Eredmények!$B$6/12*(1+Eredmények!$B$7)^('Havi számolás'!B398-33)</f>
        <v>2829090.9187701643</v>
      </c>
      <c r="E398" s="7">
        <f t="shared" si="33"/>
        <v>106716107.35371496</v>
      </c>
      <c r="F398" s="7">
        <f>Eredmények!$B$8*D398</f>
        <v>226327.27350161315</v>
      </c>
      <c r="G398" s="7">
        <f>SUM(E398:F398)*((1+Eredmények!$B$9)^(1/12)-1)</f>
        <v>392993.06407369894</v>
      </c>
      <c r="H398" s="7">
        <f t="shared" si="32"/>
        <v>107335427.69129027</v>
      </c>
    </row>
    <row r="399" spans="1:8">
      <c r="A399">
        <f t="shared" si="30"/>
        <v>2061</v>
      </c>
      <c r="B399">
        <f t="shared" si="31"/>
        <v>57</v>
      </c>
      <c r="C399">
        <f t="shared" ref="C399:C462" si="34">C387</f>
        <v>2</v>
      </c>
      <c r="D399" s="7">
        <f>Eredmények!$B$6/12*(1+Eredmények!$B$7)^('Havi számolás'!B399-33)</f>
        <v>2829090.9187701643</v>
      </c>
      <c r="E399" s="7">
        <f t="shared" si="33"/>
        <v>107335427.69129027</v>
      </c>
      <c r="F399" s="7">
        <f>Eredmények!$B$8*D399</f>
        <v>226327.27350161315</v>
      </c>
      <c r="G399" s="7">
        <f>SUM(E399:F399)*((1+Eredmények!$B$9)^(1/12)-1)</f>
        <v>395268.94827210245</v>
      </c>
      <c r="H399" s="7">
        <f t="shared" si="32"/>
        <v>107957023.913064</v>
      </c>
    </row>
    <row r="400" spans="1:8">
      <c r="A400">
        <f t="shared" si="30"/>
        <v>2061</v>
      </c>
      <c r="B400">
        <f t="shared" si="31"/>
        <v>57</v>
      </c>
      <c r="C400">
        <f t="shared" si="34"/>
        <v>3</v>
      </c>
      <c r="D400" s="7">
        <f>Eredmények!$B$6/12*(1+Eredmények!$B$7)^('Havi számolás'!B400-33)</f>
        <v>2829090.9187701643</v>
      </c>
      <c r="E400" s="7">
        <f t="shared" si="33"/>
        <v>107957023.913064</v>
      </c>
      <c r="F400" s="7">
        <f>Eredmények!$B$8*D400</f>
        <v>226327.27350161315</v>
      </c>
      <c r="G400" s="7">
        <f>SUM(E400:F400)*((1+Eredmények!$B$9)^(1/12)-1)</f>
        <v>397553.19591115258</v>
      </c>
      <c r="H400" s="7">
        <f t="shared" si="32"/>
        <v>108580904.38247678</v>
      </c>
    </row>
    <row r="401" spans="1:8">
      <c r="A401">
        <f t="shared" si="30"/>
        <v>2061</v>
      </c>
      <c r="B401">
        <f t="shared" si="31"/>
        <v>57</v>
      </c>
      <c r="C401">
        <f t="shared" si="34"/>
        <v>4</v>
      </c>
      <c r="D401" s="7">
        <f>Eredmények!$B$6/12*(1+Eredmények!$B$7)^('Havi számolás'!B401-33)</f>
        <v>2829090.9187701643</v>
      </c>
      <c r="E401" s="7">
        <f t="shared" si="33"/>
        <v>108580904.38247678</v>
      </c>
      <c r="F401" s="7">
        <f>Eredmények!$B$8*D401</f>
        <v>226327.27350161315</v>
      </c>
      <c r="G401" s="7">
        <f>SUM(E401:F401)*((1+Eredmények!$B$9)^(1/12)-1)</f>
        <v>399845.83772489958</v>
      </c>
      <c r="H401" s="7">
        <f t="shared" si="32"/>
        <v>109207077.49370329</v>
      </c>
    </row>
    <row r="402" spans="1:8">
      <c r="A402">
        <f t="shared" si="30"/>
        <v>2061</v>
      </c>
      <c r="B402">
        <f t="shared" si="31"/>
        <v>57</v>
      </c>
      <c r="C402">
        <f t="shared" si="34"/>
        <v>5</v>
      </c>
      <c r="D402" s="7">
        <f>Eredmények!$B$6/12*(1+Eredmények!$B$7)^('Havi számolás'!B402-33)</f>
        <v>2829090.9187701643</v>
      </c>
      <c r="E402" s="7">
        <f t="shared" si="33"/>
        <v>109207077.49370329</v>
      </c>
      <c r="F402" s="7">
        <f>Eredmények!$B$8*D402</f>
        <v>226327.27350161315</v>
      </c>
      <c r="G402" s="7">
        <f>SUM(E402:F402)*((1+Eredmények!$B$9)^(1/12)-1)</f>
        <v>402146.90456033556</v>
      </c>
      <c r="H402" s="7">
        <f t="shared" si="32"/>
        <v>109835551.67176525</v>
      </c>
    </row>
    <row r="403" spans="1:8">
      <c r="A403">
        <f t="shared" si="30"/>
        <v>2061</v>
      </c>
      <c r="B403">
        <f t="shared" si="31"/>
        <v>57</v>
      </c>
      <c r="C403">
        <f t="shared" si="34"/>
        <v>6</v>
      </c>
      <c r="D403" s="7">
        <f>Eredmények!$B$6/12*(1+Eredmények!$B$7)^('Havi számolás'!B403-33)</f>
        <v>2829090.9187701643</v>
      </c>
      <c r="E403" s="7">
        <f t="shared" si="33"/>
        <v>109835551.67176525</v>
      </c>
      <c r="F403" s="7">
        <f>Eredmények!$B$8*D403</f>
        <v>226327.27350161315</v>
      </c>
      <c r="G403" s="7">
        <f>SUM(E403:F403)*((1+Eredmények!$B$9)^(1/12)-1)</f>
        <v>404456.42737780948</v>
      </c>
      <c r="H403" s="7">
        <f t="shared" si="32"/>
        <v>110466335.37264468</v>
      </c>
    </row>
    <row r="404" spans="1:8">
      <c r="A404">
        <f t="shared" si="30"/>
        <v>2061</v>
      </c>
      <c r="B404">
        <f t="shared" si="31"/>
        <v>57</v>
      </c>
      <c r="C404">
        <f t="shared" si="34"/>
        <v>7</v>
      </c>
      <c r="D404" s="7">
        <f>Eredmények!$B$6/12*(1+Eredmények!$B$7)^('Havi számolás'!B404-33)</f>
        <v>2829090.9187701643</v>
      </c>
      <c r="E404" s="7">
        <f t="shared" si="33"/>
        <v>110466335.37264468</v>
      </c>
      <c r="F404" s="7">
        <f>Eredmények!$B$8*D404</f>
        <v>226327.27350161315</v>
      </c>
      <c r="G404" s="7">
        <f>SUM(E404:F404)*((1+Eredmények!$B$9)^(1/12)-1)</f>
        <v>406774.43725144351</v>
      </c>
      <c r="H404" s="7">
        <f t="shared" si="32"/>
        <v>111099437.08339775</v>
      </c>
    </row>
    <row r="405" spans="1:8">
      <c r="A405">
        <f t="shared" si="30"/>
        <v>2061</v>
      </c>
      <c r="B405">
        <f t="shared" si="31"/>
        <v>57</v>
      </c>
      <c r="C405">
        <f t="shared" si="34"/>
        <v>8</v>
      </c>
      <c r="D405" s="7">
        <f>Eredmények!$B$6/12*(1+Eredmények!$B$7)^('Havi számolás'!B405-33)</f>
        <v>2829090.9187701643</v>
      </c>
      <c r="E405" s="7">
        <f t="shared" si="33"/>
        <v>111099437.08339775</v>
      </c>
      <c r="F405" s="7">
        <f>Eredmények!$B$8*D405</f>
        <v>226327.27350161315</v>
      </c>
      <c r="G405" s="7">
        <f>SUM(E405:F405)*((1+Eredmények!$B$9)^(1/12)-1)</f>
        <v>409100.96536955156</v>
      </c>
      <c r="H405" s="7">
        <f t="shared" si="32"/>
        <v>111734865.32226892</v>
      </c>
    </row>
    <row r="406" spans="1:8">
      <c r="A406">
        <f t="shared" si="30"/>
        <v>2061</v>
      </c>
      <c r="B406">
        <f t="shared" si="31"/>
        <v>57</v>
      </c>
      <c r="C406">
        <f t="shared" si="34"/>
        <v>9</v>
      </c>
      <c r="D406" s="7">
        <f>Eredmények!$B$6/12*(1+Eredmények!$B$7)^('Havi számolás'!B406-33)</f>
        <v>2829090.9187701643</v>
      </c>
      <c r="E406" s="7">
        <f t="shared" si="33"/>
        <v>111734865.32226892</v>
      </c>
      <c r="F406" s="7">
        <f>Eredmények!$B$8*D406</f>
        <v>226327.27350161315</v>
      </c>
      <c r="G406" s="7">
        <f>SUM(E406:F406)*((1+Eredmények!$B$9)^(1/12)-1)</f>
        <v>411436.04303505836</v>
      </c>
      <c r="H406" s="7">
        <f t="shared" si="32"/>
        <v>112372628.6388056</v>
      </c>
    </row>
    <row r="407" spans="1:8">
      <c r="A407">
        <f t="shared" si="30"/>
        <v>2061</v>
      </c>
      <c r="B407">
        <f t="shared" si="31"/>
        <v>57</v>
      </c>
      <c r="C407">
        <f t="shared" si="34"/>
        <v>10</v>
      </c>
      <c r="D407" s="7">
        <f>Eredmények!$B$6/12*(1+Eredmények!$B$7)^('Havi számolás'!B407-33)</f>
        <v>2829090.9187701643</v>
      </c>
      <c r="E407" s="7">
        <f t="shared" si="33"/>
        <v>112372628.6388056</v>
      </c>
      <c r="F407" s="7">
        <f>Eredmények!$B$8*D407</f>
        <v>226327.27350161315</v>
      </c>
      <c r="G407" s="7">
        <f>SUM(E407:F407)*((1+Eredmények!$B$9)^(1/12)-1)</f>
        <v>413779.70166592114</v>
      </c>
      <c r="H407" s="7">
        <f t="shared" si="32"/>
        <v>113012735.61397314</v>
      </c>
    </row>
    <row r="408" spans="1:8">
      <c r="A408">
        <f t="shared" si="30"/>
        <v>2061</v>
      </c>
      <c r="B408">
        <f t="shared" si="31"/>
        <v>57</v>
      </c>
      <c r="C408">
        <f t="shared" si="34"/>
        <v>11</v>
      </c>
      <c r="D408" s="7">
        <f>Eredmények!$B$6/12*(1+Eredmények!$B$7)^('Havi számolás'!B408-33)</f>
        <v>2829090.9187701643</v>
      </c>
      <c r="E408" s="7">
        <f t="shared" si="33"/>
        <v>113012735.61397314</v>
      </c>
      <c r="F408" s="7">
        <f>Eredmények!$B$8*D408</f>
        <v>226327.27350161315</v>
      </c>
      <c r="G408" s="7">
        <f>SUM(E408:F408)*((1+Eredmények!$B$9)^(1/12)-1)</f>
        <v>416131.97279555205</v>
      </c>
      <c r="H408" s="7">
        <f t="shared" si="32"/>
        <v>113655194.86027031</v>
      </c>
    </row>
    <row r="409" spans="1:8">
      <c r="A409">
        <f t="shared" si="30"/>
        <v>2061</v>
      </c>
      <c r="B409">
        <f t="shared" si="31"/>
        <v>57</v>
      </c>
      <c r="C409">
        <f t="shared" si="34"/>
        <v>12</v>
      </c>
      <c r="D409" s="7">
        <f>Eredmények!$B$6/12*(1+Eredmények!$B$7)^('Havi számolás'!B409-33)</f>
        <v>2829090.9187701643</v>
      </c>
      <c r="E409" s="7">
        <f t="shared" si="33"/>
        <v>113655194.86027031</v>
      </c>
      <c r="F409" s="7">
        <f>Eredmények!$B$8*D409</f>
        <v>226327.27350161315</v>
      </c>
      <c r="G409" s="7">
        <f>SUM(E409:F409)*((1+Eredmények!$B$9)^(1/12)-1)</f>
        <v>418492.88807324244</v>
      </c>
      <c r="H409" s="7">
        <f t="shared" si="32"/>
        <v>114300015.02184516</v>
      </c>
    </row>
    <row r="410" spans="1:8">
      <c r="A410">
        <f t="shared" si="30"/>
        <v>2062</v>
      </c>
      <c r="B410">
        <f t="shared" si="31"/>
        <v>58</v>
      </c>
      <c r="C410">
        <f t="shared" si="34"/>
        <v>1</v>
      </c>
      <c r="D410" s="7">
        <f>Eredmények!$B$6/12*(1+Eredmények!$B$7)^('Havi számolás'!B410-33)</f>
        <v>2913963.6463332693</v>
      </c>
      <c r="E410" s="7">
        <f t="shared" si="33"/>
        <v>114300015.02184516</v>
      </c>
      <c r="F410" s="7">
        <f>Eredmények!$B$8*D410</f>
        <v>233117.09170666154</v>
      </c>
      <c r="G410" s="7">
        <f>SUM(E410:F410)*((1+Eredmények!$B$9)^(1/12)-1)</f>
        <v>420887.43055235606</v>
      </c>
      <c r="H410" s="7">
        <f t="shared" si="32"/>
        <v>114954019.54410419</v>
      </c>
    </row>
    <row r="411" spans="1:8">
      <c r="A411">
        <f t="shared" si="30"/>
        <v>2062</v>
      </c>
      <c r="B411">
        <f t="shared" si="31"/>
        <v>58</v>
      </c>
      <c r="C411">
        <f t="shared" si="34"/>
        <v>2</v>
      </c>
      <c r="D411" s="7">
        <f>Eredmények!$B$6/12*(1+Eredmények!$B$7)^('Havi számolás'!B411-33)</f>
        <v>2913963.6463332693</v>
      </c>
      <c r="E411" s="7">
        <f t="shared" si="33"/>
        <v>114954019.54410419</v>
      </c>
      <c r="F411" s="7">
        <f>Eredmények!$B$8*D411</f>
        <v>233117.09170666154</v>
      </c>
      <c r="G411" s="7">
        <f>SUM(E411:F411)*((1+Eredmények!$B$9)^(1/12)-1)</f>
        <v>423290.77251868177</v>
      </c>
      <c r="H411" s="7">
        <f t="shared" si="32"/>
        <v>115610427.40832953</v>
      </c>
    </row>
    <row r="412" spans="1:8">
      <c r="A412">
        <f t="shared" si="30"/>
        <v>2062</v>
      </c>
      <c r="B412">
        <f t="shared" si="31"/>
        <v>58</v>
      </c>
      <c r="C412">
        <f t="shared" si="34"/>
        <v>3</v>
      </c>
      <c r="D412" s="7">
        <f>Eredmények!$B$6/12*(1+Eredmények!$B$7)^('Havi számolás'!B412-33)</f>
        <v>2913963.6463332693</v>
      </c>
      <c r="E412" s="7">
        <f t="shared" si="33"/>
        <v>115610427.40832953</v>
      </c>
      <c r="F412" s="7">
        <f>Eredmények!$B$8*D412</f>
        <v>233117.09170666154</v>
      </c>
      <c r="G412" s="7">
        <f>SUM(E412:F412)*((1+Eredmények!$B$9)^(1/12)-1)</f>
        <v>425702.9463086577</v>
      </c>
      <c r="H412" s="7">
        <f t="shared" si="32"/>
        <v>116269247.44634485</v>
      </c>
    </row>
    <row r="413" spans="1:8">
      <c r="A413">
        <f t="shared" si="30"/>
        <v>2062</v>
      </c>
      <c r="B413">
        <f t="shared" si="31"/>
        <v>58</v>
      </c>
      <c r="C413">
        <f t="shared" si="34"/>
        <v>4</v>
      </c>
      <c r="D413" s="7">
        <f>Eredmények!$B$6/12*(1+Eredmények!$B$7)^('Havi számolás'!B413-33)</f>
        <v>2913963.6463332693</v>
      </c>
      <c r="E413" s="7">
        <f t="shared" si="33"/>
        <v>116269247.44634485</v>
      </c>
      <c r="F413" s="7">
        <f>Eredmények!$B$8*D413</f>
        <v>233117.09170666154</v>
      </c>
      <c r="G413" s="7">
        <f>SUM(E413:F413)*((1+Eredmények!$B$9)^(1/12)-1)</f>
        <v>428123.98437755258</v>
      </c>
      <c r="H413" s="7">
        <f t="shared" si="32"/>
        <v>116930488.52242906</v>
      </c>
    </row>
    <row r="414" spans="1:8">
      <c r="A414">
        <f t="shared" si="30"/>
        <v>2062</v>
      </c>
      <c r="B414">
        <f t="shared" si="31"/>
        <v>58</v>
      </c>
      <c r="C414">
        <f t="shared" si="34"/>
        <v>5</v>
      </c>
      <c r="D414" s="7">
        <f>Eredmények!$B$6/12*(1+Eredmények!$B$7)^('Havi számolás'!B414-33)</f>
        <v>2913963.6463332693</v>
      </c>
      <c r="E414" s="7">
        <f t="shared" si="33"/>
        <v>116930488.52242906</v>
      </c>
      <c r="F414" s="7">
        <f>Eredmények!$B$8*D414</f>
        <v>233117.09170666154</v>
      </c>
      <c r="G414" s="7">
        <f>SUM(E414:F414)*((1+Eredmények!$B$9)^(1/12)-1)</f>
        <v>430553.91929990181</v>
      </c>
      <c r="H414" s="7">
        <f t="shared" si="32"/>
        <v>117594159.53343563</v>
      </c>
    </row>
    <row r="415" spans="1:8">
      <c r="A415">
        <f t="shared" si="30"/>
        <v>2062</v>
      </c>
      <c r="B415">
        <f t="shared" si="31"/>
        <v>58</v>
      </c>
      <c r="C415">
        <f t="shared" si="34"/>
        <v>6</v>
      </c>
      <c r="D415" s="7">
        <f>Eredmények!$B$6/12*(1+Eredmények!$B$7)^('Havi számolás'!B415-33)</f>
        <v>2913963.6463332693</v>
      </c>
      <c r="E415" s="7">
        <f t="shared" si="33"/>
        <v>117594159.53343563</v>
      </c>
      <c r="F415" s="7">
        <f>Eredmények!$B$8*D415</f>
        <v>233117.09170666154</v>
      </c>
      <c r="G415" s="7">
        <f>SUM(E415:F415)*((1+Eredmények!$B$9)^(1/12)-1)</f>
        <v>432992.7837699462</v>
      </c>
      <c r="H415" s="7">
        <f t="shared" si="32"/>
        <v>118260269.40891224</v>
      </c>
    </row>
    <row r="416" spans="1:8">
      <c r="A416">
        <f t="shared" si="30"/>
        <v>2062</v>
      </c>
      <c r="B416">
        <f t="shared" si="31"/>
        <v>58</v>
      </c>
      <c r="C416">
        <f t="shared" si="34"/>
        <v>7</v>
      </c>
      <c r="D416" s="7">
        <f>Eredmények!$B$6/12*(1+Eredmények!$B$7)^('Havi számolás'!B416-33)</f>
        <v>2913963.6463332693</v>
      </c>
      <c r="E416" s="7">
        <f t="shared" si="33"/>
        <v>118260269.40891224</v>
      </c>
      <c r="F416" s="7">
        <f>Eredmények!$B$8*D416</f>
        <v>233117.09170666154</v>
      </c>
      <c r="G416" s="7">
        <f>SUM(E416:F416)*((1+Eredmények!$B$9)^(1/12)-1)</f>
        <v>435440.61060207145</v>
      </c>
      <c r="H416" s="7">
        <f t="shared" si="32"/>
        <v>118928827.11122097</v>
      </c>
    </row>
    <row r="417" spans="1:8">
      <c r="A417">
        <f t="shared" si="30"/>
        <v>2062</v>
      </c>
      <c r="B417">
        <f t="shared" si="31"/>
        <v>58</v>
      </c>
      <c r="C417">
        <f t="shared" si="34"/>
        <v>8</v>
      </c>
      <c r="D417" s="7">
        <f>Eredmények!$B$6/12*(1+Eredmények!$B$7)^('Havi számolás'!B417-33)</f>
        <v>2913963.6463332693</v>
      </c>
      <c r="E417" s="7">
        <f t="shared" si="33"/>
        <v>118928827.11122097</v>
      </c>
      <c r="F417" s="7">
        <f>Eredmények!$B$8*D417</f>
        <v>233117.09170666154</v>
      </c>
      <c r="G417" s="7">
        <f>SUM(E417:F417)*((1+Eredmények!$B$9)^(1/12)-1)</f>
        <v>437897.43273125007</v>
      </c>
      <c r="H417" s="7">
        <f t="shared" si="32"/>
        <v>119599841.63565889</v>
      </c>
    </row>
    <row r="418" spans="1:8">
      <c r="A418">
        <f t="shared" si="30"/>
        <v>2062</v>
      </c>
      <c r="B418">
        <f t="shared" si="31"/>
        <v>58</v>
      </c>
      <c r="C418">
        <f t="shared" si="34"/>
        <v>9</v>
      </c>
      <c r="D418" s="7">
        <f>Eredmények!$B$6/12*(1+Eredmények!$B$7)^('Havi számolás'!B418-33)</f>
        <v>2913963.6463332693</v>
      </c>
      <c r="E418" s="7">
        <f t="shared" si="33"/>
        <v>119599841.63565889</v>
      </c>
      <c r="F418" s="7">
        <f>Eredmények!$B$8*D418</f>
        <v>233117.09170666154</v>
      </c>
      <c r="G418" s="7">
        <f>SUM(E418:F418)*((1+Eredmények!$B$9)^(1/12)-1)</f>
        <v>440363.28321348416</v>
      </c>
      <c r="H418" s="7">
        <f t="shared" si="32"/>
        <v>120273322.01057903</v>
      </c>
    </row>
    <row r="419" spans="1:8">
      <c r="A419">
        <f t="shared" si="30"/>
        <v>2062</v>
      </c>
      <c r="B419">
        <f t="shared" si="31"/>
        <v>58</v>
      </c>
      <c r="C419">
        <f t="shared" si="34"/>
        <v>10</v>
      </c>
      <c r="D419" s="7">
        <f>Eredmények!$B$6/12*(1+Eredmények!$B$7)^('Havi számolás'!B419-33)</f>
        <v>2913963.6463332693</v>
      </c>
      <c r="E419" s="7">
        <f t="shared" si="33"/>
        <v>120273322.01057903</v>
      </c>
      <c r="F419" s="7">
        <f>Eredmények!$B$8*D419</f>
        <v>233117.09170666154</v>
      </c>
      <c r="G419" s="7">
        <f>SUM(E419:F419)*((1+Eredmények!$B$9)^(1/12)-1)</f>
        <v>442838.19522625045</v>
      </c>
      <c r="H419" s="7">
        <f t="shared" si="32"/>
        <v>120949277.29751195</v>
      </c>
    </row>
    <row r="420" spans="1:8">
      <c r="A420">
        <f t="shared" si="30"/>
        <v>2062</v>
      </c>
      <c r="B420">
        <f t="shared" si="31"/>
        <v>58</v>
      </c>
      <c r="C420">
        <f t="shared" si="34"/>
        <v>11</v>
      </c>
      <c r="D420" s="7">
        <f>Eredmények!$B$6/12*(1+Eredmények!$B$7)^('Havi számolás'!B420-33)</f>
        <v>2913963.6463332693</v>
      </c>
      <c r="E420" s="7">
        <f t="shared" si="33"/>
        <v>120949277.29751195</v>
      </c>
      <c r="F420" s="7">
        <f>Eredmények!$B$8*D420</f>
        <v>233117.09170666154</v>
      </c>
      <c r="G420" s="7">
        <f>SUM(E420:F420)*((1+Eredmények!$B$9)^(1/12)-1)</f>
        <v>445322.2020689465</v>
      </c>
      <c r="H420" s="7">
        <f t="shared" si="32"/>
        <v>121627716.59128755</v>
      </c>
    </row>
    <row r="421" spans="1:8">
      <c r="A421">
        <f t="shared" si="30"/>
        <v>2062</v>
      </c>
      <c r="B421">
        <f t="shared" si="31"/>
        <v>58</v>
      </c>
      <c r="C421">
        <f t="shared" si="34"/>
        <v>12</v>
      </c>
      <c r="D421" s="7">
        <f>Eredmények!$B$6/12*(1+Eredmények!$B$7)^('Havi számolás'!B421-33)</f>
        <v>2913963.6463332693</v>
      </c>
      <c r="E421" s="7">
        <f t="shared" si="33"/>
        <v>121627716.59128755</v>
      </c>
      <c r="F421" s="7">
        <f>Eredmények!$B$8*D421</f>
        <v>233117.09170666154</v>
      </c>
      <c r="G421" s="7">
        <f>SUM(E421:F421)*((1+Eredmények!$B$9)^(1/12)-1)</f>
        <v>447815.33716333885</v>
      </c>
      <c r="H421" s="7">
        <f t="shared" si="32"/>
        <v>122308649.02015756</v>
      </c>
    </row>
    <row r="422" spans="1:8">
      <c r="A422">
        <f t="shared" si="30"/>
        <v>2063</v>
      </c>
      <c r="B422">
        <f t="shared" si="31"/>
        <v>59</v>
      </c>
      <c r="C422">
        <f t="shared" si="34"/>
        <v>1</v>
      </c>
      <c r="D422" s="7">
        <f>Eredmények!$B$6/12*(1+Eredmények!$B$7)^('Havi számolás'!B422-33)</f>
        <v>3001382.5557232676</v>
      </c>
      <c r="E422" s="7">
        <f t="shared" si="33"/>
        <v>122308649.02015756</v>
      </c>
      <c r="F422" s="7">
        <f>Eredmények!$B$8*D422</f>
        <v>240110.60445786142</v>
      </c>
      <c r="G422" s="7">
        <f>SUM(E422:F422)*((1+Eredmények!$B$9)^(1/12)-1)</f>
        <v>450343.3338804128</v>
      </c>
      <c r="H422" s="7">
        <f t="shared" si="32"/>
        <v>122999102.95849583</v>
      </c>
    </row>
    <row r="423" spans="1:8">
      <c r="A423">
        <f t="shared" si="30"/>
        <v>2063</v>
      </c>
      <c r="B423">
        <f t="shared" si="31"/>
        <v>59</v>
      </c>
      <c r="C423">
        <f t="shared" si="34"/>
        <v>2</v>
      </c>
      <c r="D423" s="7">
        <f>Eredmények!$B$6/12*(1+Eredmények!$B$7)^('Havi számolás'!B423-33)</f>
        <v>3001382.5557232676</v>
      </c>
      <c r="E423" s="7">
        <f t="shared" si="33"/>
        <v>122999102.95849583</v>
      </c>
      <c r="F423" s="7">
        <f>Eredmények!$B$8*D423</f>
        <v>240110.60445786142</v>
      </c>
      <c r="G423" s="7">
        <f>SUM(E423:F423)*((1+Eredmények!$B$9)^(1/12)-1)</f>
        <v>452880.62050358689</v>
      </c>
      <c r="H423" s="7">
        <f t="shared" si="32"/>
        <v>123692094.18345727</v>
      </c>
    </row>
    <row r="424" spans="1:8">
      <c r="A424">
        <f t="shared" si="30"/>
        <v>2063</v>
      </c>
      <c r="B424">
        <f t="shared" si="31"/>
        <v>59</v>
      </c>
      <c r="C424">
        <f t="shared" si="34"/>
        <v>3</v>
      </c>
      <c r="D424" s="7">
        <f>Eredmények!$B$6/12*(1+Eredmények!$B$7)^('Havi számolás'!B424-33)</f>
        <v>3001382.5557232676</v>
      </c>
      <c r="E424" s="7">
        <f t="shared" si="33"/>
        <v>123692094.18345727</v>
      </c>
      <c r="F424" s="7">
        <f>Eredmények!$B$8*D424</f>
        <v>240110.60445786142</v>
      </c>
      <c r="G424" s="7">
        <f>SUM(E424:F424)*((1+Eredmények!$B$9)^(1/12)-1)</f>
        <v>455427.23117149546</v>
      </c>
      <c r="H424" s="7">
        <f t="shared" si="32"/>
        <v>124387632.01908661</v>
      </c>
    </row>
    <row r="425" spans="1:8">
      <c r="A425">
        <f t="shared" si="30"/>
        <v>2063</v>
      </c>
      <c r="B425">
        <f t="shared" si="31"/>
        <v>59</v>
      </c>
      <c r="C425">
        <f t="shared" si="34"/>
        <v>4</v>
      </c>
      <c r="D425" s="7">
        <f>Eredmények!$B$6/12*(1+Eredmények!$B$7)^('Havi számolás'!B425-33)</f>
        <v>3001382.5557232676</v>
      </c>
      <c r="E425" s="7">
        <f t="shared" si="33"/>
        <v>124387632.01908661</v>
      </c>
      <c r="F425" s="7">
        <f>Eredmények!$B$8*D425</f>
        <v>240110.60445786142</v>
      </c>
      <c r="G425" s="7">
        <f>SUM(E425:F425)*((1+Eredmények!$B$9)^(1/12)-1)</f>
        <v>457983.2001482257</v>
      </c>
      <c r="H425" s="7">
        <f t="shared" si="32"/>
        <v>125085725.82369269</v>
      </c>
    </row>
    <row r="426" spans="1:8">
      <c r="A426">
        <f t="shared" si="30"/>
        <v>2063</v>
      </c>
      <c r="B426">
        <f t="shared" si="31"/>
        <v>59</v>
      </c>
      <c r="C426">
        <f t="shared" si="34"/>
        <v>5</v>
      </c>
      <c r="D426" s="7">
        <f>Eredmények!$B$6/12*(1+Eredmények!$B$7)^('Havi számolás'!B426-33)</f>
        <v>3001382.5557232676</v>
      </c>
      <c r="E426" s="7">
        <f t="shared" si="33"/>
        <v>125085725.82369269</v>
      </c>
      <c r="F426" s="7">
        <f>Eredmények!$B$8*D426</f>
        <v>240110.60445786142</v>
      </c>
      <c r="G426" s="7">
        <f>SUM(E426:F426)*((1+Eredmények!$B$9)^(1/12)-1)</f>
        <v>460548.56182377884</v>
      </c>
      <c r="H426" s="7">
        <f t="shared" si="32"/>
        <v>125786384.98997433</v>
      </c>
    </row>
    <row r="427" spans="1:8">
      <c r="A427">
        <f t="shared" si="30"/>
        <v>2063</v>
      </c>
      <c r="B427">
        <f t="shared" si="31"/>
        <v>59</v>
      </c>
      <c r="C427">
        <f t="shared" si="34"/>
        <v>6</v>
      </c>
      <c r="D427" s="7">
        <f>Eredmények!$B$6/12*(1+Eredmények!$B$7)^('Havi számolás'!B427-33)</f>
        <v>3001382.5557232676</v>
      </c>
      <c r="E427" s="7">
        <f t="shared" si="33"/>
        <v>125786384.98997433</v>
      </c>
      <c r="F427" s="7">
        <f>Eredmények!$B$8*D427</f>
        <v>240110.60445786142</v>
      </c>
      <c r="G427" s="7">
        <f>SUM(E427:F427)*((1+Eredmények!$B$9)^(1/12)-1)</f>
        <v>463123.35071453283</v>
      </c>
      <c r="H427" s="7">
        <f t="shared" si="32"/>
        <v>126489618.94514672</v>
      </c>
    </row>
    <row r="428" spans="1:8">
      <c r="A428">
        <f t="shared" si="30"/>
        <v>2063</v>
      </c>
      <c r="B428">
        <f t="shared" si="31"/>
        <v>59</v>
      </c>
      <c r="C428">
        <f t="shared" si="34"/>
        <v>7</v>
      </c>
      <c r="D428" s="7">
        <f>Eredmények!$B$6/12*(1+Eredmények!$B$7)^('Havi számolás'!B428-33)</f>
        <v>3001382.5557232676</v>
      </c>
      <c r="E428" s="7">
        <f t="shared" si="33"/>
        <v>126489618.94514672</v>
      </c>
      <c r="F428" s="7">
        <f>Eredmények!$B$8*D428</f>
        <v>240110.60445786142</v>
      </c>
      <c r="G428" s="7">
        <f>SUM(E428:F428)*((1+Eredmények!$B$9)^(1/12)-1)</f>
        <v>465707.60146370676</v>
      </c>
      <c r="H428" s="7">
        <f t="shared" si="32"/>
        <v>127195437.15106829</v>
      </c>
    </row>
    <row r="429" spans="1:8">
      <c r="A429">
        <f t="shared" si="30"/>
        <v>2063</v>
      </c>
      <c r="B429">
        <f t="shared" si="31"/>
        <v>59</v>
      </c>
      <c r="C429">
        <f t="shared" si="34"/>
        <v>8</v>
      </c>
      <c r="D429" s="7">
        <f>Eredmények!$B$6/12*(1+Eredmények!$B$7)^('Havi számolás'!B429-33)</f>
        <v>3001382.5557232676</v>
      </c>
      <c r="E429" s="7">
        <f t="shared" si="33"/>
        <v>127195437.15106829</v>
      </c>
      <c r="F429" s="7">
        <f>Eredmények!$B$8*D429</f>
        <v>240110.60445786142</v>
      </c>
      <c r="G429" s="7">
        <f>SUM(E429:F429)*((1+Eredmények!$B$9)^(1/12)-1)</f>
        <v>468301.34884182678</v>
      </c>
      <c r="H429" s="7">
        <f t="shared" si="32"/>
        <v>127903849.10436797</v>
      </c>
    </row>
    <row r="430" spans="1:8">
      <c r="A430">
        <f t="shared" si="30"/>
        <v>2063</v>
      </c>
      <c r="B430">
        <f t="shared" si="31"/>
        <v>59</v>
      </c>
      <c r="C430">
        <f t="shared" si="34"/>
        <v>9</v>
      </c>
      <c r="D430" s="7">
        <f>Eredmények!$B$6/12*(1+Eredmények!$B$7)^('Havi számolás'!B430-33)</f>
        <v>3001382.5557232676</v>
      </c>
      <c r="E430" s="7">
        <f t="shared" si="33"/>
        <v>127903849.10436797</v>
      </c>
      <c r="F430" s="7">
        <f>Eredmények!$B$8*D430</f>
        <v>240110.60445786142</v>
      </c>
      <c r="G430" s="7">
        <f>SUM(E430:F430)*((1+Eredmények!$B$9)^(1/12)-1)</f>
        <v>470904.62774719426</v>
      </c>
      <c r="H430" s="7">
        <f t="shared" si="32"/>
        <v>128614864.33657302</v>
      </c>
    </row>
    <row r="431" spans="1:8">
      <c r="A431">
        <f t="shared" si="30"/>
        <v>2063</v>
      </c>
      <c r="B431">
        <f t="shared" si="31"/>
        <v>59</v>
      </c>
      <c r="C431">
        <f t="shared" si="34"/>
        <v>10</v>
      </c>
      <c r="D431" s="7">
        <f>Eredmények!$B$6/12*(1+Eredmények!$B$7)^('Havi számolás'!B431-33)</f>
        <v>3001382.5557232676</v>
      </c>
      <c r="E431" s="7">
        <f t="shared" si="33"/>
        <v>128614864.33657302</v>
      </c>
      <c r="F431" s="7">
        <f>Eredmények!$B$8*D431</f>
        <v>240110.60445786142</v>
      </c>
      <c r="G431" s="7">
        <f>SUM(E431:F431)*((1+Eredmények!$B$9)^(1/12)-1)</f>
        <v>473517.47320635518</v>
      </c>
      <c r="H431" s="7">
        <f t="shared" si="32"/>
        <v>129328492.41423723</v>
      </c>
    </row>
    <row r="432" spans="1:8">
      <c r="A432">
        <f t="shared" si="30"/>
        <v>2063</v>
      </c>
      <c r="B432">
        <f t="shared" si="31"/>
        <v>59</v>
      </c>
      <c r="C432">
        <f t="shared" si="34"/>
        <v>11</v>
      </c>
      <c r="D432" s="7">
        <f>Eredmények!$B$6/12*(1+Eredmények!$B$7)^('Havi számolás'!B432-33)</f>
        <v>3001382.5557232676</v>
      </c>
      <c r="E432" s="7">
        <f t="shared" si="33"/>
        <v>129328492.41423723</v>
      </c>
      <c r="F432" s="7">
        <f>Eredmények!$B$8*D432</f>
        <v>240110.60445786142</v>
      </c>
      <c r="G432" s="7">
        <f>SUM(E432:F432)*((1+Eredmények!$B$9)^(1/12)-1)</f>
        <v>476139.92037457129</v>
      </c>
      <c r="H432" s="7">
        <f t="shared" si="32"/>
        <v>130044742.93906966</v>
      </c>
    </row>
    <row r="433" spans="1:8">
      <c r="A433">
        <f t="shared" si="30"/>
        <v>2063</v>
      </c>
      <c r="B433">
        <f t="shared" si="31"/>
        <v>59</v>
      </c>
      <c r="C433">
        <f t="shared" si="34"/>
        <v>12</v>
      </c>
      <c r="D433" s="7">
        <f>Eredmények!$B$6/12*(1+Eredmények!$B$7)^('Havi számolás'!B433-33)</f>
        <v>3001382.5557232676</v>
      </c>
      <c r="E433" s="7">
        <f t="shared" si="33"/>
        <v>130044742.93906966</v>
      </c>
      <c r="F433" s="7">
        <f>Eredmények!$B$8*D433</f>
        <v>240110.60445786142</v>
      </c>
      <c r="G433" s="7">
        <f>SUM(E433:F433)*((1+Eredmények!$B$9)^(1/12)-1)</f>
        <v>478772.00453629333</v>
      </c>
      <c r="H433" s="7">
        <f t="shared" si="32"/>
        <v>130763625.5480638</v>
      </c>
    </row>
    <row r="434" spans="1:8">
      <c r="A434">
        <f t="shared" si="30"/>
        <v>2064</v>
      </c>
      <c r="B434">
        <f t="shared" si="31"/>
        <v>60</v>
      </c>
      <c r="C434">
        <f t="shared" si="34"/>
        <v>1</v>
      </c>
      <c r="D434" s="7">
        <f>Eredmények!$B$6/12*(1+Eredmények!$B$7)^('Havi számolás'!B434-33)</f>
        <v>3091424.0323949652</v>
      </c>
      <c r="E434" s="7">
        <f t="shared" si="33"/>
        <v>130763625.5480638</v>
      </c>
      <c r="F434" s="7">
        <f>Eredmények!$B$8*D434</f>
        <v>247313.92259159722</v>
      </c>
      <c r="G434" s="7">
        <f>SUM(E434:F434)*((1+Eredmények!$B$9)^(1/12)-1)</f>
        <v>481440.23192682781</v>
      </c>
      <c r="H434" s="7">
        <f t="shared" si="32"/>
        <v>131492379.70258223</v>
      </c>
    </row>
    <row r="435" spans="1:8">
      <c r="A435">
        <f t="shared" si="30"/>
        <v>2064</v>
      </c>
      <c r="B435">
        <f t="shared" si="31"/>
        <v>60</v>
      </c>
      <c r="C435">
        <f t="shared" si="34"/>
        <v>2</v>
      </c>
      <c r="D435" s="7">
        <f>Eredmények!$B$6/12*(1+Eredmények!$B$7)^('Havi számolás'!B435-33)</f>
        <v>3091424.0323949652</v>
      </c>
      <c r="E435" s="7">
        <f t="shared" si="33"/>
        <v>131492379.70258223</v>
      </c>
      <c r="F435" s="7">
        <f>Eredmények!$B$8*D435</f>
        <v>247313.92259159722</v>
      </c>
      <c r="G435" s="7">
        <f>SUM(E435:F435)*((1+Eredmények!$B$9)^(1/12)-1)</f>
        <v>484118.26454445953</v>
      </c>
      <c r="H435" s="7">
        <f t="shared" si="32"/>
        <v>132223811.88971828</v>
      </c>
    </row>
    <row r="436" spans="1:8">
      <c r="A436">
        <f t="shared" si="30"/>
        <v>2064</v>
      </c>
      <c r="B436">
        <f t="shared" si="31"/>
        <v>60</v>
      </c>
      <c r="C436">
        <f t="shared" si="34"/>
        <v>3</v>
      </c>
      <c r="D436" s="7">
        <f>Eredmények!$B$6/12*(1+Eredmények!$B$7)^('Havi számolás'!B436-33)</f>
        <v>3091424.0323949652</v>
      </c>
      <c r="E436" s="7">
        <f t="shared" si="33"/>
        <v>132223811.88971828</v>
      </c>
      <c r="F436" s="7">
        <f>Eredmények!$B$8*D436</f>
        <v>247313.92259159722</v>
      </c>
      <c r="G436" s="7">
        <f>SUM(E436:F436)*((1+Eredmények!$B$9)^(1/12)-1)</f>
        <v>486806.13842152915</v>
      </c>
      <c r="H436" s="7">
        <f t="shared" si="32"/>
        <v>132957931.95073141</v>
      </c>
    </row>
    <row r="437" spans="1:8">
      <c r="A437">
        <f t="shared" si="30"/>
        <v>2064</v>
      </c>
      <c r="B437">
        <f t="shared" si="31"/>
        <v>60</v>
      </c>
      <c r="C437">
        <f t="shared" si="34"/>
        <v>4</v>
      </c>
      <c r="D437" s="7">
        <f>Eredmények!$B$6/12*(1+Eredmények!$B$7)^('Havi számolás'!B437-33)</f>
        <v>3091424.0323949652</v>
      </c>
      <c r="E437" s="7">
        <f t="shared" si="33"/>
        <v>132957931.95073141</v>
      </c>
      <c r="F437" s="7">
        <f>Eredmények!$B$8*D437</f>
        <v>247313.92259159722</v>
      </c>
      <c r="G437" s="7">
        <f>SUM(E437:F437)*((1+Eredmények!$B$9)^(1/12)-1)</f>
        <v>489503.88972278952</v>
      </c>
      <c r="H437" s="7">
        <f t="shared" si="32"/>
        <v>133694749.7630458</v>
      </c>
    </row>
    <row r="438" spans="1:8">
      <c r="A438">
        <f t="shared" si="30"/>
        <v>2064</v>
      </c>
      <c r="B438">
        <f t="shared" si="31"/>
        <v>60</v>
      </c>
      <c r="C438">
        <f t="shared" si="34"/>
        <v>5</v>
      </c>
      <c r="D438" s="7">
        <f>Eredmények!$B$6/12*(1+Eredmények!$B$7)^('Havi számolás'!B438-33)</f>
        <v>3091424.0323949652</v>
      </c>
      <c r="E438" s="7">
        <f t="shared" si="33"/>
        <v>133694749.7630458</v>
      </c>
      <c r="F438" s="7">
        <f>Eredmények!$B$8*D438</f>
        <v>247313.92259159722</v>
      </c>
      <c r="G438" s="7">
        <f>SUM(E438:F438)*((1+Eredmények!$B$9)^(1/12)-1)</f>
        <v>492211.55474589177</v>
      </c>
      <c r="H438" s="7">
        <f t="shared" si="32"/>
        <v>134434275.2403833</v>
      </c>
    </row>
    <row r="439" spans="1:8">
      <c r="A439">
        <f t="shared" si="30"/>
        <v>2064</v>
      </c>
      <c r="B439">
        <f t="shared" si="31"/>
        <v>60</v>
      </c>
      <c r="C439">
        <f t="shared" si="34"/>
        <v>6</v>
      </c>
      <c r="D439" s="7">
        <f>Eredmények!$B$6/12*(1+Eredmények!$B$7)^('Havi számolás'!B439-33)</f>
        <v>3091424.0323949652</v>
      </c>
      <c r="E439" s="7">
        <f t="shared" si="33"/>
        <v>134434275.2403833</v>
      </c>
      <c r="F439" s="7">
        <f>Eredmények!$B$8*D439</f>
        <v>247313.92259159722</v>
      </c>
      <c r="G439" s="7">
        <f>SUM(E439:F439)*((1+Eredmények!$B$9)^(1/12)-1)</f>
        <v>494929.16992187413</v>
      </c>
      <c r="H439" s="7">
        <f t="shared" si="32"/>
        <v>135176518.33289677</v>
      </c>
    </row>
    <row r="440" spans="1:8">
      <c r="A440">
        <f t="shared" si="30"/>
        <v>2064</v>
      </c>
      <c r="B440">
        <f t="shared" si="31"/>
        <v>60</v>
      </c>
      <c r="C440">
        <f t="shared" si="34"/>
        <v>7</v>
      </c>
      <c r="D440" s="7">
        <f>Eredmények!$B$6/12*(1+Eredmények!$B$7)^('Havi számolás'!B440-33)</f>
        <v>3091424.0323949652</v>
      </c>
      <c r="E440" s="7">
        <f t="shared" si="33"/>
        <v>135176518.33289677</v>
      </c>
      <c r="F440" s="7">
        <f>Eredmények!$B$8*D440</f>
        <v>247313.92259159722</v>
      </c>
      <c r="G440" s="7">
        <f>SUM(E440:F440)*((1+Eredmények!$B$9)^(1/12)-1)</f>
        <v>497656.77181565197</v>
      </c>
      <c r="H440" s="7">
        <f t="shared" si="32"/>
        <v>135921489.02730402</v>
      </c>
    </row>
    <row r="441" spans="1:8">
      <c r="A441">
        <f t="shared" si="30"/>
        <v>2064</v>
      </c>
      <c r="B441">
        <f t="shared" si="31"/>
        <v>60</v>
      </c>
      <c r="C441">
        <f t="shared" si="34"/>
        <v>8</v>
      </c>
      <c r="D441" s="7">
        <f>Eredmények!$B$6/12*(1+Eredmények!$B$7)^('Havi számolás'!B441-33)</f>
        <v>3091424.0323949652</v>
      </c>
      <c r="E441" s="7">
        <f t="shared" si="33"/>
        <v>135921489.02730402</v>
      </c>
      <c r="F441" s="7">
        <f>Eredmények!$B$8*D441</f>
        <v>247313.92259159722</v>
      </c>
      <c r="G441" s="7">
        <f>SUM(E441:F441)*((1+Eredmények!$B$9)^(1/12)-1)</f>
        <v>500394.39712650969</v>
      </c>
      <c r="H441" s="7">
        <f t="shared" si="32"/>
        <v>136669197.34702212</v>
      </c>
    </row>
    <row r="442" spans="1:8">
      <c r="A442">
        <f t="shared" si="30"/>
        <v>2064</v>
      </c>
      <c r="B442">
        <f t="shared" si="31"/>
        <v>60</v>
      </c>
      <c r="C442">
        <f t="shared" si="34"/>
        <v>9</v>
      </c>
      <c r="D442" s="7">
        <f>Eredmények!$B$6/12*(1+Eredmények!$B$7)^('Havi számolás'!B442-33)</f>
        <v>3091424.0323949652</v>
      </c>
      <c r="E442" s="7">
        <f t="shared" si="33"/>
        <v>136669197.34702212</v>
      </c>
      <c r="F442" s="7">
        <f>Eredmények!$B$8*D442</f>
        <v>247313.92259159722</v>
      </c>
      <c r="G442" s="7">
        <f>SUM(E442:F442)*((1+Eredmények!$B$9)^(1/12)-1)</f>
        <v>503142.08268859459</v>
      </c>
      <c r="H442" s="7">
        <f t="shared" si="32"/>
        <v>137419653.35230231</v>
      </c>
    </row>
    <row r="443" spans="1:8">
      <c r="A443">
        <f t="shared" si="30"/>
        <v>2064</v>
      </c>
      <c r="B443">
        <f t="shared" si="31"/>
        <v>60</v>
      </c>
      <c r="C443">
        <f t="shared" si="34"/>
        <v>10</v>
      </c>
      <c r="D443" s="7">
        <f>Eredmények!$B$6/12*(1+Eredmények!$B$7)^('Havi számolás'!B443-33)</f>
        <v>3091424.0323949652</v>
      </c>
      <c r="E443" s="7">
        <f t="shared" si="33"/>
        <v>137419653.35230231</v>
      </c>
      <c r="F443" s="7">
        <f>Eredmények!$B$8*D443</f>
        <v>247313.92259159722</v>
      </c>
      <c r="G443" s="7">
        <f>SUM(E443:F443)*((1+Eredmények!$B$9)^(1/12)-1)</f>
        <v>505899.86547141254</v>
      </c>
      <c r="H443" s="7">
        <f t="shared" si="32"/>
        <v>138172867.14036533</v>
      </c>
    </row>
    <row r="444" spans="1:8">
      <c r="A444">
        <f t="shared" si="30"/>
        <v>2064</v>
      </c>
      <c r="B444">
        <f t="shared" si="31"/>
        <v>60</v>
      </c>
      <c r="C444">
        <f t="shared" si="34"/>
        <v>11</v>
      </c>
      <c r="D444" s="7">
        <f>Eredmények!$B$6/12*(1+Eredmények!$B$7)^('Havi számolás'!B444-33)</f>
        <v>3091424.0323949652</v>
      </c>
      <c r="E444" s="7">
        <f t="shared" si="33"/>
        <v>138172867.14036533</v>
      </c>
      <c r="F444" s="7">
        <f>Eredmények!$B$8*D444</f>
        <v>247313.92259159722</v>
      </c>
      <c r="G444" s="7">
        <f>SUM(E444:F444)*((1+Eredmények!$B$9)^(1/12)-1)</f>
        <v>508667.78258032515</v>
      </c>
      <c r="H444" s="7">
        <f t="shared" si="32"/>
        <v>138928848.84553725</v>
      </c>
    </row>
    <row r="445" spans="1:8">
      <c r="A445">
        <f t="shared" si="30"/>
        <v>2064</v>
      </c>
      <c r="B445">
        <f t="shared" si="31"/>
        <v>60</v>
      </c>
      <c r="C445">
        <f t="shared" si="34"/>
        <v>12</v>
      </c>
      <c r="D445" s="7">
        <f>Eredmények!$B$6/12*(1+Eredmények!$B$7)^('Havi számolás'!B445-33)</f>
        <v>3091424.0323949652</v>
      </c>
      <c r="E445" s="7">
        <f t="shared" si="33"/>
        <v>138928848.84553725</v>
      </c>
      <c r="F445" s="7">
        <f>Eredmények!$B$8*D445</f>
        <v>247313.92259159722</v>
      </c>
      <c r="G445" s="7">
        <f>SUM(E445:F445)*((1+Eredmények!$B$9)^(1/12)-1)</f>
        <v>511445.87125704921</v>
      </c>
      <c r="H445" s="7">
        <f t="shared" si="32"/>
        <v>139687608.63938588</v>
      </c>
    </row>
    <row r="446" spans="1:8">
      <c r="A446">
        <f t="shared" si="30"/>
        <v>2065</v>
      </c>
      <c r="B446">
        <f t="shared" si="31"/>
        <v>61</v>
      </c>
      <c r="C446">
        <f t="shared" si="34"/>
        <v>1</v>
      </c>
      <c r="D446" s="7">
        <f>Eredmények!$B$6/12*(1+Eredmények!$B$7)^('Havi számolás'!B446-33)</f>
        <v>3184166.7533668145</v>
      </c>
      <c r="E446" s="7">
        <f t="shared" si="33"/>
        <v>139687608.63938588</v>
      </c>
      <c r="F446" s="7">
        <f>Eredmények!$B$8*D446</f>
        <v>254733.34026934515</v>
      </c>
      <c r="G446" s="7">
        <f>SUM(E446:F446)*((1+Eredmények!$B$9)^(1/12)-1)</f>
        <v>514261.4338259857</v>
      </c>
      <c r="H446" s="7">
        <f t="shared" si="32"/>
        <v>140456603.41348124</v>
      </c>
    </row>
    <row r="447" spans="1:8">
      <c r="A447">
        <f t="shared" si="30"/>
        <v>2065</v>
      </c>
      <c r="B447">
        <f t="shared" si="31"/>
        <v>61</v>
      </c>
      <c r="C447">
        <f t="shared" si="34"/>
        <v>2</v>
      </c>
      <c r="D447" s="7">
        <f>Eredmények!$B$6/12*(1+Eredmények!$B$7)^('Havi számolás'!B447-33)</f>
        <v>3184166.7533668145</v>
      </c>
      <c r="E447" s="7">
        <f t="shared" si="33"/>
        <v>140456603.41348124</v>
      </c>
      <c r="F447" s="7">
        <f>Eredmények!$B$8*D447</f>
        <v>254733.34026934515</v>
      </c>
      <c r="G447" s="7">
        <f>SUM(E447:F447)*((1+Eredmények!$B$9)^(1/12)-1)</f>
        <v>517087.34305071813</v>
      </c>
      <c r="H447" s="7">
        <f t="shared" si="32"/>
        <v>141228424.09680131</v>
      </c>
    </row>
    <row r="448" spans="1:8">
      <c r="A448">
        <f t="shared" si="30"/>
        <v>2065</v>
      </c>
      <c r="B448">
        <f t="shared" si="31"/>
        <v>61</v>
      </c>
      <c r="C448">
        <f t="shared" si="34"/>
        <v>3</v>
      </c>
      <c r="D448" s="7">
        <f>Eredmények!$B$6/12*(1+Eredmények!$B$7)^('Havi számolás'!B448-33)</f>
        <v>3184166.7533668145</v>
      </c>
      <c r="E448" s="7">
        <f t="shared" si="33"/>
        <v>141228424.09680131</v>
      </c>
      <c r="F448" s="7">
        <f>Eredmények!$B$8*D448</f>
        <v>254733.34026934515</v>
      </c>
      <c r="G448" s="7">
        <f>SUM(E448:F448)*((1+Eredmények!$B$9)^(1/12)-1)</f>
        <v>519923.63695323432</v>
      </c>
      <c r="H448" s="7">
        <f t="shared" si="32"/>
        <v>142003081.0740239</v>
      </c>
    </row>
    <row r="449" spans="1:8">
      <c r="A449">
        <f t="shared" si="30"/>
        <v>2065</v>
      </c>
      <c r="B449">
        <f t="shared" si="31"/>
        <v>61</v>
      </c>
      <c r="C449">
        <f t="shared" si="34"/>
        <v>4</v>
      </c>
      <c r="D449" s="7">
        <f>Eredmények!$B$6/12*(1+Eredmények!$B$7)^('Havi számolás'!B449-33)</f>
        <v>3184166.7533668145</v>
      </c>
      <c r="E449" s="7">
        <f t="shared" si="33"/>
        <v>142003081.0740239</v>
      </c>
      <c r="F449" s="7">
        <f>Eredmények!$B$8*D449</f>
        <v>254733.34026934515</v>
      </c>
      <c r="G449" s="7">
        <f>SUM(E449:F449)*((1+Eredmények!$B$9)^(1/12)-1)</f>
        <v>522770.35369524587</v>
      </c>
      <c r="H449" s="7">
        <f t="shared" si="32"/>
        <v>142780584.7679885</v>
      </c>
    </row>
    <row r="450" spans="1:8">
      <c r="A450">
        <f t="shared" si="30"/>
        <v>2065</v>
      </c>
      <c r="B450">
        <f t="shared" si="31"/>
        <v>61</v>
      </c>
      <c r="C450">
        <f t="shared" si="34"/>
        <v>5</v>
      </c>
      <c r="D450" s="7">
        <f>Eredmények!$B$6/12*(1+Eredmények!$B$7)^('Havi számolás'!B450-33)</f>
        <v>3184166.7533668145</v>
      </c>
      <c r="E450" s="7">
        <f t="shared" si="33"/>
        <v>142780584.7679885</v>
      </c>
      <c r="F450" s="7">
        <f>Eredmények!$B$8*D450</f>
        <v>254733.34026934515</v>
      </c>
      <c r="G450" s="7">
        <f>SUM(E450:F450)*((1+Eredmények!$B$9)^(1/12)-1)</f>
        <v>525627.53157870134</v>
      </c>
      <c r="H450" s="7">
        <f t="shared" si="32"/>
        <v>143560945.63983655</v>
      </c>
    </row>
    <row r="451" spans="1:8">
      <c r="A451">
        <f t="shared" ref="A451:A514" si="35">INT((ROW(A450)-1)/12+2028)</f>
        <v>2065</v>
      </c>
      <c r="B451">
        <f t="shared" ref="B451:B514" si="36">INT((A451-2004)+(C451-1)/12)</f>
        <v>61</v>
      </c>
      <c r="C451">
        <f t="shared" si="34"/>
        <v>6</v>
      </c>
      <c r="D451" s="7">
        <f>Eredmények!$B$6/12*(1+Eredmények!$B$7)^('Havi számolás'!B451-33)</f>
        <v>3184166.7533668145</v>
      </c>
      <c r="E451" s="7">
        <f t="shared" si="33"/>
        <v>143560945.63983655</v>
      </c>
      <c r="F451" s="7">
        <f>Eredmények!$B$8*D451</f>
        <v>254733.34026934515</v>
      </c>
      <c r="G451" s="7">
        <f>SUM(E451:F451)*((1+Eredmények!$B$9)^(1/12)-1)</f>
        <v>528495.20904630166</v>
      </c>
      <c r="H451" s="7">
        <f t="shared" ref="H451:H514" si="37">E451+F451+G451</f>
        <v>144344174.18915221</v>
      </c>
    </row>
    <row r="452" spans="1:8">
      <c r="A452">
        <f t="shared" si="35"/>
        <v>2065</v>
      </c>
      <c r="B452">
        <f t="shared" si="36"/>
        <v>61</v>
      </c>
      <c r="C452">
        <f t="shared" si="34"/>
        <v>7</v>
      </c>
      <c r="D452" s="7">
        <f>Eredmények!$B$6/12*(1+Eredmények!$B$7)^('Havi számolás'!B452-33)</f>
        <v>3184166.7533668145</v>
      </c>
      <c r="E452" s="7">
        <f t="shared" si="33"/>
        <v>144344174.18915221</v>
      </c>
      <c r="F452" s="7">
        <f>Eredmények!$B$8*D452</f>
        <v>254733.34026934515</v>
      </c>
      <c r="G452" s="7">
        <f>SUM(E452:F452)*((1+Eredmények!$B$9)^(1/12)-1)</f>
        <v>531373.42468201742</v>
      </c>
      <c r="H452" s="7">
        <f t="shared" si="37"/>
        <v>145130280.95410359</v>
      </c>
    </row>
    <row r="453" spans="1:8">
      <c r="A453">
        <f t="shared" si="35"/>
        <v>2065</v>
      </c>
      <c r="B453">
        <f t="shared" si="36"/>
        <v>61</v>
      </c>
      <c r="C453">
        <f t="shared" si="34"/>
        <v>8</v>
      </c>
      <c r="D453" s="7">
        <f>Eredmények!$B$6/12*(1+Eredmények!$B$7)^('Havi számolás'!B453-33)</f>
        <v>3184166.7533668145</v>
      </c>
      <c r="E453" s="7">
        <f t="shared" ref="E453:E516" si="38">H452</f>
        <v>145130280.95410359</v>
      </c>
      <c r="F453" s="7">
        <f>Eredmények!$B$8*D453</f>
        <v>254733.34026934515</v>
      </c>
      <c r="G453" s="7">
        <f>SUM(E453:F453)*((1+Eredmények!$B$9)^(1/12)-1)</f>
        <v>534262.21721160773</v>
      </c>
      <c r="H453" s="7">
        <f t="shared" si="37"/>
        <v>145919276.51158455</v>
      </c>
    </row>
    <row r="454" spans="1:8">
      <c r="A454">
        <f t="shared" si="35"/>
        <v>2065</v>
      </c>
      <c r="B454">
        <f t="shared" si="36"/>
        <v>61</v>
      </c>
      <c r="C454">
        <f t="shared" si="34"/>
        <v>9</v>
      </c>
      <c r="D454" s="7">
        <f>Eredmények!$B$6/12*(1+Eredmények!$B$7)^('Havi számolás'!B454-33)</f>
        <v>3184166.7533668145</v>
      </c>
      <c r="E454" s="7">
        <f t="shared" si="38"/>
        <v>145919276.51158455</v>
      </c>
      <c r="F454" s="7">
        <f>Eredmények!$B$8*D454</f>
        <v>254733.34026934515</v>
      </c>
      <c r="G454" s="7">
        <f>SUM(E454:F454)*((1+Eredmények!$B$9)^(1/12)-1)</f>
        <v>537161.62550314167</v>
      </c>
      <c r="H454" s="7">
        <f t="shared" si="37"/>
        <v>146711171.47735706</v>
      </c>
    </row>
    <row r="455" spans="1:8">
      <c r="A455">
        <f t="shared" si="35"/>
        <v>2065</v>
      </c>
      <c r="B455">
        <f t="shared" si="36"/>
        <v>61</v>
      </c>
      <c r="C455">
        <f t="shared" si="34"/>
        <v>10</v>
      </c>
      <c r="D455" s="7">
        <f>Eredmények!$B$6/12*(1+Eredmények!$B$7)^('Havi számolás'!B455-33)</f>
        <v>3184166.7533668145</v>
      </c>
      <c r="E455" s="7">
        <f t="shared" si="38"/>
        <v>146711171.47735706</v>
      </c>
      <c r="F455" s="7">
        <f>Eredmények!$B$8*D455</f>
        <v>254733.34026934515</v>
      </c>
      <c r="G455" s="7">
        <f>SUM(E455:F455)*((1+Eredmények!$B$9)^(1/12)-1)</f>
        <v>540071.68856752117</v>
      </c>
      <c r="H455" s="7">
        <f t="shared" si="37"/>
        <v>147505976.50619394</v>
      </c>
    </row>
    <row r="456" spans="1:8">
      <c r="A456">
        <f t="shared" si="35"/>
        <v>2065</v>
      </c>
      <c r="B456">
        <f t="shared" si="36"/>
        <v>61</v>
      </c>
      <c r="C456">
        <f t="shared" si="34"/>
        <v>11</v>
      </c>
      <c r="D456" s="7">
        <f>Eredmények!$B$6/12*(1+Eredmények!$B$7)^('Havi számolás'!B456-33)</f>
        <v>3184166.7533668145</v>
      </c>
      <c r="E456" s="7">
        <f t="shared" si="38"/>
        <v>147505976.50619394</v>
      </c>
      <c r="F456" s="7">
        <f>Eredmények!$B$8*D456</f>
        <v>254733.34026934515</v>
      </c>
      <c r="G456" s="7">
        <f>SUM(E456:F456)*((1+Eredmények!$B$9)^(1/12)-1)</f>
        <v>542992.44555900537</v>
      </c>
      <c r="H456" s="7">
        <f t="shared" si="37"/>
        <v>148303702.29202229</v>
      </c>
    </row>
    <row r="457" spans="1:8">
      <c r="A457">
        <f t="shared" si="35"/>
        <v>2065</v>
      </c>
      <c r="B457">
        <f t="shared" si="36"/>
        <v>61</v>
      </c>
      <c r="C457">
        <f t="shared" si="34"/>
        <v>12</v>
      </c>
      <c r="D457" s="7">
        <f>Eredmények!$B$6/12*(1+Eredmények!$B$7)^('Havi számolás'!B457-33)</f>
        <v>3184166.7533668145</v>
      </c>
      <c r="E457" s="7">
        <f t="shared" si="38"/>
        <v>148303702.29202229</v>
      </c>
      <c r="F457" s="7">
        <f>Eredmények!$B$8*D457</f>
        <v>254733.34026934515</v>
      </c>
      <c r="G457" s="7">
        <f>SUM(E457:F457)*((1+Eredmények!$B$9)^(1/12)-1)</f>
        <v>545923.93577573821</v>
      </c>
      <c r="H457" s="7">
        <f t="shared" si="37"/>
        <v>149104359.56806737</v>
      </c>
    </row>
    <row r="458" spans="1:8">
      <c r="A458">
        <f t="shared" si="35"/>
        <v>2066</v>
      </c>
      <c r="B458">
        <f t="shared" si="36"/>
        <v>62</v>
      </c>
      <c r="C458">
        <f t="shared" si="34"/>
        <v>1</v>
      </c>
      <c r="D458" s="7">
        <f>Eredmények!$B$6/12*(1+Eredmények!$B$7)^('Havi számolás'!B458-33)</f>
        <v>3279691.7559678182</v>
      </c>
      <c r="E458" s="7">
        <f t="shared" si="38"/>
        <v>149104359.56806737</v>
      </c>
      <c r="F458" s="7">
        <f>Eredmények!$B$8*D458</f>
        <v>262375.34047742549</v>
      </c>
      <c r="G458" s="7">
        <f>SUM(E458:F458)*((1+Eredmények!$B$9)^(1/12)-1)</f>
        <v>548894.28155447973</v>
      </c>
      <c r="H458" s="7">
        <f t="shared" si="37"/>
        <v>149915629.1900993</v>
      </c>
    </row>
    <row r="459" spans="1:8">
      <c r="A459">
        <f t="shared" si="35"/>
        <v>2066</v>
      </c>
      <c r="B459">
        <f t="shared" si="36"/>
        <v>62</v>
      </c>
      <c r="C459">
        <f t="shared" si="34"/>
        <v>2</v>
      </c>
      <c r="D459" s="7">
        <f>Eredmények!$B$6/12*(1+Eredmények!$B$7)^('Havi számolás'!B459-33)</f>
        <v>3279691.7559678182</v>
      </c>
      <c r="E459" s="7">
        <f t="shared" si="38"/>
        <v>149915629.1900993</v>
      </c>
      <c r="F459" s="7">
        <f>Eredmények!$B$8*D459</f>
        <v>262375.34047742549</v>
      </c>
      <c r="G459" s="7">
        <f>SUM(E459:F459)*((1+Eredmények!$B$9)^(1/12)-1)</f>
        <v>551875.54278781149</v>
      </c>
      <c r="H459" s="7">
        <f t="shared" si="37"/>
        <v>150729880.07336456</v>
      </c>
    </row>
    <row r="460" spans="1:8">
      <c r="A460">
        <f t="shared" si="35"/>
        <v>2066</v>
      </c>
      <c r="B460">
        <f t="shared" si="36"/>
        <v>62</v>
      </c>
      <c r="C460">
        <f t="shared" si="34"/>
        <v>3</v>
      </c>
      <c r="D460" s="7">
        <f>Eredmények!$B$6/12*(1+Eredmények!$B$7)^('Havi számolás'!B460-33)</f>
        <v>3279691.7559678182</v>
      </c>
      <c r="E460" s="7">
        <f t="shared" si="38"/>
        <v>150729880.07336456</v>
      </c>
      <c r="F460" s="7">
        <f>Eredmények!$B$8*D460</f>
        <v>262375.34047742549</v>
      </c>
      <c r="G460" s="7">
        <f>SUM(E460:F460)*((1+Eredmények!$B$9)^(1/12)-1)</f>
        <v>554867.75958794868</v>
      </c>
      <c r="H460" s="7">
        <f t="shared" si="37"/>
        <v>151547123.17342994</v>
      </c>
    </row>
    <row r="461" spans="1:8">
      <c r="A461">
        <f t="shared" si="35"/>
        <v>2066</v>
      </c>
      <c r="B461">
        <f t="shared" si="36"/>
        <v>62</v>
      </c>
      <c r="C461">
        <f t="shared" si="34"/>
        <v>4</v>
      </c>
      <c r="D461" s="7">
        <f>Eredmények!$B$6/12*(1+Eredmények!$B$7)^('Havi számolás'!B461-33)</f>
        <v>3279691.7559678182</v>
      </c>
      <c r="E461" s="7">
        <f t="shared" si="38"/>
        <v>151547123.17342994</v>
      </c>
      <c r="F461" s="7">
        <f>Eredmények!$B$8*D461</f>
        <v>262375.34047742549</v>
      </c>
      <c r="G461" s="7">
        <f>SUM(E461:F461)*((1+Eredmények!$B$9)^(1/12)-1)</f>
        <v>557870.97221451101</v>
      </c>
      <c r="H461" s="7">
        <f t="shared" si="37"/>
        <v>152367369.48612189</v>
      </c>
    </row>
    <row r="462" spans="1:8">
      <c r="A462">
        <f t="shared" si="35"/>
        <v>2066</v>
      </c>
      <c r="B462">
        <f t="shared" si="36"/>
        <v>62</v>
      </c>
      <c r="C462">
        <f t="shared" si="34"/>
        <v>5</v>
      </c>
      <c r="D462" s="7">
        <f>Eredmények!$B$6/12*(1+Eredmények!$B$7)^('Havi számolás'!B462-33)</f>
        <v>3279691.7559678182</v>
      </c>
      <c r="E462" s="7">
        <f t="shared" si="38"/>
        <v>152367369.48612189</v>
      </c>
      <c r="F462" s="7">
        <f>Eredmények!$B$8*D462</f>
        <v>262375.34047742549</v>
      </c>
      <c r="G462" s="7">
        <f>SUM(E462:F462)*((1+Eredmények!$B$9)^(1/12)-1)</f>
        <v>560885.22107506508</v>
      </c>
      <c r="H462" s="7">
        <f t="shared" si="37"/>
        <v>153190630.04767439</v>
      </c>
    </row>
    <row r="463" spans="1:8">
      <c r="A463">
        <f t="shared" si="35"/>
        <v>2066</v>
      </c>
      <c r="B463">
        <f t="shared" si="36"/>
        <v>62</v>
      </c>
      <c r="C463">
        <f t="shared" ref="C463:C517" si="39">C451</f>
        <v>6</v>
      </c>
      <c r="D463" s="7">
        <f>Eredmények!$B$6/12*(1+Eredmények!$B$7)^('Havi számolás'!B463-33)</f>
        <v>3279691.7559678182</v>
      </c>
      <c r="E463" s="7">
        <f t="shared" si="38"/>
        <v>153190630.04767439</v>
      </c>
      <c r="F463" s="7">
        <f>Eredmények!$B$8*D463</f>
        <v>262375.34047742549</v>
      </c>
      <c r="G463" s="7">
        <f>SUM(E463:F463)*((1+Eredmények!$B$9)^(1/12)-1)</f>
        <v>563910.5467256672</v>
      </c>
      <c r="H463" s="7">
        <f t="shared" si="37"/>
        <v>154016915.93487749</v>
      </c>
    </row>
    <row r="464" spans="1:8">
      <c r="A464">
        <f t="shared" si="35"/>
        <v>2066</v>
      </c>
      <c r="B464">
        <f t="shared" si="36"/>
        <v>62</v>
      </c>
      <c r="C464">
        <f t="shared" si="39"/>
        <v>7</v>
      </c>
      <c r="D464" s="7">
        <f>Eredmények!$B$6/12*(1+Eredmények!$B$7)^('Havi számolás'!B464-33)</f>
        <v>3279691.7559678182</v>
      </c>
      <c r="E464" s="7">
        <f t="shared" si="38"/>
        <v>154016915.93487749</v>
      </c>
      <c r="F464" s="7">
        <f>Eredmények!$B$8*D464</f>
        <v>262375.34047742549</v>
      </c>
      <c r="G464" s="7">
        <f>SUM(E464:F464)*((1+Eredmények!$B$9)^(1/12)-1)</f>
        <v>566946.98987140937</v>
      </c>
      <c r="H464" s="7">
        <f t="shared" si="37"/>
        <v>154846238.26522633</v>
      </c>
    </row>
    <row r="465" spans="1:8">
      <c r="A465">
        <f t="shared" si="35"/>
        <v>2066</v>
      </c>
      <c r="B465">
        <f t="shared" si="36"/>
        <v>62</v>
      </c>
      <c r="C465">
        <f t="shared" si="39"/>
        <v>8</v>
      </c>
      <c r="D465" s="7">
        <f>Eredmények!$B$6/12*(1+Eredmények!$B$7)^('Havi számolás'!B465-33)</f>
        <v>3279691.7559678182</v>
      </c>
      <c r="E465" s="7">
        <f t="shared" si="38"/>
        <v>154846238.26522633</v>
      </c>
      <c r="F465" s="7">
        <f>Eredmények!$B$8*D465</f>
        <v>262375.34047742549</v>
      </c>
      <c r="G465" s="7">
        <f>SUM(E465:F465)*((1+Eredmények!$B$9)^(1/12)-1)</f>
        <v>569994.59136696754</v>
      </c>
      <c r="H465" s="7">
        <f t="shared" si="37"/>
        <v>155678608.19707075</v>
      </c>
    </row>
    <row r="466" spans="1:8">
      <c r="A466">
        <f t="shared" si="35"/>
        <v>2066</v>
      </c>
      <c r="B466">
        <f t="shared" si="36"/>
        <v>62</v>
      </c>
      <c r="C466">
        <f t="shared" si="39"/>
        <v>9</v>
      </c>
      <c r="D466" s="7">
        <f>Eredmények!$B$6/12*(1+Eredmények!$B$7)^('Havi számolás'!B466-33)</f>
        <v>3279691.7559678182</v>
      </c>
      <c r="E466" s="7">
        <f t="shared" si="38"/>
        <v>155678608.19707075</v>
      </c>
      <c r="F466" s="7">
        <f>Eredmények!$B$8*D466</f>
        <v>262375.34047742549</v>
      </c>
      <c r="G466" s="7">
        <f>SUM(E466:F466)*((1+Eredmények!$B$9)^(1/12)-1)</f>
        <v>573053.39221715031</v>
      </c>
      <c r="H466" s="7">
        <f t="shared" si="37"/>
        <v>156514036.92976534</v>
      </c>
    </row>
    <row r="467" spans="1:8">
      <c r="A467">
        <f t="shared" si="35"/>
        <v>2066</v>
      </c>
      <c r="B467">
        <f t="shared" si="36"/>
        <v>62</v>
      </c>
      <c r="C467">
        <f t="shared" si="39"/>
        <v>10</v>
      </c>
      <c r="D467" s="7">
        <f>Eredmények!$B$6/12*(1+Eredmények!$B$7)^('Havi számolás'!B467-33)</f>
        <v>3279691.7559678182</v>
      </c>
      <c r="E467" s="7">
        <f t="shared" si="38"/>
        <v>156514036.92976534</v>
      </c>
      <c r="F467" s="7">
        <f>Eredmények!$B$8*D467</f>
        <v>262375.34047742549</v>
      </c>
      <c r="G467" s="7">
        <f>SUM(E467:F467)*((1+Eredmények!$B$9)^(1/12)-1)</f>
        <v>576123.43357745151</v>
      </c>
      <c r="H467" s="7">
        <f t="shared" si="37"/>
        <v>157352535.70382023</v>
      </c>
    </row>
    <row r="468" spans="1:8">
      <c r="A468">
        <f t="shared" si="35"/>
        <v>2066</v>
      </c>
      <c r="B468">
        <f t="shared" si="36"/>
        <v>62</v>
      </c>
      <c r="C468">
        <f t="shared" si="39"/>
        <v>11</v>
      </c>
      <c r="D468" s="7">
        <f>Eredmények!$B$6/12*(1+Eredmények!$B$7)^('Havi számolás'!B468-33)</f>
        <v>3279691.7559678182</v>
      </c>
      <c r="E468" s="7">
        <f t="shared" si="38"/>
        <v>157352535.70382023</v>
      </c>
      <c r="F468" s="7">
        <f>Eredmények!$B$8*D468</f>
        <v>262375.34047742549</v>
      </c>
      <c r="G468" s="7">
        <f>SUM(E468:F468)*((1+Eredmények!$B$9)^(1/12)-1)</f>
        <v>579204.75675460324</v>
      </c>
      <c r="H468" s="7">
        <f t="shared" si="37"/>
        <v>158194115.80105227</v>
      </c>
    </row>
    <row r="469" spans="1:8">
      <c r="A469">
        <f t="shared" si="35"/>
        <v>2066</v>
      </c>
      <c r="B469">
        <f t="shared" si="36"/>
        <v>62</v>
      </c>
      <c r="C469">
        <f t="shared" si="39"/>
        <v>12</v>
      </c>
      <c r="D469" s="7">
        <f>Eredmények!$B$6/12*(1+Eredmények!$B$7)^('Havi számolás'!B469-33)</f>
        <v>3279691.7559678182</v>
      </c>
      <c r="E469" s="7">
        <f t="shared" si="38"/>
        <v>158194115.80105227</v>
      </c>
      <c r="F469" s="7">
        <f>Eredmények!$B$8*D469</f>
        <v>262375.34047742549</v>
      </c>
      <c r="G469" s="7">
        <f>SUM(E469:F469)*((1+Eredmények!$B$9)^(1/12)-1)</f>
        <v>582297.40320713201</v>
      </c>
      <c r="H469" s="7">
        <f t="shared" si="37"/>
        <v>159038788.54473683</v>
      </c>
    </row>
    <row r="470" spans="1:8">
      <c r="A470">
        <f t="shared" si="35"/>
        <v>2067</v>
      </c>
      <c r="B470">
        <f t="shared" si="36"/>
        <v>63</v>
      </c>
      <c r="C470">
        <f t="shared" si="39"/>
        <v>1</v>
      </c>
      <c r="D470" s="7">
        <f>Eredmények!$B$6/12*(1+Eredmények!$B$7)^('Havi számolás'!B470-33)</f>
        <v>3378082.5086468528</v>
      </c>
      <c r="E470" s="7">
        <f t="shared" si="38"/>
        <v>159038788.54473683</v>
      </c>
      <c r="F470" s="7">
        <f>Eredmények!$B$8*D470</f>
        <v>270246.6006917482</v>
      </c>
      <c r="G470" s="7">
        <f>SUM(E470:F470)*((1+Eredmények!$B$9)^(1/12)-1)</f>
        <v>585430.33992694563</v>
      </c>
      <c r="H470" s="7">
        <f t="shared" si="37"/>
        <v>159894465.48535553</v>
      </c>
    </row>
    <row r="471" spans="1:8">
      <c r="A471">
        <f t="shared" si="35"/>
        <v>2067</v>
      </c>
      <c r="B471">
        <f t="shared" si="36"/>
        <v>63</v>
      </c>
      <c r="C471">
        <f t="shared" si="39"/>
        <v>2</v>
      </c>
      <c r="D471" s="7">
        <f>Eredmények!$B$6/12*(1+Eredmények!$B$7)^('Havi számolás'!B471-33)</f>
        <v>3378082.5086468528</v>
      </c>
      <c r="E471" s="7">
        <f t="shared" si="38"/>
        <v>159894465.48535553</v>
      </c>
      <c r="F471" s="7">
        <f>Eredmények!$B$8*D471</f>
        <v>270246.6006917482</v>
      </c>
      <c r="G471" s="7">
        <f>SUM(E471:F471)*((1+Eredmények!$B$9)^(1/12)-1)</f>
        <v>588574.78959206829</v>
      </c>
      <c r="H471" s="7">
        <f t="shared" si="37"/>
        <v>160753286.87563932</v>
      </c>
    </row>
    <row r="472" spans="1:8">
      <c r="A472">
        <f t="shared" si="35"/>
        <v>2067</v>
      </c>
      <c r="B472">
        <f t="shared" si="36"/>
        <v>63</v>
      </c>
      <c r="C472">
        <f t="shared" si="39"/>
        <v>3</v>
      </c>
      <c r="D472" s="7">
        <f>Eredmények!$B$6/12*(1+Eredmények!$B$7)^('Havi számolás'!B472-33)</f>
        <v>3378082.5086468528</v>
      </c>
      <c r="E472" s="7">
        <f t="shared" si="38"/>
        <v>160753286.87563932</v>
      </c>
      <c r="F472" s="7">
        <f>Eredmények!$B$8*D472</f>
        <v>270246.6006917482</v>
      </c>
      <c r="G472" s="7">
        <f>SUM(E472:F472)*((1+Eredmények!$B$9)^(1/12)-1)</f>
        <v>591730.79451037943</v>
      </c>
      <c r="H472" s="7">
        <f t="shared" si="37"/>
        <v>161615264.27084142</v>
      </c>
    </row>
    <row r="473" spans="1:8">
      <c r="A473">
        <f t="shared" si="35"/>
        <v>2067</v>
      </c>
      <c r="B473">
        <f t="shared" si="36"/>
        <v>63</v>
      </c>
      <c r="C473">
        <f t="shared" si="39"/>
        <v>4</v>
      </c>
      <c r="D473" s="7">
        <f>Eredmények!$B$6/12*(1+Eredmények!$B$7)^('Havi számolás'!B473-33)</f>
        <v>3378082.5086468528</v>
      </c>
      <c r="E473" s="7">
        <f t="shared" si="38"/>
        <v>161615264.27084142</v>
      </c>
      <c r="F473" s="7">
        <f>Eredmények!$B$8*D473</f>
        <v>270246.6006917482</v>
      </c>
      <c r="G473" s="7">
        <f>SUM(E473:F473)*((1+Eredmények!$B$9)^(1/12)-1)</f>
        <v>594898.39714523219</v>
      </c>
      <c r="H473" s="7">
        <f t="shared" si="37"/>
        <v>162480409.2686784</v>
      </c>
    </row>
    <row r="474" spans="1:8">
      <c r="A474">
        <f t="shared" si="35"/>
        <v>2067</v>
      </c>
      <c r="B474">
        <f t="shared" si="36"/>
        <v>63</v>
      </c>
      <c r="C474">
        <f t="shared" si="39"/>
        <v>5</v>
      </c>
      <c r="D474" s="7">
        <f>Eredmények!$B$6/12*(1+Eredmények!$B$7)^('Havi számolás'!B474-33)</f>
        <v>3378082.5086468528</v>
      </c>
      <c r="E474" s="7">
        <f t="shared" si="38"/>
        <v>162480409.2686784</v>
      </c>
      <c r="F474" s="7">
        <f>Eredmények!$B$8*D474</f>
        <v>270246.6006917482</v>
      </c>
      <c r="G474" s="7">
        <f>SUM(E474:F474)*((1+Eredmények!$B$9)^(1/12)-1)</f>
        <v>598077.64011602441</v>
      </c>
      <c r="H474" s="7">
        <f t="shared" si="37"/>
        <v>163348733.50948617</v>
      </c>
    </row>
    <row r="475" spans="1:8">
      <c r="A475">
        <f t="shared" si="35"/>
        <v>2067</v>
      </c>
      <c r="B475">
        <f t="shared" si="36"/>
        <v>63</v>
      </c>
      <c r="C475">
        <f t="shared" si="39"/>
        <v>6</v>
      </c>
      <c r="D475" s="7">
        <f>Eredmények!$B$6/12*(1+Eredmények!$B$7)^('Havi számolás'!B475-33)</f>
        <v>3378082.5086468528</v>
      </c>
      <c r="E475" s="7">
        <f t="shared" si="38"/>
        <v>163348733.50948617</v>
      </c>
      <c r="F475" s="7">
        <f>Eredmények!$B$8*D475</f>
        <v>270246.6006917482</v>
      </c>
      <c r="G475" s="7">
        <f>SUM(E475:F475)*((1+Eredmények!$B$9)^(1/12)-1)</f>
        <v>601268.56619877194</v>
      </c>
      <c r="H475" s="7">
        <f t="shared" si="37"/>
        <v>164220248.67637667</v>
      </c>
    </row>
    <row r="476" spans="1:8">
      <c r="A476">
        <f t="shared" si="35"/>
        <v>2067</v>
      </c>
      <c r="B476">
        <f t="shared" si="36"/>
        <v>63</v>
      </c>
      <c r="C476">
        <f t="shared" si="39"/>
        <v>7</v>
      </c>
      <c r="D476" s="7">
        <f>Eredmények!$B$6/12*(1+Eredmények!$B$7)^('Havi számolás'!B476-33)</f>
        <v>3378082.5086468528</v>
      </c>
      <c r="E476" s="7">
        <f t="shared" si="38"/>
        <v>164220248.67637667</v>
      </c>
      <c r="F476" s="7">
        <f>Eredmények!$B$8*D476</f>
        <v>270246.6006917482</v>
      </c>
      <c r="G476" s="7">
        <f>SUM(E476:F476)*((1+Eredmények!$B$9)^(1/12)-1)</f>
        <v>604471.21832668455</v>
      </c>
      <c r="H476" s="7">
        <f t="shared" si="37"/>
        <v>165094966.49539509</v>
      </c>
    </row>
    <row r="477" spans="1:8">
      <c r="A477">
        <f t="shared" si="35"/>
        <v>2067</v>
      </c>
      <c r="B477">
        <f t="shared" si="36"/>
        <v>63</v>
      </c>
      <c r="C477">
        <f t="shared" si="39"/>
        <v>8</v>
      </c>
      <c r="D477" s="7">
        <f>Eredmények!$B$6/12*(1+Eredmények!$B$7)^('Havi számolás'!B477-33)</f>
        <v>3378082.5086468528</v>
      </c>
      <c r="E477" s="7">
        <f t="shared" si="38"/>
        <v>165094966.49539509</v>
      </c>
      <c r="F477" s="7">
        <f>Eredmények!$B$8*D477</f>
        <v>270246.6006917482</v>
      </c>
      <c r="G477" s="7">
        <f>SUM(E477:F477)*((1+Eredmények!$B$9)^(1/12)-1)</f>
        <v>607685.639590743</v>
      </c>
      <c r="H477" s="7">
        <f t="shared" si="37"/>
        <v>165972898.73567757</v>
      </c>
    </row>
    <row r="478" spans="1:8">
      <c r="A478">
        <f t="shared" si="35"/>
        <v>2067</v>
      </c>
      <c r="B478">
        <f t="shared" si="36"/>
        <v>63</v>
      </c>
      <c r="C478">
        <f t="shared" si="39"/>
        <v>9</v>
      </c>
      <c r="D478" s="7">
        <f>Eredmények!$B$6/12*(1+Eredmények!$B$7)^('Havi számolás'!B478-33)</f>
        <v>3378082.5086468528</v>
      </c>
      <c r="E478" s="7">
        <f t="shared" si="38"/>
        <v>165972898.73567757</v>
      </c>
      <c r="F478" s="7">
        <f>Eredmények!$B$8*D478</f>
        <v>270246.6006917482</v>
      </c>
      <c r="G478" s="7">
        <f>SUM(E478:F478)*((1+Eredmények!$B$9)^(1/12)-1)</f>
        <v>610911.87324027962</v>
      </c>
      <c r="H478" s="7">
        <f t="shared" si="37"/>
        <v>166854057.2096096</v>
      </c>
    </row>
    <row r="479" spans="1:8">
      <c r="A479">
        <f t="shared" si="35"/>
        <v>2067</v>
      </c>
      <c r="B479">
        <f t="shared" si="36"/>
        <v>63</v>
      </c>
      <c r="C479">
        <f t="shared" si="39"/>
        <v>10</v>
      </c>
      <c r="D479" s="7">
        <f>Eredmények!$B$6/12*(1+Eredmények!$B$7)^('Havi számolás'!B479-33)</f>
        <v>3378082.5086468528</v>
      </c>
      <c r="E479" s="7">
        <f t="shared" si="38"/>
        <v>166854057.2096096</v>
      </c>
      <c r="F479" s="7">
        <f>Eredmények!$B$8*D479</f>
        <v>270246.6006917482</v>
      </c>
      <c r="G479" s="7">
        <f>SUM(E479:F479)*((1+Eredmények!$B$9)^(1/12)-1)</f>
        <v>614149.96268355963</v>
      </c>
      <c r="H479" s="7">
        <f t="shared" si="37"/>
        <v>167738453.77298489</v>
      </c>
    </row>
    <row r="480" spans="1:8">
      <c r="A480">
        <f t="shared" si="35"/>
        <v>2067</v>
      </c>
      <c r="B480">
        <f t="shared" si="36"/>
        <v>63</v>
      </c>
      <c r="C480">
        <f t="shared" si="39"/>
        <v>11</v>
      </c>
      <c r="D480" s="7">
        <f>Eredmények!$B$6/12*(1+Eredmények!$B$7)^('Havi számolás'!B480-33)</f>
        <v>3378082.5086468528</v>
      </c>
      <c r="E480" s="7">
        <f t="shared" si="38"/>
        <v>167738453.77298489</v>
      </c>
      <c r="F480" s="7">
        <f>Eredmények!$B$8*D480</f>
        <v>270246.6006917482</v>
      </c>
      <c r="G480" s="7">
        <f>SUM(E480:F480)*((1+Eredmények!$B$9)^(1/12)-1)</f>
        <v>617399.95148836519</v>
      </c>
      <c r="H480" s="7">
        <f t="shared" si="37"/>
        <v>168626100.325165</v>
      </c>
    </row>
    <row r="481" spans="1:8">
      <c r="A481">
        <f t="shared" si="35"/>
        <v>2067</v>
      </c>
      <c r="B481">
        <f t="shared" si="36"/>
        <v>63</v>
      </c>
      <c r="C481">
        <f t="shared" si="39"/>
        <v>12</v>
      </c>
      <c r="D481" s="7">
        <f>Eredmények!$B$6/12*(1+Eredmények!$B$7)^('Havi számolás'!B481-33)</f>
        <v>3378082.5086468528</v>
      </c>
      <c r="E481" s="7">
        <f t="shared" si="38"/>
        <v>168626100.325165</v>
      </c>
      <c r="F481" s="7">
        <f>Eredmények!$B$8*D481</f>
        <v>270246.6006917482</v>
      </c>
      <c r="G481" s="7">
        <f>SUM(E481:F481)*((1+Eredmények!$B$9)^(1/12)-1)</f>
        <v>620661.88338258211</v>
      </c>
      <c r="H481" s="7">
        <f t="shared" si="37"/>
        <v>169517008.80923933</v>
      </c>
    </row>
    <row r="482" spans="1:8">
      <c r="A482">
        <f t="shared" si="35"/>
        <v>2068</v>
      </c>
      <c r="B482">
        <f t="shared" si="36"/>
        <v>64</v>
      </c>
      <c r="C482">
        <f t="shared" si="39"/>
        <v>1</v>
      </c>
      <c r="D482" s="7">
        <f>Eredmények!$B$6/12*(1+Eredmények!$B$7)^('Havi számolás'!B482-33)</f>
        <v>3479424.9839062593</v>
      </c>
      <c r="E482" s="7">
        <f t="shared" si="38"/>
        <v>169517008.80923933</v>
      </c>
      <c r="F482" s="7">
        <f>Eredmények!$B$8*D482</f>
        <v>278353.99871250073</v>
      </c>
      <c r="G482" s="7">
        <f>SUM(E482:F482)*((1+Eredmények!$B$9)^(1/12)-1)</f>
        <v>623965.59539724712</v>
      </c>
      <c r="H482" s="7">
        <f t="shared" si="37"/>
        <v>170419328.40334907</v>
      </c>
    </row>
    <row r="483" spans="1:8">
      <c r="A483">
        <f t="shared" si="35"/>
        <v>2068</v>
      </c>
      <c r="B483">
        <f t="shared" si="36"/>
        <v>64</v>
      </c>
      <c r="C483">
        <f t="shared" si="39"/>
        <v>2</v>
      </c>
      <c r="D483" s="7">
        <f>Eredmények!$B$6/12*(1+Eredmények!$B$7)^('Havi számolás'!B483-33)</f>
        <v>3479424.9839062593</v>
      </c>
      <c r="E483" s="7">
        <f t="shared" si="38"/>
        <v>170419328.40334907</v>
      </c>
      <c r="F483" s="7">
        <f>Eredmények!$B$8*D483</f>
        <v>278353.99871250073</v>
      </c>
      <c r="G483" s="7">
        <f>SUM(E483:F483)*((1+Eredmények!$B$9)^(1/12)-1)</f>
        <v>627281.44792387995</v>
      </c>
      <c r="H483" s="7">
        <f t="shared" si="37"/>
        <v>171324963.84998545</v>
      </c>
    </row>
    <row r="484" spans="1:8">
      <c r="A484">
        <f t="shared" si="35"/>
        <v>2068</v>
      </c>
      <c r="B484">
        <f t="shared" si="36"/>
        <v>64</v>
      </c>
      <c r="C484">
        <f t="shared" si="39"/>
        <v>3</v>
      </c>
      <c r="D484" s="7">
        <f>Eredmények!$B$6/12*(1+Eredmények!$B$7)^('Havi számolás'!B484-33)</f>
        <v>3479424.9839062593</v>
      </c>
      <c r="E484" s="7">
        <f t="shared" si="38"/>
        <v>171324963.84998545</v>
      </c>
      <c r="F484" s="7">
        <f>Eredmények!$B$8*D484</f>
        <v>278353.99871250073</v>
      </c>
      <c r="G484" s="7">
        <f>SUM(E484:F484)*((1+Eredmények!$B$9)^(1/12)-1)</f>
        <v>630609.48557654815</v>
      </c>
      <c r="H484" s="7">
        <f t="shared" si="37"/>
        <v>172233927.3342745</v>
      </c>
    </row>
    <row r="485" spans="1:8">
      <c r="A485">
        <f t="shared" si="35"/>
        <v>2068</v>
      </c>
      <c r="B485">
        <f t="shared" si="36"/>
        <v>64</v>
      </c>
      <c r="C485">
        <f t="shared" si="39"/>
        <v>4</v>
      </c>
      <c r="D485" s="7">
        <f>Eredmények!$B$6/12*(1+Eredmények!$B$7)^('Havi számolás'!B485-33)</f>
        <v>3479424.9839062593</v>
      </c>
      <c r="E485" s="7">
        <f t="shared" si="38"/>
        <v>172233927.3342745</v>
      </c>
      <c r="F485" s="7">
        <f>Eredmények!$B$8*D485</f>
        <v>278353.99871250073</v>
      </c>
      <c r="G485" s="7">
        <f>SUM(E485:F485)*((1+Eredmények!$B$9)^(1/12)-1)</f>
        <v>633949.7531332674</v>
      </c>
      <c r="H485" s="7">
        <f t="shared" si="37"/>
        <v>173146231.08612028</v>
      </c>
    </row>
    <row r="486" spans="1:8">
      <c r="A486">
        <f t="shared" si="35"/>
        <v>2068</v>
      </c>
      <c r="B486">
        <f t="shared" si="36"/>
        <v>64</v>
      </c>
      <c r="C486">
        <f t="shared" si="39"/>
        <v>5</v>
      </c>
      <c r="D486" s="7">
        <f>Eredmények!$B$6/12*(1+Eredmények!$B$7)^('Havi számolás'!B486-33)</f>
        <v>3479424.9839062593</v>
      </c>
      <c r="E486" s="7">
        <f t="shared" si="38"/>
        <v>173146231.08612028</v>
      </c>
      <c r="F486" s="7">
        <f>Eredmények!$B$8*D486</f>
        <v>278353.99871250073</v>
      </c>
      <c r="G486" s="7">
        <f>SUM(E486:F486)*((1+Eredmények!$B$9)^(1/12)-1)</f>
        <v>637302.29553660413</v>
      </c>
      <c r="H486" s="7">
        <f t="shared" si="37"/>
        <v>174061887.3803694</v>
      </c>
    </row>
    <row r="487" spans="1:8">
      <c r="A487">
        <f t="shared" si="35"/>
        <v>2068</v>
      </c>
      <c r="B487">
        <f t="shared" si="36"/>
        <v>64</v>
      </c>
      <c r="C487">
        <f t="shared" si="39"/>
        <v>6</v>
      </c>
      <c r="D487" s="7">
        <f>Eredmények!$B$6/12*(1+Eredmények!$B$7)^('Havi számolás'!B487-33)</f>
        <v>3479424.9839062593</v>
      </c>
      <c r="E487" s="7">
        <f t="shared" si="38"/>
        <v>174061887.3803694</v>
      </c>
      <c r="F487" s="7">
        <f>Eredmények!$B$8*D487</f>
        <v>278353.99871250073</v>
      </c>
      <c r="G487" s="7">
        <f>SUM(E487:F487)*((1+Eredmények!$B$9)^(1/12)-1)</f>
        <v>640667.15789427992</v>
      </c>
      <c r="H487" s="7">
        <f t="shared" si="37"/>
        <v>174980908.53697619</v>
      </c>
    </row>
    <row r="488" spans="1:8">
      <c r="A488">
        <f t="shared" si="35"/>
        <v>2068</v>
      </c>
      <c r="B488">
        <f t="shared" si="36"/>
        <v>64</v>
      </c>
      <c r="C488">
        <f t="shared" si="39"/>
        <v>7</v>
      </c>
      <c r="D488" s="7">
        <f>Eredmények!$B$6/12*(1+Eredmények!$B$7)^('Havi számolás'!B488-33)</f>
        <v>3479424.9839062593</v>
      </c>
      <c r="E488" s="7">
        <f t="shared" si="38"/>
        <v>174980908.53697619</v>
      </c>
      <c r="F488" s="7">
        <f>Eredmények!$B$8*D488</f>
        <v>278353.99871250073</v>
      </c>
      <c r="G488" s="7">
        <f>SUM(E488:F488)*((1+Eredmények!$B$9)^(1/12)-1)</f>
        <v>644044.38547977898</v>
      </c>
      <c r="H488" s="7">
        <f t="shared" si="37"/>
        <v>175903306.92116848</v>
      </c>
    </row>
    <row r="489" spans="1:8">
      <c r="A489">
        <f t="shared" si="35"/>
        <v>2068</v>
      </c>
      <c r="B489">
        <f t="shared" si="36"/>
        <v>64</v>
      </c>
      <c r="C489">
        <f t="shared" si="39"/>
        <v>8</v>
      </c>
      <c r="D489" s="7">
        <f>Eredmények!$B$6/12*(1+Eredmények!$B$7)^('Havi számolás'!B489-33)</f>
        <v>3479424.9839062593</v>
      </c>
      <c r="E489" s="7">
        <f t="shared" si="38"/>
        <v>175903306.92116848</v>
      </c>
      <c r="F489" s="7">
        <f>Eredmények!$B$8*D489</f>
        <v>278353.99871250073</v>
      </c>
      <c r="G489" s="7">
        <f>SUM(E489:F489)*((1+Eredmények!$B$9)^(1/12)-1)</f>
        <v>647434.0237329565</v>
      </c>
      <c r="H489" s="7">
        <f t="shared" si="37"/>
        <v>176829094.94361395</v>
      </c>
    </row>
    <row r="490" spans="1:8">
      <c r="A490">
        <f t="shared" si="35"/>
        <v>2068</v>
      </c>
      <c r="B490">
        <f t="shared" si="36"/>
        <v>64</v>
      </c>
      <c r="C490">
        <f t="shared" si="39"/>
        <v>9</v>
      </c>
      <c r="D490" s="7">
        <f>Eredmények!$B$6/12*(1+Eredmények!$B$7)^('Havi számolás'!B490-33)</f>
        <v>3479424.9839062593</v>
      </c>
      <c r="E490" s="7">
        <f t="shared" si="38"/>
        <v>176829094.94361395</v>
      </c>
      <c r="F490" s="7">
        <f>Eredmények!$B$8*D490</f>
        <v>278353.99871250073</v>
      </c>
      <c r="G490" s="7">
        <f>SUM(E490:F490)*((1+Eredmények!$B$9)^(1/12)-1)</f>
        <v>650836.11826065101</v>
      </c>
      <c r="H490" s="7">
        <f t="shared" si="37"/>
        <v>177758285.06058711</v>
      </c>
    </row>
    <row r="491" spans="1:8">
      <c r="A491">
        <f t="shared" si="35"/>
        <v>2068</v>
      </c>
      <c r="B491">
        <f t="shared" si="36"/>
        <v>64</v>
      </c>
      <c r="C491">
        <f t="shared" si="39"/>
        <v>10</v>
      </c>
      <c r="D491" s="7">
        <f>Eredmények!$B$6/12*(1+Eredmények!$B$7)^('Havi számolás'!B491-33)</f>
        <v>3479424.9839062593</v>
      </c>
      <c r="E491" s="7">
        <f t="shared" si="38"/>
        <v>177758285.06058711</v>
      </c>
      <c r="F491" s="7">
        <f>Eredmények!$B$8*D491</f>
        <v>278353.99871250073</v>
      </c>
      <c r="G491" s="7">
        <f>SUM(E491:F491)*((1+Eredmények!$B$9)^(1/12)-1)</f>
        <v>654250.71483729698</v>
      </c>
      <c r="H491" s="7">
        <f t="shared" si="37"/>
        <v>178690889.7741369</v>
      </c>
    </row>
    <row r="492" spans="1:8">
      <c r="A492">
        <f t="shared" si="35"/>
        <v>2068</v>
      </c>
      <c r="B492">
        <f t="shared" si="36"/>
        <v>64</v>
      </c>
      <c r="C492">
        <f t="shared" si="39"/>
        <v>11</v>
      </c>
      <c r="D492" s="7">
        <f>Eredmények!$B$6/12*(1+Eredmények!$B$7)^('Havi számolás'!B492-33)</f>
        <v>3479424.9839062593</v>
      </c>
      <c r="E492" s="7">
        <f t="shared" si="38"/>
        <v>178690889.7741369</v>
      </c>
      <c r="F492" s="7">
        <f>Eredmények!$B$8*D492</f>
        <v>278353.99871250073</v>
      </c>
      <c r="G492" s="7">
        <f>SUM(E492:F492)*((1+Eredmények!$B$9)^(1/12)-1)</f>
        <v>657677.85940554144</v>
      </c>
      <c r="H492" s="7">
        <f t="shared" si="37"/>
        <v>179626921.63225496</v>
      </c>
    </row>
    <row r="493" spans="1:8">
      <c r="A493">
        <f t="shared" si="35"/>
        <v>2068</v>
      </c>
      <c r="B493">
        <f t="shared" si="36"/>
        <v>64</v>
      </c>
      <c r="C493">
        <f t="shared" si="39"/>
        <v>12</v>
      </c>
      <c r="D493" s="7">
        <f>Eredmények!$B$6/12*(1+Eredmények!$B$7)^('Havi számolás'!B493-33)</f>
        <v>3479424.9839062593</v>
      </c>
      <c r="E493" s="7">
        <f t="shared" si="38"/>
        <v>179626921.63225496</v>
      </c>
      <c r="F493" s="7">
        <f>Eredmények!$B$8*D493</f>
        <v>278353.99871250073</v>
      </c>
      <c r="G493" s="7">
        <f>SUM(E493:F493)*((1+Eredmények!$B$9)^(1/12)-1)</f>
        <v>661117.59807686205</v>
      </c>
      <c r="H493" s="7">
        <f t="shared" si="37"/>
        <v>180566393.22904432</v>
      </c>
    </row>
    <row r="494" spans="1:8">
      <c r="A494">
        <f t="shared" si="35"/>
        <v>2069</v>
      </c>
      <c r="B494">
        <f t="shared" si="36"/>
        <v>65</v>
      </c>
      <c r="C494">
        <f t="shared" si="39"/>
        <v>1</v>
      </c>
      <c r="D494" s="7">
        <f>Eredmények!$B$6/12*(1+Eredmények!$B$7)^('Havi számolás'!B494-33)</f>
        <v>3583807.7334234463</v>
      </c>
      <c r="E494" s="7">
        <f t="shared" si="38"/>
        <v>180566393.22904432</v>
      </c>
      <c r="F494" s="7">
        <f>Eredmények!$B$8*D494</f>
        <v>286704.6186738757</v>
      </c>
      <c r="G494" s="7">
        <f>SUM(E494:F494)*((1+Eredmények!$B$9)^(1/12)-1)</f>
        <v>664600.66406892042</v>
      </c>
      <c r="H494" s="7">
        <f t="shared" si="37"/>
        <v>181517698.51178709</v>
      </c>
    </row>
    <row r="495" spans="1:8">
      <c r="A495">
        <f t="shared" si="35"/>
        <v>2069</v>
      </c>
      <c r="B495">
        <f t="shared" si="36"/>
        <v>65</v>
      </c>
      <c r="C495">
        <f t="shared" si="39"/>
        <v>2</v>
      </c>
      <c r="D495" s="7">
        <f>Eredmények!$B$6/12*(1+Eredmények!$B$7)^('Havi számolás'!B495-33)</f>
        <v>3583807.7334234463</v>
      </c>
      <c r="E495" s="7">
        <f t="shared" si="38"/>
        <v>181517698.51178709</v>
      </c>
      <c r="F495" s="7">
        <f>Eredmények!$B$8*D495</f>
        <v>286704.6186738757</v>
      </c>
      <c r="G495" s="7">
        <f>SUM(E495:F495)*((1+Eredmények!$B$9)^(1/12)-1)</f>
        <v>668096.52966462879</v>
      </c>
      <c r="H495" s="7">
        <f t="shared" si="37"/>
        <v>182472499.66012558</v>
      </c>
    </row>
    <row r="496" spans="1:8">
      <c r="A496">
        <f t="shared" si="35"/>
        <v>2069</v>
      </c>
      <c r="B496">
        <f t="shared" si="36"/>
        <v>65</v>
      </c>
      <c r="C496">
        <f t="shared" si="39"/>
        <v>3</v>
      </c>
      <c r="D496" s="7">
        <f>Eredmények!$B$6/12*(1+Eredmények!$B$7)^('Havi számolás'!B496-33)</f>
        <v>3583807.7334234463</v>
      </c>
      <c r="E496" s="7">
        <f t="shared" si="38"/>
        <v>182472499.66012558</v>
      </c>
      <c r="F496" s="7">
        <f>Eredmények!$B$8*D496</f>
        <v>286704.6186738757</v>
      </c>
      <c r="G496" s="7">
        <f>SUM(E496:F496)*((1+Eredmények!$B$9)^(1/12)-1)</f>
        <v>671605.24190009106</v>
      </c>
      <c r="H496" s="7">
        <f t="shared" si="37"/>
        <v>183430809.52069953</v>
      </c>
    </row>
    <row r="497" spans="1:8">
      <c r="A497">
        <f t="shared" si="35"/>
        <v>2069</v>
      </c>
      <c r="B497">
        <f t="shared" si="36"/>
        <v>65</v>
      </c>
      <c r="C497">
        <f t="shared" si="39"/>
        <v>4</v>
      </c>
      <c r="D497" s="7">
        <f>Eredmények!$B$6/12*(1+Eredmények!$B$7)^('Havi számolás'!B497-33)</f>
        <v>3583807.7334234463</v>
      </c>
      <c r="E497" s="7">
        <f t="shared" si="38"/>
        <v>183430809.52069953</v>
      </c>
      <c r="F497" s="7">
        <f>Eredmények!$B$8*D497</f>
        <v>286704.6186738757</v>
      </c>
      <c r="G497" s="7">
        <f>SUM(E497:F497)*((1+Eredmények!$B$9)^(1/12)-1)</f>
        <v>675126.84798425948</v>
      </c>
      <c r="H497" s="7">
        <f t="shared" si="37"/>
        <v>184392640.98735765</v>
      </c>
    </row>
    <row r="498" spans="1:8">
      <c r="A498">
        <f t="shared" si="35"/>
        <v>2069</v>
      </c>
      <c r="B498">
        <f t="shared" si="36"/>
        <v>65</v>
      </c>
      <c r="C498">
        <f t="shared" si="39"/>
        <v>5</v>
      </c>
      <c r="D498" s="7">
        <f>Eredmények!$B$6/12*(1+Eredmények!$B$7)^('Havi számolás'!B498-33)</f>
        <v>3583807.7334234463</v>
      </c>
      <c r="E498" s="7">
        <f t="shared" si="38"/>
        <v>184392640.98735765</v>
      </c>
      <c r="F498" s="7">
        <f>Eredmények!$B$8*D498</f>
        <v>286704.6186738757</v>
      </c>
      <c r="G498" s="7">
        <f>SUM(E498:F498)*((1+Eredmények!$B$9)^(1/12)-1)</f>
        <v>678661.39529957075</v>
      </c>
      <c r="H498" s="7">
        <f t="shared" si="37"/>
        <v>185358007.00133109</v>
      </c>
    </row>
    <row r="499" spans="1:8">
      <c r="A499">
        <f t="shared" si="35"/>
        <v>2069</v>
      </c>
      <c r="B499">
        <f t="shared" si="36"/>
        <v>65</v>
      </c>
      <c r="C499">
        <f t="shared" si="39"/>
        <v>6</v>
      </c>
      <c r="D499" s="7">
        <f>Eredmények!$B$6/12*(1+Eredmények!$B$7)^('Havi számolás'!B499-33)</f>
        <v>3583807.7334234463</v>
      </c>
      <c r="E499" s="7">
        <f t="shared" si="38"/>
        <v>185358007.00133109</v>
      </c>
      <c r="F499" s="7">
        <f>Eredmények!$B$8*D499</f>
        <v>286704.6186738757</v>
      </c>
      <c r="G499" s="7">
        <f>SUM(E499:F499)*((1+Eredmények!$B$9)^(1/12)-1)</f>
        <v>682208.93140258256</v>
      </c>
      <c r="H499" s="7">
        <f t="shared" si="37"/>
        <v>186326920.55140755</v>
      </c>
    </row>
    <row r="500" spans="1:8">
      <c r="A500">
        <f t="shared" si="35"/>
        <v>2069</v>
      </c>
      <c r="B500">
        <f t="shared" si="36"/>
        <v>65</v>
      </c>
      <c r="C500">
        <f t="shared" si="39"/>
        <v>7</v>
      </c>
      <c r="D500" s="7">
        <f>Eredmények!$B$6/12*(1+Eredmények!$B$7)^('Havi számolás'!B500-33)</f>
        <v>3583807.7334234463</v>
      </c>
      <c r="E500" s="7">
        <f t="shared" si="38"/>
        <v>186326920.55140755</v>
      </c>
      <c r="F500" s="7">
        <f>Eredmények!$B$8*D500</f>
        <v>286704.6186738757</v>
      </c>
      <c r="G500" s="7">
        <f>SUM(E500:F500)*((1+Eredmények!$B$9)^(1/12)-1)</f>
        <v>685769.50402461423</v>
      </c>
      <c r="H500" s="7">
        <f t="shared" si="37"/>
        <v>187299394.67410603</v>
      </c>
    </row>
    <row r="501" spans="1:8">
      <c r="A501">
        <f t="shared" si="35"/>
        <v>2069</v>
      </c>
      <c r="B501">
        <f t="shared" si="36"/>
        <v>65</v>
      </c>
      <c r="C501">
        <f t="shared" si="39"/>
        <v>8</v>
      </c>
      <c r="D501" s="7">
        <f>Eredmények!$B$6/12*(1+Eredmények!$B$7)^('Havi számolás'!B501-33)</f>
        <v>3583807.7334234463</v>
      </c>
      <c r="E501" s="7">
        <f t="shared" si="38"/>
        <v>187299394.67410603</v>
      </c>
      <c r="F501" s="7">
        <f>Eredmények!$B$8*D501</f>
        <v>286704.6186738757</v>
      </c>
      <c r="G501" s="7">
        <f>SUM(E501:F501)*((1+Eredmények!$B$9)^(1/12)-1)</f>
        <v>689343.16107238817</v>
      </c>
      <c r="H501" s="7">
        <f t="shared" si="37"/>
        <v>188275442.45385227</v>
      </c>
    </row>
    <row r="502" spans="1:8">
      <c r="A502">
        <f t="shared" si="35"/>
        <v>2069</v>
      </c>
      <c r="B502">
        <f t="shared" si="36"/>
        <v>65</v>
      </c>
      <c r="C502">
        <f t="shared" si="39"/>
        <v>9</v>
      </c>
      <c r="D502" s="7">
        <f>Eredmények!$B$6/12*(1+Eredmények!$B$7)^('Havi számolás'!B502-33)</f>
        <v>3583807.7334234463</v>
      </c>
      <c r="E502" s="7">
        <f t="shared" si="38"/>
        <v>188275442.45385227</v>
      </c>
      <c r="F502" s="7">
        <f>Eredmények!$B$8*D502</f>
        <v>286704.6186738757</v>
      </c>
      <c r="G502" s="7">
        <f>SUM(E502:F502)*((1+Eredmények!$B$9)^(1/12)-1)</f>
        <v>692929.95062867517</v>
      </c>
      <c r="H502" s="7">
        <f t="shared" si="37"/>
        <v>189255077.0231548</v>
      </c>
    </row>
    <row r="503" spans="1:8">
      <c r="A503">
        <f t="shared" si="35"/>
        <v>2069</v>
      </c>
      <c r="B503">
        <f t="shared" si="36"/>
        <v>65</v>
      </c>
      <c r="C503">
        <f t="shared" si="39"/>
        <v>10</v>
      </c>
      <c r="D503" s="7">
        <f>Eredmények!$B$6/12*(1+Eredmények!$B$7)^('Havi számolás'!B503-33)</f>
        <v>3583807.7334234463</v>
      </c>
      <c r="E503" s="7">
        <f t="shared" si="38"/>
        <v>189255077.0231548</v>
      </c>
      <c r="F503" s="7">
        <f>Eredmények!$B$8*D503</f>
        <v>286704.6186738757</v>
      </c>
      <c r="G503" s="7">
        <f>SUM(E503:F503)*((1+Eredmények!$B$9)^(1/12)-1)</f>
        <v>696529.92095294094</v>
      </c>
      <c r="H503" s="7">
        <f t="shared" si="37"/>
        <v>190238311.5627816</v>
      </c>
    </row>
    <row r="504" spans="1:8">
      <c r="A504">
        <f t="shared" si="35"/>
        <v>2069</v>
      </c>
      <c r="B504">
        <f t="shared" si="36"/>
        <v>65</v>
      </c>
      <c r="C504">
        <f t="shared" si="39"/>
        <v>11</v>
      </c>
      <c r="D504" s="7">
        <f>Eredmények!$B$6/12*(1+Eredmények!$B$7)^('Havi számolás'!B504-33)</f>
        <v>3583807.7334234463</v>
      </c>
      <c r="E504" s="7">
        <f t="shared" si="38"/>
        <v>190238311.5627816</v>
      </c>
      <c r="F504" s="7">
        <f>Eredmények!$B$8*D504</f>
        <v>286704.6186738757</v>
      </c>
      <c r="G504" s="7">
        <f>SUM(E504:F504)*((1+Eredmények!$B$9)^(1/12)-1)</f>
        <v>700143.12048199575</v>
      </c>
      <c r="H504" s="7">
        <f t="shared" si="37"/>
        <v>191225159.30193746</v>
      </c>
    </row>
    <row r="505" spans="1:8">
      <c r="A505">
        <f t="shared" si="35"/>
        <v>2069</v>
      </c>
      <c r="B505">
        <f t="shared" si="36"/>
        <v>65</v>
      </c>
      <c r="C505">
        <f t="shared" si="39"/>
        <v>12</v>
      </c>
      <c r="D505" s="7">
        <f>Eredmények!$B$6/12*(1+Eredmények!$B$7)^('Havi számolás'!B505-33)</f>
        <v>3583807.7334234463</v>
      </c>
      <c r="E505" s="7">
        <f t="shared" si="38"/>
        <v>191225159.30193746</v>
      </c>
      <c r="F505" s="7">
        <f>Eredmények!$B$8*D505</f>
        <v>286704.6186738757</v>
      </c>
      <c r="G505" s="7">
        <f>SUM(E505:F505)*((1+Eredmények!$B$9)^(1/12)-1)</f>
        <v>703769.59783064562</v>
      </c>
      <c r="H505" s="7">
        <f t="shared" si="37"/>
        <v>192215633.51844198</v>
      </c>
    </row>
    <row r="506" spans="1:8">
      <c r="A506">
        <f t="shared" si="35"/>
        <v>2070</v>
      </c>
      <c r="B506">
        <f t="shared" si="36"/>
        <v>66</v>
      </c>
      <c r="C506">
        <f t="shared" si="39"/>
        <v>1</v>
      </c>
      <c r="D506" s="7">
        <f>Eredmények!$B$6/12*(1+Eredmények!$B$7)^('Havi számolás'!B506-33)</f>
        <v>3691321.9654261498</v>
      </c>
      <c r="E506" s="7">
        <f t="shared" si="38"/>
        <v>192215633.51844198</v>
      </c>
      <c r="F506" s="7">
        <f>Eredmények!$B$8*D506</f>
        <v>295305.75723409199</v>
      </c>
      <c r="G506" s="7">
        <f>SUM(E506:F506)*((1+Eredmények!$B$9)^(1/12)-1)</f>
        <v>707441.00933718227</v>
      </c>
      <c r="H506" s="7">
        <f t="shared" si="37"/>
        <v>193218380.28501326</v>
      </c>
    </row>
    <row r="507" spans="1:8">
      <c r="A507">
        <f t="shared" si="35"/>
        <v>2070</v>
      </c>
      <c r="B507">
        <f t="shared" si="36"/>
        <v>66</v>
      </c>
      <c r="C507">
        <f t="shared" si="39"/>
        <v>2</v>
      </c>
      <c r="D507" s="7">
        <f>Eredmények!$B$6/12*(1+Eredmények!$B$7)^('Havi számolás'!B507-33)</f>
        <v>3691321.9654261498</v>
      </c>
      <c r="E507" s="7">
        <f t="shared" si="38"/>
        <v>193218380.28501326</v>
      </c>
      <c r="F507" s="7">
        <f>Eredmények!$B$8*D507</f>
        <v>295305.75723409199</v>
      </c>
      <c r="G507" s="7">
        <f>SUM(E507:F507)*((1+Eredmények!$B$9)^(1/12)-1)</f>
        <v>711125.9125812361</v>
      </c>
      <c r="H507" s="7">
        <f t="shared" si="37"/>
        <v>194224811.95482859</v>
      </c>
    </row>
    <row r="508" spans="1:8">
      <c r="A508">
        <f t="shared" si="35"/>
        <v>2070</v>
      </c>
      <c r="B508">
        <f t="shared" si="36"/>
        <v>66</v>
      </c>
      <c r="C508">
        <f t="shared" si="39"/>
        <v>3</v>
      </c>
      <c r="D508" s="7">
        <f>Eredmények!$B$6/12*(1+Eredmények!$B$7)^('Havi számolás'!B508-33)</f>
        <v>3691321.9654261498</v>
      </c>
      <c r="E508" s="7">
        <f t="shared" si="38"/>
        <v>194224811.95482859</v>
      </c>
      <c r="F508" s="7">
        <f>Eredmények!$B$8*D508</f>
        <v>295305.75723409199</v>
      </c>
      <c r="G508" s="7">
        <f>SUM(E508:F508)*((1+Eredmények!$B$9)^(1/12)-1)</f>
        <v>714824.35714237089</v>
      </c>
      <c r="H508" s="7">
        <f t="shared" si="37"/>
        <v>195234942.06920505</v>
      </c>
    </row>
    <row r="509" spans="1:8">
      <c r="A509">
        <f t="shared" si="35"/>
        <v>2070</v>
      </c>
      <c r="B509">
        <f t="shared" si="36"/>
        <v>66</v>
      </c>
      <c r="C509">
        <f t="shared" si="39"/>
        <v>4</v>
      </c>
      <c r="D509" s="7">
        <f>Eredmények!$B$6/12*(1+Eredmények!$B$7)^('Havi számolás'!B509-33)</f>
        <v>3691321.9654261498</v>
      </c>
      <c r="E509" s="7">
        <f t="shared" si="38"/>
        <v>195234942.06920505</v>
      </c>
      <c r="F509" s="7">
        <f>Eredmények!$B$8*D509</f>
        <v>295305.75723409199</v>
      </c>
      <c r="G509" s="7">
        <f>SUM(E509:F509)*((1+Eredmények!$B$9)^(1/12)-1)</f>
        <v>718536.39278234576</v>
      </c>
      <c r="H509" s="7">
        <f t="shared" si="37"/>
        <v>196248784.2192215</v>
      </c>
    </row>
    <row r="510" spans="1:8">
      <c r="A510">
        <f t="shared" si="35"/>
        <v>2070</v>
      </c>
      <c r="B510">
        <f t="shared" si="36"/>
        <v>66</v>
      </c>
      <c r="C510">
        <f t="shared" si="39"/>
        <v>5</v>
      </c>
      <c r="D510" s="7">
        <f>Eredmények!$B$6/12*(1+Eredmények!$B$7)^('Havi számolás'!B510-33)</f>
        <v>3691321.9654261498</v>
      </c>
      <c r="E510" s="7">
        <f t="shared" si="38"/>
        <v>196248784.2192215</v>
      </c>
      <c r="F510" s="7">
        <f>Eredmények!$B$8*D510</f>
        <v>295305.75723409199</v>
      </c>
      <c r="G510" s="7">
        <f>SUM(E510:F510)*((1+Eredmények!$B$9)^(1/12)-1)</f>
        <v>722262.06944578537</v>
      </c>
      <c r="H510" s="7">
        <f t="shared" si="37"/>
        <v>197266352.04590139</v>
      </c>
    </row>
    <row r="511" spans="1:8">
      <c r="A511">
        <f t="shared" si="35"/>
        <v>2070</v>
      </c>
      <c r="B511">
        <f t="shared" si="36"/>
        <v>66</v>
      </c>
      <c r="C511">
        <f t="shared" si="39"/>
        <v>6</v>
      </c>
      <c r="D511" s="7">
        <f>Eredmények!$B$6/12*(1+Eredmények!$B$7)^('Havi számolás'!B511-33)</f>
        <v>3691321.9654261498</v>
      </c>
      <c r="E511" s="7">
        <f t="shared" si="38"/>
        <v>197266352.04590139</v>
      </c>
      <c r="F511" s="7">
        <f>Eredmények!$B$8*D511</f>
        <v>295305.75723409199</v>
      </c>
      <c r="G511" s="7">
        <f>SUM(E511:F511)*((1+Eredmények!$B$9)^(1/12)-1)</f>
        <v>726001.43726085068</v>
      </c>
      <c r="H511" s="7">
        <f t="shared" si="37"/>
        <v>198287659.24039632</v>
      </c>
    </row>
    <row r="512" spans="1:8">
      <c r="A512">
        <f t="shared" si="35"/>
        <v>2070</v>
      </c>
      <c r="B512">
        <f t="shared" si="36"/>
        <v>66</v>
      </c>
      <c r="C512">
        <f t="shared" si="39"/>
        <v>7</v>
      </c>
      <c r="D512" s="7">
        <f>Eredmények!$B$6/12*(1+Eredmények!$B$7)^('Havi számolás'!B512-33)</f>
        <v>3691321.9654261498</v>
      </c>
      <c r="E512" s="7">
        <f t="shared" si="38"/>
        <v>198287659.24039632</v>
      </c>
      <c r="F512" s="7">
        <f>Eredmények!$B$8*D512</f>
        <v>295305.75723409199</v>
      </c>
      <c r="G512" s="7">
        <f>SUM(E512:F512)*((1+Eredmények!$B$9)^(1/12)-1)</f>
        <v>729754.54653991445</v>
      </c>
      <c r="H512" s="7">
        <f t="shared" si="37"/>
        <v>199312719.54417032</v>
      </c>
    </row>
    <row r="513" spans="1:8">
      <c r="A513">
        <f t="shared" si="35"/>
        <v>2070</v>
      </c>
      <c r="B513">
        <f t="shared" si="36"/>
        <v>66</v>
      </c>
      <c r="C513">
        <f t="shared" si="39"/>
        <v>8</v>
      </c>
      <c r="D513" s="7">
        <f>Eredmények!$B$6/12*(1+Eredmények!$B$7)^('Havi számolás'!B513-33)</f>
        <v>3691321.9654261498</v>
      </c>
      <c r="E513" s="7">
        <f t="shared" si="38"/>
        <v>199312719.54417032</v>
      </c>
      <c r="F513" s="7">
        <f>Eredmények!$B$8*D513</f>
        <v>295305.75723409199</v>
      </c>
      <c r="G513" s="7">
        <f>SUM(E513:F513)*((1+Eredmények!$B$9)^(1/12)-1)</f>
        <v>733521.44778023788</v>
      </c>
      <c r="H513" s="7">
        <f t="shared" si="37"/>
        <v>200341546.74918467</v>
      </c>
    </row>
    <row r="514" spans="1:8">
      <c r="A514">
        <f t="shared" si="35"/>
        <v>2070</v>
      </c>
      <c r="B514">
        <f t="shared" si="36"/>
        <v>66</v>
      </c>
      <c r="C514">
        <f t="shared" si="39"/>
        <v>9</v>
      </c>
      <c r="D514" s="7">
        <f>Eredmények!$B$6/12*(1+Eredmények!$B$7)^('Havi számolás'!B514-33)</f>
        <v>3691321.9654261498</v>
      </c>
      <c r="E514" s="7">
        <f t="shared" si="38"/>
        <v>200341546.74918467</v>
      </c>
      <c r="F514" s="7">
        <f>Eredmények!$B$8*D514</f>
        <v>295305.75723409199</v>
      </c>
      <c r="G514" s="7">
        <f>SUM(E514:F514)*((1+Eredmények!$B$9)^(1/12)-1)</f>
        <v>737302.19166464976</v>
      </c>
      <c r="H514" s="7">
        <f t="shared" si="37"/>
        <v>201374154.6980834</v>
      </c>
    </row>
    <row r="515" spans="1:8">
      <c r="A515">
        <f t="shared" ref="A515:A517" si="40">INT((ROW(A514)-1)/12+2028)</f>
        <v>2070</v>
      </c>
      <c r="B515">
        <f t="shared" ref="B515:B517" si="41">INT((A515-2004)+(C515-1)/12)</f>
        <v>66</v>
      </c>
      <c r="C515">
        <f t="shared" si="39"/>
        <v>10</v>
      </c>
      <c r="D515" s="7">
        <f>Eredmények!$B$6/12*(1+Eredmények!$B$7)^('Havi számolás'!B515-33)</f>
        <v>3691321.9654261498</v>
      </c>
      <c r="E515" s="7">
        <f t="shared" si="38"/>
        <v>201374154.6980834</v>
      </c>
      <c r="F515" s="7">
        <f>Eredmények!$B$8*D515</f>
        <v>295305.75723409199</v>
      </c>
      <c r="G515" s="7">
        <f>SUM(E515:F515)*((1+Eredmények!$B$9)^(1/12)-1)</f>
        <v>741096.82906222856</v>
      </c>
      <c r="H515" s="7">
        <f t="shared" ref="H515:H517" si="42">E515+F515+G515</f>
        <v>202410557.28437972</v>
      </c>
    </row>
    <row r="516" spans="1:8">
      <c r="A516">
        <f t="shared" si="40"/>
        <v>2070</v>
      </c>
      <c r="B516">
        <f t="shared" si="41"/>
        <v>66</v>
      </c>
      <c r="C516">
        <f t="shared" si="39"/>
        <v>11</v>
      </c>
      <c r="D516" s="7">
        <f>Eredmények!$B$6/12*(1+Eredmények!$B$7)^('Havi számolás'!B516-33)</f>
        <v>3691321.9654261498</v>
      </c>
      <c r="E516" s="7">
        <f t="shared" si="38"/>
        <v>202410557.28437972</v>
      </c>
      <c r="F516" s="7">
        <f>Eredmények!$B$8*D516</f>
        <v>295305.75723409199</v>
      </c>
      <c r="G516" s="7">
        <f>SUM(E516:F516)*((1+Eredmények!$B$9)^(1/12)-1)</f>
        <v>744905.41102898738</v>
      </c>
      <c r="H516" s="7">
        <f t="shared" si="42"/>
        <v>203450768.4526428</v>
      </c>
    </row>
    <row r="517" spans="1:8">
      <c r="A517">
        <f t="shared" si="40"/>
        <v>2070</v>
      </c>
      <c r="B517">
        <f t="shared" si="41"/>
        <v>66</v>
      </c>
      <c r="C517">
        <f t="shared" si="39"/>
        <v>12</v>
      </c>
      <c r="D517" s="7">
        <f>Eredmények!$B$6/12*(1+Eredmények!$B$7)^('Havi számolás'!B517-33)</f>
        <v>3691321.9654261498</v>
      </c>
      <c r="E517" s="7">
        <f t="shared" ref="E517" si="43">H516</f>
        <v>203450768.4526428</v>
      </c>
      <c r="F517" s="7">
        <f>Eredmények!$B$8*D517</f>
        <v>295305.75723409199</v>
      </c>
      <c r="G517" s="7">
        <f>SUM(E517:F517)*((1+Eredmények!$B$9)^(1/12)-1)</f>
        <v>748727.98880855995</v>
      </c>
      <c r="H517" s="7">
        <f t="shared" si="42"/>
        <v>204494802.19868547</v>
      </c>
    </row>
    <row r="518" spans="1:8">
      <c r="D518" s="7"/>
      <c r="E518" s="7"/>
      <c r="F518" s="7"/>
      <c r="G518" s="7"/>
      <c r="H518" s="7"/>
    </row>
    <row r="519" spans="1:8">
      <c r="D519" s="7"/>
      <c r="E519" s="7"/>
      <c r="F519" s="7"/>
      <c r="G519" s="7"/>
      <c r="H519" s="7"/>
    </row>
    <row r="520" spans="1:8">
      <c r="D520" s="7"/>
      <c r="E520" s="7"/>
      <c r="F520" s="7"/>
      <c r="G520" s="7"/>
      <c r="H520" s="7"/>
    </row>
    <row r="521" spans="1:8">
      <c r="D521" s="7"/>
      <c r="E521" s="7"/>
      <c r="F521" s="7"/>
      <c r="G521" s="7"/>
      <c r="H521" s="7"/>
    </row>
    <row r="522" spans="1:8">
      <c r="D522" s="7"/>
      <c r="E522" s="7"/>
      <c r="F522" s="7"/>
      <c r="G522" s="7"/>
      <c r="H522" s="7"/>
    </row>
    <row r="523" spans="1:8">
      <c r="D523" s="7"/>
      <c r="E523" s="7"/>
      <c r="F523" s="7"/>
      <c r="G523" s="7"/>
      <c r="H523" s="7"/>
    </row>
    <row r="524" spans="1:8">
      <c r="D524" s="7"/>
      <c r="E524" s="7"/>
      <c r="F524" s="7"/>
      <c r="G524" s="7"/>
      <c r="H524" s="7"/>
    </row>
    <row r="525" spans="1:8">
      <c r="D525" s="7"/>
      <c r="E525" s="7"/>
      <c r="F525" s="7"/>
      <c r="G525" s="7"/>
      <c r="H52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5D64-4F93-4127-90C3-F33ADA28111E}">
  <dimension ref="A1:H523"/>
  <sheetViews>
    <sheetView zoomScale="55" workbookViewId="0">
      <selection activeCell="L19" sqref="L19"/>
    </sheetView>
  </sheetViews>
  <sheetFormatPr defaultRowHeight="14.4"/>
  <cols>
    <col min="3" max="3" width="12.6640625" customWidth="1"/>
    <col min="4" max="4" width="16.44140625" customWidth="1"/>
    <col min="5" max="5" width="15.6640625" customWidth="1"/>
    <col min="6" max="6" width="16.33203125" customWidth="1"/>
    <col min="7" max="8" width="13.44140625" customWidth="1"/>
  </cols>
  <sheetData>
    <row r="1" spans="1:8" ht="15" thickBot="1">
      <c r="A1" s="9" t="s">
        <v>11</v>
      </c>
      <c r="B1" s="9" t="s">
        <v>10</v>
      </c>
      <c r="C1" s="9" t="s">
        <v>102</v>
      </c>
      <c r="D1" s="9" t="s">
        <v>51</v>
      </c>
      <c r="E1" s="9" t="s">
        <v>14</v>
      </c>
      <c r="F1" s="9" t="s">
        <v>103</v>
      </c>
      <c r="G1" s="9" t="s">
        <v>15</v>
      </c>
      <c r="H1" s="9" t="s">
        <v>16</v>
      </c>
    </row>
    <row r="2" spans="1:8" ht="15" thickTop="1">
      <c r="A2">
        <v>2071</v>
      </c>
      <c r="B2">
        <v>67</v>
      </c>
      <c r="C2" s="16">
        <f>'Tábla 2020'!F69</f>
        <v>1</v>
      </c>
      <c r="D2" s="7">
        <f>Eredmények!$I$2*12</f>
        <v>21208763.676698133</v>
      </c>
      <c r="E2" s="7">
        <f>Eredmények!G2</f>
        <v>204494802.19868547</v>
      </c>
      <c r="F2" s="7">
        <f>-D2*C2</f>
        <v>-21208763.676698133</v>
      </c>
      <c r="G2" s="7">
        <f>MAX(SUM(E2:F2)*Eredmények!$B$9,0)</f>
        <v>8247871.7334894286</v>
      </c>
      <c r="H2" s="7">
        <f>MAX(0,E2+F2+G2)</f>
        <v>191533910.25547674</v>
      </c>
    </row>
    <row r="3" spans="1:8">
      <c r="A3">
        <v>2072</v>
      </c>
      <c r="B3">
        <v>68</v>
      </c>
      <c r="C3" s="16">
        <f>'Tábla 2020'!F70</f>
        <v>0.96419970631424379</v>
      </c>
      <c r="D3" s="7">
        <f>Eredmények!$I$2*12</f>
        <v>21208763.676698133</v>
      </c>
      <c r="E3" s="7">
        <f>H2</f>
        <v>191533910.25547674</v>
      </c>
      <c r="F3" s="7">
        <f t="shared" ref="F3:F14" si="0">-D3*C3</f>
        <v>-20449483.708360542</v>
      </c>
      <c r="G3" s="7">
        <f>MAX(SUM(E3:F3)*Eredmények!$B$9,0)</f>
        <v>7698799.1946202284</v>
      </c>
      <c r="H3" s="7">
        <f t="shared" ref="H3:H45" si="1">MAX(0,E3+F3+G3)</f>
        <v>178783225.74173641</v>
      </c>
    </row>
    <row r="4" spans="1:8">
      <c r="A4">
        <v>2073</v>
      </c>
      <c r="B4">
        <v>69</v>
      </c>
      <c r="C4" s="16">
        <f>'Tábla 2020'!F71</f>
        <v>0.92684287812041111</v>
      </c>
      <c r="D4" s="7">
        <f>Eredmények!$I$2*12</f>
        <v>21208763.676698133</v>
      </c>
      <c r="E4" s="7">
        <f t="shared" ref="E4:E10" si="2">H3</f>
        <v>178783225.74173641</v>
      </c>
      <c r="F4" s="7">
        <f t="shared" si="0"/>
        <v>-19657191.567486528</v>
      </c>
      <c r="G4" s="7">
        <f>MAX(SUM(E4:F4)*Eredmények!$B$9,0)</f>
        <v>7160671.5378412446</v>
      </c>
      <c r="H4" s="7">
        <f t="shared" si="1"/>
        <v>166286705.71209112</v>
      </c>
    </row>
    <row r="5" spans="1:8">
      <c r="A5">
        <v>2074</v>
      </c>
      <c r="B5">
        <v>70</v>
      </c>
      <c r="C5" s="16">
        <f>'Tábla 2020'!F72</f>
        <v>0.88948604992657854</v>
      </c>
      <c r="D5" s="7">
        <f>Eredmények!$I$2*12</f>
        <v>21208763.676698133</v>
      </c>
      <c r="E5" s="7">
        <f t="shared" si="2"/>
        <v>166286705.71209112</v>
      </c>
      <c r="F5" s="7">
        <f t="shared" si="0"/>
        <v>-18864899.426612522</v>
      </c>
      <c r="G5" s="7">
        <f>MAX(SUM(E5:F5)*Eredmények!$B$9,0)</f>
        <v>6633981.2828465365</v>
      </c>
      <c r="H5" s="7">
        <f t="shared" si="1"/>
        <v>154055787.56832513</v>
      </c>
    </row>
    <row r="6" spans="1:8">
      <c r="A6">
        <v>2075</v>
      </c>
      <c r="B6">
        <v>71</v>
      </c>
      <c r="C6" s="16">
        <f>'Tábla 2020'!F73</f>
        <v>0.85286343612334803</v>
      </c>
      <c r="D6" s="7">
        <f>Eredmények!$I$2*12</f>
        <v>21208763.676698133</v>
      </c>
      <c r="E6" s="7">
        <f t="shared" si="2"/>
        <v>154055787.56832513</v>
      </c>
      <c r="F6" s="7">
        <f t="shared" si="0"/>
        <v>-18088179.065236822</v>
      </c>
      <c r="G6" s="7">
        <f>MAX(SUM(E6:F6)*Eredmények!$B$9,0)</f>
        <v>6118542.3826389732</v>
      </c>
      <c r="H6" s="7">
        <f t="shared" si="1"/>
        <v>142086150.88572726</v>
      </c>
    </row>
    <row r="7" spans="1:8">
      <c r="A7">
        <v>2076</v>
      </c>
      <c r="B7">
        <v>72</v>
      </c>
      <c r="C7" s="16">
        <f>'Tábla 2020'!F74</f>
        <v>0.81483113069016155</v>
      </c>
      <c r="D7" s="7">
        <f>Eredmények!$I$2*12</f>
        <v>21208763.676698133</v>
      </c>
      <c r="E7" s="7">
        <f t="shared" si="2"/>
        <v>142086150.88572726</v>
      </c>
      <c r="F7" s="7">
        <f t="shared" si="0"/>
        <v>-17281560.887224369</v>
      </c>
      <c r="G7" s="7">
        <f>MAX(SUM(E7:F7)*Eredmények!$B$9,0)</f>
        <v>5616206.5499326298</v>
      </c>
      <c r="H7" s="7">
        <f t="shared" si="1"/>
        <v>130420796.54843551</v>
      </c>
    </row>
    <row r="8" spans="1:8">
      <c r="A8">
        <v>2077</v>
      </c>
      <c r="B8">
        <v>73</v>
      </c>
      <c r="C8" s="16">
        <f>'Tábla 2020'!F75</f>
        <v>0.77409691629955946</v>
      </c>
      <c r="D8" s="7">
        <f>Eredmények!$I$2*12</f>
        <v>21208763.676698133</v>
      </c>
      <c r="E8" s="7">
        <f t="shared" si="2"/>
        <v>130420796.54843551</v>
      </c>
      <c r="F8" s="7">
        <f t="shared" si="0"/>
        <v>-16417638.560658133</v>
      </c>
      <c r="G8" s="7">
        <f>MAX(SUM(E8:F8)*Eredmények!$B$9,0)</f>
        <v>5130142.1094499817</v>
      </c>
      <c r="H8" s="7">
        <f t="shared" si="1"/>
        <v>119133300.09722736</v>
      </c>
    </row>
    <row r="9" spans="1:8">
      <c r="A9">
        <v>2078</v>
      </c>
      <c r="B9">
        <v>74</v>
      </c>
      <c r="C9" s="16">
        <f>'Tábla 2020'!F76</f>
        <v>0.73375917767988252</v>
      </c>
      <c r="D9" s="7">
        <f>Eredmények!$I$2*12</f>
        <v>21208763.676698133</v>
      </c>
      <c r="E9" s="7">
        <f t="shared" si="2"/>
        <v>119133300.09722736</v>
      </c>
      <c r="F9" s="7">
        <f t="shared" si="0"/>
        <v>-15562124.995020984</v>
      </c>
      <c r="G9" s="7">
        <f>MAX(SUM(E9:F9)*Eredmények!$B$9,0)</f>
        <v>4660702.8795992872</v>
      </c>
      <c r="H9" s="7">
        <f t="shared" si="1"/>
        <v>108231877.98180567</v>
      </c>
    </row>
    <row r="10" spans="1:8">
      <c r="A10">
        <v>2079</v>
      </c>
      <c r="B10">
        <v>75</v>
      </c>
      <c r="C10" s="16">
        <f>'Tábla 2020'!F77</f>
        <v>0.69600587371512479</v>
      </c>
      <c r="D10" s="7">
        <f>Eredmények!$I$2*12</f>
        <v>21208763.676698133</v>
      </c>
      <c r="E10" s="7">
        <f t="shared" si="2"/>
        <v>108231877.98180567</v>
      </c>
      <c r="F10" s="7">
        <f t="shared" si="0"/>
        <v>-14761424.093217887</v>
      </c>
      <c r="G10" s="7">
        <f>MAX(SUM(E10:F10)*Eredmények!$B$9,0)</f>
        <v>4206170.42498645</v>
      </c>
      <c r="H10" s="7">
        <f t="shared" si="1"/>
        <v>97676624.313574225</v>
      </c>
    </row>
    <row r="11" spans="1:8">
      <c r="A11">
        <v>2080</v>
      </c>
      <c r="B11">
        <v>76</v>
      </c>
      <c r="C11" s="16">
        <f>'Tábla 2020'!F78</f>
        <v>0.65317180616740089</v>
      </c>
      <c r="D11" s="7">
        <f>Eredmények!$I$2*12</f>
        <v>21208763.676698133</v>
      </c>
      <c r="E11" s="7">
        <f>H10</f>
        <v>97676624.313574225</v>
      </c>
      <c r="F11" s="7">
        <f t="shared" si="0"/>
        <v>-13852966.477286486</v>
      </c>
      <c r="G11" s="7">
        <f>MAX(SUM(E11:F11)*Eredmények!$B$9,0)</f>
        <v>3772064.6026329482</v>
      </c>
      <c r="H11" s="7">
        <f t="shared" si="1"/>
        <v>87595722.438920692</v>
      </c>
    </row>
    <row r="12" spans="1:8">
      <c r="A12">
        <v>2081</v>
      </c>
      <c r="B12">
        <v>77</v>
      </c>
      <c r="C12" s="16">
        <f>'Tábla 2020'!F79</f>
        <v>0.61005873715124814</v>
      </c>
      <c r="D12" s="7">
        <f>Eredmények!$I$2*12</f>
        <v>21208763.676698133</v>
      </c>
      <c r="E12" s="7">
        <f t="shared" ref="E12" si="3">H11</f>
        <v>87595722.438920692</v>
      </c>
      <c r="F12" s="7">
        <f t="shared" si="0"/>
        <v>-12938591.585145725</v>
      </c>
      <c r="G12" s="7">
        <f>MAX(SUM(E12:F12)*Eredmények!$B$9,0)</f>
        <v>3359570.8884198731</v>
      </c>
      <c r="H12" s="7">
        <f t="shared" si="1"/>
        <v>78016701.742194831</v>
      </c>
    </row>
    <row r="13" spans="1:8">
      <c r="A13">
        <v>2082</v>
      </c>
      <c r="B13">
        <v>78</v>
      </c>
      <c r="C13" s="16">
        <f>'Tábla 2020'!F80</f>
        <v>0.56845814977973563</v>
      </c>
      <c r="D13" s="7">
        <f>Eredmények!$I$2*12</f>
        <v>21208763.676698133</v>
      </c>
      <c r="E13" s="7">
        <f>H12</f>
        <v>78016701.742194831</v>
      </c>
      <c r="F13" s="7">
        <f t="shared" si="0"/>
        <v>-12056294.558771484</v>
      </c>
      <c r="G13" s="7">
        <f>MAX(SUM(E13:F13)*Eredmények!$B$9,0)</f>
        <v>2968218.3232540507</v>
      </c>
      <c r="H13" s="7">
        <f t="shared" si="1"/>
        <v>68928625.506677404</v>
      </c>
    </row>
    <row r="14" spans="1:8">
      <c r="A14">
        <v>2083</v>
      </c>
      <c r="B14">
        <v>79</v>
      </c>
      <c r="C14" s="16">
        <f>'Tábla 2020'!F81</f>
        <v>0.52441997063142443</v>
      </c>
      <c r="D14" s="7">
        <f>Eredmények!$I$2*12</f>
        <v>21208763.676698133</v>
      </c>
      <c r="E14" s="7">
        <f t="shared" ref="E14" si="4">H13</f>
        <v>68928625.506677404</v>
      </c>
      <c r="F14" s="7">
        <f t="shared" si="0"/>
        <v>-11122299.224462856</v>
      </c>
      <c r="G14" s="7">
        <f>MAX(SUM(E14:F14)*Eredmények!$B$9,0)</f>
        <v>2601284.6826996547</v>
      </c>
      <c r="H14" s="7">
        <f t="shared" si="1"/>
        <v>60407610.96491421</v>
      </c>
    </row>
    <row r="15" spans="1:8">
      <c r="A15">
        <v>2084</v>
      </c>
      <c r="B15">
        <v>80</v>
      </c>
      <c r="C15" s="16">
        <f>'Tábla 2020'!F82</f>
        <v>0.48281938325991192</v>
      </c>
      <c r="D15" s="7">
        <f>Eredmények!$I$2*12</f>
        <v>21208763.676698133</v>
      </c>
      <c r="E15" s="7">
        <f t="shared" ref="E15:E45" si="5">H14</f>
        <v>60407610.96491421</v>
      </c>
      <c r="F15" s="7">
        <f t="shared" ref="F15:F45" si="6">-D15*C15</f>
        <v>-10240002.198088614</v>
      </c>
      <c r="G15" s="7">
        <f>MAX(SUM(E15:F15)*Eredmények!$B$9,0)</f>
        <v>2257542.3945071516</v>
      </c>
      <c r="H15" s="7">
        <f t="shared" si="1"/>
        <v>52425151.161332749</v>
      </c>
    </row>
    <row r="16" spans="1:8">
      <c r="A16">
        <v>2085</v>
      </c>
      <c r="B16">
        <v>81</v>
      </c>
      <c r="C16" s="16">
        <f>'Tábla 2020'!F83</f>
        <v>0.438223201174743</v>
      </c>
      <c r="D16" s="7">
        <f>Eredmények!$I$2*12</f>
        <v>21208763.676698133</v>
      </c>
      <c r="E16" s="7">
        <f t="shared" si="5"/>
        <v>52425151.161332749</v>
      </c>
      <c r="F16" s="7">
        <f t="shared" si="6"/>
        <v>-9294172.3113612682</v>
      </c>
      <c r="G16" s="7">
        <f>MAX(SUM(E16:F16)*Eredmények!$B$9,0)</f>
        <v>1940894.0482487166</v>
      </c>
      <c r="H16" s="7">
        <f t="shared" si="1"/>
        <v>45071872.898220196</v>
      </c>
    </row>
    <row r="17" spans="1:8">
      <c r="A17">
        <v>2086</v>
      </c>
      <c r="B17">
        <v>82</v>
      </c>
      <c r="C17" s="16">
        <f>'Tábla 2020'!F84</f>
        <v>0.3952569750367107</v>
      </c>
      <c r="D17" s="7">
        <f>Eredmények!$I$2*12</f>
        <v>21208763.676698133</v>
      </c>
      <c r="E17" s="7">
        <f t="shared" si="5"/>
        <v>45071872.898220196</v>
      </c>
      <c r="F17" s="7">
        <f t="shared" si="6"/>
        <v>-8382911.7751201708</v>
      </c>
      <c r="G17" s="7">
        <f>MAX(SUM(E17:F17)*Eredmények!$B$9,0)</f>
        <v>1651003.2505395012</v>
      </c>
      <c r="H17" s="7">
        <f t="shared" si="1"/>
        <v>38339964.373639531</v>
      </c>
    </row>
    <row r="18" spans="1:8">
      <c r="A18">
        <v>2087</v>
      </c>
      <c r="B18">
        <v>83</v>
      </c>
      <c r="C18" s="16">
        <f>'Tábla 2020'!F85</f>
        <v>0.35437591776798827</v>
      </c>
      <c r="D18" s="7">
        <f>Eredmények!$I$2*12</f>
        <v>21208763.676698133</v>
      </c>
      <c r="E18" s="7">
        <f t="shared" si="5"/>
        <v>38339964.373639531</v>
      </c>
      <c r="F18" s="7">
        <f t="shared" si="6"/>
        <v>-7515875.0926542738</v>
      </c>
      <c r="G18" s="7">
        <f>MAX(SUM(E18:F18)*Eredmények!$B$9,0)</f>
        <v>1387084.0176443367</v>
      </c>
      <c r="H18" s="7">
        <f t="shared" si="1"/>
        <v>32211173.298629597</v>
      </c>
    </row>
    <row r="19" spans="1:8">
      <c r="A19">
        <v>2088</v>
      </c>
      <c r="B19">
        <v>84</v>
      </c>
      <c r="C19" s="16">
        <f>'Tábla 2020'!F86</f>
        <v>0.31057268722466963</v>
      </c>
      <c r="D19" s="7">
        <f>Eredmények!$I$2*12</f>
        <v>21208763.676698133</v>
      </c>
      <c r="E19" s="7">
        <f t="shared" si="5"/>
        <v>32211173.298629597</v>
      </c>
      <c r="F19" s="7">
        <f t="shared" si="6"/>
        <v>-6586862.727785104</v>
      </c>
      <c r="G19" s="7">
        <f>MAX(SUM(E19:F19)*Eredmények!$B$9,0)</f>
        <v>1153093.9756880021</v>
      </c>
      <c r="H19" s="7">
        <f t="shared" si="1"/>
        <v>26777404.546532497</v>
      </c>
    </row>
    <row r="20" spans="1:8">
      <c r="A20">
        <v>2089</v>
      </c>
      <c r="B20">
        <v>85</v>
      </c>
      <c r="C20" s="16">
        <f>'Tábla 2020'!F87</f>
        <v>0.27135095447870777</v>
      </c>
      <c r="D20" s="7">
        <f>Eredmények!$I$2*12</f>
        <v>21208763.676698133</v>
      </c>
      <c r="E20" s="7">
        <f t="shared" si="5"/>
        <v>26777404.546532497</v>
      </c>
      <c r="F20" s="7">
        <f t="shared" si="6"/>
        <v>-5755018.2669853857</v>
      </c>
      <c r="G20" s="7">
        <f>MAX(SUM(E20:F20)*Eredmények!$B$9,0)</f>
        <v>946007.38257961988</v>
      </c>
      <c r="H20" s="7">
        <f t="shared" si="1"/>
        <v>21968393.662126731</v>
      </c>
    </row>
    <row r="21" spans="1:8">
      <c r="A21">
        <v>2090</v>
      </c>
      <c r="B21">
        <v>86</v>
      </c>
      <c r="C21" s="16">
        <f>'Tábla 2020'!F88</f>
        <v>0.23223201174743024</v>
      </c>
      <c r="D21" s="7">
        <f>Eredmények!$I$2*12</f>
        <v>21208763.676698133</v>
      </c>
      <c r="E21" s="7">
        <f t="shared" si="5"/>
        <v>21968393.662126731</v>
      </c>
      <c r="F21" s="7">
        <f t="shared" si="6"/>
        <v>-4925353.8553154329</v>
      </c>
      <c r="G21" s="7">
        <f>MAX(SUM(E21:F21)*Eredmények!$B$9,0)</f>
        <v>766936.79130650847</v>
      </c>
      <c r="H21" s="7">
        <f t="shared" si="1"/>
        <v>17809976.598117806</v>
      </c>
    </row>
    <row r="22" spans="1:8">
      <c r="A22">
        <v>2091</v>
      </c>
      <c r="B22">
        <v>87</v>
      </c>
      <c r="C22" s="16">
        <f>'Tábla 2020'!F89</f>
        <v>0.19392070484581497</v>
      </c>
      <c r="D22" s="7">
        <f>Eredmények!$I$2*12</f>
        <v>21208763.676698133</v>
      </c>
      <c r="E22" s="7">
        <f t="shared" si="5"/>
        <v>17809976.598117806</v>
      </c>
      <c r="F22" s="7">
        <f t="shared" si="6"/>
        <v>-4112818.4010936203</v>
      </c>
      <c r="G22" s="7">
        <f>MAX(SUM(E22:F22)*Eredmények!$B$9,0)</f>
        <v>616372.11886608833</v>
      </c>
      <c r="H22" s="7">
        <f t="shared" si="1"/>
        <v>14313530.315890273</v>
      </c>
    </row>
    <row r="23" spans="1:8">
      <c r="A23">
        <v>2092</v>
      </c>
      <c r="B23">
        <v>88</v>
      </c>
      <c r="C23" s="16">
        <f>'Tábla 2020'!F90</f>
        <v>0.16246696035242292</v>
      </c>
      <c r="D23" s="7">
        <f>Eredmények!$I$2*12</f>
        <v>21208763.676698133</v>
      </c>
      <c r="E23" s="7">
        <f t="shared" si="5"/>
        <v>14313530.315890273</v>
      </c>
      <c r="F23" s="7">
        <f t="shared" si="6"/>
        <v>-3445723.367386023</v>
      </c>
      <c r="G23" s="7">
        <f>MAX(SUM(E23:F23)*Eredmények!$B$9,0)</f>
        <v>489051.31268269126</v>
      </c>
      <c r="H23" s="7">
        <f t="shared" si="1"/>
        <v>11356858.261186942</v>
      </c>
    </row>
    <row r="24" spans="1:8">
      <c r="A24">
        <v>2093</v>
      </c>
      <c r="B24">
        <v>89</v>
      </c>
      <c r="C24" s="16">
        <f>'Tábla 2020'!F91</f>
        <v>0.13230543318649046</v>
      </c>
      <c r="D24" s="7">
        <f>Eredmények!$I$2*12</f>
        <v>21208763.676698133</v>
      </c>
      <c r="E24" s="7">
        <f t="shared" si="5"/>
        <v>11356858.261186942</v>
      </c>
      <c r="F24" s="7">
        <f t="shared" si="6"/>
        <v>-2806034.6655954509</v>
      </c>
      <c r="G24" s="7">
        <f>MAX(SUM(E24:F24)*Eredmények!$B$9,0)</f>
        <v>384787.06180161709</v>
      </c>
      <c r="H24" s="7">
        <f t="shared" si="1"/>
        <v>8935610.6573931091</v>
      </c>
    </row>
    <row r="25" spans="1:8">
      <c r="A25">
        <v>2094</v>
      </c>
      <c r="B25">
        <v>90</v>
      </c>
      <c r="C25" s="16">
        <f>'Tábla 2020'!F92</f>
        <v>0.10784140969162996</v>
      </c>
      <c r="D25" s="7">
        <f>Eredmények!$I$2*12</f>
        <v>21208763.676698133</v>
      </c>
      <c r="E25" s="7">
        <f t="shared" si="5"/>
        <v>8935610.6573931091</v>
      </c>
      <c r="F25" s="7">
        <f t="shared" si="6"/>
        <v>-2287182.9727117633</v>
      </c>
      <c r="G25" s="7">
        <f>MAX(SUM(E25:F25)*Eredmények!$B$9,0)</f>
        <v>299179.24581066053</v>
      </c>
      <c r="H25" s="7">
        <f t="shared" si="1"/>
        <v>6947606.9304920062</v>
      </c>
    </row>
    <row r="26" spans="1:8">
      <c r="A26">
        <v>2095</v>
      </c>
      <c r="B26">
        <v>91</v>
      </c>
      <c r="C26" s="16">
        <f>'Tábla 2020'!F93</f>
        <v>8.9089574155653453E-2</v>
      </c>
      <c r="D26" s="7">
        <f>Eredmények!$I$2*12</f>
        <v>21208763.676698133</v>
      </c>
      <c r="E26" s="7">
        <f t="shared" si="5"/>
        <v>6947606.9304920062</v>
      </c>
      <c r="F26" s="7">
        <f t="shared" si="6"/>
        <v>-1889479.7243249277</v>
      </c>
      <c r="G26" s="7">
        <f>MAX(SUM(E26:F26)*Eredmények!$B$9,0)</f>
        <v>227615.72427751852</v>
      </c>
      <c r="H26" s="7">
        <f t="shared" si="1"/>
        <v>5285742.9304445973</v>
      </c>
    </row>
    <row r="27" spans="1:8">
      <c r="A27">
        <v>2096</v>
      </c>
      <c r="B27">
        <v>92</v>
      </c>
      <c r="C27" s="16">
        <f>'Tábla 2020'!F94</f>
        <v>7.1806167400881055E-2</v>
      </c>
      <c r="D27" s="7">
        <f>Eredmények!$I$2*12</f>
        <v>21208763.676698133</v>
      </c>
      <c r="E27" s="7">
        <f t="shared" si="5"/>
        <v>5285742.9304445973</v>
      </c>
      <c r="F27" s="7">
        <f t="shared" si="6"/>
        <v>-1522920.0349347116</v>
      </c>
      <c r="G27" s="7">
        <f>MAX(SUM(E27:F27)*Eredmények!$B$9,0)</f>
        <v>169327.03029794485</v>
      </c>
      <c r="H27" s="7">
        <f t="shared" si="1"/>
        <v>3932149.9258078304</v>
      </c>
    </row>
    <row r="28" spans="1:8">
      <c r="A28">
        <v>2097</v>
      </c>
      <c r="B28">
        <v>93</v>
      </c>
      <c r="C28" s="16">
        <f>'Tábla 2020'!F95</f>
        <v>5.5624082232011748E-2</v>
      </c>
      <c r="D28" s="7">
        <f>Eredmények!$I$2*12</f>
        <v>21208763.676698133</v>
      </c>
      <c r="E28" s="7">
        <f t="shared" si="5"/>
        <v>3932149.9258078304</v>
      </c>
      <c r="F28" s="7">
        <f t="shared" si="6"/>
        <v>-1179718.0147919608</v>
      </c>
      <c r="G28" s="7">
        <f>MAX(SUM(E28:F28)*Eredmények!$B$9,0)</f>
        <v>123859.43599571413</v>
      </c>
      <c r="H28" s="7">
        <f t="shared" si="1"/>
        <v>2876291.3470115839</v>
      </c>
    </row>
    <row r="29" spans="1:8">
      <c r="A29">
        <v>2098</v>
      </c>
      <c r="B29">
        <v>94</v>
      </c>
      <c r="C29" s="16">
        <f>'Tábla 2020'!F96</f>
        <v>4.2657856093979443E-2</v>
      </c>
      <c r="D29" s="7">
        <f>Eredmények!$I$2*12</f>
        <v>21208763.676698133</v>
      </c>
      <c r="E29" s="7">
        <f t="shared" si="5"/>
        <v>2876291.3470115839</v>
      </c>
      <c r="F29" s="7">
        <f t="shared" si="6"/>
        <v>-904720.38885180734</v>
      </c>
      <c r="G29" s="7">
        <f>MAX(SUM(E29:F29)*Eredmények!$B$9,0)</f>
        <v>88720.693117189934</v>
      </c>
      <c r="H29" s="7">
        <f t="shared" si="1"/>
        <v>2060291.6512769663</v>
      </c>
    </row>
    <row r="30" spans="1:8">
      <c r="A30">
        <v>2099</v>
      </c>
      <c r="B30">
        <v>95</v>
      </c>
      <c r="C30" s="16">
        <f>'Tábla 2020'!F97</f>
        <v>3.1806167400881054E-2</v>
      </c>
      <c r="D30" s="7">
        <f>Eredmények!$I$2*12</f>
        <v>21208763.676698133</v>
      </c>
      <c r="E30" s="7">
        <f t="shared" si="5"/>
        <v>2060291.6512769663</v>
      </c>
      <c r="F30" s="7">
        <f t="shared" si="6"/>
        <v>-674569.48786678643</v>
      </c>
      <c r="G30" s="7">
        <f>MAX(SUM(E30:F30)*Eredmények!$B$9,0)</f>
        <v>62357.497353458086</v>
      </c>
      <c r="H30" s="7">
        <f t="shared" si="1"/>
        <v>1448079.6607636379</v>
      </c>
    </row>
    <row r="31" spans="1:8">
      <c r="A31">
        <v>2100</v>
      </c>
      <c r="B31">
        <v>96</v>
      </c>
      <c r="C31" s="16">
        <f>'Tábla 2020'!F98</f>
        <v>2.3274596182085168E-2</v>
      </c>
      <c r="D31" s="7">
        <f>Eredmények!$I$2*12</f>
        <v>21208763.676698133</v>
      </c>
      <c r="E31" s="7">
        <f t="shared" si="5"/>
        <v>1448079.6607636379</v>
      </c>
      <c r="F31" s="7">
        <f t="shared" si="6"/>
        <v>-493625.41009642498</v>
      </c>
      <c r="G31" s="7">
        <f>MAX(SUM(E31:F31)*Eredmények!$B$9,0)</f>
        <v>42950.441280024577</v>
      </c>
      <c r="H31" s="7">
        <f t="shared" si="1"/>
        <v>997404.69194723747</v>
      </c>
    </row>
    <row r="32" spans="1:8">
      <c r="A32">
        <v>2101</v>
      </c>
      <c r="B32">
        <v>97</v>
      </c>
      <c r="C32" s="16">
        <f>'Tábla 2020'!F99</f>
        <v>1.6681350954478709E-2</v>
      </c>
      <c r="D32" s="7">
        <f>Eredmények!$I$2*12</f>
        <v>21208763.676698133</v>
      </c>
      <c r="E32" s="7">
        <f t="shared" si="5"/>
        <v>997404.69194723747</v>
      </c>
      <c r="F32" s="7">
        <f t="shared" si="6"/>
        <v>-353790.83020160178</v>
      </c>
      <c r="G32" s="7">
        <f>MAX(SUM(E32:F32)*Eredmények!$B$9,0)</f>
        <v>28962.623778553607</v>
      </c>
      <c r="H32" s="7">
        <f t="shared" si="1"/>
        <v>672576.48552418931</v>
      </c>
    </row>
    <row r="33" spans="1:8">
      <c r="A33">
        <v>2102</v>
      </c>
      <c r="B33">
        <v>98</v>
      </c>
      <c r="C33" s="16">
        <f>'Tábla 2020'!F100</f>
        <v>1.170337738619677E-2</v>
      </c>
      <c r="D33" s="7">
        <f>Eredmények!$I$2*12</f>
        <v>21208763.676698133</v>
      </c>
      <c r="E33" s="7">
        <f t="shared" si="5"/>
        <v>672576.48552418931</v>
      </c>
      <c r="F33" s="7">
        <f t="shared" si="6"/>
        <v>-248214.1652030604</v>
      </c>
      <c r="G33" s="7">
        <f>MAX(SUM(E33:F33)*Eredmények!$B$9,0)</f>
        <v>19096.304414450802</v>
      </c>
      <c r="H33" s="7">
        <f t="shared" si="1"/>
        <v>443458.62473557971</v>
      </c>
    </row>
    <row r="34" spans="1:8">
      <c r="A34">
        <v>2103</v>
      </c>
      <c r="B34">
        <v>99</v>
      </c>
      <c r="C34" s="16">
        <f>'Tábla 2020'!F101</f>
        <v>8.0176211453744494E-3</v>
      </c>
      <c r="D34" s="7">
        <f>Eredmények!$I$2*12</f>
        <v>21208763.676698133</v>
      </c>
      <c r="E34" s="7">
        <f t="shared" si="5"/>
        <v>443458.62473557971</v>
      </c>
      <c r="F34" s="7">
        <f t="shared" si="6"/>
        <v>-170043.83212154452</v>
      </c>
      <c r="G34" s="7">
        <f>MAX(SUM(E34:F34)*Eredmények!$B$9,0)</f>
        <v>12303.665667631583</v>
      </c>
      <c r="H34" s="7">
        <f t="shared" si="1"/>
        <v>285718.4582816668</v>
      </c>
    </row>
    <row r="35" spans="1:8">
      <c r="A35">
        <v>2104</v>
      </c>
      <c r="B35">
        <v>100</v>
      </c>
      <c r="C35" s="16">
        <f>'Tábla 2020'!F102</f>
        <v>5.3744493392070486E-3</v>
      </c>
      <c r="D35" s="7">
        <f>Eredmények!$I$2*12</f>
        <v>21208763.676698133</v>
      </c>
      <c r="E35" s="7">
        <f t="shared" si="5"/>
        <v>285718.4582816668</v>
      </c>
      <c r="F35" s="7">
        <f t="shared" si="6"/>
        <v>-113985.42592762873</v>
      </c>
      <c r="G35" s="7">
        <f>MAX(SUM(E35:F35)*Eredmények!$B$9,0)</f>
        <v>7727.986455931713</v>
      </c>
      <c r="H35" s="7">
        <f t="shared" si="1"/>
        <v>179461.01880996977</v>
      </c>
    </row>
    <row r="36" spans="1:8">
      <c r="A36">
        <v>2105</v>
      </c>
      <c r="B36">
        <v>101</v>
      </c>
      <c r="C36" s="16">
        <f>'Tábla 2020'!F103</f>
        <v>3.5095447870778268E-3</v>
      </c>
      <c r="D36" s="7">
        <f>Eredmények!$I$2*12</f>
        <v>21208763.676698133</v>
      </c>
      <c r="E36" s="7">
        <f t="shared" si="5"/>
        <v>179461.01880996977</v>
      </c>
      <c r="F36" s="7">
        <f t="shared" si="6"/>
        <v>-74433.106001921493</v>
      </c>
      <c r="G36" s="7">
        <f>MAX(SUM(E36:F36)*Eredmények!$B$9,0)</f>
        <v>4726.2560763621723</v>
      </c>
      <c r="H36" s="7">
        <f t="shared" si="1"/>
        <v>109754.16888441045</v>
      </c>
    </row>
    <row r="37" spans="1:8">
      <c r="A37">
        <v>2106</v>
      </c>
      <c r="B37">
        <v>102</v>
      </c>
      <c r="C37" s="16">
        <f>'Tábla 2020'!F104</f>
        <v>2.2466960352422907E-3</v>
      </c>
      <c r="D37" s="7">
        <f>Eredmények!$I$2*12</f>
        <v>21208763.676698133</v>
      </c>
      <c r="E37" s="7">
        <f t="shared" si="5"/>
        <v>109754.16888441045</v>
      </c>
      <c r="F37" s="7">
        <f t="shared" si="6"/>
        <v>-47649.645264828403</v>
      </c>
      <c r="G37" s="7">
        <f>MAX(SUM(E37:F37)*Eredmények!$B$9,0)</f>
        <v>2794.7035628811918</v>
      </c>
      <c r="H37" s="7">
        <f t="shared" si="1"/>
        <v>64899.227182463241</v>
      </c>
    </row>
    <row r="38" spans="1:8">
      <c r="A38">
        <v>2107</v>
      </c>
      <c r="B38">
        <v>103</v>
      </c>
      <c r="C38" s="16">
        <f>'Tábla 2020'!F105</f>
        <v>1.3950073421439061E-3</v>
      </c>
      <c r="D38" s="7">
        <f>Eredmények!$I$2*12</f>
        <v>21208763.676698133</v>
      </c>
      <c r="E38" s="7">
        <f t="shared" si="5"/>
        <v>64899.227182463241</v>
      </c>
      <c r="F38" s="7">
        <f t="shared" si="6"/>
        <v>-29586.38104678888</v>
      </c>
      <c r="G38" s="7">
        <f>MAX(SUM(E38:F38)*Eredmények!$B$9,0)</f>
        <v>1589.0780761053463</v>
      </c>
      <c r="H38" s="7">
        <f t="shared" si="1"/>
        <v>36901.924211779711</v>
      </c>
    </row>
    <row r="39" spans="1:8">
      <c r="A39">
        <v>2108</v>
      </c>
      <c r="B39">
        <v>104</v>
      </c>
      <c r="C39" s="16">
        <f>'Tábla 2020'!F106</f>
        <v>8.5168869309838475E-4</v>
      </c>
      <c r="D39" s="7">
        <f>Eredmények!$I$2*12</f>
        <v>21208763.676698133</v>
      </c>
      <c r="E39" s="7">
        <f t="shared" si="5"/>
        <v>36901.924211779711</v>
      </c>
      <c r="F39" s="7">
        <f t="shared" si="6"/>
        <v>-18063.264218039527</v>
      </c>
      <c r="G39" s="7">
        <f>MAX(SUM(E39:F39)*Eredmények!$B$9,0)</f>
        <v>847.73969971830832</v>
      </c>
      <c r="H39" s="7">
        <f t="shared" si="1"/>
        <v>19686.399693458494</v>
      </c>
    </row>
    <row r="40" spans="1:8">
      <c r="A40">
        <v>2109</v>
      </c>
      <c r="B40">
        <v>105</v>
      </c>
      <c r="C40" s="16">
        <f>'Tábla 2020'!F107</f>
        <v>4.9926578560939799E-4</v>
      </c>
      <c r="D40" s="7">
        <f>Eredmények!$I$2*12</f>
        <v>21208763.676698133</v>
      </c>
      <c r="E40" s="7">
        <f t="shared" si="5"/>
        <v>19686.399693458494</v>
      </c>
      <c r="F40" s="7">
        <f t="shared" si="6"/>
        <v>-10588.810058850759</v>
      </c>
      <c r="G40" s="7">
        <f>MAX(SUM(E40:F40)*Eredmények!$B$9,0)</f>
        <v>409.39153355734805</v>
      </c>
      <c r="H40" s="7">
        <f t="shared" si="1"/>
        <v>9506.9811681650826</v>
      </c>
    </row>
    <row r="41" spans="1:8">
      <c r="A41">
        <v>2110</v>
      </c>
      <c r="B41">
        <v>106</v>
      </c>
      <c r="C41" s="16">
        <f>'Tábla 2020'!F108</f>
        <v>2.9368575624082231E-4</v>
      </c>
      <c r="D41" s="7">
        <f>Eredmények!$I$2*12</f>
        <v>21208763.676698133</v>
      </c>
      <c r="E41" s="7">
        <f t="shared" si="5"/>
        <v>9506.9811681650826</v>
      </c>
      <c r="F41" s="7">
        <f t="shared" si="6"/>
        <v>-6228.7117993239744</v>
      </c>
      <c r="G41" s="7">
        <f>MAX(SUM(E41:F41)*Eredmények!$B$9,0)</f>
        <v>147.52212159784986</v>
      </c>
      <c r="H41" s="7">
        <f t="shared" si="1"/>
        <v>3425.7914904389581</v>
      </c>
    </row>
    <row r="42" spans="1:8">
      <c r="A42">
        <v>2111</v>
      </c>
      <c r="B42">
        <v>107</v>
      </c>
      <c r="C42" s="16">
        <f>'Tábla 2020'!F109</f>
        <v>1.6152716593245228E-4</v>
      </c>
      <c r="D42" s="7">
        <f>Eredmények!$I$2*12</f>
        <v>21208763.676698133</v>
      </c>
      <c r="E42" s="7">
        <f t="shared" si="5"/>
        <v>3425.7914904389581</v>
      </c>
      <c r="F42" s="7">
        <f t="shared" si="6"/>
        <v>-3425.7914896281859</v>
      </c>
      <c r="G42" s="7">
        <f>MAX(SUM(E42:F42)*Eredmények!$B$9,0)</f>
        <v>3.648475058071199E-8</v>
      </c>
      <c r="H42" s="7">
        <f t="shared" si="1"/>
        <v>8.4725698570764505E-7</v>
      </c>
    </row>
    <row r="43" spans="1:8">
      <c r="A43">
        <v>2112</v>
      </c>
      <c r="B43">
        <v>108</v>
      </c>
      <c r="C43" s="16">
        <f>'Tábla 2020'!F110</f>
        <v>8.8105726872246703E-5</v>
      </c>
      <c r="D43" s="7">
        <f>Eredmények!$I$2*12</f>
        <v>21208763.676698133</v>
      </c>
      <c r="E43" s="7">
        <f t="shared" si="5"/>
        <v>8.4725698570764505E-7</v>
      </c>
      <c r="F43" s="7">
        <f t="shared" si="6"/>
        <v>-1868.6135397971925</v>
      </c>
      <c r="G43" s="7">
        <f>MAX(SUM(E43:F43)*Eredmények!$B$9,0)</f>
        <v>0</v>
      </c>
      <c r="H43" s="7">
        <f t="shared" si="1"/>
        <v>0</v>
      </c>
    </row>
    <row r="44" spans="1:8">
      <c r="A44">
        <v>2113</v>
      </c>
      <c r="B44">
        <v>109</v>
      </c>
      <c r="C44" s="16">
        <f>'Tábla 2020'!F111</f>
        <v>4.4052863436123351E-5</v>
      </c>
      <c r="D44" s="7">
        <f>Eredmények!$I$2*12</f>
        <v>21208763.676698133</v>
      </c>
      <c r="E44" s="7">
        <f t="shared" si="5"/>
        <v>0</v>
      </c>
      <c r="F44" s="7">
        <f t="shared" si="6"/>
        <v>-934.30676989859626</v>
      </c>
      <c r="G44" s="7">
        <f>MAX(SUM(E44:F44)*Eredmények!$B$9,0)</f>
        <v>0</v>
      </c>
      <c r="H44" s="7">
        <f t="shared" si="1"/>
        <v>0</v>
      </c>
    </row>
    <row r="45" spans="1:8">
      <c r="A45">
        <v>2114</v>
      </c>
      <c r="B45">
        <v>110</v>
      </c>
      <c r="C45" s="16">
        <f>'Tábla 2020'!F112</f>
        <v>2.9368575624082231E-5</v>
      </c>
      <c r="D45" s="7">
        <f>Eredmények!$I$2*12</f>
        <v>21208763.676698133</v>
      </c>
      <c r="E45" s="7">
        <f t="shared" si="5"/>
        <v>0</v>
      </c>
      <c r="F45" s="7">
        <f t="shared" si="6"/>
        <v>-622.87117993239747</v>
      </c>
      <c r="G45" s="7">
        <f>MAX(SUM(E45:F45)*Eredmények!$B$9,0)</f>
        <v>0</v>
      </c>
      <c r="H45" s="7">
        <f t="shared" si="1"/>
        <v>0</v>
      </c>
    </row>
    <row r="46" spans="1:8">
      <c r="D46" s="7"/>
      <c r="E46" s="7"/>
      <c r="F46" s="7"/>
      <c r="G46" s="7"/>
      <c r="H46" s="7"/>
    </row>
    <row r="47" spans="1:8">
      <c r="D47" s="7"/>
      <c r="E47" s="7"/>
      <c r="F47" s="7"/>
      <c r="G47" s="7"/>
      <c r="H47" s="7"/>
    </row>
    <row r="48" spans="1:8">
      <c r="D48" s="7"/>
      <c r="E48" s="7"/>
      <c r="F48" s="7"/>
      <c r="G48" s="7"/>
      <c r="H48" s="7"/>
    </row>
    <row r="49" spans="4:8">
      <c r="D49" s="7"/>
      <c r="E49" s="7"/>
      <c r="F49" s="7"/>
      <c r="G49" s="7"/>
      <c r="H49" s="7"/>
    </row>
    <row r="50" spans="4:8">
      <c r="D50" s="7"/>
      <c r="E50" s="7"/>
      <c r="F50" s="7"/>
      <c r="G50" s="7"/>
      <c r="H50" s="7"/>
    </row>
    <row r="51" spans="4:8">
      <c r="D51" s="7"/>
      <c r="E51" s="7"/>
      <c r="F51" s="7"/>
      <c r="G51" s="7"/>
      <c r="H51" s="7"/>
    </row>
    <row r="52" spans="4:8">
      <c r="D52" s="7"/>
      <c r="E52" s="7"/>
      <c r="F52" s="7"/>
      <c r="G52" s="7"/>
      <c r="H52" s="7"/>
    </row>
    <row r="53" spans="4:8">
      <c r="D53" s="7"/>
      <c r="E53" s="7"/>
      <c r="F53" s="7"/>
      <c r="G53" s="7"/>
      <c r="H53" s="7"/>
    </row>
    <row r="54" spans="4:8">
      <c r="D54" s="7"/>
      <c r="E54" s="7"/>
      <c r="F54" s="7"/>
      <c r="G54" s="7"/>
      <c r="H54" s="7"/>
    </row>
    <row r="55" spans="4:8">
      <c r="D55" s="7"/>
      <c r="E55" s="7"/>
      <c r="F55" s="7"/>
      <c r="G55" s="7"/>
      <c r="H55" s="7"/>
    </row>
    <row r="56" spans="4:8">
      <c r="D56" s="7"/>
      <c r="E56" s="7"/>
      <c r="F56" s="7"/>
      <c r="G56" s="7"/>
      <c r="H56" s="7"/>
    </row>
    <row r="57" spans="4:8">
      <c r="D57" s="7"/>
      <c r="E57" s="7"/>
      <c r="F57" s="7"/>
      <c r="G57" s="7"/>
      <c r="H57" s="7"/>
    </row>
    <row r="58" spans="4:8">
      <c r="D58" s="7"/>
      <c r="E58" s="7"/>
      <c r="F58" s="7"/>
      <c r="G58" s="7"/>
      <c r="H58" s="7"/>
    </row>
    <row r="59" spans="4:8">
      <c r="D59" s="7"/>
      <c r="E59" s="7"/>
      <c r="F59" s="7"/>
      <c r="G59" s="7"/>
      <c r="H59" s="7"/>
    </row>
    <row r="60" spans="4:8">
      <c r="D60" s="7"/>
      <c r="E60" s="7"/>
      <c r="F60" s="7"/>
      <c r="G60" s="7"/>
      <c r="H60" s="7"/>
    </row>
    <row r="61" spans="4:8">
      <c r="D61" s="7"/>
      <c r="E61" s="7"/>
      <c r="F61" s="7"/>
      <c r="G61" s="7"/>
      <c r="H61" s="7"/>
    </row>
    <row r="62" spans="4:8">
      <c r="D62" s="7"/>
      <c r="E62" s="7"/>
      <c r="F62" s="7"/>
      <c r="G62" s="7"/>
      <c r="H62" s="7"/>
    </row>
    <row r="63" spans="4:8">
      <c r="D63" s="7"/>
      <c r="E63" s="7"/>
      <c r="F63" s="7"/>
      <c r="G63" s="7"/>
      <c r="H63" s="7"/>
    </row>
    <row r="64" spans="4:8">
      <c r="D64" s="7"/>
      <c r="E64" s="7"/>
      <c r="F64" s="7"/>
      <c r="G64" s="7"/>
      <c r="H64" s="7"/>
    </row>
    <row r="65" spans="4:8">
      <c r="D65" s="7"/>
      <c r="E65" s="7"/>
      <c r="F65" s="7"/>
      <c r="G65" s="7"/>
      <c r="H65" s="7"/>
    </row>
    <row r="66" spans="4:8">
      <c r="D66" s="7"/>
      <c r="E66" s="7"/>
      <c r="F66" s="7"/>
      <c r="G66" s="7"/>
      <c r="H66" s="7"/>
    </row>
    <row r="67" spans="4:8">
      <c r="D67" s="7"/>
      <c r="E67" s="7"/>
      <c r="F67" s="7"/>
      <c r="G67" s="7"/>
      <c r="H67" s="7"/>
    </row>
    <row r="68" spans="4:8">
      <c r="D68" s="7"/>
      <c r="E68" s="7"/>
      <c r="F68" s="7"/>
      <c r="G68" s="7"/>
      <c r="H68" s="7"/>
    </row>
    <row r="69" spans="4:8">
      <c r="D69" s="7"/>
      <c r="E69" s="7"/>
      <c r="F69" s="7"/>
      <c r="G69" s="7"/>
      <c r="H69" s="7"/>
    </row>
    <row r="70" spans="4:8">
      <c r="D70" s="7"/>
      <c r="E70" s="7"/>
      <c r="F70" s="7"/>
      <c r="G70" s="7"/>
      <c r="H70" s="7"/>
    </row>
    <row r="71" spans="4:8">
      <c r="D71" s="7"/>
      <c r="E71" s="7"/>
      <c r="F71" s="7"/>
      <c r="G71" s="7"/>
      <c r="H71" s="7"/>
    </row>
    <row r="72" spans="4:8">
      <c r="D72" s="7"/>
      <c r="E72" s="7"/>
      <c r="F72" s="7"/>
      <c r="G72" s="7"/>
      <c r="H72" s="7"/>
    </row>
    <row r="73" spans="4:8">
      <c r="D73" s="7"/>
      <c r="E73" s="7"/>
      <c r="F73" s="7"/>
      <c r="G73" s="7"/>
      <c r="H73" s="7"/>
    </row>
    <row r="74" spans="4:8">
      <c r="D74" s="7"/>
      <c r="E74" s="7"/>
      <c r="F74" s="7"/>
      <c r="G74" s="7"/>
      <c r="H74" s="7"/>
    </row>
    <row r="75" spans="4:8">
      <c r="D75" s="7"/>
      <c r="E75" s="7"/>
      <c r="F75" s="7"/>
      <c r="G75" s="7"/>
      <c r="H75" s="7"/>
    </row>
    <row r="76" spans="4:8">
      <c r="D76" s="7"/>
      <c r="E76" s="7"/>
      <c r="F76" s="7"/>
      <c r="G76" s="7"/>
      <c r="H76" s="7"/>
    </row>
    <row r="77" spans="4:8">
      <c r="D77" s="7"/>
      <c r="E77" s="7"/>
      <c r="F77" s="7"/>
      <c r="G77" s="7"/>
      <c r="H77" s="7"/>
    </row>
    <row r="78" spans="4:8">
      <c r="D78" s="7"/>
      <c r="E78" s="7"/>
      <c r="F78" s="7"/>
      <c r="G78" s="7"/>
      <c r="H78" s="7"/>
    </row>
    <row r="79" spans="4:8">
      <c r="D79" s="7"/>
      <c r="E79" s="7"/>
      <c r="F79" s="7"/>
      <c r="G79" s="7"/>
      <c r="H79" s="7"/>
    </row>
    <row r="80" spans="4:8">
      <c r="D80" s="7"/>
      <c r="E80" s="7"/>
      <c r="F80" s="7"/>
      <c r="G80" s="7"/>
      <c r="H80" s="7"/>
    </row>
    <row r="81" spans="4:8">
      <c r="D81" s="7"/>
      <c r="E81" s="7"/>
      <c r="F81" s="7"/>
      <c r="G81" s="7"/>
      <c r="H81" s="7"/>
    </row>
    <row r="82" spans="4:8">
      <c r="D82" s="7"/>
      <c r="E82" s="7"/>
      <c r="F82" s="7"/>
      <c r="G82" s="7"/>
      <c r="H82" s="7"/>
    </row>
    <row r="83" spans="4:8">
      <c r="D83" s="7"/>
      <c r="E83" s="7"/>
      <c r="F83" s="7"/>
      <c r="G83" s="7"/>
      <c r="H83" s="7"/>
    </row>
    <row r="84" spans="4:8">
      <c r="D84" s="7"/>
      <c r="E84" s="7"/>
      <c r="F84" s="7"/>
      <c r="G84" s="7"/>
      <c r="H84" s="7"/>
    </row>
    <row r="85" spans="4:8">
      <c r="D85" s="7"/>
      <c r="E85" s="7"/>
      <c r="F85" s="7"/>
      <c r="G85" s="7"/>
      <c r="H85" s="7"/>
    </row>
    <row r="86" spans="4:8">
      <c r="D86" s="7"/>
      <c r="E86" s="7"/>
      <c r="F86" s="7"/>
      <c r="G86" s="7"/>
      <c r="H86" s="7"/>
    </row>
    <row r="87" spans="4:8">
      <c r="D87" s="7"/>
      <c r="E87" s="7"/>
      <c r="F87" s="7"/>
      <c r="G87" s="7"/>
      <c r="H87" s="7"/>
    </row>
    <row r="88" spans="4:8">
      <c r="D88" s="7"/>
      <c r="E88" s="7"/>
      <c r="F88" s="7"/>
      <c r="G88" s="7"/>
      <c r="H88" s="7"/>
    </row>
    <row r="89" spans="4:8">
      <c r="D89" s="7"/>
      <c r="E89" s="7"/>
      <c r="F89" s="7"/>
      <c r="G89" s="7"/>
      <c r="H89" s="7"/>
    </row>
    <row r="90" spans="4:8">
      <c r="D90" s="7"/>
      <c r="E90" s="7"/>
      <c r="F90" s="7"/>
      <c r="G90" s="7"/>
      <c r="H90" s="7"/>
    </row>
    <row r="91" spans="4:8">
      <c r="D91" s="7"/>
      <c r="E91" s="7"/>
      <c r="F91" s="7"/>
      <c r="G91" s="7"/>
      <c r="H91" s="7"/>
    </row>
    <row r="92" spans="4:8">
      <c r="D92" s="7"/>
      <c r="E92" s="7"/>
      <c r="F92" s="7"/>
      <c r="G92" s="7"/>
      <c r="H92" s="7"/>
    </row>
    <row r="93" spans="4:8">
      <c r="D93" s="7"/>
      <c r="E93" s="7"/>
      <c r="F93" s="7"/>
      <c r="G93" s="7"/>
      <c r="H93" s="7"/>
    </row>
    <row r="94" spans="4:8">
      <c r="D94" s="7"/>
      <c r="E94" s="7"/>
      <c r="F94" s="7"/>
      <c r="G94" s="7"/>
      <c r="H94" s="7"/>
    </row>
    <row r="95" spans="4:8">
      <c r="D95" s="7"/>
      <c r="E95" s="7"/>
      <c r="F95" s="7"/>
      <c r="G95" s="7"/>
      <c r="H95" s="7"/>
    </row>
    <row r="96" spans="4:8">
      <c r="D96" s="7"/>
      <c r="E96" s="7"/>
      <c r="F96" s="7"/>
      <c r="G96" s="7"/>
      <c r="H96" s="7"/>
    </row>
    <row r="97" spans="4:8">
      <c r="D97" s="7"/>
      <c r="E97" s="7"/>
      <c r="F97" s="7"/>
      <c r="G97" s="7"/>
      <c r="H97" s="7"/>
    </row>
    <row r="98" spans="4:8">
      <c r="D98" s="7"/>
      <c r="E98" s="7"/>
      <c r="F98" s="7"/>
      <c r="G98" s="7"/>
      <c r="H98" s="7"/>
    </row>
    <row r="99" spans="4:8">
      <c r="D99" s="7"/>
      <c r="E99" s="7"/>
      <c r="F99" s="7"/>
      <c r="G99" s="7"/>
      <c r="H99" s="7"/>
    </row>
    <row r="100" spans="4:8">
      <c r="D100" s="7"/>
      <c r="E100" s="7"/>
      <c r="F100" s="7"/>
      <c r="G100" s="7"/>
      <c r="H100" s="7"/>
    </row>
    <row r="101" spans="4:8">
      <c r="D101" s="7"/>
      <c r="E101" s="7"/>
      <c r="F101" s="7"/>
      <c r="G101" s="7"/>
      <c r="H101" s="7"/>
    </row>
    <row r="102" spans="4:8">
      <c r="D102" s="7"/>
      <c r="E102" s="7"/>
      <c r="F102" s="7"/>
      <c r="G102" s="7"/>
      <c r="H102" s="7"/>
    </row>
    <row r="103" spans="4:8">
      <c r="D103" s="7"/>
      <c r="E103" s="7"/>
      <c r="F103" s="7"/>
      <c r="G103" s="7"/>
      <c r="H103" s="7"/>
    </row>
    <row r="104" spans="4:8">
      <c r="D104" s="7"/>
      <c r="E104" s="7"/>
      <c r="F104" s="7"/>
      <c r="G104" s="7"/>
      <c r="H104" s="7"/>
    </row>
    <row r="105" spans="4:8">
      <c r="D105" s="7"/>
      <c r="E105" s="7"/>
      <c r="F105" s="7"/>
      <c r="G105" s="7"/>
      <c r="H105" s="7"/>
    </row>
    <row r="106" spans="4:8">
      <c r="D106" s="7"/>
      <c r="E106" s="7"/>
      <c r="F106" s="7"/>
      <c r="G106" s="7"/>
      <c r="H106" s="7"/>
    </row>
    <row r="107" spans="4:8">
      <c r="D107" s="7"/>
      <c r="E107" s="7"/>
      <c r="F107" s="7"/>
      <c r="G107" s="7"/>
      <c r="H107" s="7"/>
    </row>
    <row r="108" spans="4:8">
      <c r="D108" s="7"/>
      <c r="E108" s="7"/>
      <c r="F108" s="7"/>
      <c r="G108" s="7"/>
      <c r="H108" s="7"/>
    </row>
    <row r="109" spans="4:8">
      <c r="D109" s="7"/>
      <c r="E109" s="7"/>
      <c r="F109" s="7"/>
      <c r="G109" s="7"/>
      <c r="H109" s="7"/>
    </row>
    <row r="110" spans="4:8">
      <c r="D110" s="7"/>
      <c r="E110" s="7"/>
      <c r="F110" s="7"/>
      <c r="G110" s="7"/>
      <c r="H110" s="7"/>
    </row>
    <row r="111" spans="4:8">
      <c r="D111" s="7"/>
      <c r="E111" s="7"/>
      <c r="F111" s="7"/>
      <c r="G111" s="7"/>
      <c r="H111" s="7"/>
    </row>
    <row r="112" spans="4:8">
      <c r="D112" s="7"/>
      <c r="E112" s="7"/>
      <c r="F112" s="7"/>
      <c r="G112" s="7"/>
      <c r="H112" s="7"/>
    </row>
    <row r="113" spans="4:8">
      <c r="D113" s="7"/>
      <c r="E113" s="7"/>
      <c r="F113" s="7"/>
      <c r="G113" s="7"/>
      <c r="H113" s="7"/>
    </row>
    <row r="114" spans="4:8">
      <c r="D114" s="7"/>
      <c r="E114" s="7"/>
      <c r="F114" s="7"/>
      <c r="G114" s="7"/>
      <c r="H114" s="7"/>
    </row>
    <row r="115" spans="4:8">
      <c r="D115" s="7"/>
      <c r="E115" s="7"/>
      <c r="F115" s="7"/>
      <c r="G115" s="7"/>
      <c r="H115" s="7"/>
    </row>
    <row r="116" spans="4:8">
      <c r="D116" s="7"/>
      <c r="E116" s="7"/>
      <c r="F116" s="7"/>
      <c r="G116" s="7"/>
      <c r="H116" s="7"/>
    </row>
    <row r="117" spans="4:8">
      <c r="D117" s="7"/>
      <c r="E117" s="7"/>
      <c r="F117" s="7"/>
      <c r="G117" s="7"/>
      <c r="H117" s="7"/>
    </row>
    <row r="118" spans="4:8">
      <c r="D118" s="7"/>
      <c r="E118" s="7"/>
      <c r="F118" s="7"/>
      <c r="G118" s="7"/>
      <c r="H118" s="7"/>
    </row>
    <row r="119" spans="4:8">
      <c r="D119" s="7"/>
      <c r="E119" s="7"/>
      <c r="F119" s="7"/>
      <c r="G119" s="7"/>
      <c r="H119" s="7"/>
    </row>
    <row r="120" spans="4:8">
      <c r="D120" s="7"/>
      <c r="E120" s="7"/>
      <c r="F120" s="7"/>
      <c r="G120" s="7"/>
      <c r="H120" s="7"/>
    </row>
    <row r="121" spans="4:8">
      <c r="D121" s="7"/>
      <c r="E121" s="7"/>
      <c r="F121" s="7"/>
      <c r="G121" s="7"/>
      <c r="H121" s="7"/>
    </row>
    <row r="122" spans="4:8">
      <c r="D122" s="7"/>
      <c r="E122" s="7"/>
      <c r="F122" s="7"/>
      <c r="G122" s="7"/>
      <c r="H122" s="7"/>
    </row>
    <row r="123" spans="4:8">
      <c r="D123" s="7"/>
      <c r="E123" s="7"/>
      <c r="F123" s="7"/>
      <c r="G123" s="7"/>
      <c r="H123" s="7"/>
    </row>
    <row r="124" spans="4:8">
      <c r="D124" s="7"/>
      <c r="E124" s="7"/>
      <c r="F124" s="7"/>
      <c r="G124" s="7"/>
      <c r="H124" s="7"/>
    </row>
    <row r="125" spans="4:8">
      <c r="D125" s="7"/>
      <c r="E125" s="7"/>
      <c r="F125" s="7"/>
      <c r="G125" s="7"/>
      <c r="H125" s="7"/>
    </row>
    <row r="126" spans="4:8">
      <c r="D126" s="7"/>
      <c r="E126" s="7"/>
      <c r="F126" s="7"/>
      <c r="G126" s="7"/>
      <c r="H126" s="7"/>
    </row>
    <row r="127" spans="4:8">
      <c r="D127" s="7"/>
      <c r="E127" s="7"/>
      <c r="F127" s="7"/>
      <c r="G127" s="7"/>
      <c r="H127" s="7"/>
    </row>
    <row r="128" spans="4:8">
      <c r="D128" s="7"/>
      <c r="E128" s="7"/>
      <c r="F128" s="7"/>
      <c r="G128" s="7"/>
      <c r="H128" s="7"/>
    </row>
    <row r="129" spans="4:8">
      <c r="D129" s="7"/>
      <c r="E129" s="7"/>
      <c r="F129" s="7"/>
      <c r="G129" s="7"/>
      <c r="H129" s="7"/>
    </row>
    <row r="130" spans="4:8">
      <c r="D130" s="7"/>
      <c r="E130" s="7"/>
      <c r="F130" s="7"/>
      <c r="G130" s="7"/>
      <c r="H130" s="7"/>
    </row>
    <row r="131" spans="4:8">
      <c r="D131" s="7"/>
      <c r="E131" s="7"/>
      <c r="F131" s="7"/>
      <c r="G131" s="7"/>
      <c r="H131" s="7"/>
    </row>
    <row r="132" spans="4:8">
      <c r="D132" s="7"/>
      <c r="E132" s="7"/>
      <c r="F132" s="7"/>
      <c r="G132" s="7"/>
      <c r="H132" s="7"/>
    </row>
    <row r="133" spans="4:8">
      <c r="D133" s="7"/>
      <c r="E133" s="7"/>
      <c r="F133" s="7"/>
      <c r="G133" s="7"/>
      <c r="H133" s="7"/>
    </row>
    <row r="134" spans="4:8">
      <c r="D134" s="7"/>
      <c r="E134" s="7"/>
      <c r="F134" s="7"/>
      <c r="G134" s="7"/>
      <c r="H134" s="7"/>
    </row>
    <row r="135" spans="4:8">
      <c r="D135" s="7"/>
      <c r="E135" s="7"/>
      <c r="F135" s="7"/>
      <c r="G135" s="7"/>
      <c r="H135" s="7"/>
    </row>
    <row r="136" spans="4:8">
      <c r="D136" s="7"/>
      <c r="E136" s="7"/>
      <c r="F136" s="7"/>
      <c r="G136" s="7"/>
      <c r="H136" s="7"/>
    </row>
    <row r="137" spans="4:8">
      <c r="D137" s="7"/>
      <c r="E137" s="7"/>
      <c r="F137" s="7"/>
      <c r="G137" s="7"/>
      <c r="H137" s="7"/>
    </row>
    <row r="138" spans="4:8">
      <c r="D138" s="7"/>
      <c r="E138" s="7"/>
      <c r="F138" s="7"/>
      <c r="G138" s="7"/>
      <c r="H138" s="7"/>
    </row>
    <row r="139" spans="4:8">
      <c r="D139" s="7"/>
      <c r="E139" s="7"/>
      <c r="F139" s="7"/>
      <c r="G139" s="7"/>
      <c r="H139" s="7"/>
    </row>
    <row r="140" spans="4:8">
      <c r="D140" s="7"/>
      <c r="E140" s="7"/>
      <c r="F140" s="7"/>
      <c r="G140" s="7"/>
      <c r="H140" s="7"/>
    </row>
    <row r="141" spans="4:8">
      <c r="D141" s="7"/>
      <c r="E141" s="7"/>
      <c r="F141" s="7"/>
      <c r="G141" s="7"/>
      <c r="H141" s="7"/>
    </row>
    <row r="142" spans="4:8">
      <c r="D142" s="7"/>
      <c r="E142" s="7"/>
      <c r="F142" s="7"/>
      <c r="G142" s="7"/>
      <c r="H142" s="7"/>
    </row>
    <row r="143" spans="4:8">
      <c r="D143" s="7"/>
      <c r="E143" s="7"/>
      <c r="F143" s="7"/>
      <c r="G143" s="7"/>
      <c r="H143" s="7"/>
    </row>
    <row r="144" spans="4:8">
      <c r="D144" s="7"/>
      <c r="E144" s="7"/>
      <c r="F144" s="7"/>
      <c r="G144" s="7"/>
      <c r="H144" s="7"/>
    </row>
    <row r="145" spans="4:8">
      <c r="D145" s="7"/>
      <c r="E145" s="7"/>
      <c r="F145" s="7"/>
      <c r="G145" s="7"/>
      <c r="H145" s="7"/>
    </row>
    <row r="146" spans="4:8">
      <c r="D146" s="7"/>
      <c r="E146" s="7"/>
      <c r="F146" s="7"/>
      <c r="G146" s="7"/>
      <c r="H146" s="7"/>
    </row>
    <row r="147" spans="4:8">
      <c r="D147" s="7"/>
      <c r="E147" s="7"/>
      <c r="F147" s="7"/>
      <c r="G147" s="7"/>
      <c r="H147" s="7"/>
    </row>
    <row r="148" spans="4:8">
      <c r="D148" s="7"/>
      <c r="E148" s="7"/>
      <c r="F148" s="7"/>
      <c r="G148" s="7"/>
      <c r="H148" s="7"/>
    </row>
    <row r="149" spans="4:8">
      <c r="D149" s="7"/>
      <c r="E149" s="7"/>
      <c r="F149" s="7"/>
      <c r="G149" s="7"/>
      <c r="H149" s="7"/>
    </row>
    <row r="150" spans="4:8">
      <c r="D150" s="7"/>
      <c r="E150" s="7"/>
      <c r="F150" s="7"/>
      <c r="G150" s="7"/>
      <c r="H150" s="7"/>
    </row>
    <row r="151" spans="4:8">
      <c r="D151" s="7"/>
      <c r="E151" s="7"/>
      <c r="F151" s="7"/>
      <c r="G151" s="7"/>
      <c r="H151" s="7"/>
    </row>
    <row r="152" spans="4:8">
      <c r="D152" s="7"/>
      <c r="E152" s="7"/>
      <c r="F152" s="7"/>
      <c r="G152" s="7"/>
      <c r="H152" s="7"/>
    </row>
    <row r="153" spans="4:8">
      <c r="D153" s="7"/>
      <c r="E153" s="7"/>
      <c r="F153" s="7"/>
      <c r="G153" s="7"/>
      <c r="H153" s="7"/>
    </row>
    <row r="154" spans="4:8">
      <c r="D154" s="7"/>
      <c r="E154" s="7"/>
      <c r="F154" s="7"/>
      <c r="G154" s="7"/>
      <c r="H154" s="7"/>
    </row>
    <row r="155" spans="4:8">
      <c r="D155" s="7"/>
      <c r="E155" s="7"/>
      <c r="F155" s="7"/>
      <c r="G155" s="7"/>
      <c r="H155" s="7"/>
    </row>
    <row r="156" spans="4:8">
      <c r="D156" s="7"/>
      <c r="E156" s="7"/>
      <c r="F156" s="7"/>
      <c r="G156" s="7"/>
      <c r="H156" s="7"/>
    </row>
    <row r="157" spans="4:8">
      <c r="D157" s="7"/>
      <c r="E157" s="7"/>
      <c r="F157" s="7"/>
      <c r="G157" s="7"/>
      <c r="H157" s="7"/>
    </row>
    <row r="158" spans="4:8">
      <c r="D158" s="7"/>
      <c r="E158" s="7"/>
      <c r="F158" s="7"/>
      <c r="G158" s="7"/>
      <c r="H158" s="7"/>
    </row>
    <row r="159" spans="4:8">
      <c r="D159" s="7"/>
      <c r="E159" s="7"/>
      <c r="F159" s="7"/>
      <c r="G159" s="7"/>
      <c r="H159" s="7"/>
    </row>
    <row r="160" spans="4:8">
      <c r="D160" s="7"/>
      <c r="E160" s="7"/>
      <c r="F160" s="7"/>
      <c r="G160" s="7"/>
      <c r="H160" s="7"/>
    </row>
    <row r="161" spans="4:8">
      <c r="D161" s="7"/>
      <c r="E161" s="7"/>
      <c r="F161" s="7"/>
      <c r="G161" s="7"/>
      <c r="H161" s="7"/>
    </row>
    <row r="162" spans="4:8">
      <c r="D162" s="7"/>
      <c r="E162" s="7"/>
      <c r="F162" s="7"/>
      <c r="G162" s="7"/>
      <c r="H162" s="7"/>
    </row>
    <row r="163" spans="4:8">
      <c r="D163" s="7"/>
      <c r="E163" s="7"/>
      <c r="F163" s="7"/>
      <c r="G163" s="7"/>
      <c r="H163" s="7"/>
    </row>
    <row r="164" spans="4:8">
      <c r="D164" s="7"/>
      <c r="E164" s="7"/>
      <c r="F164" s="7"/>
      <c r="G164" s="7"/>
      <c r="H164" s="7"/>
    </row>
    <row r="165" spans="4:8">
      <c r="D165" s="7"/>
      <c r="E165" s="7"/>
      <c r="F165" s="7"/>
      <c r="G165" s="7"/>
      <c r="H165" s="7"/>
    </row>
    <row r="166" spans="4:8">
      <c r="D166" s="7"/>
      <c r="E166" s="7"/>
      <c r="F166" s="7"/>
      <c r="G166" s="7"/>
      <c r="H166" s="7"/>
    </row>
    <row r="167" spans="4:8">
      <c r="D167" s="7"/>
      <c r="E167" s="7"/>
      <c r="F167" s="7"/>
      <c r="G167" s="7"/>
      <c r="H167" s="7"/>
    </row>
    <row r="168" spans="4:8">
      <c r="D168" s="7"/>
      <c r="E168" s="7"/>
      <c r="F168" s="7"/>
      <c r="G168" s="7"/>
      <c r="H168" s="7"/>
    </row>
    <row r="169" spans="4:8">
      <c r="D169" s="7"/>
      <c r="E169" s="7"/>
      <c r="F169" s="7"/>
      <c r="G169" s="7"/>
      <c r="H169" s="7"/>
    </row>
    <row r="170" spans="4:8">
      <c r="D170" s="7"/>
      <c r="E170" s="7"/>
      <c r="F170" s="7"/>
      <c r="G170" s="7"/>
      <c r="H170" s="7"/>
    </row>
    <row r="171" spans="4:8">
      <c r="D171" s="7"/>
      <c r="E171" s="7"/>
      <c r="F171" s="7"/>
      <c r="G171" s="7"/>
      <c r="H171" s="7"/>
    </row>
    <row r="172" spans="4:8">
      <c r="D172" s="7"/>
      <c r="E172" s="7"/>
      <c r="F172" s="7"/>
      <c r="G172" s="7"/>
      <c r="H172" s="7"/>
    </row>
    <row r="173" spans="4:8">
      <c r="D173" s="7"/>
      <c r="E173" s="7"/>
      <c r="F173" s="7"/>
      <c r="G173" s="7"/>
      <c r="H173" s="7"/>
    </row>
    <row r="174" spans="4:8">
      <c r="D174" s="7"/>
      <c r="E174" s="7"/>
      <c r="F174" s="7"/>
      <c r="G174" s="7"/>
      <c r="H174" s="7"/>
    </row>
    <row r="175" spans="4:8">
      <c r="D175" s="7"/>
      <c r="E175" s="7"/>
      <c r="F175" s="7"/>
      <c r="G175" s="7"/>
      <c r="H175" s="7"/>
    </row>
    <row r="176" spans="4:8">
      <c r="D176" s="7"/>
      <c r="E176" s="7"/>
      <c r="F176" s="7"/>
      <c r="G176" s="7"/>
      <c r="H176" s="7"/>
    </row>
    <row r="177" spans="4:8">
      <c r="D177" s="7"/>
      <c r="E177" s="7"/>
      <c r="F177" s="7"/>
      <c r="G177" s="7"/>
      <c r="H177" s="7"/>
    </row>
    <row r="178" spans="4:8">
      <c r="D178" s="7"/>
      <c r="E178" s="7"/>
      <c r="F178" s="7"/>
      <c r="G178" s="7"/>
      <c r="H178" s="7"/>
    </row>
    <row r="179" spans="4:8">
      <c r="D179" s="7"/>
      <c r="E179" s="7"/>
      <c r="F179" s="7"/>
      <c r="G179" s="7"/>
      <c r="H179" s="7"/>
    </row>
    <row r="180" spans="4:8">
      <c r="D180" s="7"/>
      <c r="E180" s="7"/>
      <c r="F180" s="7"/>
      <c r="G180" s="7"/>
      <c r="H180" s="7"/>
    </row>
    <row r="181" spans="4:8">
      <c r="D181" s="7"/>
      <c r="E181" s="7"/>
      <c r="F181" s="7"/>
      <c r="G181" s="7"/>
      <c r="H181" s="7"/>
    </row>
    <row r="182" spans="4:8">
      <c r="D182" s="7"/>
      <c r="E182" s="7"/>
      <c r="F182" s="7"/>
      <c r="G182" s="7"/>
      <c r="H182" s="7"/>
    </row>
    <row r="183" spans="4:8">
      <c r="D183" s="7"/>
      <c r="E183" s="7"/>
      <c r="F183" s="7"/>
      <c r="G183" s="7"/>
      <c r="H183" s="7"/>
    </row>
    <row r="184" spans="4:8">
      <c r="D184" s="7"/>
      <c r="E184" s="7"/>
      <c r="F184" s="7"/>
      <c r="G184" s="7"/>
      <c r="H184" s="7"/>
    </row>
    <row r="185" spans="4:8">
      <c r="D185" s="7"/>
      <c r="E185" s="7"/>
      <c r="F185" s="7"/>
      <c r="G185" s="7"/>
      <c r="H185" s="7"/>
    </row>
    <row r="186" spans="4:8">
      <c r="D186" s="7"/>
      <c r="E186" s="7"/>
      <c r="F186" s="7"/>
      <c r="G186" s="7"/>
      <c r="H186" s="7"/>
    </row>
    <row r="187" spans="4:8">
      <c r="D187" s="7"/>
      <c r="E187" s="7"/>
      <c r="F187" s="7"/>
      <c r="G187" s="7"/>
      <c r="H187" s="7"/>
    </row>
    <row r="188" spans="4:8">
      <c r="D188" s="7"/>
      <c r="E188" s="7"/>
      <c r="F188" s="7"/>
      <c r="G188" s="7"/>
      <c r="H188" s="7"/>
    </row>
    <row r="189" spans="4:8">
      <c r="D189" s="7"/>
      <c r="E189" s="7"/>
      <c r="F189" s="7"/>
      <c r="G189" s="7"/>
      <c r="H189" s="7"/>
    </row>
    <row r="190" spans="4:8">
      <c r="D190" s="7"/>
      <c r="E190" s="7"/>
      <c r="F190" s="7"/>
      <c r="G190" s="7"/>
      <c r="H190" s="7"/>
    </row>
    <row r="191" spans="4:8">
      <c r="D191" s="7"/>
      <c r="E191" s="7"/>
      <c r="F191" s="7"/>
      <c r="G191" s="7"/>
      <c r="H191" s="7"/>
    </row>
    <row r="192" spans="4:8">
      <c r="D192" s="7"/>
      <c r="E192" s="7"/>
      <c r="F192" s="7"/>
      <c r="G192" s="7"/>
      <c r="H192" s="7"/>
    </row>
    <row r="193" spans="4:8">
      <c r="D193" s="7"/>
      <c r="E193" s="7"/>
      <c r="F193" s="7"/>
      <c r="G193" s="7"/>
      <c r="H193" s="7"/>
    </row>
    <row r="194" spans="4:8">
      <c r="D194" s="7"/>
      <c r="E194" s="7"/>
      <c r="F194" s="7"/>
      <c r="G194" s="7"/>
      <c r="H194" s="7"/>
    </row>
    <row r="195" spans="4:8">
      <c r="D195" s="7"/>
      <c r="E195" s="7"/>
      <c r="F195" s="7"/>
      <c r="G195" s="7"/>
      <c r="H195" s="7"/>
    </row>
    <row r="196" spans="4:8">
      <c r="D196" s="7"/>
      <c r="E196" s="7"/>
      <c r="F196" s="7"/>
      <c r="G196" s="7"/>
      <c r="H196" s="7"/>
    </row>
    <row r="197" spans="4:8">
      <c r="D197" s="7"/>
      <c r="E197" s="7"/>
      <c r="F197" s="7"/>
      <c r="G197" s="7"/>
      <c r="H197" s="7"/>
    </row>
    <row r="198" spans="4:8">
      <c r="D198" s="7"/>
      <c r="E198" s="7"/>
      <c r="F198" s="7"/>
      <c r="G198" s="7"/>
      <c r="H198" s="7"/>
    </row>
    <row r="199" spans="4:8">
      <c r="D199" s="7"/>
      <c r="E199" s="7"/>
      <c r="F199" s="7"/>
      <c r="G199" s="7"/>
      <c r="H199" s="7"/>
    </row>
    <row r="200" spans="4:8">
      <c r="D200" s="7"/>
      <c r="E200" s="7"/>
      <c r="F200" s="7"/>
      <c r="G200" s="7"/>
      <c r="H200" s="7"/>
    </row>
    <row r="201" spans="4:8">
      <c r="D201" s="7"/>
      <c r="E201" s="7"/>
      <c r="F201" s="7"/>
      <c r="G201" s="7"/>
      <c r="H201" s="7"/>
    </row>
    <row r="202" spans="4:8">
      <c r="D202" s="7"/>
      <c r="E202" s="7"/>
      <c r="F202" s="7"/>
      <c r="G202" s="7"/>
      <c r="H202" s="7"/>
    </row>
    <row r="203" spans="4:8">
      <c r="D203" s="7"/>
      <c r="E203" s="7"/>
      <c r="F203" s="7"/>
      <c r="G203" s="7"/>
      <c r="H203" s="7"/>
    </row>
    <row r="204" spans="4:8">
      <c r="D204" s="7"/>
      <c r="E204" s="7"/>
      <c r="F204" s="7"/>
      <c r="G204" s="7"/>
      <c r="H204" s="7"/>
    </row>
    <row r="205" spans="4:8">
      <c r="D205" s="7"/>
      <c r="E205" s="7"/>
      <c r="F205" s="7"/>
      <c r="G205" s="7"/>
      <c r="H205" s="7"/>
    </row>
    <row r="206" spans="4:8">
      <c r="D206" s="7"/>
      <c r="E206" s="7"/>
      <c r="F206" s="7"/>
      <c r="G206" s="7"/>
      <c r="H206" s="7"/>
    </row>
    <row r="207" spans="4:8">
      <c r="D207" s="7"/>
      <c r="E207" s="7"/>
      <c r="F207" s="7"/>
      <c r="G207" s="7"/>
      <c r="H207" s="7"/>
    </row>
    <row r="208" spans="4:8">
      <c r="D208" s="7"/>
      <c r="E208" s="7"/>
      <c r="F208" s="7"/>
      <c r="G208" s="7"/>
      <c r="H208" s="7"/>
    </row>
    <row r="209" spans="4:8">
      <c r="D209" s="7"/>
      <c r="E209" s="7"/>
      <c r="F209" s="7"/>
      <c r="G209" s="7"/>
      <c r="H209" s="7"/>
    </row>
    <row r="210" spans="4:8">
      <c r="D210" s="7"/>
      <c r="E210" s="7"/>
      <c r="F210" s="7"/>
      <c r="G210" s="7"/>
      <c r="H210" s="7"/>
    </row>
    <row r="211" spans="4:8">
      <c r="D211" s="7"/>
      <c r="E211" s="7"/>
      <c r="F211" s="7"/>
      <c r="G211" s="7"/>
      <c r="H211" s="7"/>
    </row>
    <row r="212" spans="4:8">
      <c r="D212" s="7"/>
      <c r="E212" s="7"/>
      <c r="F212" s="7"/>
      <c r="G212" s="7"/>
      <c r="H212" s="7"/>
    </row>
    <row r="213" spans="4:8">
      <c r="D213" s="7"/>
      <c r="E213" s="7"/>
      <c r="F213" s="7"/>
      <c r="G213" s="7"/>
      <c r="H213" s="7"/>
    </row>
    <row r="214" spans="4:8">
      <c r="D214" s="7"/>
      <c r="E214" s="7"/>
      <c r="F214" s="7"/>
      <c r="G214" s="7"/>
      <c r="H214" s="7"/>
    </row>
    <row r="215" spans="4:8">
      <c r="D215" s="7"/>
      <c r="E215" s="7"/>
      <c r="F215" s="7"/>
      <c r="G215" s="7"/>
      <c r="H215" s="7"/>
    </row>
    <row r="216" spans="4:8">
      <c r="D216" s="7"/>
      <c r="E216" s="7"/>
      <c r="F216" s="7"/>
      <c r="G216" s="7"/>
      <c r="H216" s="7"/>
    </row>
    <row r="217" spans="4:8">
      <c r="D217" s="7"/>
      <c r="E217" s="7"/>
      <c r="F217" s="7"/>
      <c r="G217" s="7"/>
      <c r="H217" s="7"/>
    </row>
    <row r="218" spans="4:8">
      <c r="D218" s="7"/>
      <c r="E218" s="7"/>
      <c r="F218" s="7"/>
      <c r="G218" s="7"/>
      <c r="H218" s="7"/>
    </row>
    <row r="219" spans="4:8">
      <c r="D219" s="7"/>
      <c r="E219" s="7"/>
      <c r="F219" s="7"/>
      <c r="G219" s="7"/>
      <c r="H219" s="7"/>
    </row>
    <row r="220" spans="4:8">
      <c r="D220" s="7"/>
      <c r="E220" s="7"/>
      <c r="F220" s="7"/>
      <c r="G220" s="7"/>
      <c r="H220" s="7"/>
    </row>
    <row r="221" spans="4:8">
      <c r="D221" s="7"/>
      <c r="E221" s="7"/>
      <c r="F221" s="7"/>
      <c r="G221" s="7"/>
      <c r="H221" s="7"/>
    </row>
    <row r="222" spans="4:8">
      <c r="D222" s="7"/>
      <c r="E222" s="7"/>
      <c r="F222" s="7"/>
      <c r="G222" s="7"/>
      <c r="H222" s="7"/>
    </row>
    <row r="223" spans="4:8">
      <c r="D223" s="7"/>
      <c r="E223" s="7"/>
      <c r="F223" s="7"/>
      <c r="G223" s="7"/>
      <c r="H223" s="7"/>
    </row>
    <row r="224" spans="4:8">
      <c r="D224" s="7"/>
      <c r="E224" s="7"/>
      <c r="F224" s="7"/>
      <c r="G224" s="7"/>
      <c r="H224" s="7"/>
    </row>
    <row r="225" spans="4:8">
      <c r="D225" s="7"/>
      <c r="E225" s="7"/>
      <c r="F225" s="7"/>
      <c r="G225" s="7"/>
      <c r="H225" s="7"/>
    </row>
    <row r="226" spans="4:8">
      <c r="D226" s="7"/>
      <c r="E226" s="7"/>
      <c r="F226" s="7"/>
      <c r="G226" s="7"/>
      <c r="H226" s="7"/>
    </row>
    <row r="227" spans="4:8">
      <c r="D227" s="7"/>
      <c r="E227" s="7"/>
      <c r="F227" s="7"/>
      <c r="G227" s="7"/>
      <c r="H227" s="7"/>
    </row>
    <row r="228" spans="4:8">
      <c r="D228" s="7"/>
      <c r="E228" s="7"/>
      <c r="F228" s="7"/>
      <c r="G228" s="7"/>
      <c r="H228" s="7"/>
    </row>
    <row r="229" spans="4:8">
      <c r="D229" s="7"/>
      <c r="E229" s="7"/>
      <c r="F229" s="7"/>
      <c r="G229" s="7"/>
      <c r="H229" s="7"/>
    </row>
    <row r="230" spans="4:8">
      <c r="D230" s="7"/>
      <c r="E230" s="7"/>
      <c r="F230" s="7"/>
      <c r="G230" s="7"/>
      <c r="H230" s="7"/>
    </row>
    <row r="231" spans="4:8">
      <c r="D231" s="7"/>
      <c r="E231" s="7"/>
      <c r="F231" s="7"/>
      <c r="G231" s="7"/>
      <c r="H231" s="7"/>
    </row>
    <row r="232" spans="4:8">
      <c r="D232" s="7"/>
      <c r="E232" s="7"/>
      <c r="F232" s="7"/>
      <c r="G232" s="7"/>
      <c r="H232" s="7"/>
    </row>
    <row r="233" spans="4:8">
      <c r="D233" s="7"/>
      <c r="E233" s="7"/>
      <c r="F233" s="7"/>
      <c r="G233" s="7"/>
      <c r="H233" s="7"/>
    </row>
    <row r="234" spans="4:8">
      <c r="D234" s="7"/>
      <c r="E234" s="7"/>
      <c r="F234" s="7"/>
      <c r="G234" s="7"/>
      <c r="H234" s="7"/>
    </row>
    <row r="235" spans="4:8">
      <c r="D235" s="7"/>
      <c r="E235" s="7"/>
      <c r="F235" s="7"/>
      <c r="G235" s="7"/>
      <c r="H235" s="7"/>
    </row>
    <row r="236" spans="4:8">
      <c r="D236" s="7"/>
      <c r="E236" s="7"/>
      <c r="F236" s="7"/>
      <c r="G236" s="7"/>
      <c r="H236" s="7"/>
    </row>
    <row r="237" spans="4:8">
      <c r="D237" s="7"/>
      <c r="E237" s="7"/>
      <c r="F237" s="7"/>
      <c r="G237" s="7"/>
      <c r="H237" s="7"/>
    </row>
    <row r="238" spans="4:8">
      <c r="D238" s="7"/>
      <c r="E238" s="7"/>
      <c r="F238" s="7"/>
      <c r="G238" s="7"/>
      <c r="H238" s="7"/>
    </row>
    <row r="239" spans="4:8">
      <c r="D239" s="7"/>
      <c r="E239" s="7"/>
      <c r="F239" s="7"/>
      <c r="G239" s="7"/>
      <c r="H239" s="7"/>
    </row>
    <row r="240" spans="4:8">
      <c r="D240" s="7"/>
      <c r="E240" s="7"/>
      <c r="F240" s="7"/>
      <c r="G240" s="7"/>
      <c r="H240" s="7"/>
    </row>
    <row r="241" spans="4:8">
      <c r="D241" s="7"/>
      <c r="E241" s="7"/>
      <c r="F241" s="7"/>
      <c r="G241" s="7"/>
      <c r="H241" s="7"/>
    </row>
    <row r="242" spans="4:8">
      <c r="D242" s="7"/>
      <c r="E242" s="7"/>
      <c r="F242" s="7"/>
      <c r="G242" s="7"/>
      <c r="H242" s="7"/>
    </row>
    <row r="243" spans="4:8">
      <c r="D243" s="7"/>
      <c r="E243" s="7"/>
      <c r="F243" s="7"/>
      <c r="G243" s="7"/>
      <c r="H243" s="7"/>
    </row>
    <row r="244" spans="4:8">
      <c r="D244" s="7"/>
      <c r="E244" s="7"/>
      <c r="F244" s="7"/>
      <c r="G244" s="7"/>
      <c r="H244" s="7"/>
    </row>
    <row r="245" spans="4:8">
      <c r="D245" s="7"/>
      <c r="E245" s="7"/>
      <c r="F245" s="7"/>
      <c r="G245" s="7"/>
      <c r="H245" s="7"/>
    </row>
    <row r="246" spans="4:8">
      <c r="D246" s="7"/>
      <c r="E246" s="7"/>
      <c r="F246" s="7"/>
      <c r="G246" s="7"/>
      <c r="H246" s="7"/>
    </row>
    <row r="247" spans="4:8">
      <c r="D247" s="7"/>
      <c r="E247" s="7"/>
      <c r="F247" s="7"/>
      <c r="G247" s="7"/>
      <c r="H247" s="7"/>
    </row>
    <row r="248" spans="4:8">
      <c r="D248" s="7"/>
      <c r="E248" s="7"/>
      <c r="F248" s="7"/>
      <c r="G248" s="7"/>
      <c r="H248" s="7"/>
    </row>
    <row r="249" spans="4:8">
      <c r="D249" s="7"/>
      <c r="E249" s="7"/>
      <c r="F249" s="7"/>
      <c r="G249" s="7"/>
      <c r="H249" s="7"/>
    </row>
    <row r="250" spans="4:8">
      <c r="D250" s="7"/>
      <c r="E250" s="7"/>
      <c r="F250" s="7"/>
      <c r="G250" s="7"/>
      <c r="H250" s="7"/>
    </row>
    <row r="251" spans="4:8">
      <c r="D251" s="7"/>
      <c r="E251" s="7"/>
      <c r="F251" s="7"/>
      <c r="G251" s="7"/>
      <c r="H251" s="7"/>
    </row>
    <row r="252" spans="4:8">
      <c r="D252" s="7"/>
      <c r="E252" s="7"/>
      <c r="F252" s="7"/>
      <c r="G252" s="7"/>
      <c r="H252" s="7"/>
    </row>
    <row r="253" spans="4:8">
      <c r="D253" s="7"/>
      <c r="E253" s="7"/>
      <c r="F253" s="7"/>
      <c r="G253" s="7"/>
      <c r="H253" s="7"/>
    </row>
    <row r="254" spans="4:8">
      <c r="D254" s="7"/>
      <c r="E254" s="7"/>
      <c r="F254" s="7"/>
      <c r="G254" s="7"/>
      <c r="H254" s="7"/>
    </row>
    <row r="255" spans="4:8">
      <c r="D255" s="7"/>
      <c r="E255" s="7"/>
      <c r="F255" s="7"/>
      <c r="G255" s="7"/>
      <c r="H255" s="7"/>
    </row>
    <row r="256" spans="4:8">
      <c r="D256" s="7"/>
      <c r="E256" s="7"/>
      <c r="F256" s="7"/>
      <c r="G256" s="7"/>
      <c r="H256" s="7"/>
    </row>
    <row r="257" spans="4:8">
      <c r="D257" s="7"/>
      <c r="E257" s="7"/>
      <c r="F257" s="7"/>
      <c r="G257" s="7"/>
      <c r="H257" s="7"/>
    </row>
    <row r="258" spans="4:8">
      <c r="D258" s="7"/>
      <c r="E258" s="7"/>
      <c r="F258" s="7"/>
      <c r="G258" s="7"/>
      <c r="H258" s="7"/>
    </row>
    <row r="259" spans="4:8">
      <c r="D259" s="7"/>
      <c r="E259" s="7"/>
      <c r="F259" s="7"/>
      <c r="G259" s="7"/>
      <c r="H259" s="7"/>
    </row>
    <row r="260" spans="4:8">
      <c r="D260" s="7"/>
      <c r="E260" s="7"/>
      <c r="F260" s="7"/>
      <c r="G260" s="7"/>
      <c r="H260" s="7"/>
    </row>
    <row r="261" spans="4:8">
      <c r="D261" s="7"/>
      <c r="E261" s="7"/>
      <c r="F261" s="7"/>
      <c r="G261" s="7"/>
      <c r="H261" s="7"/>
    </row>
    <row r="262" spans="4:8">
      <c r="D262" s="7"/>
      <c r="E262" s="7"/>
      <c r="F262" s="7"/>
      <c r="G262" s="7"/>
      <c r="H262" s="7"/>
    </row>
    <row r="263" spans="4:8">
      <c r="D263" s="7"/>
      <c r="E263" s="7"/>
      <c r="F263" s="7"/>
      <c r="G263" s="7"/>
      <c r="H263" s="7"/>
    </row>
    <row r="264" spans="4:8">
      <c r="D264" s="7"/>
      <c r="E264" s="7"/>
      <c r="F264" s="7"/>
      <c r="G264" s="7"/>
      <c r="H264" s="7"/>
    </row>
    <row r="265" spans="4:8">
      <c r="D265" s="7"/>
      <c r="E265" s="7"/>
      <c r="F265" s="7"/>
      <c r="G265" s="7"/>
      <c r="H265" s="7"/>
    </row>
    <row r="266" spans="4:8">
      <c r="D266" s="7"/>
      <c r="E266" s="7"/>
      <c r="F266" s="7"/>
      <c r="G266" s="7"/>
      <c r="H266" s="7"/>
    </row>
    <row r="267" spans="4:8">
      <c r="D267" s="7"/>
      <c r="E267" s="7"/>
      <c r="F267" s="7"/>
      <c r="G267" s="7"/>
      <c r="H267" s="7"/>
    </row>
    <row r="268" spans="4:8">
      <c r="D268" s="7"/>
      <c r="E268" s="7"/>
      <c r="F268" s="7"/>
      <c r="G268" s="7"/>
      <c r="H268" s="7"/>
    </row>
    <row r="269" spans="4:8">
      <c r="D269" s="7"/>
      <c r="E269" s="7"/>
      <c r="F269" s="7"/>
      <c r="G269" s="7"/>
      <c r="H269" s="7"/>
    </row>
    <row r="270" spans="4:8">
      <c r="D270" s="7"/>
      <c r="E270" s="7"/>
      <c r="F270" s="7"/>
      <c r="G270" s="7"/>
      <c r="H270" s="7"/>
    </row>
    <row r="271" spans="4:8">
      <c r="D271" s="7"/>
      <c r="E271" s="7"/>
      <c r="F271" s="7"/>
      <c r="G271" s="7"/>
      <c r="H271" s="7"/>
    </row>
    <row r="272" spans="4:8">
      <c r="D272" s="7"/>
      <c r="E272" s="7"/>
      <c r="F272" s="7"/>
      <c r="G272" s="7"/>
      <c r="H272" s="7"/>
    </row>
    <row r="273" spans="4:8">
      <c r="D273" s="7"/>
      <c r="E273" s="7"/>
      <c r="F273" s="7"/>
      <c r="G273" s="7"/>
      <c r="H273" s="7"/>
    </row>
    <row r="274" spans="4:8">
      <c r="D274" s="7"/>
      <c r="E274" s="7"/>
      <c r="F274" s="7"/>
      <c r="G274" s="7"/>
      <c r="H274" s="7"/>
    </row>
    <row r="275" spans="4:8">
      <c r="D275" s="7"/>
      <c r="E275" s="7"/>
      <c r="F275" s="7"/>
      <c r="G275" s="7"/>
      <c r="H275" s="7"/>
    </row>
    <row r="276" spans="4:8">
      <c r="D276" s="7"/>
      <c r="E276" s="7"/>
      <c r="F276" s="7"/>
      <c r="G276" s="7"/>
      <c r="H276" s="7"/>
    </row>
    <row r="277" spans="4:8">
      <c r="D277" s="7"/>
      <c r="E277" s="7"/>
      <c r="F277" s="7"/>
      <c r="G277" s="7"/>
      <c r="H277" s="7"/>
    </row>
    <row r="278" spans="4:8">
      <c r="D278" s="7"/>
      <c r="E278" s="7"/>
      <c r="F278" s="7"/>
      <c r="G278" s="7"/>
      <c r="H278" s="7"/>
    </row>
    <row r="279" spans="4:8">
      <c r="D279" s="7"/>
      <c r="E279" s="7"/>
      <c r="F279" s="7"/>
      <c r="G279" s="7"/>
      <c r="H279" s="7"/>
    </row>
    <row r="280" spans="4:8">
      <c r="D280" s="7"/>
      <c r="E280" s="7"/>
      <c r="F280" s="7"/>
      <c r="G280" s="7"/>
      <c r="H280" s="7"/>
    </row>
    <row r="281" spans="4:8">
      <c r="D281" s="7"/>
      <c r="E281" s="7"/>
      <c r="F281" s="7"/>
      <c r="G281" s="7"/>
      <c r="H281" s="7"/>
    </row>
    <row r="282" spans="4:8">
      <c r="D282" s="7"/>
      <c r="E282" s="7"/>
      <c r="F282" s="7"/>
      <c r="G282" s="7"/>
      <c r="H282" s="7"/>
    </row>
    <row r="283" spans="4:8">
      <c r="D283" s="7"/>
      <c r="E283" s="7"/>
      <c r="F283" s="7"/>
      <c r="G283" s="7"/>
      <c r="H283" s="7"/>
    </row>
    <row r="284" spans="4:8">
      <c r="D284" s="7"/>
      <c r="E284" s="7"/>
      <c r="F284" s="7"/>
      <c r="G284" s="7"/>
      <c r="H284" s="7"/>
    </row>
    <row r="285" spans="4:8">
      <c r="D285" s="7"/>
      <c r="E285" s="7"/>
      <c r="F285" s="7"/>
      <c r="G285" s="7"/>
      <c r="H285" s="7"/>
    </row>
    <row r="286" spans="4:8">
      <c r="D286" s="7"/>
      <c r="E286" s="7"/>
      <c r="F286" s="7"/>
      <c r="G286" s="7"/>
      <c r="H286" s="7"/>
    </row>
    <row r="287" spans="4:8">
      <c r="D287" s="7"/>
      <c r="E287" s="7"/>
      <c r="F287" s="7"/>
      <c r="G287" s="7"/>
      <c r="H287" s="7"/>
    </row>
    <row r="288" spans="4:8">
      <c r="D288" s="7"/>
      <c r="E288" s="7"/>
      <c r="F288" s="7"/>
      <c r="G288" s="7"/>
      <c r="H288" s="7"/>
    </row>
    <row r="289" spans="4:8">
      <c r="D289" s="7"/>
      <c r="E289" s="7"/>
      <c r="F289" s="7"/>
      <c r="G289" s="7"/>
      <c r="H289" s="7"/>
    </row>
    <row r="290" spans="4:8">
      <c r="D290" s="7"/>
      <c r="E290" s="7"/>
      <c r="F290" s="7"/>
      <c r="G290" s="7"/>
      <c r="H290" s="7"/>
    </row>
    <row r="291" spans="4:8">
      <c r="D291" s="7"/>
      <c r="E291" s="7"/>
      <c r="F291" s="7"/>
      <c r="G291" s="7"/>
      <c r="H291" s="7"/>
    </row>
    <row r="292" spans="4:8">
      <c r="D292" s="7"/>
      <c r="E292" s="7"/>
      <c r="F292" s="7"/>
      <c r="G292" s="7"/>
      <c r="H292" s="7"/>
    </row>
    <row r="293" spans="4:8">
      <c r="D293" s="7"/>
      <c r="E293" s="7"/>
      <c r="F293" s="7"/>
      <c r="G293" s="7"/>
      <c r="H293" s="7"/>
    </row>
    <row r="294" spans="4:8">
      <c r="D294" s="7"/>
      <c r="E294" s="7"/>
      <c r="F294" s="7"/>
      <c r="G294" s="7"/>
      <c r="H294" s="7"/>
    </row>
    <row r="295" spans="4:8">
      <c r="D295" s="7"/>
      <c r="E295" s="7"/>
      <c r="F295" s="7"/>
      <c r="G295" s="7"/>
      <c r="H295" s="7"/>
    </row>
    <row r="296" spans="4:8">
      <c r="D296" s="7"/>
      <c r="E296" s="7"/>
      <c r="F296" s="7"/>
      <c r="G296" s="7"/>
      <c r="H296" s="7"/>
    </row>
    <row r="297" spans="4:8">
      <c r="D297" s="7"/>
      <c r="E297" s="7"/>
      <c r="F297" s="7"/>
      <c r="G297" s="7"/>
      <c r="H297" s="7"/>
    </row>
    <row r="298" spans="4:8">
      <c r="D298" s="7"/>
      <c r="E298" s="7"/>
      <c r="F298" s="7"/>
      <c r="G298" s="7"/>
      <c r="H298" s="7"/>
    </row>
    <row r="299" spans="4:8">
      <c r="D299" s="7"/>
      <c r="E299" s="7"/>
      <c r="F299" s="7"/>
      <c r="G299" s="7"/>
      <c r="H299" s="7"/>
    </row>
    <row r="300" spans="4:8">
      <c r="D300" s="7"/>
      <c r="E300" s="7"/>
      <c r="F300" s="7"/>
      <c r="G300" s="7"/>
      <c r="H300" s="7"/>
    </row>
    <row r="301" spans="4:8">
      <c r="D301" s="7"/>
      <c r="E301" s="7"/>
      <c r="F301" s="7"/>
      <c r="G301" s="7"/>
      <c r="H301" s="7"/>
    </row>
    <row r="302" spans="4:8">
      <c r="D302" s="7"/>
      <c r="E302" s="7"/>
      <c r="F302" s="7"/>
      <c r="G302" s="7"/>
      <c r="H302" s="7"/>
    </row>
    <row r="303" spans="4:8">
      <c r="D303" s="7"/>
      <c r="E303" s="7"/>
      <c r="F303" s="7"/>
      <c r="G303" s="7"/>
      <c r="H303" s="7"/>
    </row>
    <row r="304" spans="4:8">
      <c r="D304" s="7"/>
      <c r="E304" s="7"/>
      <c r="F304" s="7"/>
      <c r="G304" s="7"/>
      <c r="H304" s="7"/>
    </row>
    <row r="305" spans="4:8">
      <c r="D305" s="7"/>
      <c r="E305" s="7"/>
      <c r="F305" s="7"/>
      <c r="G305" s="7"/>
      <c r="H305" s="7"/>
    </row>
    <row r="306" spans="4:8">
      <c r="D306" s="7"/>
      <c r="E306" s="7"/>
      <c r="F306" s="7"/>
      <c r="G306" s="7"/>
      <c r="H306" s="7"/>
    </row>
    <row r="307" spans="4:8">
      <c r="D307" s="7"/>
      <c r="E307" s="7"/>
      <c r="F307" s="7"/>
      <c r="G307" s="7"/>
      <c r="H307" s="7"/>
    </row>
    <row r="308" spans="4:8">
      <c r="D308" s="7"/>
      <c r="E308" s="7"/>
      <c r="F308" s="7"/>
      <c r="G308" s="7"/>
      <c r="H308" s="7"/>
    </row>
    <row r="309" spans="4:8">
      <c r="D309" s="7"/>
      <c r="E309" s="7"/>
      <c r="F309" s="7"/>
      <c r="G309" s="7"/>
      <c r="H309" s="7"/>
    </row>
    <row r="310" spans="4:8">
      <c r="D310" s="7"/>
      <c r="E310" s="7"/>
      <c r="F310" s="7"/>
      <c r="G310" s="7"/>
      <c r="H310" s="7"/>
    </row>
    <row r="311" spans="4:8">
      <c r="D311" s="7"/>
      <c r="E311" s="7"/>
      <c r="F311" s="7"/>
      <c r="G311" s="7"/>
      <c r="H311" s="7"/>
    </row>
    <row r="312" spans="4:8">
      <c r="D312" s="7"/>
      <c r="E312" s="7"/>
      <c r="F312" s="7"/>
      <c r="G312" s="7"/>
      <c r="H312" s="7"/>
    </row>
    <row r="313" spans="4:8">
      <c r="D313" s="7"/>
      <c r="E313" s="7"/>
      <c r="F313" s="7"/>
      <c r="G313" s="7"/>
      <c r="H313" s="7"/>
    </row>
    <row r="314" spans="4:8">
      <c r="D314" s="7"/>
      <c r="E314" s="7"/>
      <c r="F314" s="7"/>
      <c r="G314" s="7"/>
      <c r="H314" s="7"/>
    </row>
    <row r="315" spans="4:8">
      <c r="D315" s="7"/>
      <c r="E315" s="7"/>
      <c r="F315" s="7"/>
      <c r="G315" s="7"/>
      <c r="H315" s="7"/>
    </row>
    <row r="316" spans="4:8">
      <c r="D316" s="7"/>
      <c r="E316" s="7"/>
      <c r="F316" s="7"/>
      <c r="G316" s="7"/>
      <c r="H316" s="7"/>
    </row>
    <row r="317" spans="4:8">
      <c r="D317" s="7"/>
      <c r="E317" s="7"/>
      <c r="F317" s="7"/>
      <c r="G317" s="7"/>
      <c r="H317" s="7"/>
    </row>
    <row r="318" spans="4:8">
      <c r="D318" s="7"/>
      <c r="E318" s="7"/>
      <c r="F318" s="7"/>
      <c r="G318" s="7"/>
      <c r="H318" s="7"/>
    </row>
    <row r="319" spans="4:8">
      <c r="D319" s="7"/>
      <c r="E319" s="7"/>
      <c r="F319" s="7"/>
      <c r="G319" s="7"/>
      <c r="H319" s="7"/>
    </row>
    <row r="320" spans="4:8">
      <c r="D320" s="7"/>
      <c r="E320" s="7"/>
      <c r="F320" s="7"/>
      <c r="G320" s="7"/>
      <c r="H320" s="7"/>
    </row>
    <row r="321" spans="4:8">
      <c r="D321" s="7"/>
      <c r="E321" s="7"/>
      <c r="F321" s="7"/>
      <c r="G321" s="7"/>
      <c r="H321" s="7"/>
    </row>
    <row r="322" spans="4:8">
      <c r="D322" s="7"/>
      <c r="E322" s="7"/>
      <c r="F322" s="7"/>
      <c r="G322" s="7"/>
      <c r="H322" s="7"/>
    </row>
    <row r="323" spans="4:8">
      <c r="D323" s="7"/>
      <c r="E323" s="7"/>
      <c r="F323" s="7"/>
      <c r="G323" s="7"/>
      <c r="H323" s="7"/>
    </row>
    <row r="324" spans="4:8">
      <c r="D324" s="7"/>
      <c r="E324" s="7"/>
      <c r="F324" s="7"/>
      <c r="G324" s="7"/>
      <c r="H324" s="7"/>
    </row>
    <row r="325" spans="4:8">
      <c r="D325" s="7"/>
      <c r="E325" s="7"/>
      <c r="F325" s="7"/>
      <c r="G325" s="7"/>
      <c r="H325" s="7"/>
    </row>
    <row r="326" spans="4:8">
      <c r="D326" s="7"/>
      <c r="E326" s="7"/>
      <c r="F326" s="7"/>
      <c r="G326" s="7"/>
      <c r="H326" s="7"/>
    </row>
    <row r="327" spans="4:8">
      <c r="D327" s="7"/>
      <c r="E327" s="7"/>
      <c r="F327" s="7"/>
      <c r="G327" s="7"/>
      <c r="H327" s="7"/>
    </row>
    <row r="328" spans="4:8">
      <c r="D328" s="7"/>
      <c r="E328" s="7"/>
      <c r="F328" s="7"/>
      <c r="G328" s="7"/>
      <c r="H328" s="7"/>
    </row>
    <row r="329" spans="4:8">
      <c r="D329" s="7"/>
      <c r="E329" s="7"/>
      <c r="F329" s="7"/>
      <c r="G329" s="7"/>
      <c r="H329" s="7"/>
    </row>
    <row r="330" spans="4:8">
      <c r="D330" s="7"/>
      <c r="E330" s="7"/>
      <c r="F330" s="7"/>
      <c r="G330" s="7"/>
      <c r="H330" s="7"/>
    </row>
    <row r="331" spans="4:8">
      <c r="D331" s="7"/>
      <c r="E331" s="7"/>
      <c r="F331" s="7"/>
      <c r="G331" s="7"/>
      <c r="H331" s="7"/>
    </row>
    <row r="332" spans="4:8">
      <c r="D332" s="7"/>
      <c r="E332" s="7"/>
      <c r="F332" s="7"/>
      <c r="G332" s="7"/>
      <c r="H332" s="7"/>
    </row>
    <row r="333" spans="4:8">
      <c r="D333" s="7"/>
      <c r="E333" s="7"/>
      <c r="F333" s="7"/>
      <c r="G333" s="7"/>
      <c r="H333" s="7"/>
    </row>
    <row r="334" spans="4:8">
      <c r="D334" s="7"/>
      <c r="E334" s="7"/>
      <c r="F334" s="7"/>
      <c r="G334" s="7"/>
      <c r="H334" s="7"/>
    </row>
    <row r="335" spans="4:8">
      <c r="D335" s="7"/>
      <c r="E335" s="7"/>
      <c r="F335" s="7"/>
      <c r="G335" s="7"/>
      <c r="H335" s="7"/>
    </row>
    <row r="336" spans="4:8">
      <c r="D336" s="7"/>
      <c r="E336" s="7"/>
      <c r="F336" s="7"/>
      <c r="G336" s="7"/>
      <c r="H336" s="7"/>
    </row>
    <row r="337" spans="4:8">
      <c r="D337" s="7"/>
      <c r="E337" s="7"/>
      <c r="F337" s="7"/>
      <c r="G337" s="7"/>
      <c r="H337" s="7"/>
    </row>
    <row r="338" spans="4:8">
      <c r="D338" s="7"/>
      <c r="E338" s="7"/>
      <c r="F338" s="7"/>
      <c r="G338" s="7"/>
      <c r="H338" s="7"/>
    </row>
    <row r="339" spans="4:8">
      <c r="D339" s="7"/>
      <c r="E339" s="7"/>
      <c r="F339" s="7"/>
      <c r="G339" s="7"/>
      <c r="H339" s="7"/>
    </row>
    <row r="340" spans="4:8">
      <c r="D340" s="7"/>
      <c r="E340" s="7"/>
      <c r="F340" s="7"/>
      <c r="G340" s="7"/>
      <c r="H340" s="7"/>
    </row>
    <row r="341" spans="4:8">
      <c r="D341" s="7"/>
      <c r="E341" s="7"/>
      <c r="F341" s="7"/>
      <c r="G341" s="7"/>
      <c r="H341" s="7"/>
    </row>
    <row r="342" spans="4:8">
      <c r="D342" s="7"/>
      <c r="E342" s="7"/>
      <c r="F342" s="7"/>
      <c r="G342" s="7"/>
      <c r="H342" s="7"/>
    </row>
    <row r="343" spans="4:8">
      <c r="D343" s="7"/>
      <c r="E343" s="7"/>
      <c r="F343" s="7"/>
      <c r="G343" s="7"/>
      <c r="H343" s="7"/>
    </row>
    <row r="344" spans="4:8">
      <c r="D344" s="7"/>
      <c r="E344" s="7"/>
      <c r="F344" s="7"/>
      <c r="G344" s="7"/>
      <c r="H344" s="7"/>
    </row>
    <row r="345" spans="4:8">
      <c r="D345" s="7"/>
      <c r="E345" s="7"/>
      <c r="F345" s="7"/>
      <c r="G345" s="7"/>
      <c r="H345" s="7"/>
    </row>
    <row r="346" spans="4:8">
      <c r="D346" s="7"/>
      <c r="E346" s="7"/>
      <c r="F346" s="7"/>
      <c r="G346" s="7"/>
      <c r="H346" s="7"/>
    </row>
    <row r="347" spans="4:8">
      <c r="D347" s="7"/>
      <c r="E347" s="7"/>
      <c r="F347" s="7"/>
      <c r="G347" s="7"/>
      <c r="H347" s="7"/>
    </row>
    <row r="348" spans="4:8">
      <c r="D348" s="7"/>
      <c r="E348" s="7"/>
      <c r="F348" s="7"/>
      <c r="G348" s="7"/>
      <c r="H348" s="7"/>
    </row>
    <row r="349" spans="4:8">
      <c r="D349" s="7"/>
      <c r="E349" s="7"/>
      <c r="F349" s="7"/>
      <c r="G349" s="7"/>
      <c r="H349" s="7"/>
    </row>
    <row r="350" spans="4:8">
      <c r="D350" s="7"/>
      <c r="E350" s="7"/>
      <c r="F350" s="7"/>
      <c r="G350" s="7"/>
      <c r="H350" s="7"/>
    </row>
    <row r="351" spans="4:8">
      <c r="D351" s="7"/>
      <c r="E351" s="7"/>
      <c r="F351" s="7"/>
      <c r="G351" s="7"/>
      <c r="H351" s="7"/>
    </row>
    <row r="352" spans="4:8">
      <c r="D352" s="7"/>
      <c r="E352" s="7"/>
      <c r="F352" s="7"/>
      <c r="G352" s="7"/>
      <c r="H352" s="7"/>
    </row>
    <row r="353" spans="4:8">
      <c r="D353" s="7"/>
      <c r="E353" s="7"/>
      <c r="F353" s="7"/>
      <c r="G353" s="7"/>
      <c r="H353" s="7"/>
    </row>
    <row r="354" spans="4:8">
      <c r="D354" s="7"/>
      <c r="E354" s="7"/>
      <c r="F354" s="7"/>
      <c r="G354" s="7"/>
      <c r="H354" s="7"/>
    </row>
    <row r="355" spans="4:8">
      <c r="D355" s="7"/>
      <c r="E355" s="7"/>
      <c r="F355" s="7"/>
      <c r="G355" s="7"/>
      <c r="H355" s="7"/>
    </row>
    <row r="356" spans="4:8">
      <c r="D356" s="7"/>
      <c r="E356" s="7"/>
      <c r="F356" s="7"/>
      <c r="G356" s="7"/>
      <c r="H356" s="7"/>
    </row>
    <row r="357" spans="4:8">
      <c r="D357" s="7"/>
      <c r="E357" s="7"/>
      <c r="F357" s="7"/>
      <c r="G357" s="7"/>
      <c r="H357" s="7"/>
    </row>
    <row r="358" spans="4:8">
      <c r="D358" s="7"/>
      <c r="E358" s="7"/>
      <c r="F358" s="7"/>
      <c r="G358" s="7"/>
      <c r="H358" s="7"/>
    </row>
    <row r="359" spans="4:8">
      <c r="D359" s="7"/>
      <c r="E359" s="7"/>
      <c r="F359" s="7"/>
      <c r="G359" s="7"/>
      <c r="H359" s="7"/>
    </row>
    <row r="360" spans="4:8">
      <c r="D360" s="7"/>
      <c r="E360" s="7"/>
      <c r="F360" s="7"/>
      <c r="G360" s="7"/>
      <c r="H360" s="7"/>
    </row>
    <row r="361" spans="4:8">
      <c r="D361" s="7"/>
      <c r="E361" s="7"/>
      <c r="F361" s="7"/>
      <c r="G361" s="7"/>
      <c r="H361" s="7"/>
    </row>
    <row r="362" spans="4:8">
      <c r="D362" s="7"/>
      <c r="E362" s="7"/>
      <c r="F362" s="7"/>
      <c r="G362" s="7"/>
      <c r="H362" s="7"/>
    </row>
    <row r="363" spans="4:8">
      <c r="D363" s="7"/>
      <c r="E363" s="7"/>
      <c r="F363" s="7"/>
      <c r="G363" s="7"/>
      <c r="H363" s="7"/>
    </row>
    <row r="364" spans="4:8">
      <c r="D364" s="7"/>
      <c r="E364" s="7"/>
      <c r="F364" s="7"/>
      <c r="G364" s="7"/>
      <c r="H364" s="7"/>
    </row>
    <row r="365" spans="4:8">
      <c r="D365" s="7"/>
      <c r="E365" s="7"/>
      <c r="F365" s="7"/>
      <c r="G365" s="7"/>
      <c r="H365" s="7"/>
    </row>
    <row r="366" spans="4:8">
      <c r="D366" s="7"/>
      <c r="E366" s="7"/>
      <c r="F366" s="7"/>
      <c r="G366" s="7"/>
      <c r="H366" s="7"/>
    </row>
    <row r="367" spans="4:8">
      <c r="D367" s="7"/>
      <c r="E367" s="7"/>
      <c r="F367" s="7"/>
      <c r="G367" s="7"/>
      <c r="H367" s="7"/>
    </row>
    <row r="368" spans="4:8">
      <c r="D368" s="7"/>
      <c r="E368" s="7"/>
      <c r="F368" s="7"/>
      <c r="G368" s="7"/>
      <c r="H368" s="7"/>
    </row>
    <row r="369" spans="4:8">
      <c r="D369" s="7"/>
      <c r="E369" s="7"/>
      <c r="F369" s="7"/>
      <c r="G369" s="7"/>
      <c r="H369" s="7"/>
    </row>
    <row r="370" spans="4:8">
      <c r="D370" s="7"/>
      <c r="E370" s="7"/>
      <c r="F370" s="7"/>
      <c r="G370" s="7"/>
      <c r="H370" s="7"/>
    </row>
    <row r="371" spans="4:8">
      <c r="D371" s="7"/>
      <c r="E371" s="7"/>
      <c r="F371" s="7"/>
      <c r="G371" s="7"/>
      <c r="H371" s="7"/>
    </row>
    <row r="372" spans="4:8">
      <c r="D372" s="7"/>
      <c r="E372" s="7"/>
      <c r="F372" s="7"/>
      <c r="G372" s="7"/>
      <c r="H372" s="7"/>
    </row>
    <row r="373" spans="4:8">
      <c r="D373" s="7"/>
      <c r="E373" s="7"/>
      <c r="F373" s="7"/>
      <c r="G373" s="7"/>
      <c r="H373" s="7"/>
    </row>
    <row r="374" spans="4:8">
      <c r="D374" s="7"/>
      <c r="E374" s="7"/>
      <c r="F374" s="7"/>
      <c r="G374" s="7"/>
      <c r="H374" s="7"/>
    </row>
    <row r="375" spans="4:8">
      <c r="D375" s="7"/>
      <c r="E375" s="7"/>
      <c r="F375" s="7"/>
      <c r="G375" s="7"/>
      <c r="H375" s="7"/>
    </row>
    <row r="376" spans="4:8">
      <c r="D376" s="7"/>
      <c r="E376" s="7"/>
      <c r="F376" s="7"/>
      <c r="G376" s="7"/>
      <c r="H376" s="7"/>
    </row>
    <row r="377" spans="4:8">
      <c r="D377" s="7"/>
      <c r="E377" s="7"/>
      <c r="F377" s="7"/>
      <c r="G377" s="7"/>
      <c r="H377" s="7"/>
    </row>
    <row r="378" spans="4:8">
      <c r="D378" s="7"/>
      <c r="E378" s="7"/>
      <c r="F378" s="7"/>
      <c r="G378" s="7"/>
      <c r="H378" s="7"/>
    </row>
    <row r="379" spans="4:8">
      <c r="D379" s="7"/>
      <c r="E379" s="7"/>
      <c r="F379" s="7"/>
      <c r="G379" s="7"/>
      <c r="H379" s="7"/>
    </row>
    <row r="380" spans="4:8">
      <c r="D380" s="7"/>
      <c r="E380" s="7"/>
      <c r="F380" s="7"/>
      <c r="G380" s="7"/>
      <c r="H380" s="7"/>
    </row>
    <row r="381" spans="4:8">
      <c r="D381" s="7"/>
      <c r="E381" s="7"/>
      <c r="F381" s="7"/>
      <c r="G381" s="7"/>
      <c r="H381" s="7"/>
    </row>
    <row r="382" spans="4:8">
      <c r="D382" s="7"/>
      <c r="E382" s="7"/>
      <c r="F382" s="7"/>
      <c r="G382" s="7"/>
      <c r="H382" s="7"/>
    </row>
    <row r="383" spans="4:8">
      <c r="D383" s="7"/>
      <c r="E383" s="7"/>
      <c r="F383" s="7"/>
      <c r="G383" s="7"/>
      <c r="H383" s="7"/>
    </row>
    <row r="384" spans="4:8">
      <c r="D384" s="7"/>
      <c r="E384" s="7"/>
      <c r="F384" s="7"/>
      <c r="G384" s="7"/>
      <c r="H384" s="7"/>
    </row>
    <row r="385" spans="4:8">
      <c r="D385" s="7"/>
      <c r="E385" s="7"/>
      <c r="F385" s="7"/>
      <c r="G385" s="7"/>
      <c r="H385" s="7"/>
    </row>
    <row r="386" spans="4:8">
      <c r="D386" s="7"/>
      <c r="E386" s="7"/>
      <c r="F386" s="7"/>
      <c r="G386" s="7"/>
      <c r="H386" s="7"/>
    </row>
    <row r="387" spans="4:8">
      <c r="D387" s="7"/>
      <c r="E387" s="7"/>
      <c r="F387" s="7"/>
      <c r="G387" s="7"/>
      <c r="H387" s="7"/>
    </row>
    <row r="388" spans="4:8">
      <c r="D388" s="7"/>
      <c r="E388" s="7"/>
      <c r="F388" s="7"/>
      <c r="G388" s="7"/>
      <c r="H388" s="7"/>
    </row>
    <row r="389" spans="4:8">
      <c r="D389" s="7"/>
      <c r="E389" s="7"/>
      <c r="F389" s="7"/>
      <c r="G389" s="7"/>
      <c r="H389" s="7"/>
    </row>
    <row r="390" spans="4:8">
      <c r="D390" s="7"/>
      <c r="E390" s="7"/>
      <c r="F390" s="7"/>
      <c r="G390" s="7"/>
      <c r="H390" s="7"/>
    </row>
    <row r="391" spans="4:8">
      <c r="D391" s="7"/>
      <c r="E391" s="7"/>
      <c r="F391" s="7"/>
      <c r="G391" s="7"/>
      <c r="H391" s="7"/>
    </row>
    <row r="392" spans="4:8">
      <c r="D392" s="7"/>
      <c r="E392" s="7"/>
      <c r="F392" s="7"/>
      <c r="G392" s="7"/>
      <c r="H392" s="7"/>
    </row>
    <row r="393" spans="4:8">
      <c r="D393" s="7"/>
      <c r="E393" s="7"/>
      <c r="F393" s="7"/>
      <c r="G393" s="7"/>
      <c r="H393" s="7"/>
    </row>
    <row r="394" spans="4:8">
      <c r="D394" s="7"/>
      <c r="E394" s="7"/>
      <c r="F394" s="7"/>
      <c r="G394" s="7"/>
      <c r="H394" s="7"/>
    </row>
    <row r="395" spans="4:8">
      <c r="D395" s="7"/>
      <c r="E395" s="7"/>
      <c r="F395" s="7"/>
      <c r="G395" s="7"/>
      <c r="H395" s="7"/>
    </row>
    <row r="396" spans="4:8">
      <c r="D396" s="7"/>
      <c r="E396" s="7"/>
      <c r="F396" s="7"/>
      <c r="G396" s="7"/>
      <c r="H396" s="7"/>
    </row>
    <row r="397" spans="4:8">
      <c r="D397" s="7"/>
      <c r="E397" s="7"/>
      <c r="F397" s="7"/>
      <c r="G397" s="7"/>
      <c r="H397" s="7"/>
    </row>
    <row r="398" spans="4:8">
      <c r="D398" s="7"/>
      <c r="E398" s="7"/>
      <c r="F398" s="7"/>
      <c r="G398" s="7"/>
      <c r="H398" s="7"/>
    </row>
    <row r="399" spans="4:8">
      <c r="D399" s="7"/>
      <c r="E399" s="7"/>
      <c r="F399" s="7"/>
      <c r="G399" s="7"/>
      <c r="H399" s="7"/>
    </row>
    <row r="400" spans="4:8">
      <c r="D400" s="7"/>
      <c r="E400" s="7"/>
      <c r="F400" s="7"/>
      <c r="G400" s="7"/>
      <c r="H400" s="7"/>
    </row>
    <row r="401" spans="4:8">
      <c r="D401" s="7"/>
      <c r="E401" s="7"/>
      <c r="F401" s="7"/>
      <c r="G401" s="7"/>
      <c r="H401" s="7"/>
    </row>
    <row r="402" spans="4:8">
      <c r="D402" s="7"/>
      <c r="E402" s="7"/>
      <c r="F402" s="7"/>
      <c r="G402" s="7"/>
      <c r="H402" s="7"/>
    </row>
    <row r="403" spans="4:8">
      <c r="D403" s="7"/>
      <c r="E403" s="7"/>
      <c r="F403" s="7"/>
      <c r="G403" s="7"/>
      <c r="H403" s="7"/>
    </row>
    <row r="404" spans="4:8">
      <c r="D404" s="7"/>
      <c r="E404" s="7"/>
      <c r="F404" s="7"/>
      <c r="G404" s="7"/>
      <c r="H404" s="7"/>
    </row>
    <row r="405" spans="4:8">
      <c r="D405" s="7"/>
      <c r="E405" s="7"/>
      <c r="F405" s="7"/>
      <c r="G405" s="7"/>
      <c r="H405" s="7"/>
    </row>
    <row r="406" spans="4:8">
      <c r="D406" s="7"/>
      <c r="E406" s="7"/>
      <c r="F406" s="7"/>
      <c r="G406" s="7"/>
      <c r="H406" s="7"/>
    </row>
    <row r="407" spans="4:8">
      <c r="D407" s="7"/>
      <c r="E407" s="7"/>
      <c r="F407" s="7"/>
      <c r="G407" s="7"/>
      <c r="H407" s="7"/>
    </row>
    <row r="408" spans="4:8">
      <c r="D408" s="7"/>
      <c r="E408" s="7"/>
      <c r="F408" s="7"/>
      <c r="G408" s="7"/>
      <c r="H408" s="7"/>
    </row>
    <row r="409" spans="4:8">
      <c r="D409" s="7"/>
      <c r="E409" s="7"/>
      <c r="F409" s="7"/>
      <c r="G409" s="7"/>
      <c r="H409" s="7"/>
    </row>
    <row r="410" spans="4:8">
      <c r="D410" s="7"/>
      <c r="E410" s="7"/>
      <c r="F410" s="7"/>
      <c r="G410" s="7"/>
      <c r="H410" s="7"/>
    </row>
    <row r="411" spans="4:8">
      <c r="D411" s="7"/>
      <c r="E411" s="7"/>
      <c r="F411" s="7"/>
      <c r="G411" s="7"/>
      <c r="H411" s="7"/>
    </row>
    <row r="412" spans="4:8">
      <c r="D412" s="7"/>
      <c r="E412" s="7"/>
      <c r="F412" s="7"/>
      <c r="G412" s="7"/>
      <c r="H412" s="7"/>
    </row>
    <row r="413" spans="4:8">
      <c r="D413" s="7"/>
      <c r="E413" s="7"/>
      <c r="F413" s="7"/>
      <c r="G413" s="7"/>
      <c r="H413" s="7"/>
    </row>
    <row r="414" spans="4:8">
      <c r="D414" s="7"/>
      <c r="E414" s="7"/>
      <c r="F414" s="7"/>
      <c r="G414" s="7"/>
      <c r="H414" s="7"/>
    </row>
    <row r="415" spans="4:8">
      <c r="D415" s="7"/>
      <c r="E415" s="7"/>
      <c r="F415" s="7"/>
      <c r="G415" s="7"/>
      <c r="H415" s="7"/>
    </row>
    <row r="416" spans="4:8">
      <c r="D416" s="7"/>
      <c r="E416" s="7"/>
      <c r="F416" s="7"/>
      <c r="G416" s="7"/>
      <c r="H416" s="7"/>
    </row>
    <row r="417" spans="4:8">
      <c r="D417" s="7"/>
      <c r="E417" s="7"/>
      <c r="F417" s="7"/>
      <c r="G417" s="7"/>
      <c r="H417" s="7"/>
    </row>
    <row r="418" spans="4:8">
      <c r="D418" s="7"/>
      <c r="E418" s="7"/>
      <c r="F418" s="7"/>
      <c r="G418" s="7"/>
      <c r="H418" s="7"/>
    </row>
    <row r="419" spans="4:8">
      <c r="D419" s="7"/>
      <c r="E419" s="7"/>
      <c r="F419" s="7"/>
      <c r="G419" s="7"/>
      <c r="H419" s="7"/>
    </row>
    <row r="420" spans="4:8">
      <c r="D420" s="7"/>
      <c r="E420" s="7"/>
      <c r="F420" s="7"/>
      <c r="G420" s="7"/>
      <c r="H420" s="7"/>
    </row>
    <row r="421" spans="4:8">
      <c r="D421" s="7"/>
      <c r="E421" s="7"/>
      <c r="F421" s="7"/>
      <c r="G421" s="7"/>
      <c r="H421" s="7"/>
    </row>
    <row r="422" spans="4:8">
      <c r="D422" s="7"/>
      <c r="E422" s="7"/>
      <c r="F422" s="7"/>
      <c r="G422" s="7"/>
      <c r="H422" s="7"/>
    </row>
    <row r="423" spans="4:8">
      <c r="D423" s="7"/>
      <c r="E423" s="7"/>
      <c r="F423" s="7"/>
      <c r="G423" s="7"/>
      <c r="H423" s="7"/>
    </row>
    <row r="424" spans="4:8">
      <c r="D424" s="7"/>
      <c r="E424" s="7"/>
      <c r="F424" s="7"/>
      <c r="G424" s="7"/>
      <c r="H424" s="7"/>
    </row>
    <row r="425" spans="4:8">
      <c r="D425" s="7"/>
      <c r="E425" s="7"/>
      <c r="F425" s="7"/>
      <c r="G425" s="7"/>
      <c r="H425" s="7"/>
    </row>
    <row r="426" spans="4:8">
      <c r="D426" s="7"/>
      <c r="E426" s="7"/>
      <c r="F426" s="7"/>
      <c r="G426" s="7"/>
      <c r="H426" s="7"/>
    </row>
    <row r="427" spans="4:8">
      <c r="D427" s="7"/>
      <c r="E427" s="7"/>
      <c r="F427" s="7"/>
      <c r="G427" s="7"/>
      <c r="H427" s="7"/>
    </row>
    <row r="428" spans="4:8">
      <c r="D428" s="7"/>
      <c r="E428" s="7"/>
      <c r="F428" s="7"/>
      <c r="G428" s="7"/>
      <c r="H428" s="7"/>
    </row>
    <row r="429" spans="4:8">
      <c r="D429" s="7"/>
      <c r="E429" s="7"/>
      <c r="F429" s="7"/>
      <c r="G429" s="7"/>
      <c r="H429" s="7"/>
    </row>
    <row r="430" spans="4:8">
      <c r="D430" s="7"/>
      <c r="E430" s="7"/>
      <c r="F430" s="7"/>
      <c r="G430" s="7"/>
      <c r="H430" s="7"/>
    </row>
    <row r="431" spans="4:8">
      <c r="D431" s="7"/>
      <c r="E431" s="7"/>
      <c r="F431" s="7"/>
      <c r="G431" s="7"/>
      <c r="H431" s="7"/>
    </row>
    <row r="432" spans="4:8">
      <c r="D432" s="7"/>
      <c r="E432" s="7"/>
      <c r="F432" s="7"/>
      <c r="G432" s="7"/>
      <c r="H432" s="7"/>
    </row>
    <row r="433" spans="4:8">
      <c r="D433" s="7"/>
      <c r="E433" s="7"/>
      <c r="F433" s="7"/>
      <c r="G433" s="7"/>
      <c r="H433" s="7"/>
    </row>
    <row r="434" spans="4:8">
      <c r="D434" s="7"/>
      <c r="E434" s="7"/>
      <c r="F434" s="7"/>
      <c r="G434" s="7"/>
      <c r="H434" s="7"/>
    </row>
    <row r="435" spans="4:8">
      <c r="D435" s="7"/>
      <c r="E435" s="7"/>
      <c r="F435" s="7"/>
      <c r="G435" s="7"/>
      <c r="H435" s="7"/>
    </row>
    <row r="436" spans="4:8">
      <c r="D436" s="7"/>
      <c r="E436" s="7"/>
      <c r="F436" s="7"/>
      <c r="G436" s="7"/>
      <c r="H436" s="7"/>
    </row>
    <row r="437" spans="4:8">
      <c r="D437" s="7"/>
      <c r="E437" s="7"/>
      <c r="F437" s="7"/>
      <c r="G437" s="7"/>
      <c r="H437" s="7"/>
    </row>
    <row r="438" spans="4:8">
      <c r="D438" s="7"/>
      <c r="E438" s="7"/>
      <c r="F438" s="7"/>
      <c r="G438" s="7"/>
      <c r="H438" s="7"/>
    </row>
    <row r="439" spans="4:8">
      <c r="D439" s="7"/>
      <c r="E439" s="7"/>
      <c r="F439" s="7"/>
      <c r="G439" s="7"/>
      <c r="H439" s="7"/>
    </row>
    <row r="440" spans="4:8">
      <c r="D440" s="7"/>
      <c r="E440" s="7"/>
      <c r="F440" s="7"/>
      <c r="G440" s="7"/>
      <c r="H440" s="7"/>
    </row>
    <row r="441" spans="4:8">
      <c r="D441" s="7"/>
      <c r="E441" s="7"/>
      <c r="F441" s="7"/>
      <c r="G441" s="7"/>
      <c r="H441" s="7"/>
    </row>
    <row r="442" spans="4:8">
      <c r="D442" s="7"/>
      <c r="E442" s="7"/>
      <c r="F442" s="7"/>
      <c r="G442" s="7"/>
      <c r="H442" s="7"/>
    </row>
    <row r="443" spans="4:8">
      <c r="D443" s="7"/>
      <c r="E443" s="7"/>
      <c r="F443" s="7"/>
      <c r="G443" s="7"/>
      <c r="H443" s="7"/>
    </row>
    <row r="444" spans="4:8">
      <c r="D444" s="7"/>
      <c r="E444" s="7"/>
      <c r="F444" s="7"/>
      <c r="G444" s="7"/>
      <c r="H444" s="7"/>
    </row>
    <row r="445" spans="4:8">
      <c r="D445" s="7"/>
      <c r="E445" s="7"/>
      <c r="F445" s="7"/>
      <c r="G445" s="7"/>
      <c r="H445" s="7"/>
    </row>
    <row r="446" spans="4:8">
      <c r="D446" s="7"/>
      <c r="E446" s="7"/>
      <c r="F446" s="7"/>
      <c r="G446" s="7"/>
      <c r="H446" s="7"/>
    </row>
    <row r="447" spans="4:8">
      <c r="D447" s="7"/>
      <c r="E447" s="7"/>
      <c r="F447" s="7"/>
      <c r="G447" s="7"/>
      <c r="H447" s="7"/>
    </row>
    <row r="448" spans="4:8">
      <c r="D448" s="7"/>
      <c r="E448" s="7"/>
      <c r="F448" s="7"/>
      <c r="G448" s="7"/>
      <c r="H448" s="7"/>
    </row>
    <row r="449" spans="4:8">
      <c r="D449" s="7"/>
      <c r="E449" s="7"/>
      <c r="F449" s="7"/>
      <c r="G449" s="7"/>
      <c r="H449" s="7"/>
    </row>
    <row r="450" spans="4:8">
      <c r="D450" s="7"/>
      <c r="E450" s="7"/>
      <c r="F450" s="7"/>
      <c r="G450" s="7"/>
      <c r="H450" s="7"/>
    </row>
    <row r="451" spans="4:8">
      <c r="D451" s="7"/>
      <c r="E451" s="7"/>
      <c r="F451" s="7"/>
      <c r="G451" s="7"/>
      <c r="H451" s="7"/>
    </row>
    <row r="452" spans="4:8">
      <c r="D452" s="7"/>
      <c r="E452" s="7"/>
      <c r="F452" s="7"/>
      <c r="G452" s="7"/>
      <c r="H452" s="7"/>
    </row>
    <row r="453" spans="4:8">
      <c r="D453" s="7"/>
      <c r="E453" s="7"/>
      <c r="F453" s="7"/>
      <c r="G453" s="7"/>
      <c r="H453" s="7"/>
    </row>
    <row r="454" spans="4:8">
      <c r="D454" s="7"/>
      <c r="E454" s="7"/>
      <c r="F454" s="7"/>
      <c r="G454" s="7"/>
      <c r="H454" s="7"/>
    </row>
    <row r="455" spans="4:8">
      <c r="D455" s="7"/>
      <c r="E455" s="7"/>
      <c r="F455" s="7"/>
      <c r="G455" s="7"/>
      <c r="H455" s="7"/>
    </row>
    <row r="456" spans="4:8">
      <c r="D456" s="7"/>
      <c r="E456" s="7"/>
      <c r="F456" s="7"/>
      <c r="G456" s="7"/>
      <c r="H456" s="7"/>
    </row>
    <row r="457" spans="4:8">
      <c r="D457" s="7"/>
      <c r="E457" s="7"/>
      <c r="F457" s="7"/>
      <c r="G457" s="7"/>
      <c r="H457" s="7"/>
    </row>
    <row r="458" spans="4:8">
      <c r="D458" s="7"/>
      <c r="E458" s="7"/>
      <c r="F458" s="7"/>
      <c r="G458" s="7"/>
      <c r="H458" s="7"/>
    </row>
    <row r="459" spans="4:8">
      <c r="D459" s="7"/>
      <c r="E459" s="7"/>
      <c r="F459" s="7"/>
      <c r="G459" s="7"/>
      <c r="H459" s="7"/>
    </row>
    <row r="460" spans="4:8">
      <c r="D460" s="7"/>
      <c r="E460" s="7"/>
      <c r="F460" s="7"/>
      <c r="G460" s="7"/>
      <c r="H460" s="7"/>
    </row>
    <row r="461" spans="4:8">
      <c r="D461" s="7"/>
      <c r="E461" s="7"/>
      <c r="F461" s="7"/>
      <c r="G461" s="7"/>
      <c r="H461" s="7"/>
    </row>
    <row r="462" spans="4:8">
      <c r="D462" s="7"/>
      <c r="E462" s="7"/>
      <c r="F462" s="7"/>
      <c r="G462" s="7"/>
      <c r="H462" s="7"/>
    </row>
    <row r="463" spans="4:8">
      <c r="D463" s="7"/>
      <c r="E463" s="7"/>
      <c r="F463" s="7"/>
      <c r="G463" s="7"/>
      <c r="H463" s="7"/>
    </row>
    <row r="464" spans="4:8">
      <c r="D464" s="7"/>
      <c r="E464" s="7"/>
      <c r="F464" s="7"/>
      <c r="G464" s="7"/>
      <c r="H464" s="7"/>
    </row>
    <row r="465" spans="4:8">
      <c r="D465" s="7"/>
      <c r="E465" s="7"/>
      <c r="F465" s="7"/>
      <c r="G465" s="7"/>
      <c r="H465" s="7"/>
    </row>
    <row r="466" spans="4:8">
      <c r="D466" s="7"/>
      <c r="E466" s="7"/>
      <c r="F466" s="7"/>
      <c r="G466" s="7"/>
      <c r="H466" s="7"/>
    </row>
    <row r="467" spans="4:8">
      <c r="D467" s="7"/>
      <c r="E467" s="7"/>
      <c r="F467" s="7"/>
      <c r="G467" s="7"/>
      <c r="H467" s="7"/>
    </row>
    <row r="468" spans="4:8">
      <c r="D468" s="7"/>
      <c r="E468" s="7"/>
      <c r="F468" s="7"/>
      <c r="G468" s="7"/>
      <c r="H468" s="7"/>
    </row>
    <row r="469" spans="4:8">
      <c r="D469" s="7"/>
      <c r="E469" s="7"/>
      <c r="F469" s="7"/>
      <c r="G469" s="7"/>
      <c r="H469" s="7"/>
    </row>
    <row r="470" spans="4:8">
      <c r="D470" s="7"/>
      <c r="E470" s="7"/>
      <c r="F470" s="7"/>
      <c r="G470" s="7"/>
      <c r="H470" s="7"/>
    </row>
    <row r="471" spans="4:8">
      <c r="D471" s="7"/>
      <c r="E471" s="7"/>
      <c r="F471" s="7"/>
      <c r="G471" s="7"/>
      <c r="H471" s="7"/>
    </row>
    <row r="472" spans="4:8">
      <c r="D472" s="7"/>
      <c r="E472" s="7"/>
      <c r="F472" s="7"/>
      <c r="G472" s="7"/>
      <c r="H472" s="7"/>
    </row>
    <row r="473" spans="4:8">
      <c r="D473" s="7"/>
      <c r="E473" s="7"/>
      <c r="F473" s="7"/>
      <c r="G473" s="7"/>
      <c r="H473" s="7"/>
    </row>
    <row r="474" spans="4:8">
      <c r="D474" s="7"/>
      <c r="E474" s="7"/>
      <c r="F474" s="7"/>
      <c r="G474" s="7"/>
      <c r="H474" s="7"/>
    </row>
    <row r="475" spans="4:8">
      <c r="D475" s="7"/>
      <c r="E475" s="7"/>
      <c r="F475" s="7"/>
      <c r="G475" s="7"/>
      <c r="H475" s="7"/>
    </row>
    <row r="476" spans="4:8">
      <c r="D476" s="7"/>
      <c r="E476" s="7"/>
      <c r="F476" s="7"/>
      <c r="G476" s="7"/>
      <c r="H476" s="7"/>
    </row>
    <row r="477" spans="4:8">
      <c r="D477" s="7"/>
      <c r="E477" s="7"/>
      <c r="F477" s="7"/>
      <c r="G477" s="7"/>
      <c r="H477" s="7"/>
    </row>
    <row r="478" spans="4:8">
      <c r="D478" s="7"/>
      <c r="E478" s="7"/>
      <c r="F478" s="7"/>
      <c r="G478" s="7"/>
      <c r="H478" s="7"/>
    </row>
    <row r="479" spans="4:8">
      <c r="D479" s="7"/>
      <c r="E479" s="7"/>
      <c r="F479" s="7"/>
      <c r="G479" s="7"/>
      <c r="H479" s="7"/>
    </row>
    <row r="480" spans="4:8">
      <c r="D480" s="7"/>
      <c r="E480" s="7"/>
      <c r="F480" s="7"/>
      <c r="G480" s="7"/>
      <c r="H480" s="7"/>
    </row>
    <row r="481" spans="4:8">
      <c r="D481" s="7"/>
      <c r="E481" s="7"/>
      <c r="F481" s="7"/>
      <c r="G481" s="7"/>
      <c r="H481" s="7"/>
    </row>
    <row r="482" spans="4:8">
      <c r="D482" s="7"/>
      <c r="E482" s="7"/>
      <c r="F482" s="7"/>
      <c r="G482" s="7"/>
      <c r="H482" s="7"/>
    </row>
    <row r="483" spans="4:8">
      <c r="D483" s="7"/>
      <c r="E483" s="7"/>
      <c r="F483" s="7"/>
      <c r="G483" s="7"/>
      <c r="H483" s="7"/>
    </row>
    <row r="484" spans="4:8">
      <c r="D484" s="7"/>
      <c r="E484" s="7"/>
      <c r="F484" s="7"/>
      <c r="G484" s="7"/>
      <c r="H484" s="7"/>
    </row>
    <row r="485" spans="4:8">
      <c r="D485" s="7"/>
      <c r="E485" s="7"/>
      <c r="F485" s="7"/>
      <c r="G485" s="7"/>
      <c r="H485" s="7"/>
    </row>
    <row r="486" spans="4:8">
      <c r="D486" s="7"/>
      <c r="E486" s="7"/>
      <c r="F486" s="7"/>
      <c r="G486" s="7"/>
      <c r="H486" s="7"/>
    </row>
    <row r="487" spans="4:8">
      <c r="D487" s="7"/>
      <c r="E487" s="7"/>
      <c r="F487" s="7"/>
      <c r="G487" s="7"/>
      <c r="H487" s="7"/>
    </row>
    <row r="488" spans="4:8">
      <c r="D488" s="7"/>
      <c r="E488" s="7"/>
      <c r="F488" s="7"/>
      <c r="G488" s="7"/>
      <c r="H488" s="7"/>
    </row>
    <row r="489" spans="4:8">
      <c r="D489" s="7"/>
      <c r="E489" s="7"/>
      <c r="F489" s="7"/>
      <c r="G489" s="7"/>
      <c r="H489" s="7"/>
    </row>
    <row r="490" spans="4:8">
      <c r="D490" s="7"/>
      <c r="E490" s="7"/>
      <c r="F490" s="7"/>
      <c r="G490" s="7"/>
      <c r="H490" s="7"/>
    </row>
    <row r="491" spans="4:8">
      <c r="D491" s="7"/>
      <c r="E491" s="7"/>
      <c r="F491" s="7"/>
      <c r="G491" s="7"/>
      <c r="H491" s="7"/>
    </row>
    <row r="492" spans="4:8">
      <c r="D492" s="7"/>
      <c r="E492" s="7"/>
      <c r="F492" s="7"/>
      <c r="G492" s="7"/>
      <c r="H492" s="7"/>
    </row>
    <row r="493" spans="4:8">
      <c r="D493" s="7"/>
      <c r="E493" s="7"/>
      <c r="F493" s="7"/>
      <c r="G493" s="7"/>
      <c r="H493" s="7"/>
    </row>
    <row r="494" spans="4:8">
      <c r="D494" s="7"/>
      <c r="E494" s="7"/>
      <c r="F494" s="7"/>
      <c r="G494" s="7"/>
      <c r="H494" s="7"/>
    </row>
    <row r="495" spans="4:8">
      <c r="D495" s="7"/>
      <c r="E495" s="7"/>
      <c r="F495" s="7"/>
      <c r="G495" s="7"/>
      <c r="H495" s="7"/>
    </row>
    <row r="496" spans="4:8">
      <c r="D496" s="7"/>
      <c r="E496" s="7"/>
      <c r="F496" s="7"/>
      <c r="G496" s="7"/>
      <c r="H496" s="7"/>
    </row>
    <row r="497" spans="4:8">
      <c r="D497" s="7"/>
      <c r="E497" s="7"/>
      <c r="F497" s="7"/>
      <c r="G497" s="7"/>
      <c r="H497" s="7"/>
    </row>
    <row r="498" spans="4:8">
      <c r="D498" s="7"/>
      <c r="E498" s="7"/>
      <c r="F498" s="7"/>
      <c r="G498" s="7"/>
      <c r="H498" s="7"/>
    </row>
    <row r="499" spans="4:8">
      <c r="D499" s="7"/>
      <c r="E499" s="7"/>
      <c r="F499" s="7"/>
      <c r="G499" s="7"/>
      <c r="H499" s="7"/>
    </row>
    <row r="500" spans="4:8">
      <c r="D500" s="7"/>
      <c r="E500" s="7"/>
      <c r="F500" s="7"/>
      <c r="G500" s="7"/>
      <c r="H500" s="7"/>
    </row>
    <row r="501" spans="4:8">
      <c r="D501" s="7"/>
      <c r="E501" s="7"/>
      <c r="F501" s="7"/>
      <c r="G501" s="7"/>
      <c r="H501" s="7"/>
    </row>
    <row r="502" spans="4:8">
      <c r="D502" s="7"/>
      <c r="E502" s="7"/>
      <c r="F502" s="7"/>
      <c r="G502" s="7"/>
      <c r="H502" s="7"/>
    </row>
    <row r="503" spans="4:8">
      <c r="D503" s="7"/>
      <c r="E503" s="7"/>
      <c r="F503" s="7"/>
      <c r="G503" s="7"/>
      <c r="H503" s="7"/>
    </row>
    <row r="504" spans="4:8">
      <c r="D504" s="7"/>
      <c r="E504" s="7"/>
      <c r="F504" s="7"/>
      <c r="G504" s="7"/>
      <c r="H504" s="7"/>
    </row>
    <row r="505" spans="4:8">
      <c r="D505" s="7"/>
      <c r="E505" s="7"/>
      <c r="F505" s="7"/>
      <c r="G505" s="7"/>
      <c r="H505" s="7"/>
    </row>
    <row r="506" spans="4:8">
      <c r="D506" s="7"/>
      <c r="E506" s="7"/>
      <c r="F506" s="7"/>
      <c r="G506" s="7"/>
      <c r="H506" s="7"/>
    </row>
    <row r="507" spans="4:8">
      <c r="D507" s="7"/>
      <c r="E507" s="7"/>
      <c r="F507" s="7"/>
      <c r="G507" s="7"/>
      <c r="H507" s="7"/>
    </row>
    <row r="508" spans="4:8">
      <c r="D508" s="7"/>
      <c r="E508" s="7"/>
      <c r="F508" s="7"/>
      <c r="G508" s="7"/>
      <c r="H508" s="7"/>
    </row>
    <row r="509" spans="4:8">
      <c r="D509" s="7"/>
      <c r="E509" s="7"/>
      <c r="F509" s="7"/>
      <c r="G509" s="7"/>
      <c r="H509" s="7"/>
    </row>
    <row r="510" spans="4:8">
      <c r="D510" s="7"/>
      <c r="E510" s="7"/>
      <c r="F510" s="7"/>
      <c r="G510" s="7"/>
      <c r="H510" s="7"/>
    </row>
    <row r="511" spans="4:8">
      <c r="D511" s="7"/>
      <c r="E511" s="7"/>
      <c r="F511" s="7"/>
      <c r="G511" s="7"/>
      <c r="H511" s="7"/>
    </row>
    <row r="512" spans="4:8">
      <c r="D512" s="7"/>
      <c r="E512" s="7"/>
      <c r="F512" s="7"/>
      <c r="G512" s="7"/>
      <c r="H512" s="7"/>
    </row>
    <row r="513" spans="4:8">
      <c r="D513" s="7"/>
      <c r="E513" s="7"/>
      <c r="F513" s="7"/>
      <c r="G513" s="7"/>
      <c r="H513" s="7"/>
    </row>
    <row r="514" spans="4:8">
      <c r="D514" s="7"/>
      <c r="E514" s="7"/>
      <c r="F514" s="7"/>
      <c r="G514" s="7"/>
      <c r="H514" s="7"/>
    </row>
    <row r="515" spans="4:8">
      <c r="D515" s="7"/>
      <c r="E515" s="7"/>
      <c r="F515" s="7"/>
      <c r="G515" s="7"/>
      <c r="H515" s="7"/>
    </row>
    <row r="516" spans="4:8">
      <c r="D516" s="7"/>
      <c r="E516" s="7"/>
      <c r="F516" s="7"/>
      <c r="G516" s="7"/>
      <c r="H516" s="7"/>
    </row>
    <row r="517" spans="4:8">
      <c r="D517" s="7"/>
      <c r="E517" s="7"/>
      <c r="F517" s="7"/>
      <c r="G517" s="7"/>
      <c r="H517" s="7"/>
    </row>
    <row r="518" spans="4:8">
      <c r="D518" s="7"/>
      <c r="E518" s="7"/>
      <c r="F518" s="7"/>
      <c r="G518" s="7"/>
      <c r="H518" s="7"/>
    </row>
    <row r="519" spans="4:8">
      <c r="D519" s="7"/>
      <c r="E519" s="7"/>
      <c r="F519" s="7"/>
      <c r="G519" s="7"/>
      <c r="H519" s="7"/>
    </row>
    <row r="520" spans="4:8">
      <c r="D520" s="7"/>
      <c r="E520" s="7"/>
      <c r="F520" s="7"/>
      <c r="G520" s="7"/>
      <c r="H520" s="7"/>
    </row>
    <row r="521" spans="4:8">
      <c r="D521" s="7"/>
      <c r="E521" s="7"/>
      <c r="F521" s="7"/>
      <c r="G521" s="7"/>
      <c r="H521" s="7"/>
    </row>
    <row r="522" spans="4:8">
      <c r="D522" s="7"/>
      <c r="E522" s="7"/>
      <c r="F522" s="7"/>
      <c r="G522" s="7"/>
      <c r="H522" s="7"/>
    </row>
    <row r="523" spans="4:8">
      <c r="D523" s="7"/>
      <c r="E523" s="7"/>
      <c r="F523" s="7"/>
      <c r="G523" s="7"/>
      <c r="H52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79A9-B136-41D6-9708-6FBA0C603A4B}">
  <dimension ref="A1:J12"/>
  <sheetViews>
    <sheetView showGridLines="0" topLeftCell="C1" zoomScale="130" zoomScaleNormal="130" workbookViewId="0">
      <selection activeCell="G5" sqref="G5"/>
    </sheetView>
  </sheetViews>
  <sheetFormatPr defaultRowHeight="14.4"/>
  <cols>
    <col min="1" max="1" width="28.44140625" customWidth="1"/>
    <col min="2" max="2" width="15.21875" bestFit="1" customWidth="1"/>
    <col min="3" max="3" width="56.77734375" customWidth="1"/>
    <col min="6" max="6" width="19.77734375" customWidth="1"/>
    <col min="7" max="9" width="21.44140625" customWidth="1"/>
    <col min="10" max="10" width="18.5546875" customWidth="1"/>
  </cols>
  <sheetData>
    <row r="1" spans="1:10">
      <c r="A1" s="19" t="s">
        <v>1</v>
      </c>
      <c r="B1" s="20" t="s">
        <v>2</v>
      </c>
      <c r="C1" s="21" t="s">
        <v>3</v>
      </c>
      <c r="F1" s="41" t="s">
        <v>1</v>
      </c>
      <c r="G1" s="20" t="s">
        <v>79</v>
      </c>
      <c r="H1" s="20" t="s">
        <v>52</v>
      </c>
      <c r="I1" s="20" t="s">
        <v>98</v>
      </c>
      <c r="J1" s="21" t="s">
        <v>99</v>
      </c>
    </row>
    <row r="2" spans="1:10">
      <c r="A2" s="22" t="s">
        <v>68</v>
      </c>
      <c r="B2" s="23">
        <v>24</v>
      </c>
      <c r="C2" s="24" t="s">
        <v>61</v>
      </c>
      <c r="F2" s="22" t="s">
        <v>81</v>
      </c>
      <c r="G2" s="28" t="s">
        <v>80</v>
      </c>
      <c r="H2" s="40">
        <v>1767396.9730581779</v>
      </c>
      <c r="I2" s="40">
        <f>H2-$H$2</f>
        <v>0</v>
      </c>
      <c r="J2" s="42">
        <f>H2/$H$2-1</f>
        <v>0</v>
      </c>
    </row>
    <row r="3" spans="1:10">
      <c r="A3" s="22" t="s">
        <v>69</v>
      </c>
      <c r="B3" s="23">
        <v>67</v>
      </c>
      <c r="C3" s="24" t="s">
        <v>62</v>
      </c>
      <c r="F3" s="22" t="s">
        <v>82</v>
      </c>
      <c r="G3" s="28" t="s">
        <v>100</v>
      </c>
      <c r="H3" s="40">
        <v>1589080.5151515494</v>
      </c>
      <c r="I3" s="40">
        <f t="shared" ref="I3:I12" si="0">H3-$H$2</f>
        <v>-178316.45790662849</v>
      </c>
      <c r="J3" s="42">
        <f t="shared" ref="J3:J12" si="1">H3/$H$2-1</f>
        <v>-0.10089213720790891</v>
      </c>
    </row>
    <row r="4" spans="1:10">
      <c r="A4" s="22" t="s">
        <v>55</v>
      </c>
      <c r="B4" s="25">
        <v>9840000</v>
      </c>
      <c r="C4" s="24" t="s">
        <v>74</v>
      </c>
      <c r="F4" s="22" t="s">
        <v>82</v>
      </c>
      <c r="G4" s="28" t="s">
        <v>101</v>
      </c>
      <c r="H4" s="43">
        <v>1888610.7317883589</v>
      </c>
      <c r="I4" s="40">
        <f t="shared" si="0"/>
        <v>121213.75873018103</v>
      </c>
      <c r="J4" s="42">
        <f t="shared" si="1"/>
        <v>6.8583210550848372E-2</v>
      </c>
    </row>
    <row r="5" spans="1:10">
      <c r="A5" s="22" t="s">
        <v>64</v>
      </c>
      <c r="B5" s="25">
        <v>12365298.731999999</v>
      </c>
      <c r="C5" s="24" t="s">
        <v>75</v>
      </c>
      <c r="F5" s="22" t="s">
        <v>5</v>
      </c>
      <c r="G5" s="28" t="s">
        <v>83</v>
      </c>
      <c r="H5" s="43">
        <v>1493795.3635432338</v>
      </c>
      <c r="I5" s="40">
        <f t="shared" si="0"/>
        <v>-273601.60951494402</v>
      </c>
      <c r="J5" s="42">
        <f t="shared" si="1"/>
        <v>-0.15480484219768875</v>
      </c>
    </row>
    <row r="6" spans="1:10">
      <c r="A6" s="22" t="s">
        <v>56</v>
      </c>
      <c r="B6" s="25">
        <v>16700703.193377391</v>
      </c>
      <c r="C6" s="24" t="s">
        <v>76</v>
      </c>
      <c r="F6" s="22" t="s">
        <v>5</v>
      </c>
      <c r="G6" s="28" t="s">
        <v>85</v>
      </c>
      <c r="H6" s="43">
        <v>2557483.6754192156</v>
      </c>
      <c r="I6" s="40">
        <f t="shared" si="0"/>
        <v>790086.70236103772</v>
      </c>
      <c r="J6" s="42">
        <f t="shared" si="1"/>
        <v>0.44703409273918115</v>
      </c>
    </row>
    <row r="7" spans="1:10">
      <c r="A7" s="22" t="s">
        <v>5</v>
      </c>
      <c r="B7" s="26">
        <v>0.03</v>
      </c>
      <c r="C7" s="24" t="s">
        <v>66</v>
      </c>
      <c r="F7" s="22" t="s">
        <v>6</v>
      </c>
      <c r="G7" s="28" t="s">
        <v>84</v>
      </c>
      <c r="H7" s="43">
        <v>1104623.1081613565</v>
      </c>
      <c r="I7" s="40">
        <f t="shared" si="0"/>
        <v>-662773.86489682132</v>
      </c>
      <c r="J7" s="42">
        <f t="shared" si="1"/>
        <v>-0.37500000000000266</v>
      </c>
    </row>
    <row r="8" spans="1:10">
      <c r="A8" s="22" t="s">
        <v>6</v>
      </c>
      <c r="B8" s="30">
        <v>0.08</v>
      </c>
      <c r="C8" s="24" t="s">
        <v>65</v>
      </c>
      <c r="F8" s="22" t="s">
        <v>6</v>
      </c>
      <c r="G8" s="28" t="s">
        <v>86</v>
      </c>
      <c r="H8" s="43">
        <v>2209246.2163227131</v>
      </c>
      <c r="I8" s="40">
        <f t="shared" si="0"/>
        <v>441849.24326453521</v>
      </c>
      <c r="J8" s="42">
        <f t="shared" si="1"/>
        <v>0.24999999999999467</v>
      </c>
    </row>
    <row r="9" spans="1:10">
      <c r="A9" s="22" t="s">
        <v>7</v>
      </c>
      <c r="B9" s="29">
        <v>4.4999999999999998E-2</v>
      </c>
      <c r="C9" s="24" t="s">
        <v>77</v>
      </c>
      <c r="F9" s="22" t="s">
        <v>7</v>
      </c>
      <c r="G9" s="28" t="s">
        <v>87</v>
      </c>
      <c r="H9" s="43">
        <v>1163433.648081152</v>
      </c>
      <c r="I9" s="40">
        <f t="shared" si="0"/>
        <v>-603963.32497702586</v>
      </c>
      <c r="J9" s="42">
        <f t="shared" si="1"/>
        <v>-0.34172477048660477</v>
      </c>
    </row>
    <row r="10" spans="1:10">
      <c r="A10" t="s">
        <v>8</v>
      </c>
      <c r="B10" s="27" t="s">
        <v>9</v>
      </c>
      <c r="C10" t="s">
        <v>78</v>
      </c>
      <c r="F10" s="22" t="s">
        <v>7</v>
      </c>
      <c r="G10" s="28" t="s">
        <v>97</v>
      </c>
      <c r="H10" s="43">
        <v>2730473.8398553678</v>
      </c>
      <c r="I10" s="40">
        <f t="shared" si="0"/>
        <v>963076.86679718993</v>
      </c>
      <c r="J10" s="42">
        <f t="shared" si="1"/>
        <v>0.54491259263093017</v>
      </c>
    </row>
    <row r="11" spans="1:10">
      <c r="F11" s="22" t="s">
        <v>4</v>
      </c>
      <c r="G11" s="28" t="s">
        <v>94</v>
      </c>
      <c r="H11" s="39">
        <v>1675563.1241518902</v>
      </c>
      <c r="I11" s="40">
        <f t="shared" si="0"/>
        <v>-91833.848906287691</v>
      </c>
      <c r="J11" s="42">
        <f t="shared" si="1"/>
        <v>-5.1959944656567392E-2</v>
      </c>
    </row>
    <row r="12" spans="1:10">
      <c r="F12" s="22" t="s">
        <v>4</v>
      </c>
      <c r="G12" s="28" t="s">
        <v>95</v>
      </c>
      <c r="H12" s="43">
        <v>1873675.0518102383</v>
      </c>
      <c r="I12" s="40">
        <f t="shared" si="0"/>
        <v>106278.07875206042</v>
      </c>
      <c r="J12" s="42">
        <f t="shared" si="1"/>
        <v>6.0132545416870631E-2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BC0F-CBA1-4CDF-8314-59764F672ECA}">
  <dimension ref="A1:I11"/>
  <sheetViews>
    <sheetView showGridLines="0" topLeftCell="A2" workbookViewId="0">
      <selection activeCell="C27" sqref="C26:C27"/>
    </sheetView>
  </sheetViews>
  <sheetFormatPr defaultRowHeight="14.4"/>
  <cols>
    <col min="1" max="1" width="28.44140625" customWidth="1"/>
    <col min="2" max="2" width="15.21875" bestFit="1" customWidth="1"/>
    <col min="3" max="3" width="56.77734375" customWidth="1"/>
    <col min="6" max="9" width="21.33203125" customWidth="1"/>
  </cols>
  <sheetData>
    <row r="1" spans="1:9" ht="28.8">
      <c r="A1" s="19" t="s">
        <v>1</v>
      </c>
      <c r="B1" s="20" t="s">
        <v>2</v>
      </c>
      <c r="C1" s="21" t="s">
        <v>3</v>
      </c>
      <c r="F1" s="14" t="s">
        <v>48</v>
      </c>
      <c r="G1" s="15" t="s">
        <v>50</v>
      </c>
      <c r="H1" s="14" t="s">
        <v>51</v>
      </c>
      <c r="I1" s="14" t="s">
        <v>52</v>
      </c>
    </row>
    <row r="2" spans="1:9">
      <c r="A2" s="22" t="s">
        <v>0</v>
      </c>
      <c r="B2" s="23">
        <v>24</v>
      </c>
      <c r="C2" s="24" t="s">
        <v>61</v>
      </c>
      <c r="F2" s="17">
        <f>SUM('Tábla 2020'!H67:H112)</f>
        <v>9.6420212742881084</v>
      </c>
      <c r="G2" s="6">
        <f>'Havi számolás konzervatív'!M1</f>
        <v>90482853.705720067</v>
      </c>
      <c r="H2" s="6">
        <f>G2/F2</f>
        <v>9384220.5002187788</v>
      </c>
      <c r="I2" s="18">
        <f>H2/12</f>
        <v>782018.37501823157</v>
      </c>
    </row>
    <row r="3" spans="1:9">
      <c r="A3" s="22" t="s">
        <v>4</v>
      </c>
      <c r="B3" s="23">
        <v>67</v>
      </c>
      <c r="C3" s="24" t="s">
        <v>62</v>
      </c>
    </row>
    <row r="4" spans="1:9">
      <c r="A4" s="22" t="s">
        <v>55</v>
      </c>
      <c r="B4" s="25">
        <f>12*820000</f>
        <v>9840000</v>
      </c>
      <c r="C4" s="24" t="s">
        <v>60</v>
      </c>
    </row>
    <row r="5" spans="1:9">
      <c r="A5" s="22" t="s">
        <v>57</v>
      </c>
      <c r="B5" s="25">
        <f>'Havi számolás konzervatív'!D49*12*1.1</f>
        <v>11486515.391999999</v>
      </c>
      <c r="C5" s="24" t="s">
        <v>73</v>
      </c>
    </row>
    <row r="6" spans="1:9">
      <c r="A6" s="22" t="s">
        <v>56</v>
      </c>
      <c r="B6" s="25">
        <f>'Havi számolás konzervatív'!D109*12*1.1</f>
        <v>13676711.033299385</v>
      </c>
      <c r="C6" s="24" t="s">
        <v>72</v>
      </c>
      <c r="D6" s="44" t="s">
        <v>71</v>
      </c>
    </row>
    <row r="7" spans="1:9">
      <c r="A7" s="22" t="s">
        <v>58</v>
      </c>
      <c r="B7" s="31">
        <v>0</v>
      </c>
      <c r="C7" s="24" t="s">
        <v>59</v>
      </c>
      <c r="D7" s="44" t="s">
        <v>71</v>
      </c>
    </row>
    <row r="8" spans="1:9">
      <c r="A8" s="22" t="s">
        <v>5</v>
      </c>
      <c r="B8" s="26">
        <v>0.02</v>
      </c>
      <c r="C8" s="24" t="s">
        <v>70</v>
      </c>
      <c r="D8" s="44" t="s">
        <v>71</v>
      </c>
    </row>
    <row r="9" spans="1:9">
      <c r="A9" s="22" t="s">
        <v>6</v>
      </c>
      <c r="B9" s="30">
        <v>0.06</v>
      </c>
      <c r="C9" s="24" t="s">
        <v>65</v>
      </c>
      <c r="D9" s="44" t="s">
        <v>71</v>
      </c>
    </row>
    <row r="10" spans="1:9">
      <c r="A10" s="22" t="s">
        <v>7</v>
      </c>
      <c r="B10" s="29">
        <v>3.5000000000000003E-2</v>
      </c>
      <c r="C10" s="24" t="s">
        <v>67</v>
      </c>
      <c r="D10" s="44" t="s">
        <v>71</v>
      </c>
    </row>
    <row r="11" spans="1:9">
      <c r="A11" t="s">
        <v>8</v>
      </c>
      <c r="B11" s="27" t="s">
        <v>9</v>
      </c>
      <c r="C11" t="s">
        <v>63</v>
      </c>
      <c r="D11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2B66-387D-4D2B-9BC9-6E9BCC7416E6}">
  <dimension ref="A1:M525"/>
  <sheetViews>
    <sheetView topLeftCell="A436" workbookViewId="0">
      <selection activeCell="F2" sqref="F2"/>
    </sheetView>
  </sheetViews>
  <sheetFormatPr defaultRowHeight="14.4"/>
  <cols>
    <col min="4" max="4" width="11.5546875" bestFit="1" customWidth="1"/>
    <col min="5" max="5" width="15.6640625" customWidth="1"/>
    <col min="6" max="8" width="13.44140625" customWidth="1"/>
    <col min="12" max="12" width="21.33203125" customWidth="1"/>
    <col min="13" max="13" width="15.21875" bestFit="1" customWidth="1"/>
  </cols>
  <sheetData>
    <row r="1" spans="1:13" ht="29.4" thickBot="1">
      <c r="A1" s="9" t="s">
        <v>11</v>
      </c>
      <c r="B1" s="9" t="s">
        <v>10</v>
      </c>
      <c r="C1" s="9" t="s">
        <v>49</v>
      </c>
      <c r="D1" s="9" t="s">
        <v>12</v>
      </c>
      <c r="E1" s="9" t="s">
        <v>14</v>
      </c>
      <c r="F1" s="9" t="s">
        <v>13</v>
      </c>
      <c r="G1" s="9" t="s">
        <v>15</v>
      </c>
      <c r="H1" s="9" t="s">
        <v>16</v>
      </c>
      <c r="L1" s="8" t="s">
        <v>50</v>
      </c>
      <c r="M1" s="6" cm="1">
        <f t="array" ref="M1">LOOKUP(2,1/(H:H&lt;&gt;""),H:H)</f>
        <v>90482853.705720067</v>
      </c>
    </row>
    <row r="2" spans="1:13" ht="15" thickTop="1">
      <c r="A2">
        <f>INT((ROW(A1)-1)/12+2028)</f>
        <v>2028</v>
      </c>
      <c r="B2">
        <f>INT((A2-2004)+(C2-1)/12)</f>
        <v>24</v>
      </c>
      <c r="C2">
        <v>1</v>
      </c>
      <c r="D2" s="7">
        <f>'Eredmények konzervatív'!$B$4/12*(1+'Eredmények konzervatív'!$B$8)^('Havi számolás konzervatív'!B2-24)</f>
        <v>820000</v>
      </c>
      <c r="E2" s="7">
        <v>0</v>
      </c>
      <c r="F2" s="7">
        <f>'Eredmények konzervatív'!$B$9*D2</f>
        <v>49200</v>
      </c>
      <c r="G2" s="7">
        <f>SUM(E2:F2)*((1+'Eredmények konzervatív'!$B$10)^(1/12)-1)</f>
        <v>141.24821697857078</v>
      </c>
      <c r="H2" s="7">
        <f>E2+F2+G2</f>
        <v>49341.248216978573</v>
      </c>
    </row>
    <row r="3" spans="1:13">
      <c r="A3">
        <f t="shared" ref="A3:A66" si="0">INT((ROW(A2)-1)/12+2028)</f>
        <v>2028</v>
      </c>
      <c r="B3">
        <f t="shared" ref="B3:B66" si="1">INT((A3-2004)+(C3-1)/12)</f>
        <v>24</v>
      </c>
      <c r="C3">
        <v>2</v>
      </c>
      <c r="D3" s="7">
        <f>'Eredmények konzervatív'!$B$4/12*(1+'Eredmények konzervatív'!$B$8)^('Havi számolás konzervatív'!B3-24)</f>
        <v>820000</v>
      </c>
      <c r="E3" s="7">
        <f>H2</f>
        <v>49341.248216978573</v>
      </c>
      <c r="F3" s="7">
        <f>'Eredmények konzervatív'!$B$9*D3</f>
        <v>49200</v>
      </c>
      <c r="G3" s="7">
        <f>SUM(E3:F3)*((1+'Eredmények konzervatív'!$B$10)^(1/12)-1)</f>
        <v>282.90194328233719</v>
      </c>
      <c r="H3" s="7">
        <f t="shared" ref="H3:H66" si="2">E3+F3+G3</f>
        <v>98824.150160260906</v>
      </c>
    </row>
    <row r="4" spans="1:13">
      <c r="A4">
        <f t="shared" si="0"/>
        <v>2028</v>
      </c>
      <c r="B4">
        <f t="shared" si="1"/>
        <v>24</v>
      </c>
      <c r="C4">
        <v>3</v>
      </c>
      <c r="D4" s="7">
        <f>'Eredmények konzervatív'!$B$4/12*(1+'Eredmények konzervatív'!$B$8)^('Havi számolás konzervatív'!B4-24)</f>
        <v>820000</v>
      </c>
      <c r="E4" s="7">
        <f>H3</f>
        <v>98824.150160260906</v>
      </c>
      <c r="F4" s="7">
        <f>'Eredmények konzervatív'!$B$9*D4</f>
        <v>49200</v>
      </c>
      <c r="G4" s="7">
        <f>SUM(E4:F4)*((1+'Eredmények konzervatív'!$B$10)^(1/12)-1)</f>
        <v>424.96234308750155</v>
      </c>
      <c r="H4" s="7">
        <f t="shared" si="2"/>
        <v>148449.11250334841</v>
      </c>
    </row>
    <row r="5" spans="1:13">
      <c r="A5">
        <f t="shared" si="0"/>
        <v>2028</v>
      </c>
      <c r="B5">
        <f t="shared" si="1"/>
        <v>24</v>
      </c>
      <c r="C5">
        <v>4</v>
      </c>
      <c r="D5" s="7">
        <f>'Eredmények konzervatív'!$B$4/12*(1+'Eredmények konzervatív'!$B$8)^('Havi számolás konzervatív'!B5-24)</f>
        <v>820000</v>
      </c>
      <c r="E5" s="7">
        <f t="shared" ref="E5:E68" si="3">H4</f>
        <v>148449.11250334841</v>
      </c>
      <c r="F5" s="7">
        <f>'Eredmények konzervatív'!$B$9*D5</f>
        <v>49200</v>
      </c>
      <c r="G5" s="7">
        <f>SUM(E5:F5)*((1+'Eredmények konzervatív'!$B$10)^(1/12)-1)</f>
        <v>567.43058391249815</v>
      </c>
      <c r="H5" s="7">
        <f t="shared" si="2"/>
        <v>198216.54308726091</v>
      </c>
    </row>
    <row r="6" spans="1:13">
      <c r="A6">
        <f t="shared" si="0"/>
        <v>2028</v>
      </c>
      <c r="B6">
        <f t="shared" si="1"/>
        <v>24</v>
      </c>
      <c r="C6">
        <v>5</v>
      </c>
      <c r="D6" s="7">
        <f>'Eredmények konzervatív'!$B$4/12*(1+'Eredmények konzervatív'!$B$8)^('Havi számolás konzervatív'!B6-24)</f>
        <v>820000</v>
      </c>
      <c r="E6" s="7">
        <f t="shared" si="3"/>
        <v>198216.54308726091</v>
      </c>
      <c r="F6" s="7">
        <f>'Eredmények konzervatív'!$B$9*D6</f>
        <v>49200</v>
      </c>
      <c r="G6" s="7">
        <f>SUM(E6:F6)*((1+'Eredmények konzervatív'!$B$10)^(1/12)-1)</f>
        <v>710.30783662758824</v>
      </c>
      <c r="H6" s="7">
        <f t="shared" si="2"/>
        <v>248126.8509238885</v>
      </c>
    </row>
    <row r="7" spans="1:13">
      <c r="A7">
        <f t="shared" si="0"/>
        <v>2028</v>
      </c>
      <c r="B7">
        <f t="shared" si="1"/>
        <v>24</v>
      </c>
      <c r="C7">
        <v>6</v>
      </c>
      <c r="D7" s="7">
        <f>'Eredmények konzervatív'!$B$4/12*(1+'Eredmények konzervatív'!$B$8)^('Havi számolás konzervatív'!B7-24)</f>
        <v>820000</v>
      </c>
      <c r="E7" s="7">
        <f t="shared" si="3"/>
        <v>248126.8509238885</v>
      </c>
      <c r="F7" s="7">
        <f>'Eredmények konzervatív'!$B$9*D7</f>
        <v>49200</v>
      </c>
      <c r="G7" s="7">
        <f>SUM(E7:F7)*((1+'Eredmények konzervatív'!$B$10)^(1/12)-1)</f>
        <v>853.59527546448328</v>
      </c>
      <c r="H7" s="7">
        <f t="shared" si="2"/>
        <v>298180.44619935297</v>
      </c>
    </row>
    <row r="8" spans="1:13">
      <c r="A8">
        <f t="shared" si="0"/>
        <v>2028</v>
      </c>
      <c r="B8">
        <f t="shared" si="1"/>
        <v>24</v>
      </c>
      <c r="C8">
        <v>7</v>
      </c>
      <c r="D8" s="7">
        <f>'Eredmények konzervatív'!$B$4/12*(1+'Eredmények konzervatív'!$B$8)^('Havi számolás konzervatív'!B8-24)</f>
        <v>820000</v>
      </c>
      <c r="E8" s="7">
        <f t="shared" si="3"/>
        <v>298180.44619935297</v>
      </c>
      <c r="F8" s="7">
        <f>'Eredmények konzervatív'!$B$9*D8</f>
        <v>49200</v>
      </c>
      <c r="G8" s="7">
        <f>SUM(E8:F8)*((1+'Eredmények konzervatív'!$B$10)^(1/12)-1)</f>
        <v>997.29407802599485</v>
      </c>
      <c r="H8" s="7">
        <f t="shared" si="2"/>
        <v>348377.74027737894</v>
      </c>
    </row>
    <row r="9" spans="1:13">
      <c r="A9">
        <f t="shared" si="0"/>
        <v>2028</v>
      </c>
      <c r="B9">
        <f t="shared" si="1"/>
        <v>24</v>
      </c>
      <c r="C9">
        <v>8</v>
      </c>
      <c r="D9" s="7">
        <f>'Eredmények konzervatív'!$B$4/12*(1+'Eredmények konzervatív'!$B$8)^('Havi számolás konzervatív'!B9-24)</f>
        <v>820000</v>
      </c>
      <c r="E9" s="7">
        <f t="shared" si="3"/>
        <v>348377.74027737894</v>
      </c>
      <c r="F9" s="7">
        <f>'Eredmények konzervatív'!$B$9*D9</f>
        <v>49200</v>
      </c>
      <c r="G9" s="7">
        <f>SUM(E9:F9)*((1+'Eredmények konzervatív'!$B$10)^(1/12)-1)</f>
        <v>1141.405425295713</v>
      </c>
      <c r="H9" s="7">
        <f t="shared" si="2"/>
        <v>398719.14570267464</v>
      </c>
    </row>
    <row r="10" spans="1:13">
      <c r="A10">
        <f t="shared" si="0"/>
        <v>2028</v>
      </c>
      <c r="B10">
        <f t="shared" si="1"/>
        <v>24</v>
      </c>
      <c r="C10">
        <v>9</v>
      </c>
      <c r="D10" s="7">
        <f>'Eredmények konzervatív'!$B$4/12*(1+'Eredmények konzervatív'!$B$8)^('Havi számolás konzervatív'!B10-24)</f>
        <v>820000</v>
      </c>
      <c r="E10" s="7">
        <f t="shared" si="3"/>
        <v>398719.14570267464</v>
      </c>
      <c r="F10" s="7">
        <f>'Eredmények konzervatív'!$B$9*D10</f>
        <v>49200</v>
      </c>
      <c r="G10" s="7">
        <f>SUM(E10:F10)*((1+'Eredmények konzervatív'!$B$10)^(1/12)-1)</f>
        <v>1285.9305016477124</v>
      </c>
      <c r="H10" s="7">
        <f t="shared" si="2"/>
        <v>449205.07620432234</v>
      </c>
    </row>
    <row r="11" spans="1:13">
      <c r="A11">
        <f t="shared" si="0"/>
        <v>2028</v>
      </c>
      <c r="B11">
        <f t="shared" si="1"/>
        <v>24</v>
      </c>
      <c r="C11">
        <v>10</v>
      </c>
      <c r="D11" s="7">
        <f>'Eredmények konzervatív'!$B$4/12*(1+'Eredmények konzervatív'!$B$8)^('Havi számolás konzervatív'!B11-24)</f>
        <v>820000</v>
      </c>
      <c r="E11" s="7">
        <f t="shared" si="3"/>
        <v>449205.07620432234</v>
      </c>
      <c r="F11" s="7">
        <f>'Eredmények konzervatív'!$B$9*D11</f>
        <v>49200</v>
      </c>
      <c r="G11" s="7">
        <f>SUM(E11:F11)*((1+'Eredmények konzervatív'!$B$10)^(1/12)-1)</f>
        <v>1430.8704948562852</v>
      </c>
      <c r="H11" s="7">
        <f t="shared" si="2"/>
        <v>499835.9466991786</v>
      </c>
    </row>
    <row r="12" spans="1:13">
      <c r="A12">
        <f t="shared" si="0"/>
        <v>2028</v>
      </c>
      <c r="B12">
        <f t="shared" si="1"/>
        <v>24</v>
      </c>
      <c r="C12">
        <v>11</v>
      </c>
      <c r="D12" s="7">
        <f>'Eredmények konzervatív'!$B$4/12*(1+'Eredmények konzervatív'!$B$8)^('Havi számolás konzervatív'!B12-24)</f>
        <v>820000</v>
      </c>
      <c r="E12" s="7">
        <f t="shared" si="3"/>
        <v>499835.9466991786</v>
      </c>
      <c r="F12" s="7">
        <f>'Eredmények konzervatív'!$B$9*D12</f>
        <v>49200</v>
      </c>
      <c r="G12" s="7">
        <f>SUM(E12:F12)*((1+'Eredmények konzervatív'!$B$10)^(1/12)-1)</f>
        <v>1576.2265961057033</v>
      </c>
      <c r="H12" s="7">
        <f t="shared" si="2"/>
        <v>550612.17329528427</v>
      </c>
    </row>
    <row r="13" spans="1:13">
      <c r="A13">
        <f t="shared" si="0"/>
        <v>2028</v>
      </c>
      <c r="B13">
        <f t="shared" si="1"/>
        <v>24</v>
      </c>
      <c r="C13">
        <v>12</v>
      </c>
      <c r="D13" s="7">
        <f>'Eredmények konzervatív'!$B$4/12*(1+'Eredmények konzervatív'!$B$8)^('Havi számolás konzervatív'!B13-24)</f>
        <v>820000</v>
      </c>
      <c r="E13" s="7">
        <f t="shared" si="3"/>
        <v>550612.17329528427</v>
      </c>
      <c r="F13" s="7">
        <f>'Eredmények konzervatív'!$B$9*D13</f>
        <v>49200</v>
      </c>
      <c r="G13" s="7">
        <f>SUM(E13:F13)*((1+'Eredmények konzervatív'!$B$10)^(1/12)-1)</f>
        <v>1722.0000000000086</v>
      </c>
      <c r="H13" s="7">
        <f t="shared" si="2"/>
        <v>601534.17329528427</v>
      </c>
    </row>
    <row r="14" spans="1:13">
      <c r="A14">
        <f t="shared" si="0"/>
        <v>2029</v>
      </c>
      <c r="B14">
        <f t="shared" si="1"/>
        <v>25</v>
      </c>
      <c r="C14">
        <f>C2</f>
        <v>1</v>
      </c>
      <c r="D14" s="7">
        <f>'Eredmények konzervatív'!$B$4/12*(1+'Eredmények konzervatív'!$B$8)^('Havi számolás konzervatív'!B14-24)</f>
        <v>836400</v>
      </c>
      <c r="E14" s="7">
        <f t="shared" si="3"/>
        <v>601534.17329528427</v>
      </c>
      <c r="F14" s="7">
        <f>'Eredmények konzervatív'!$B$9*D14</f>
        <v>50184</v>
      </c>
      <c r="G14" s="7">
        <f>SUM(E14:F14)*((1+'Eredmények konzervatív'!$B$10)^(1/12)-1)</f>
        <v>1871.0168689124007</v>
      </c>
      <c r="H14" s="7">
        <f t="shared" si="2"/>
        <v>653589.19016419665</v>
      </c>
    </row>
    <row r="15" spans="1:13">
      <c r="A15">
        <f t="shared" si="0"/>
        <v>2029</v>
      </c>
      <c r="B15">
        <f t="shared" si="1"/>
        <v>25</v>
      </c>
      <c r="C15">
        <f t="shared" ref="C15:C49" si="4">C3</f>
        <v>2</v>
      </c>
      <c r="D15" s="7">
        <f>'Eredmények konzervatív'!$B$4/12*(1+'Eredmények konzervatív'!$B$8)^('Havi számolás konzervatív'!B15-24)</f>
        <v>836400</v>
      </c>
      <c r="E15" s="7">
        <f t="shared" si="3"/>
        <v>653589.19016419665</v>
      </c>
      <c r="F15" s="7">
        <f>'Eredmények konzervatív'!$B$9*D15</f>
        <v>50184</v>
      </c>
      <c r="G15" s="7">
        <f>SUM(E15:F15)*((1+'Eredmények konzervatív'!$B$10)^(1/12)-1)</f>
        <v>2020.4615501628743</v>
      </c>
      <c r="H15" s="7">
        <f t="shared" si="2"/>
        <v>705793.65171435953</v>
      </c>
    </row>
    <row r="16" spans="1:13">
      <c r="A16">
        <f t="shared" si="0"/>
        <v>2029</v>
      </c>
      <c r="B16">
        <f t="shared" si="1"/>
        <v>25</v>
      </c>
      <c r="C16">
        <f t="shared" si="4"/>
        <v>3</v>
      </c>
      <c r="D16" s="7">
        <f>'Eredmények konzervatív'!$B$4/12*(1+'Eredmények konzervatív'!$B$8)^('Havi számolás konzervatív'!B16-24)</f>
        <v>836400</v>
      </c>
      <c r="E16" s="7">
        <f t="shared" si="3"/>
        <v>705793.65171435953</v>
      </c>
      <c r="F16" s="7">
        <f>'Eredmények konzervatív'!$B$9*D16</f>
        <v>50184</v>
      </c>
      <c r="G16" s="7">
        <f>SUM(E16:F16)*((1+'Eredmények konzervatív'!$B$10)^(1/12)-1)</f>
        <v>2170.3352719573227</v>
      </c>
      <c r="H16" s="7">
        <f t="shared" si="2"/>
        <v>758147.98698631686</v>
      </c>
    </row>
    <row r="17" spans="1:8">
      <c r="A17">
        <f t="shared" si="0"/>
        <v>2029</v>
      </c>
      <c r="B17">
        <f t="shared" si="1"/>
        <v>25</v>
      </c>
      <c r="C17">
        <f t="shared" si="4"/>
        <v>4</v>
      </c>
      <c r="D17" s="7">
        <f>'Eredmények konzervatív'!$B$4/12*(1+'Eredmények konzervatív'!$B$8)^('Havi számolás konzervatív'!B17-24)</f>
        <v>836400</v>
      </c>
      <c r="E17" s="7">
        <f t="shared" si="3"/>
        <v>758147.98698631686</v>
      </c>
      <c r="F17" s="7">
        <f>'Eredmények konzervatív'!$B$9*D17</f>
        <v>50184</v>
      </c>
      <c r="G17" s="7">
        <f>SUM(E17:F17)*((1+'Eredmények konzervatív'!$B$10)^(1/12)-1)</f>
        <v>2320.6392660276942</v>
      </c>
      <c r="H17" s="7">
        <f t="shared" si="2"/>
        <v>810652.62625234458</v>
      </c>
    </row>
    <row r="18" spans="1:8">
      <c r="A18">
        <f t="shared" si="0"/>
        <v>2029</v>
      </c>
      <c r="B18">
        <f t="shared" si="1"/>
        <v>25</v>
      </c>
      <c r="C18">
        <f t="shared" si="4"/>
        <v>5</v>
      </c>
      <c r="D18" s="7">
        <f>'Eredmények konzervatív'!$B$4/12*(1+'Eredmények konzervatív'!$B$8)^('Havi számolás konzervatív'!B18-24)</f>
        <v>836400</v>
      </c>
      <c r="E18" s="7">
        <f t="shared" si="3"/>
        <v>810652.62625234458</v>
      </c>
      <c r="F18" s="7">
        <f>'Eredmények konzervatív'!$B$9*D18</f>
        <v>50184</v>
      </c>
      <c r="G18" s="7">
        <f>SUM(E18:F18)*((1+'Eredmények konzervatív'!$B$10)^(1/12)-1)</f>
        <v>2471.3747676421144</v>
      </c>
      <c r="H18" s="7">
        <f t="shared" si="2"/>
        <v>863308.0010199867</v>
      </c>
    </row>
    <row r="19" spans="1:8">
      <c r="A19">
        <f t="shared" si="0"/>
        <v>2029</v>
      </c>
      <c r="B19">
        <f t="shared" si="1"/>
        <v>25</v>
      </c>
      <c r="C19">
        <f t="shared" si="4"/>
        <v>6</v>
      </c>
      <c r="D19" s="7">
        <f>'Eredmények konzervatív'!$B$4/12*(1+'Eredmények konzervatív'!$B$8)^('Havi számolás konzervatív'!B19-24)</f>
        <v>836400</v>
      </c>
      <c r="E19" s="7">
        <f t="shared" si="3"/>
        <v>863308.0010199867</v>
      </c>
      <c r="F19" s="7">
        <f>'Eredmények konzervatív'!$B$9*D19</f>
        <v>50184</v>
      </c>
      <c r="G19" s="7">
        <f>SUM(E19:F19)*((1+'Eredmények konzervatív'!$B$10)^(1/12)-1)</f>
        <v>2622.5430156150387</v>
      </c>
      <c r="H19" s="7">
        <f t="shared" si="2"/>
        <v>916114.54403560178</v>
      </c>
    </row>
    <row r="20" spans="1:8">
      <c r="A20">
        <f t="shared" si="0"/>
        <v>2029</v>
      </c>
      <c r="B20">
        <f t="shared" si="1"/>
        <v>25</v>
      </c>
      <c r="C20">
        <f t="shared" si="4"/>
        <v>7</v>
      </c>
      <c r="D20" s="7">
        <f>'Eredmények konzervatív'!$B$4/12*(1+'Eredmények konzervatív'!$B$8)^('Havi számolás konzervatív'!B20-24)</f>
        <v>836400</v>
      </c>
      <c r="E20" s="7">
        <f t="shared" si="3"/>
        <v>916114.54403560178</v>
      </c>
      <c r="F20" s="7">
        <f>'Eredmények konzervatív'!$B$9*D20</f>
        <v>50184</v>
      </c>
      <c r="G20" s="7">
        <f>SUM(E20:F20)*((1+'Eredmények konzervatív'!$B$10)^(1/12)-1)</f>
        <v>2774.1452523174335</v>
      </c>
      <c r="H20" s="7">
        <f t="shared" si="2"/>
        <v>969072.6892879192</v>
      </c>
    </row>
    <row r="21" spans="1:8">
      <c r="A21">
        <f t="shared" si="0"/>
        <v>2029</v>
      </c>
      <c r="B21">
        <f t="shared" si="1"/>
        <v>25</v>
      </c>
      <c r="C21">
        <f t="shared" si="4"/>
        <v>8</v>
      </c>
      <c r="D21" s="7">
        <f>'Eredmények konzervatív'!$B$4/12*(1+'Eredmények konzervatív'!$B$8)^('Havi számolás konzervatív'!B21-24)</f>
        <v>836400</v>
      </c>
      <c r="E21" s="7">
        <f t="shared" si="3"/>
        <v>969072.6892879192</v>
      </c>
      <c r="F21" s="7">
        <f>'Eredmények konzervatív'!$B$9*D21</f>
        <v>50184</v>
      </c>
      <c r="G21" s="7">
        <f>SUM(E21:F21)*((1+'Eredmények konzervatív'!$B$10)^(1/12)-1)</f>
        <v>2926.1827236869863</v>
      </c>
      <c r="H21" s="7">
        <f t="shared" si="2"/>
        <v>1022182.8720116062</v>
      </c>
    </row>
    <row r="22" spans="1:8">
      <c r="A22">
        <f t="shared" si="0"/>
        <v>2029</v>
      </c>
      <c r="B22">
        <f t="shared" si="1"/>
        <v>25</v>
      </c>
      <c r="C22">
        <f t="shared" si="4"/>
        <v>9</v>
      </c>
      <c r="D22" s="7">
        <f>'Eredmények konzervatív'!$B$4/12*(1+'Eredmények konzervatív'!$B$8)^('Havi számolás konzervatív'!B22-24)</f>
        <v>836400</v>
      </c>
      <c r="E22" s="7">
        <f t="shared" si="3"/>
        <v>1022182.8720116062</v>
      </c>
      <c r="F22" s="7">
        <f>'Eredmények konzervatív'!$B$9*D22</f>
        <v>50184</v>
      </c>
      <c r="G22" s="7">
        <f>SUM(E22:F22)*((1+'Eredmények konzervatív'!$B$10)^(1/12)-1)</f>
        <v>3078.6566792383455</v>
      </c>
      <c r="H22" s="7">
        <f t="shared" si="2"/>
        <v>1075445.5286908445</v>
      </c>
    </row>
    <row r="23" spans="1:8">
      <c r="A23">
        <f t="shared" si="0"/>
        <v>2029</v>
      </c>
      <c r="B23">
        <f t="shared" si="1"/>
        <v>25</v>
      </c>
      <c r="C23">
        <f t="shared" si="4"/>
        <v>10</v>
      </c>
      <c r="D23" s="7">
        <f>'Eredmények konzervatív'!$B$4/12*(1+'Eredmények konzervatív'!$B$8)^('Havi számolás konzervatív'!B23-24)</f>
        <v>836400</v>
      </c>
      <c r="E23" s="7">
        <f t="shared" si="3"/>
        <v>1075445.5286908445</v>
      </c>
      <c r="F23" s="7">
        <f>'Eredmények konzervatív'!$B$9*D23</f>
        <v>50184</v>
      </c>
      <c r="G23" s="7">
        <f>SUM(E23:F23)*((1+'Eredmények konzervatív'!$B$10)^(1/12)-1)</f>
        <v>3231.56837207339</v>
      </c>
      <c r="H23" s="7">
        <f t="shared" si="2"/>
        <v>1128861.0970629179</v>
      </c>
    </row>
    <row r="24" spans="1:8">
      <c r="A24">
        <f t="shared" si="0"/>
        <v>2029</v>
      </c>
      <c r="B24">
        <f t="shared" si="1"/>
        <v>25</v>
      </c>
      <c r="C24">
        <f t="shared" si="4"/>
        <v>11</v>
      </c>
      <c r="D24" s="7">
        <f>'Eredmények konzervatív'!$B$4/12*(1+'Eredmények konzervatív'!$B$8)^('Havi számolás konzervatív'!B24-24)</f>
        <v>836400</v>
      </c>
      <c r="E24" s="7">
        <f t="shared" si="3"/>
        <v>1128861.0970629179</v>
      </c>
      <c r="F24" s="7">
        <f>'Eredmények konzervatív'!$B$9*D24</f>
        <v>50184</v>
      </c>
      <c r="G24" s="7">
        <f>SUM(E24:F24)*((1+'Eredmények konzervatív'!$B$10)^(1/12)-1)</f>
        <v>3384.9190588915262</v>
      </c>
      <c r="H24" s="7">
        <f t="shared" si="2"/>
        <v>1182430.0161218094</v>
      </c>
    </row>
    <row r="25" spans="1:8">
      <c r="A25">
        <f t="shared" si="0"/>
        <v>2029</v>
      </c>
      <c r="B25">
        <f t="shared" si="1"/>
        <v>25</v>
      </c>
      <c r="C25">
        <f t="shared" si="4"/>
        <v>12</v>
      </c>
      <c r="D25" s="7">
        <f>'Eredmények konzervatív'!$B$4/12*(1+'Eredmények konzervatív'!$B$8)^('Havi számolás konzervatív'!B25-24)</f>
        <v>836400</v>
      </c>
      <c r="E25" s="7">
        <f t="shared" si="3"/>
        <v>1182430.0161218094</v>
      </c>
      <c r="F25" s="7">
        <f>'Eredmények konzervatív'!$B$9*D25</f>
        <v>50184</v>
      </c>
      <c r="G25" s="7">
        <f>SUM(E25:F25)*((1+'Eredmények konzervatív'!$B$10)^(1/12)-1)</f>
        <v>3538.7100000000182</v>
      </c>
      <c r="H25" s="7">
        <f t="shared" si="2"/>
        <v>1236152.7261218093</v>
      </c>
    </row>
    <row r="26" spans="1:8">
      <c r="A26">
        <f t="shared" si="0"/>
        <v>2030</v>
      </c>
      <c r="B26">
        <f t="shared" si="1"/>
        <v>26</v>
      </c>
      <c r="C26">
        <f t="shared" si="4"/>
        <v>1</v>
      </c>
      <c r="D26" s="7">
        <f>'Eredmények konzervatív'!$B$4/12*(1+'Eredmények konzervatív'!$B$8)^('Havi számolás konzervatív'!B26-24)</f>
        <v>853128</v>
      </c>
      <c r="E26" s="7">
        <f t="shared" si="3"/>
        <v>1236152.7261218093</v>
      </c>
      <c r="F26" s="7">
        <f>'Eredmények konzervatív'!$B$9*D26</f>
        <v>51187.68</v>
      </c>
      <c r="G26" s="7">
        <f>SUM(E26:F26)*((1+'Eredmények konzervatív'!$B$10)^(1/12)-1)</f>
        <v>3695.8239229507067</v>
      </c>
      <c r="H26" s="7">
        <f t="shared" si="2"/>
        <v>1291036.23004476</v>
      </c>
    </row>
    <row r="27" spans="1:8">
      <c r="A27">
        <f t="shared" si="0"/>
        <v>2030</v>
      </c>
      <c r="B27">
        <f t="shared" si="1"/>
        <v>26</v>
      </c>
      <c r="C27">
        <f t="shared" si="4"/>
        <v>2</v>
      </c>
      <c r="D27" s="7">
        <f>'Eredmények konzervatív'!$B$4/12*(1+'Eredmények konzervatív'!$B$8)^('Havi számolás konzervatív'!B27-24)</f>
        <v>853128</v>
      </c>
      <c r="E27" s="7">
        <f t="shared" si="3"/>
        <v>1291036.23004476</v>
      </c>
      <c r="F27" s="7">
        <f>'Eredmények konzervatív'!$B$9*D27</f>
        <v>51187.68</v>
      </c>
      <c r="G27" s="7">
        <f>SUM(E27:F27)*((1+'Eredmények konzervatív'!$B$10)^(1/12)-1)</f>
        <v>3853.3889040615436</v>
      </c>
      <c r="H27" s="7">
        <f t="shared" si="2"/>
        <v>1346077.2989488216</v>
      </c>
    </row>
    <row r="28" spans="1:8">
      <c r="A28">
        <f t="shared" si="0"/>
        <v>2030</v>
      </c>
      <c r="B28">
        <f t="shared" si="1"/>
        <v>26</v>
      </c>
      <c r="C28">
        <f t="shared" si="4"/>
        <v>3</v>
      </c>
      <c r="D28" s="7">
        <f>'Eredmények konzervatív'!$B$4/12*(1+'Eredmények konzervatív'!$B$8)^('Havi számolás konzervatív'!B28-24)</f>
        <v>853128</v>
      </c>
      <c r="E28" s="7">
        <f t="shared" si="3"/>
        <v>1346077.2989488216</v>
      </c>
      <c r="F28" s="7">
        <f>'Eredmények konzervatív'!$B$9*D28</f>
        <v>51187.68</v>
      </c>
      <c r="G28" s="7">
        <f>SUM(E28:F28)*((1+'Eredmények konzervatív'!$B$10)^(1/12)-1)</f>
        <v>4011.406238274823</v>
      </c>
      <c r="H28" s="7">
        <f t="shared" si="2"/>
        <v>1401276.3851870964</v>
      </c>
    </row>
    <row r="29" spans="1:8">
      <c r="A29">
        <f t="shared" si="0"/>
        <v>2030</v>
      </c>
      <c r="B29">
        <f t="shared" si="1"/>
        <v>26</v>
      </c>
      <c r="C29">
        <f t="shared" si="4"/>
        <v>4</v>
      </c>
      <c r="D29" s="7">
        <f>'Eredmények konzervatív'!$B$4/12*(1+'Eredmények konzervatív'!$B$8)^('Havi számolás konzervatív'!B29-24)</f>
        <v>853128</v>
      </c>
      <c r="E29" s="7">
        <f t="shared" si="3"/>
        <v>1401276.3851870964</v>
      </c>
      <c r="F29" s="7">
        <f>'Eredmények konzervatív'!$B$9*D29</f>
        <v>51187.68</v>
      </c>
      <c r="G29" s="7">
        <f>SUM(E29:F29)*((1+'Eredmények konzervatív'!$B$10)^(1/12)-1)</f>
        <v>4169.8772242504874</v>
      </c>
      <c r="H29" s="7">
        <f t="shared" si="2"/>
        <v>1456633.9424113468</v>
      </c>
    </row>
    <row r="30" spans="1:8">
      <c r="A30">
        <f t="shared" si="0"/>
        <v>2030</v>
      </c>
      <c r="B30">
        <f t="shared" si="1"/>
        <v>26</v>
      </c>
      <c r="C30">
        <f t="shared" si="4"/>
        <v>5</v>
      </c>
      <c r="D30" s="7">
        <f>'Eredmények konzervatív'!$B$4/12*(1+'Eredmények konzervatív'!$B$8)^('Havi számolás konzervatív'!B30-24)</f>
        <v>853128</v>
      </c>
      <c r="E30" s="7">
        <f t="shared" si="3"/>
        <v>1456633.9424113468</v>
      </c>
      <c r="F30" s="7">
        <f>'Eredmények konzervatív'!$B$9*D30</f>
        <v>51187.68</v>
      </c>
      <c r="G30" s="7">
        <f>SUM(E30:F30)*((1+'Eredmények konzervatív'!$B$10)^(1/12)-1)</f>
        <v>4328.8031643767999</v>
      </c>
      <c r="H30" s="7">
        <f t="shared" si="2"/>
        <v>1512150.4255757236</v>
      </c>
    </row>
    <row r="31" spans="1:8">
      <c r="A31">
        <f t="shared" si="0"/>
        <v>2030</v>
      </c>
      <c r="B31">
        <f t="shared" si="1"/>
        <v>26</v>
      </c>
      <c r="C31">
        <f t="shared" si="4"/>
        <v>6</v>
      </c>
      <c r="D31" s="7">
        <f>'Eredmények konzervatív'!$B$4/12*(1+'Eredmények konzervatív'!$B$8)^('Havi számolás konzervatív'!B31-24)</f>
        <v>853128</v>
      </c>
      <c r="E31" s="7">
        <f t="shared" si="3"/>
        <v>1512150.4255757236</v>
      </c>
      <c r="F31" s="7">
        <f>'Eredmények konzervatív'!$B$9*D31</f>
        <v>51187.68</v>
      </c>
      <c r="G31" s="7">
        <f>SUM(E31:F31)*((1+'Eredmények konzervatív'!$B$10)^(1/12)-1)</f>
        <v>4488.1853647810494</v>
      </c>
      <c r="H31" s="7">
        <f t="shared" si="2"/>
        <v>1567826.2909405045</v>
      </c>
    </row>
    <row r="32" spans="1:8">
      <c r="A32">
        <f t="shared" si="0"/>
        <v>2030</v>
      </c>
      <c r="B32">
        <f t="shared" si="1"/>
        <v>26</v>
      </c>
      <c r="C32">
        <f t="shared" si="4"/>
        <v>7</v>
      </c>
      <c r="D32" s="7">
        <f>'Eredmények konzervatív'!$B$4/12*(1+'Eredmények konzervatív'!$B$8)^('Havi számolás konzervatív'!B32-24)</f>
        <v>853128</v>
      </c>
      <c r="E32" s="7">
        <f t="shared" si="3"/>
        <v>1567826.2909405045</v>
      </c>
      <c r="F32" s="7">
        <f>'Eredmények konzervatív'!$B$9*D32</f>
        <v>51187.68</v>
      </c>
      <c r="G32" s="7">
        <f>SUM(E32:F32)*((1+'Eredmények konzervatív'!$B$10)^(1/12)-1)</f>
        <v>4648.0251353402818</v>
      </c>
      <c r="H32" s="7">
        <f t="shared" si="2"/>
        <v>1623661.9960758446</v>
      </c>
    </row>
    <row r="33" spans="1:8">
      <c r="A33">
        <f t="shared" si="0"/>
        <v>2030</v>
      </c>
      <c r="B33">
        <f t="shared" si="1"/>
        <v>26</v>
      </c>
      <c r="C33">
        <f t="shared" si="4"/>
        <v>8</v>
      </c>
      <c r="D33" s="7">
        <f>'Eredmények konzervatív'!$B$4/12*(1+'Eredmények konzervatív'!$B$8)^('Havi számolás konzervatív'!B33-24)</f>
        <v>853128</v>
      </c>
      <c r="E33" s="7">
        <f t="shared" si="3"/>
        <v>1623661.9960758446</v>
      </c>
      <c r="F33" s="7">
        <f>'Eredmények konzervatív'!$B$9*D33</f>
        <v>51187.68</v>
      </c>
      <c r="G33" s="7">
        <f>SUM(E33:F33)*((1+'Eredmények konzervatív'!$B$10)^(1/12)-1)</f>
        <v>4808.3237896920709</v>
      </c>
      <c r="H33" s="7">
        <f t="shared" si="2"/>
        <v>1679657.9998655366</v>
      </c>
    </row>
    <row r="34" spans="1:8">
      <c r="A34">
        <f t="shared" si="0"/>
        <v>2030</v>
      </c>
      <c r="B34">
        <f t="shared" si="1"/>
        <v>26</v>
      </c>
      <c r="C34">
        <f t="shared" si="4"/>
        <v>9</v>
      </c>
      <c r="D34" s="7">
        <f>'Eredmények konzervatív'!$B$4/12*(1+'Eredmények konzervatív'!$B$8)^('Havi számolás konzervatív'!B34-24)</f>
        <v>853128</v>
      </c>
      <c r="E34" s="7">
        <f t="shared" si="3"/>
        <v>1679657.9998655366</v>
      </c>
      <c r="F34" s="7">
        <f>'Eredmények konzervatív'!$B$9*D34</f>
        <v>51187.68</v>
      </c>
      <c r="G34" s="7">
        <f>SUM(E34:F34)*((1+'Eredmények konzervatív'!$B$10)^(1/12)-1)</f>
        <v>4969.0826452453084</v>
      </c>
      <c r="H34" s="7">
        <f t="shared" si="2"/>
        <v>1735814.7625107819</v>
      </c>
    </row>
    <row r="35" spans="1:8">
      <c r="A35">
        <f t="shared" si="0"/>
        <v>2030</v>
      </c>
      <c r="B35">
        <f t="shared" si="1"/>
        <v>26</v>
      </c>
      <c r="C35">
        <f t="shared" si="4"/>
        <v>10</v>
      </c>
      <c r="D35" s="7">
        <f>'Eredmények konzervatív'!$B$4/12*(1+'Eredmények konzervatív'!$B$8)^('Havi számolás konzervatív'!B35-24)</f>
        <v>853128</v>
      </c>
      <c r="E35" s="7">
        <f t="shared" si="3"/>
        <v>1735814.7625107819</v>
      </c>
      <c r="F35" s="7">
        <f>'Eredmények konzervatív'!$B$9*D35</f>
        <v>51187.68</v>
      </c>
      <c r="G35" s="7">
        <f>SUM(E35:F35)*((1+'Eredmények konzervatív'!$B$10)^(1/12)-1)</f>
        <v>5130.3030231910343</v>
      </c>
      <c r="H35" s="7">
        <f t="shared" si="2"/>
        <v>1792132.7455339727</v>
      </c>
    </row>
    <row r="36" spans="1:8">
      <c r="A36">
        <f t="shared" si="0"/>
        <v>2030</v>
      </c>
      <c r="B36">
        <f t="shared" si="1"/>
        <v>26</v>
      </c>
      <c r="C36">
        <f t="shared" si="4"/>
        <v>11</v>
      </c>
      <c r="D36" s="7">
        <f>'Eredmények konzervatív'!$B$4/12*(1+'Eredmények konzervatív'!$B$8)^('Havi számolás konzervatív'!B36-24)</f>
        <v>853128</v>
      </c>
      <c r="E36" s="7">
        <f t="shared" si="3"/>
        <v>1792132.7455339727</v>
      </c>
      <c r="F36" s="7">
        <f>'Eredmények konzervatív'!$B$9*D36</f>
        <v>51187.68</v>
      </c>
      <c r="G36" s="7">
        <f>SUM(E36:F36)*((1+'Eredmények konzervatív'!$B$10)^(1/12)-1)</f>
        <v>5291.9862485132935</v>
      </c>
      <c r="H36" s="7">
        <f t="shared" si="2"/>
        <v>1848612.4117824859</v>
      </c>
    </row>
    <row r="37" spans="1:8">
      <c r="A37">
        <f t="shared" si="0"/>
        <v>2030</v>
      </c>
      <c r="B37">
        <f t="shared" si="1"/>
        <v>26</v>
      </c>
      <c r="C37">
        <f t="shared" si="4"/>
        <v>12</v>
      </c>
      <c r="D37" s="7">
        <f>'Eredmények konzervatív'!$B$4/12*(1+'Eredmények konzervatív'!$B$8)^('Havi számolás konzervatív'!B37-24)</f>
        <v>853128</v>
      </c>
      <c r="E37" s="7">
        <f t="shared" si="3"/>
        <v>1848612.4117824859</v>
      </c>
      <c r="F37" s="7">
        <f>'Eredmények konzervatív'!$B$9*D37</f>
        <v>51187.68</v>
      </c>
      <c r="G37" s="7">
        <f>SUM(E37:F37)*((1+'Eredmények konzervatív'!$B$10)^(1/12)-1)</f>
        <v>5454.1336500000261</v>
      </c>
      <c r="H37" s="7">
        <f t="shared" si="2"/>
        <v>1905254.2254324858</v>
      </c>
    </row>
    <row r="38" spans="1:8">
      <c r="A38">
        <f t="shared" ref="A38:A47" si="5">INT((ROW(A37)-1)/12+2028)</f>
        <v>2031</v>
      </c>
      <c r="B38">
        <f t="shared" si="1"/>
        <v>27</v>
      </c>
      <c r="C38">
        <f t="shared" si="4"/>
        <v>1</v>
      </c>
      <c r="D38" s="7">
        <f>'Eredmények konzervatív'!$B$4/12*(1+'Eredmények konzervatív'!$B$8)^('Havi számolás konzervatív'!B38-24)</f>
        <v>870190.55999999994</v>
      </c>
      <c r="E38" s="7">
        <f t="shared" ref="E38:E47" si="6">H37</f>
        <v>1905254.2254324858</v>
      </c>
      <c r="F38" s="7">
        <f>'Eredmények konzervatív'!$B$9*D38</f>
        <v>52211.433599999997</v>
      </c>
      <c r="G38" s="7">
        <f>SUM(E38:F38)*((1+'Eredmények konzervatív'!$B$10)^(1/12)-1)</f>
        <v>5619.6856531528792</v>
      </c>
      <c r="H38" s="7">
        <f t="shared" ref="H38:H47" si="7">E38+F38+G38</f>
        <v>1963085.3446856388</v>
      </c>
    </row>
    <row r="39" spans="1:8">
      <c r="A39">
        <f t="shared" si="5"/>
        <v>2031</v>
      </c>
      <c r="B39">
        <f t="shared" si="1"/>
        <v>27</v>
      </c>
      <c r="C39">
        <f t="shared" si="4"/>
        <v>2</v>
      </c>
      <c r="D39" s="7">
        <f>'Eredmények konzervatív'!$B$4/12*(1+'Eredmények konzervatív'!$B$8)^('Havi számolás konzervatív'!B39-24)</f>
        <v>870190.55999999994</v>
      </c>
      <c r="E39" s="7">
        <f t="shared" si="6"/>
        <v>1963085.3446856388</v>
      </c>
      <c r="F39" s="7">
        <f>'Eredmények konzervatív'!$B$9*D39</f>
        <v>52211.433599999997</v>
      </c>
      <c r="G39" s="7">
        <f>SUM(E39:F39)*((1+'Eredmények konzervatív'!$B$10)^(1/12)-1)</f>
        <v>5785.7129393395244</v>
      </c>
      <c r="H39" s="7">
        <f t="shared" si="7"/>
        <v>2021082.4912249784</v>
      </c>
    </row>
    <row r="40" spans="1:8">
      <c r="A40">
        <f t="shared" si="5"/>
        <v>2031</v>
      </c>
      <c r="B40">
        <f t="shared" si="1"/>
        <v>27</v>
      </c>
      <c r="C40">
        <f t="shared" si="4"/>
        <v>3</v>
      </c>
      <c r="D40" s="7">
        <f>'Eredmények konzervatív'!$B$4/12*(1+'Eredmények konzervatív'!$B$8)^('Havi számolás konzervatív'!B40-24)</f>
        <v>870190.55999999994</v>
      </c>
      <c r="E40" s="7">
        <f t="shared" si="6"/>
        <v>2021082.4912249784</v>
      </c>
      <c r="F40" s="7">
        <f>'Eredmények konzervatív'!$B$9*D40</f>
        <v>52211.433599999997</v>
      </c>
      <c r="G40" s="7">
        <f>SUM(E40:F40)*((1+'Eredmények konzervatív'!$B$10)^(1/12)-1)</f>
        <v>5952.216873049415</v>
      </c>
      <c r="H40" s="7">
        <f t="shared" si="7"/>
        <v>2079246.141698028</v>
      </c>
    </row>
    <row r="41" spans="1:8">
      <c r="A41">
        <f t="shared" si="5"/>
        <v>2031</v>
      </c>
      <c r="B41">
        <f t="shared" si="1"/>
        <v>27</v>
      </c>
      <c r="C41">
        <f t="shared" si="4"/>
        <v>4</v>
      </c>
      <c r="D41" s="7">
        <f>'Eredmények konzervatív'!$B$4/12*(1+'Eredmények konzervatív'!$B$8)^('Havi számolás konzervatív'!B41-24)</f>
        <v>870190.55999999994</v>
      </c>
      <c r="E41" s="7">
        <f t="shared" si="6"/>
        <v>2079246.141698028</v>
      </c>
      <c r="F41" s="7">
        <f>'Eredmények konzervatív'!$B$9*D41</f>
        <v>52211.433599999997</v>
      </c>
      <c r="G41" s="7">
        <f>SUM(E41:F41)*((1+'Eredmények konzervatív'!$B$10)^(1/12)-1)</f>
        <v>6119.1988226893145</v>
      </c>
      <c r="H41" s="7">
        <f t="shared" si="7"/>
        <v>2137576.7741207173</v>
      </c>
    </row>
    <row r="42" spans="1:8">
      <c r="A42">
        <f t="shared" si="5"/>
        <v>2031</v>
      </c>
      <c r="B42">
        <f t="shared" si="1"/>
        <v>27</v>
      </c>
      <c r="C42">
        <f t="shared" si="4"/>
        <v>5</v>
      </c>
      <c r="D42" s="7">
        <f>'Eredmények konzervatív'!$B$4/12*(1+'Eredmények konzervatív'!$B$8)^('Havi számolás konzervatív'!B42-24)</f>
        <v>870190.55999999994</v>
      </c>
      <c r="E42" s="7">
        <f t="shared" si="6"/>
        <v>2137576.7741207173</v>
      </c>
      <c r="F42" s="7">
        <f>'Eredmények konzervatív'!$B$9*D42</f>
        <v>52211.433599999997</v>
      </c>
      <c r="G42" s="7">
        <f>SUM(E42:F42)*((1+'Eredmények konzervatív'!$B$10)^(1/12)-1)</f>
        <v>6286.6601605945434</v>
      </c>
      <c r="H42" s="7">
        <f t="shared" si="7"/>
        <v>2196074.867881312</v>
      </c>
    </row>
    <row r="43" spans="1:8">
      <c r="A43">
        <f t="shared" si="5"/>
        <v>2031</v>
      </c>
      <c r="B43">
        <f t="shared" si="1"/>
        <v>27</v>
      </c>
      <c r="C43">
        <f t="shared" si="4"/>
        <v>6</v>
      </c>
      <c r="D43" s="7">
        <f>'Eredmények konzervatív'!$B$4/12*(1+'Eredmények konzervatív'!$B$8)^('Havi számolás konzervatív'!B43-24)</f>
        <v>870190.55999999994</v>
      </c>
      <c r="E43" s="7">
        <f t="shared" si="6"/>
        <v>2196074.867881312</v>
      </c>
      <c r="F43" s="7">
        <f>'Eredmények konzervatív'!$B$9*D43</f>
        <v>52211.433599999997</v>
      </c>
      <c r="G43" s="7">
        <f>SUM(E43:F43)*((1+'Eredmények konzervatív'!$B$10)^(1/12)-1)</f>
        <v>6454.6022630402604</v>
      </c>
      <c r="H43" s="7">
        <f t="shared" si="7"/>
        <v>2254740.9037443525</v>
      </c>
    </row>
    <row r="44" spans="1:8">
      <c r="A44">
        <f t="shared" si="5"/>
        <v>2031</v>
      </c>
      <c r="B44">
        <f t="shared" si="1"/>
        <v>27</v>
      </c>
      <c r="C44">
        <f t="shared" si="4"/>
        <v>7</v>
      </c>
      <c r="D44" s="7">
        <f>'Eredmények konzervatív'!$B$4/12*(1+'Eredmények konzervatív'!$B$8)^('Havi számolás konzervatív'!B44-24)</f>
        <v>870190.55999999994</v>
      </c>
      <c r="E44" s="7">
        <f t="shared" si="6"/>
        <v>2254740.9037443525</v>
      </c>
      <c r="F44" s="7">
        <f>'Eredmények konzervatív'!$B$9*D44</f>
        <v>52211.433599999997</v>
      </c>
      <c r="G44" s="7">
        <f>SUM(E44:F44)*((1+'Eredmények konzervatív'!$B$10)^(1/12)-1)</f>
        <v>6623.0265102527674</v>
      </c>
      <c r="H44" s="7">
        <f t="shared" si="7"/>
        <v>2313575.3638546052</v>
      </c>
    </row>
    <row r="45" spans="1:8">
      <c r="A45">
        <f t="shared" si="5"/>
        <v>2031</v>
      </c>
      <c r="B45">
        <f t="shared" si="1"/>
        <v>27</v>
      </c>
      <c r="C45">
        <f t="shared" si="4"/>
        <v>8</v>
      </c>
      <c r="D45" s="7">
        <f>'Eredmények konzervatív'!$B$4/12*(1+'Eredmények konzervatív'!$B$8)^('Havi számolás konzervatív'!B45-24)</f>
        <v>870190.55999999994</v>
      </c>
      <c r="E45" s="7">
        <f t="shared" si="6"/>
        <v>2313575.3638546052</v>
      </c>
      <c r="F45" s="7">
        <f>'Eredmények konzervatív'!$B$9*D45</f>
        <v>52211.433599999997</v>
      </c>
      <c r="G45" s="7">
        <f>SUM(E45:F45)*((1+'Eredmények konzervatív'!$B$10)^(1/12)-1)</f>
        <v>6791.9342864208584</v>
      </c>
      <c r="H45" s="7">
        <f t="shared" si="7"/>
        <v>2372578.731741026</v>
      </c>
    </row>
    <row r="46" spans="1:8">
      <c r="A46">
        <f t="shared" si="5"/>
        <v>2031</v>
      </c>
      <c r="B46">
        <f t="shared" si="1"/>
        <v>27</v>
      </c>
      <c r="C46">
        <f t="shared" si="4"/>
        <v>9</v>
      </c>
      <c r="D46" s="7">
        <f>'Eredmények konzervatív'!$B$4/12*(1+'Eredmények konzervatív'!$B$8)^('Havi számolás konzervatív'!B46-24)</f>
        <v>870190.55999999994</v>
      </c>
      <c r="E46" s="7">
        <f t="shared" si="6"/>
        <v>2372578.731741026</v>
      </c>
      <c r="F46" s="7">
        <f>'Eredmények konzervatív'!$B$9*D46</f>
        <v>52211.433599999997</v>
      </c>
      <c r="G46" s="7">
        <f>SUM(E46:F46)*((1+'Eredmények konzervatív'!$B$10)^(1/12)-1)</f>
        <v>6961.3269797071916</v>
      </c>
      <c r="H46" s="7">
        <f t="shared" si="7"/>
        <v>2431751.4923207331</v>
      </c>
    </row>
    <row r="47" spans="1:8">
      <c r="A47">
        <f t="shared" si="5"/>
        <v>2031</v>
      </c>
      <c r="B47">
        <f t="shared" si="1"/>
        <v>27</v>
      </c>
      <c r="C47">
        <f t="shared" si="4"/>
        <v>10</v>
      </c>
      <c r="D47" s="7">
        <f>'Eredmények konzervatív'!$B$4/12*(1+'Eredmények konzervatív'!$B$8)^('Havi számolás konzervatív'!B47-24)</f>
        <v>870190.55999999994</v>
      </c>
      <c r="E47" s="7">
        <f t="shared" si="6"/>
        <v>2431751.4923207331</v>
      </c>
      <c r="F47" s="7">
        <f>'Eredmények konzervatív'!$B$9*D47</f>
        <v>52211.433599999997</v>
      </c>
      <c r="G47" s="7">
        <f>SUM(E47:F47)*((1+'Eredmények konzervatív'!$B$10)^(1/12)-1)</f>
        <v>7131.2059822597012</v>
      </c>
      <c r="H47" s="7">
        <f t="shared" si="7"/>
        <v>2491094.1319029927</v>
      </c>
    </row>
    <row r="48" spans="1:8">
      <c r="A48">
        <f t="shared" ref="A48:A49" si="8">INT((ROW(A47)-1)/12+2028)</f>
        <v>2031</v>
      </c>
      <c r="B48">
        <f t="shared" si="1"/>
        <v>27</v>
      </c>
      <c r="C48">
        <f t="shared" si="4"/>
        <v>11</v>
      </c>
      <c r="D48" s="7">
        <f>'Eredmények konzervatív'!$B$4/12*(1+'Eredmények konzervatív'!$B$8)^('Havi számolás konzervatív'!B48-24)</f>
        <v>870190.55999999994</v>
      </c>
      <c r="E48" s="7">
        <f t="shared" ref="E48:E49" si="9">H47</f>
        <v>2491094.1319029927</v>
      </c>
      <c r="F48" s="7">
        <f>'Eredmények konzervatív'!$B$9*D48</f>
        <v>52211.433599999997</v>
      </c>
      <c r="G48" s="7">
        <f>SUM(E48:F48)*((1+'Eredmények konzervatív'!$B$10)^(1/12)-1)</f>
        <v>7301.5726902230372</v>
      </c>
      <c r="H48" s="7">
        <f t="shared" ref="H48:H49" si="10">E48+F48+G48</f>
        <v>2550607.1381932157</v>
      </c>
    </row>
    <row r="49" spans="1:10">
      <c r="A49">
        <f t="shared" si="8"/>
        <v>2031</v>
      </c>
      <c r="B49">
        <f t="shared" si="1"/>
        <v>27</v>
      </c>
      <c r="C49">
        <f t="shared" si="4"/>
        <v>12</v>
      </c>
      <c r="D49" s="7">
        <f>'Eredmények konzervatív'!$B$4/12*(1+'Eredmények konzervatív'!$B$8)^('Havi számolás konzervatív'!B49-24)</f>
        <v>870190.55999999994</v>
      </c>
      <c r="E49" s="7">
        <f t="shared" si="9"/>
        <v>2550607.1381932157</v>
      </c>
      <c r="F49" s="7">
        <f>'Eredmények konzervatív'!$B$9*D49</f>
        <v>52211.433599999997</v>
      </c>
      <c r="G49" s="7">
        <f>SUM(E49:F49)*((1+'Eredmények konzervatív'!$B$10)^(1/12)-1)</f>
        <v>7472.4285037500385</v>
      </c>
      <c r="H49" s="7">
        <f t="shared" si="10"/>
        <v>2610291.0002969657</v>
      </c>
    </row>
    <row r="50" spans="1:10">
      <c r="A50" s="10">
        <f t="shared" si="0"/>
        <v>2032</v>
      </c>
      <c r="B50" s="10">
        <f t="shared" si="1"/>
        <v>28</v>
      </c>
      <c r="C50" s="10">
        <f t="shared" ref="C44:C107" si="11">C38</f>
        <v>1</v>
      </c>
      <c r="D50" s="11">
        <f>'Eredmények konzervatív'!$B$5/12*(1+'Eredmények konzervatív'!$B$8)^('Havi számolás konzervatív'!B50-28)</f>
        <v>957209.61599999992</v>
      </c>
      <c r="E50" s="11">
        <f t="shared" si="3"/>
        <v>2610291.0002969657</v>
      </c>
      <c r="F50" s="11">
        <f>'Eredmények konzervatív'!$B$9*D50</f>
        <v>57432.576959999991</v>
      </c>
      <c r="G50" s="11">
        <f>SUM(E50:F50)*((1+'Eredmények konzervatív'!$B$10)^(1/12)-1)</f>
        <v>7658.764200797581</v>
      </c>
      <c r="H50" s="11">
        <f t="shared" si="2"/>
        <v>2675382.3414577637</v>
      </c>
      <c r="J50" t="s">
        <v>53</v>
      </c>
    </row>
    <row r="51" spans="1:10">
      <c r="A51">
        <f t="shared" si="0"/>
        <v>2032</v>
      </c>
      <c r="B51">
        <f t="shared" si="1"/>
        <v>28</v>
      </c>
      <c r="C51">
        <f t="shared" si="11"/>
        <v>2</v>
      </c>
      <c r="D51" s="7">
        <f>'Eredmények konzervatív'!$B$5/12*(1+'Eredmények konzervatív'!$B$8)^('Havi számolás konzervatív'!B51-28)</f>
        <v>957209.61599999992</v>
      </c>
      <c r="E51" s="7">
        <f t="shared" si="3"/>
        <v>2675382.3414577637</v>
      </c>
      <c r="F51" s="7">
        <f>'Eredmények konzervatív'!$B$9*D51</f>
        <v>57432.576959999991</v>
      </c>
      <c r="G51" s="7">
        <f>SUM(E51:F51)*((1+'Eredmények konzervatív'!$B$10)^(1/12)-1)</f>
        <v>7845.6348487590967</v>
      </c>
      <c r="H51" s="7">
        <f t="shared" si="2"/>
        <v>2740660.5532665229</v>
      </c>
    </row>
    <row r="52" spans="1:10">
      <c r="A52">
        <f t="shared" si="0"/>
        <v>2032</v>
      </c>
      <c r="B52">
        <f t="shared" si="1"/>
        <v>28</v>
      </c>
      <c r="C52">
        <f t="shared" si="11"/>
        <v>3</v>
      </c>
      <c r="D52" s="7">
        <f>'Eredmények konzervatív'!$B$5/12*(1+'Eredmények konzervatív'!$B$8)^('Havi számolás konzervatív'!B52-28)</f>
        <v>957209.61599999992</v>
      </c>
      <c r="E52" s="7">
        <f t="shared" si="3"/>
        <v>2740660.5532665229</v>
      </c>
      <c r="F52" s="7">
        <f>'Eredmények konzervatív'!$B$9*D52</f>
        <v>57432.576959999991</v>
      </c>
      <c r="G52" s="7">
        <f>SUM(E52:F52)*((1+'Eredmények konzervatív'!$B$10)^(1/12)-1)</f>
        <v>8033.0419834244776</v>
      </c>
      <c r="H52" s="7">
        <f t="shared" si="2"/>
        <v>2806126.1722099478</v>
      </c>
    </row>
    <row r="53" spans="1:10">
      <c r="A53">
        <f t="shared" si="0"/>
        <v>2032</v>
      </c>
      <c r="B53">
        <f t="shared" si="1"/>
        <v>28</v>
      </c>
      <c r="C53">
        <f t="shared" si="11"/>
        <v>4</v>
      </c>
      <c r="D53" s="7">
        <f>'Eredmények konzervatív'!$B$5/12*(1+'Eredmények konzervatív'!$B$8)^('Havi számolás konzervatív'!B53-28)</f>
        <v>957209.61599999992</v>
      </c>
      <c r="E53" s="7">
        <f t="shared" si="3"/>
        <v>2806126.1722099478</v>
      </c>
      <c r="F53" s="7">
        <f>'Eredmények konzervatív'!$B$9*D53</f>
        <v>57432.576959999991</v>
      </c>
      <c r="G53" s="7">
        <f>SUM(E53:F53)*((1+'Eredmények konzervatív'!$B$10)^(1/12)-1)</f>
        <v>8220.9871449927159</v>
      </c>
      <c r="H53" s="7">
        <f t="shared" si="2"/>
        <v>2871779.7363149407</v>
      </c>
    </row>
    <row r="54" spans="1:10">
      <c r="A54">
        <f t="shared" si="0"/>
        <v>2032</v>
      </c>
      <c r="B54">
        <f t="shared" si="1"/>
        <v>28</v>
      </c>
      <c r="C54">
        <f t="shared" si="11"/>
        <v>5</v>
      </c>
      <c r="D54" s="7">
        <f>'Eredmények konzervatív'!$B$5/12*(1+'Eredmények konzervatív'!$B$8)^('Havi számolás konzervatív'!B54-28)</f>
        <v>957209.61599999992</v>
      </c>
      <c r="E54" s="7">
        <f t="shared" si="3"/>
        <v>2871779.7363149407</v>
      </c>
      <c r="F54" s="7">
        <f>'Eredmények konzervatív'!$B$9*D54</f>
        <v>57432.576959999991</v>
      </c>
      <c r="G54" s="7">
        <f>SUM(E54:F54)*((1+'Eredmények konzervatív'!$B$10)^(1/12)-1)</f>
        <v>8409.471878084556</v>
      </c>
      <c r="H54" s="7">
        <f t="shared" si="2"/>
        <v>2937621.7851530253</v>
      </c>
    </row>
    <row r="55" spans="1:10">
      <c r="A55">
        <f t="shared" si="0"/>
        <v>2032</v>
      </c>
      <c r="B55">
        <f t="shared" si="1"/>
        <v>28</v>
      </c>
      <c r="C55">
        <f t="shared" si="11"/>
        <v>6</v>
      </c>
      <c r="D55" s="7">
        <f>'Eredmények konzervatív'!$B$5/12*(1+'Eredmények konzervatív'!$B$8)^('Havi számolás konzervatív'!B55-28)</f>
        <v>957209.61599999992</v>
      </c>
      <c r="E55" s="7">
        <f t="shared" si="3"/>
        <v>2937621.7851530253</v>
      </c>
      <c r="F55" s="7">
        <f>'Eredmények konzervatív'!$B$9*D55</f>
        <v>57432.576959999991</v>
      </c>
      <c r="G55" s="7">
        <f>SUM(E55:F55)*((1+'Eredmények konzervatív'!$B$10)^(1/12)-1)</f>
        <v>8598.4977317551948</v>
      </c>
      <c r="H55" s="7">
        <f t="shared" si="2"/>
        <v>3003652.8598447805</v>
      </c>
    </row>
    <row r="56" spans="1:10">
      <c r="A56">
        <f t="shared" si="0"/>
        <v>2032</v>
      </c>
      <c r="B56">
        <f t="shared" si="1"/>
        <v>28</v>
      </c>
      <c r="C56">
        <f t="shared" si="11"/>
        <v>7</v>
      </c>
      <c r="D56" s="7">
        <f>'Eredmények konzervatív'!$B$5/12*(1+'Eredmények konzervatív'!$B$8)^('Havi számolás konzervatív'!B56-28)</f>
        <v>957209.61599999992</v>
      </c>
      <c r="E56" s="7">
        <f t="shared" si="3"/>
        <v>3003652.8598447805</v>
      </c>
      <c r="F56" s="7">
        <f>'Eredmények konzervatív'!$B$9*D56</f>
        <v>57432.576959999991</v>
      </c>
      <c r="G56" s="7">
        <f>SUM(E56:F56)*((1+'Eredmények konzervatív'!$B$10)^(1/12)-1)</f>
        <v>8788.066259507008</v>
      </c>
      <c r="H56" s="7">
        <f t="shared" si="2"/>
        <v>3069873.5030642878</v>
      </c>
    </row>
    <row r="57" spans="1:10">
      <c r="A57">
        <f t="shared" si="0"/>
        <v>2032</v>
      </c>
      <c r="B57">
        <f t="shared" si="1"/>
        <v>28</v>
      </c>
      <c r="C57">
        <f t="shared" si="11"/>
        <v>8</v>
      </c>
      <c r="D57" s="7">
        <f>'Eredmények konzervatív'!$B$5/12*(1+'Eredmények konzervatív'!$B$8)^('Havi számolás konzervatív'!B57-28)</f>
        <v>957209.61599999992</v>
      </c>
      <c r="E57" s="7">
        <f t="shared" si="3"/>
        <v>3069873.5030642878</v>
      </c>
      <c r="F57" s="7">
        <f>'Eredmények konzervatív'!$B$9*D57</f>
        <v>57432.576959999991</v>
      </c>
      <c r="G57" s="7">
        <f>SUM(E57:F57)*((1+'Eredmények konzervatív'!$B$10)^(1/12)-1)</f>
        <v>8978.1790193023244</v>
      </c>
      <c r="H57" s="7">
        <f t="shared" si="2"/>
        <v>3136284.2590435902</v>
      </c>
    </row>
    <row r="58" spans="1:10">
      <c r="A58">
        <f t="shared" si="0"/>
        <v>2032</v>
      </c>
      <c r="B58">
        <f t="shared" si="1"/>
        <v>28</v>
      </c>
      <c r="C58">
        <f t="shared" si="11"/>
        <v>9</v>
      </c>
      <c r="D58" s="7">
        <f>'Eredmények konzervatív'!$B$5/12*(1+'Eredmények konzervatív'!$B$8)^('Havi számolás konzervatív'!B58-28)</f>
        <v>957209.61599999992</v>
      </c>
      <c r="E58" s="7">
        <f t="shared" si="3"/>
        <v>3136284.2590435902</v>
      </c>
      <c r="F58" s="7">
        <f>'Eredmények konzervatív'!$B$9*D58</f>
        <v>57432.576959999991</v>
      </c>
      <c r="G58" s="7">
        <f>SUM(E58:F58)*((1+'Eredmények konzervatív'!$B$10)^(1/12)-1)</f>
        <v>9168.8375735762147</v>
      </c>
      <c r="H58" s="7">
        <f t="shared" si="2"/>
        <v>3202885.6735771666</v>
      </c>
    </row>
    <row r="59" spans="1:10">
      <c r="A59">
        <f t="shared" si="0"/>
        <v>2032</v>
      </c>
      <c r="B59">
        <f t="shared" si="1"/>
        <v>28</v>
      </c>
      <c r="C59">
        <f t="shared" si="11"/>
        <v>10</v>
      </c>
      <c r="D59" s="7">
        <f>'Eredmények konzervatív'!$B$5/12*(1+'Eredmények konzervatív'!$B$8)^('Havi számolás konzervatív'!B59-28)</f>
        <v>957209.61599999992</v>
      </c>
      <c r="E59" s="7">
        <f t="shared" si="3"/>
        <v>3202885.6735771666</v>
      </c>
      <c r="F59" s="7">
        <f>'Eredmények konzervatív'!$B$9*D59</f>
        <v>57432.576959999991</v>
      </c>
      <c r="G59" s="7">
        <f>SUM(E59:F59)*((1+'Eredmények konzervatív'!$B$10)^(1/12)-1)</f>
        <v>9360.0434892493504</v>
      </c>
      <c r="H59" s="7">
        <f t="shared" si="2"/>
        <v>3269678.2940264163</v>
      </c>
    </row>
    <row r="60" spans="1:10">
      <c r="A60">
        <f t="shared" si="0"/>
        <v>2032</v>
      </c>
      <c r="B60">
        <f t="shared" si="1"/>
        <v>28</v>
      </c>
      <c r="C60">
        <f t="shared" si="11"/>
        <v>11</v>
      </c>
      <c r="D60" s="7">
        <f>'Eredmények konzervatív'!$B$5/12*(1+'Eredmények konzervatív'!$B$8)^('Havi számolás konzervatív'!B60-28)</f>
        <v>957209.61599999992</v>
      </c>
      <c r="E60" s="7">
        <f t="shared" si="3"/>
        <v>3269678.2940264163</v>
      </c>
      <c r="F60" s="7">
        <f>'Eredmények konzervatív'!$B$9*D60</f>
        <v>57432.576959999991</v>
      </c>
      <c r="G60" s="7">
        <f>SUM(E60:F60)*((1+'Eredmények konzervatív'!$B$10)^(1/12)-1)</f>
        <v>9551.7983377408746</v>
      </c>
      <c r="H60" s="7">
        <f t="shared" si="2"/>
        <v>3336662.6693241573</v>
      </c>
    </row>
    <row r="61" spans="1:10">
      <c r="A61">
        <f t="shared" si="0"/>
        <v>2032</v>
      </c>
      <c r="B61">
        <f t="shared" si="1"/>
        <v>28</v>
      </c>
      <c r="C61">
        <f t="shared" si="11"/>
        <v>12</v>
      </c>
      <c r="D61" s="7">
        <f>'Eredmények konzervatív'!$B$5/12*(1+'Eredmények konzervatív'!$B$8)^('Havi számolás konzervatív'!B61-28)</f>
        <v>957209.61599999992</v>
      </c>
      <c r="E61" s="7">
        <f t="shared" si="3"/>
        <v>3336662.6693241573</v>
      </c>
      <c r="F61" s="7">
        <f>'Eredmények konzervatív'!$B$9*D61</f>
        <v>57432.576959999991</v>
      </c>
      <c r="G61" s="7">
        <f>SUM(E61:F61)*((1+'Eredmények konzervatív'!$B$10)^(1/12)-1)</f>
        <v>9744.1036949813079</v>
      </c>
      <c r="H61" s="7">
        <f t="shared" si="2"/>
        <v>3403839.3499791389</v>
      </c>
    </row>
    <row r="62" spans="1:10">
      <c r="A62">
        <f t="shared" si="0"/>
        <v>2033</v>
      </c>
      <c r="B62">
        <f t="shared" si="1"/>
        <v>29</v>
      </c>
      <c r="C62">
        <f t="shared" si="11"/>
        <v>1</v>
      </c>
      <c r="D62" s="7">
        <f>'Eredmények konzervatív'!$B$5/12*(1+'Eredmények konzervatív'!$B$8)^('Havi számolás konzervatív'!B62-28)</f>
        <v>976353.80831999995</v>
      </c>
      <c r="E62" s="7">
        <f t="shared" si="3"/>
        <v>3403839.3499791389</v>
      </c>
      <c r="F62" s="7">
        <f>'Eredmények konzervatív'!$B$9*D62</f>
        <v>58581.228499199999</v>
      </c>
      <c r="G62" s="7">
        <f>SUM(E62:F62)*((1+'Eredmények konzervatív'!$B$10)^(1/12)-1)</f>
        <v>9940.258803658071</v>
      </c>
      <c r="H62" s="7">
        <f t="shared" si="2"/>
        <v>3472360.8372819973</v>
      </c>
    </row>
    <row r="63" spans="1:10">
      <c r="A63">
        <f t="shared" si="0"/>
        <v>2033</v>
      </c>
      <c r="B63">
        <f t="shared" si="1"/>
        <v>29</v>
      </c>
      <c r="C63">
        <f t="shared" si="11"/>
        <v>2</v>
      </c>
      <c r="D63" s="7">
        <f>'Eredmények konzervatív'!$B$5/12*(1+'Eredmények konzervatív'!$B$8)^('Havi számolás konzervatív'!B63-28)</f>
        <v>976353.80831999995</v>
      </c>
      <c r="E63" s="7">
        <f t="shared" si="3"/>
        <v>3472360.8372819973</v>
      </c>
      <c r="F63" s="7">
        <f>'Eredmények konzervatív'!$B$9*D63</f>
        <v>58581.228499199999</v>
      </c>
      <c r="G63" s="7">
        <f>SUM(E63:F63)*((1+'Eredmények konzervatív'!$B$10)^(1/12)-1)</f>
        <v>10136.977053785073</v>
      </c>
      <c r="H63" s="7">
        <f t="shared" si="2"/>
        <v>3541079.0428349827</v>
      </c>
    </row>
    <row r="64" spans="1:10">
      <c r="A64">
        <f t="shared" si="0"/>
        <v>2033</v>
      </c>
      <c r="B64">
        <f t="shared" si="1"/>
        <v>29</v>
      </c>
      <c r="C64">
        <f t="shared" si="11"/>
        <v>3</v>
      </c>
      <c r="D64" s="7">
        <f>'Eredmények konzervatív'!$B$5/12*(1+'Eredmények konzervatív'!$B$8)^('Havi számolás konzervatív'!B64-28)</f>
        <v>976353.80831999995</v>
      </c>
      <c r="E64" s="7">
        <f t="shared" si="3"/>
        <v>3541079.0428349827</v>
      </c>
      <c r="F64" s="7">
        <f>'Eredmények konzervatív'!$B$9*D64</f>
        <v>58581.228499199999</v>
      </c>
      <c r="G64" s="7">
        <f>SUM(E64:F64)*((1+'Eredmények konzervatív'!$B$10)^(1/12)-1)</f>
        <v>10334.260062084384</v>
      </c>
      <c r="H64" s="7">
        <f t="shared" si="2"/>
        <v>3609994.5313962675</v>
      </c>
    </row>
    <row r="65" spans="1:8">
      <c r="A65">
        <f t="shared" si="0"/>
        <v>2033</v>
      </c>
      <c r="B65">
        <f t="shared" si="1"/>
        <v>29</v>
      </c>
      <c r="C65">
        <f t="shared" si="11"/>
        <v>4</v>
      </c>
      <c r="D65" s="7">
        <f>'Eredmények konzervatív'!$B$5/12*(1+'Eredmények konzervatív'!$B$8)^('Havi számolás konzervatív'!B65-28)</f>
        <v>976353.80831999995</v>
      </c>
      <c r="E65" s="7">
        <f t="shared" si="3"/>
        <v>3609994.5313962675</v>
      </c>
      <c r="F65" s="7">
        <f>'Eredmények konzervatív'!$B$9*D65</f>
        <v>58581.228499199999</v>
      </c>
      <c r="G65" s="7">
        <f>SUM(E65:F65)*((1+'Eredmények konzervatív'!$B$10)^(1/12)-1)</f>
        <v>10532.109449919517</v>
      </c>
      <c r="H65" s="7">
        <f t="shared" si="2"/>
        <v>3679107.869345387</v>
      </c>
    </row>
    <row r="66" spans="1:8">
      <c r="A66">
        <f t="shared" si="0"/>
        <v>2033</v>
      </c>
      <c r="B66">
        <f t="shared" si="1"/>
        <v>29</v>
      </c>
      <c r="C66">
        <f t="shared" si="11"/>
        <v>5</v>
      </c>
      <c r="D66" s="7">
        <f>'Eredmények konzervatív'!$B$5/12*(1+'Eredmények konzervatív'!$B$8)^('Havi számolás konzervatív'!B66-28)</f>
        <v>976353.80831999995</v>
      </c>
      <c r="E66" s="7">
        <f t="shared" si="3"/>
        <v>3679107.869345387</v>
      </c>
      <c r="F66" s="7">
        <f>'Eredmények konzervatív'!$B$9*D66</f>
        <v>58581.228499199999</v>
      </c>
      <c r="G66" s="7">
        <f>SUM(E66:F66)*((1+'Eredmények konzervatív'!$B$10)^(1/12)-1)</f>
        <v>10730.526843308755</v>
      </c>
      <c r="H66" s="7">
        <f t="shared" si="2"/>
        <v>3748419.6246878961</v>
      </c>
    </row>
    <row r="67" spans="1:8">
      <c r="A67">
        <f t="shared" ref="A67:A130" si="12">INT((ROW(A66)-1)/12+2028)</f>
        <v>2033</v>
      </c>
      <c r="B67">
        <f t="shared" ref="B67:B130" si="13">INT((A67-2004)+(C67-1)/12)</f>
        <v>29</v>
      </c>
      <c r="C67">
        <f t="shared" si="11"/>
        <v>6</v>
      </c>
      <c r="D67" s="7">
        <f>'Eredmények konzervatív'!$B$5/12*(1+'Eredmények konzervatív'!$B$8)^('Havi számolás konzervatív'!B67-28)</f>
        <v>976353.80831999995</v>
      </c>
      <c r="E67" s="7">
        <f t="shared" si="3"/>
        <v>3748419.6246878961</v>
      </c>
      <c r="F67" s="7">
        <f>'Eredmények konzervatív'!$B$9*D67</f>
        <v>58581.228499199999</v>
      </c>
      <c r="G67" s="7">
        <f>SUM(E67:F67)*((1+'Eredmények konzervatív'!$B$10)^(1/12)-1)</f>
        <v>10929.513872938518</v>
      </c>
      <c r="H67" s="7">
        <f t="shared" ref="H67:H130" si="14">E67+F67+G67</f>
        <v>3817930.367060035</v>
      </c>
    </row>
    <row r="68" spans="1:8">
      <c r="A68">
        <f t="shared" si="12"/>
        <v>2033</v>
      </c>
      <c r="B68">
        <f t="shared" si="13"/>
        <v>29</v>
      </c>
      <c r="C68">
        <f t="shared" si="11"/>
        <v>7</v>
      </c>
      <c r="D68" s="7">
        <f>'Eredmények konzervatív'!$B$5/12*(1+'Eredmények konzervatív'!$B$8)^('Havi számolás konzervatív'!B68-28)</f>
        <v>976353.80831999995</v>
      </c>
      <c r="E68" s="7">
        <f t="shared" si="3"/>
        <v>3817930.367060035</v>
      </c>
      <c r="F68" s="7">
        <f>'Eredmények konzervatív'!$B$9*D68</f>
        <v>58581.228499199999</v>
      </c>
      <c r="G68" s="7">
        <f>SUM(E68:F68)*((1+'Eredmények konzervatív'!$B$10)^(1/12)-1)</f>
        <v>11129.072174176759</v>
      </c>
      <c r="H68" s="7">
        <f t="shared" si="14"/>
        <v>3887640.6677334118</v>
      </c>
    </row>
    <row r="69" spans="1:8">
      <c r="A69">
        <f t="shared" si="12"/>
        <v>2033</v>
      </c>
      <c r="B69">
        <f t="shared" si="13"/>
        <v>29</v>
      </c>
      <c r="C69">
        <f t="shared" si="11"/>
        <v>8</v>
      </c>
      <c r="D69" s="7">
        <f>'Eredmények konzervatív'!$B$5/12*(1+'Eredmények konzervatív'!$B$8)^('Havi számolás konzervatív'!B69-28)</f>
        <v>976353.80831999995</v>
      </c>
      <c r="E69" s="7">
        <f t="shared" ref="E69:E132" si="15">H68</f>
        <v>3887640.6677334118</v>
      </c>
      <c r="F69" s="7">
        <f>'Eredmények konzervatív'!$B$9*D69</f>
        <v>58581.228499199999</v>
      </c>
      <c r="G69" s="7">
        <f>SUM(E69:F69)*((1+'Eredmények konzervatív'!$B$10)^(1/12)-1)</f>
        <v>11329.203387086403</v>
      </c>
      <c r="H69" s="7">
        <f t="shared" si="14"/>
        <v>3957551.0996196982</v>
      </c>
    </row>
    <row r="70" spans="1:8">
      <c r="A70">
        <f t="shared" si="12"/>
        <v>2033</v>
      </c>
      <c r="B70">
        <f t="shared" si="13"/>
        <v>29</v>
      </c>
      <c r="C70">
        <f t="shared" si="11"/>
        <v>9</v>
      </c>
      <c r="D70" s="7">
        <f>'Eredmények konzervatív'!$B$5/12*(1+'Eredmények konzervatív'!$B$8)^('Havi számolás konzervatív'!B70-28)</f>
        <v>976353.80831999995</v>
      </c>
      <c r="E70" s="7">
        <f t="shared" si="15"/>
        <v>3957551.0996196982</v>
      </c>
      <c r="F70" s="7">
        <f>'Eredmények konzervatív'!$B$9*D70</f>
        <v>58581.228499199999</v>
      </c>
      <c r="G70" s="7">
        <f>SUM(E70:F70)*((1+'Eredmények konzervatív'!$B$10)^(1/12)-1)</f>
        <v>11529.909156438838</v>
      </c>
      <c r="H70" s="7">
        <f t="shared" si="14"/>
        <v>4027662.2372753373</v>
      </c>
    </row>
    <row r="71" spans="1:8">
      <c r="A71">
        <f t="shared" si="12"/>
        <v>2033</v>
      </c>
      <c r="B71">
        <f t="shared" si="13"/>
        <v>29</v>
      </c>
      <c r="C71">
        <f t="shared" si="11"/>
        <v>10</v>
      </c>
      <c r="D71" s="7">
        <f>'Eredmények konzervatív'!$B$5/12*(1+'Eredmények konzervatív'!$B$8)^('Havi számolás konzervatív'!B71-28)</f>
        <v>976353.80831999995</v>
      </c>
      <c r="E71" s="7">
        <f t="shared" si="15"/>
        <v>4027662.2372753373</v>
      </c>
      <c r="F71" s="7">
        <f>'Eredmények konzervatív'!$B$9*D71</f>
        <v>58581.228499199999</v>
      </c>
      <c r="G71" s="7">
        <f>SUM(E71:F71)*((1+'Eredmények konzervatív'!$B$10)^(1/12)-1)</f>
        <v>11731.191131727419</v>
      </c>
      <c r="H71" s="7">
        <f t="shared" si="14"/>
        <v>4097974.6569062648</v>
      </c>
    </row>
    <row r="72" spans="1:8">
      <c r="A72">
        <f t="shared" si="12"/>
        <v>2033</v>
      </c>
      <c r="B72">
        <f t="shared" si="13"/>
        <v>29</v>
      </c>
      <c r="C72">
        <f t="shared" si="11"/>
        <v>11</v>
      </c>
      <c r="D72" s="7">
        <f>'Eredmények konzervatív'!$B$5/12*(1+'Eredmények konzervatív'!$B$8)^('Havi számolás konzervatív'!B72-28)</f>
        <v>976353.80831999995</v>
      </c>
      <c r="E72" s="7">
        <f t="shared" si="15"/>
        <v>4097974.6569062648</v>
      </c>
      <c r="F72" s="7">
        <f>'Eredmények konzervatív'!$B$9*D72</f>
        <v>58581.228499199999</v>
      </c>
      <c r="G72" s="7">
        <f>SUM(E72:F72)*((1+'Eredmények konzervatív'!$B$10)^(1/12)-1)</f>
        <v>11933.050967181029</v>
      </c>
      <c r="H72" s="7">
        <f t="shared" si="14"/>
        <v>4168488.9363726461</v>
      </c>
    </row>
    <row r="73" spans="1:8">
      <c r="A73">
        <f t="shared" si="12"/>
        <v>2033</v>
      </c>
      <c r="B73">
        <f t="shared" si="13"/>
        <v>29</v>
      </c>
      <c r="C73">
        <f t="shared" si="11"/>
        <v>12</v>
      </c>
      <c r="D73" s="7">
        <f>'Eredmények konzervatív'!$B$5/12*(1+'Eredmények konzervatív'!$B$8)^('Havi számolás konzervatív'!B73-28)</f>
        <v>976353.80831999995</v>
      </c>
      <c r="E73" s="7">
        <f t="shared" si="15"/>
        <v>4168488.9363726461</v>
      </c>
      <c r="F73" s="7">
        <f>'Eredmények konzervatív'!$B$9*D73</f>
        <v>58581.228499199999</v>
      </c>
      <c r="G73" s="7">
        <f>SUM(E73:F73)*((1+'Eredmények konzervatív'!$B$10)^(1/12)-1)</f>
        <v>12135.490321777674</v>
      </c>
      <c r="H73" s="7">
        <f t="shared" si="14"/>
        <v>4239205.6551936241</v>
      </c>
    </row>
    <row r="74" spans="1:8">
      <c r="A74">
        <f t="shared" si="12"/>
        <v>2034</v>
      </c>
      <c r="B74">
        <f t="shared" si="13"/>
        <v>30</v>
      </c>
      <c r="C74">
        <f t="shared" si="11"/>
        <v>1</v>
      </c>
      <c r="D74" s="7">
        <f>'Eredmények konzervatív'!$B$5/12*(1+'Eredmények konzervatív'!$B$8)^('Havi számolás konzervatív'!B74-28)</f>
        <v>995880.88448639994</v>
      </c>
      <c r="E74" s="7">
        <f t="shared" si="15"/>
        <v>4239205.6551936241</v>
      </c>
      <c r="F74" s="7">
        <f>'Eredmények konzervatív'!$B$9*D74</f>
        <v>59752.853069183991</v>
      </c>
      <c r="G74" s="7">
        <f>SUM(E74:F74)*((1+'Eredmények konzervatív'!$B$10)^(1/12)-1)</f>
        <v>12341.874474735328</v>
      </c>
      <c r="H74" s="7">
        <f t="shared" si="14"/>
        <v>4311300.3827375434</v>
      </c>
    </row>
    <row r="75" spans="1:8">
      <c r="A75">
        <f t="shared" si="12"/>
        <v>2034</v>
      </c>
      <c r="B75">
        <f t="shared" si="13"/>
        <v>30</v>
      </c>
      <c r="C75">
        <f t="shared" si="11"/>
        <v>2</v>
      </c>
      <c r="D75" s="7">
        <f>'Eredmények konzervatív'!$B$5/12*(1+'Eredmények konzervatív'!$B$8)^('Havi számolás konzervatív'!B75-28)</f>
        <v>995880.88448639994</v>
      </c>
      <c r="E75" s="7">
        <f t="shared" si="15"/>
        <v>4311300.3827375434</v>
      </c>
      <c r="F75" s="7">
        <f>'Eredmények konzervatív'!$B$9*D75</f>
        <v>59752.853069183991</v>
      </c>
      <c r="G75" s="7">
        <f>SUM(E75:F75)*((1+'Eredmények konzervatív'!$B$10)^(1/12)-1)</f>
        <v>12548.851135693347</v>
      </c>
      <c r="H75" s="7">
        <f t="shared" si="14"/>
        <v>4383602.0869424213</v>
      </c>
    </row>
    <row r="76" spans="1:8">
      <c r="A76">
        <f t="shared" si="12"/>
        <v>2034</v>
      </c>
      <c r="B76">
        <f t="shared" si="13"/>
        <v>30</v>
      </c>
      <c r="C76">
        <f t="shared" si="11"/>
        <v>3</v>
      </c>
      <c r="D76" s="7">
        <f>'Eredmények konzervatív'!$B$5/12*(1+'Eredmények konzervatív'!$B$8)^('Havi számolás konzervatív'!B76-28)</f>
        <v>995880.88448639994</v>
      </c>
      <c r="E76" s="7">
        <f t="shared" si="15"/>
        <v>4383602.0869424213</v>
      </c>
      <c r="F76" s="7">
        <f>'Eredmények konzervatív'!$B$9*D76</f>
        <v>59752.853069183991</v>
      </c>
      <c r="G76" s="7">
        <f>SUM(E76:F76)*((1+'Eredmények konzervatív'!$B$10)^(1/12)-1)</f>
        <v>12756.422005682189</v>
      </c>
      <c r="H76" s="7">
        <f t="shared" si="14"/>
        <v>4456111.3620172879</v>
      </c>
    </row>
    <row r="77" spans="1:8">
      <c r="A77">
        <f t="shared" si="12"/>
        <v>2034</v>
      </c>
      <c r="B77">
        <f t="shared" si="13"/>
        <v>30</v>
      </c>
      <c r="C77">
        <f t="shared" si="11"/>
        <v>4</v>
      </c>
      <c r="D77" s="7">
        <f>'Eredmények konzervatív'!$B$5/12*(1+'Eredmények konzervatív'!$B$8)^('Havi számolás konzervatív'!B77-28)</f>
        <v>995880.88448639994</v>
      </c>
      <c r="E77" s="7">
        <f t="shared" si="15"/>
        <v>4456111.3620172879</v>
      </c>
      <c r="F77" s="7">
        <f>'Eredmények konzervatív'!$B$9*D77</f>
        <v>59752.853069183991</v>
      </c>
      <c r="G77" s="7">
        <f>SUM(E77:F77)*((1+'Eredmények konzervatív'!$B$10)^(1/12)-1)</f>
        <v>12964.588790615799</v>
      </c>
      <c r="H77" s="7">
        <f t="shared" si="14"/>
        <v>4528828.8038770882</v>
      </c>
    </row>
    <row r="78" spans="1:8">
      <c r="A78">
        <f t="shared" si="12"/>
        <v>2034</v>
      </c>
      <c r="B78">
        <f t="shared" si="13"/>
        <v>30</v>
      </c>
      <c r="C78">
        <f t="shared" si="11"/>
        <v>5</v>
      </c>
      <c r="D78" s="7">
        <f>'Eredmények konzervatív'!$B$5/12*(1+'Eredmények konzervatív'!$B$8)^('Havi számolás konzervatív'!B78-28)</f>
        <v>995880.88448639994</v>
      </c>
      <c r="E78" s="7">
        <f t="shared" si="15"/>
        <v>4528828.8038770882</v>
      </c>
      <c r="F78" s="7">
        <f>'Eredmények konzervatív'!$B$9*D78</f>
        <v>59752.853069183991</v>
      </c>
      <c r="G78" s="7">
        <f>SUM(E78:F78)*((1+'Eredmények konzervatív'!$B$10)^(1/12)-1)</f>
        <v>13173.35320130563</v>
      </c>
      <c r="H78" s="7">
        <f t="shared" si="14"/>
        <v>4601755.0101475781</v>
      </c>
    </row>
    <row r="79" spans="1:8">
      <c r="A79">
        <f t="shared" si="12"/>
        <v>2034</v>
      </c>
      <c r="B79">
        <f t="shared" si="13"/>
        <v>30</v>
      </c>
      <c r="C79">
        <f t="shared" si="11"/>
        <v>6</v>
      </c>
      <c r="D79" s="7">
        <f>'Eredmények konzervatív'!$B$5/12*(1+'Eredmények konzervatív'!$B$8)^('Havi számolás konzervatív'!B79-28)</f>
        <v>995880.88448639994</v>
      </c>
      <c r="E79" s="7">
        <f t="shared" si="15"/>
        <v>4601755.0101475781</v>
      </c>
      <c r="F79" s="7">
        <f>'Eredmények konzervatív'!$B$9*D79</f>
        <v>59752.853069183991</v>
      </c>
      <c r="G79" s="7">
        <f>SUM(E79:F79)*((1+'Eredmények konzervatív'!$B$10)^(1/12)-1)</f>
        <v>13382.716953474699</v>
      </c>
      <c r="H79" s="7">
        <f t="shared" si="14"/>
        <v>4674890.5801702375</v>
      </c>
    </row>
    <row r="80" spans="1:8">
      <c r="A80">
        <f t="shared" si="12"/>
        <v>2034</v>
      </c>
      <c r="B80">
        <f t="shared" si="13"/>
        <v>30</v>
      </c>
      <c r="C80">
        <f t="shared" si="11"/>
        <v>7</v>
      </c>
      <c r="D80" s="7">
        <f>'Eredmények konzervatív'!$B$5/12*(1+'Eredmények konzervatív'!$B$8)^('Havi számolás konzervatív'!B80-28)</f>
        <v>995880.88448639994</v>
      </c>
      <c r="E80" s="7">
        <f t="shared" si="15"/>
        <v>4674890.5801702375</v>
      </c>
      <c r="F80" s="7">
        <f>'Eredmények konzervatív'!$B$9*D80</f>
        <v>59752.853069183991</v>
      </c>
      <c r="G80" s="7">
        <f>SUM(E80:F80)*((1+'Eredmények konzervatív'!$B$10)^(1/12)-1)</f>
        <v>13592.681767771692</v>
      </c>
      <c r="H80" s="7">
        <f t="shared" si="14"/>
        <v>4748236.1150071938</v>
      </c>
    </row>
    <row r="81" spans="1:8">
      <c r="A81">
        <f t="shared" si="12"/>
        <v>2034</v>
      </c>
      <c r="B81">
        <f t="shared" si="13"/>
        <v>30</v>
      </c>
      <c r="C81">
        <f t="shared" si="11"/>
        <v>8</v>
      </c>
      <c r="D81" s="7">
        <f>'Eredmények konzervatív'!$B$5/12*(1+'Eredmények konzervatív'!$B$8)^('Havi számolás konzervatív'!B81-28)</f>
        <v>995880.88448639994</v>
      </c>
      <c r="E81" s="7">
        <f t="shared" si="15"/>
        <v>4748236.1150071938</v>
      </c>
      <c r="F81" s="7">
        <f>'Eredmények konzervatív'!$B$9*D81</f>
        <v>59752.853069183991</v>
      </c>
      <c r="G81" s="7">
        <f>SUM(E81:F81)*((1+'Eredmények konzervatív'!$B$10)^(1/12)-1)</f>
        <v>13803.2493697851</v>
      </c>
      <c r="H81" s="7">
        <f t="shared" si="14"/>
        <v>4821792.2174461633</v>
      </c>
    </row>
    <row r="82" spans="1:8">
      <c r="A82">
        <f t="shared" si="12"/>
        <v>2034</v>
      </c>
      <c r="B82">
        <f t="shared" si="13"/>
        <v>30</v>
      </c>
      <c r="C82">
        <f t="shared" si="11"/>
        <v>9</v>
      </c>
      <c r="D82" s="7">
        <f>'Eredmények konzervatív'!$B$5/12*(1+'Eredmények konzervatív'!$B$8)^('Havi számolás konzervatív'!B82-28)</f>
        <v>995880.88448639994</v>
      </c>
      <c r="E82" s="7">
        <f t="shared" si="15"/>
        <v>4821792.2174461633</v>
      </c>
      <c r="F82" s="7">
        <f>'Eredmények konzervatív'!$B$9*D82</f>
        <v>59752.853069183991</v>
      </c>
      <c r="G82" s="7">
        <f>SUM(E82:F82)*((1+'Eredmények konzervatív'!$B$10)^(1/12)-1)</f>
        <v>14014.421490057408</v>
      </c>
      <c r="H82" s="7">
        <f t="shared" si="14"/>
        <v>4895559.492005405</v>
      </c>
    </row>
    <row r="83" spans="1:8">
      <c r="A83">
        <f t="shared" si="12"/>
        <v>2034</v>
      </c>
      <c r="B83">
        <f t="shared" si="13"/>
        <v>30</v>
      </c>
      <c r="C83">
        <f t="shared" si="11"/>
        <v>10</v>
      </c>
      <c r="D83" s="7">
        <f>'Eredmények konzervatív'!$B$5/12*(1+'Eredmények konzervatív'!$B$8)^('Havi számolás konzervatív'!B83-28)</f>
        <v>995880.88448639994</v>
      </c>
      <c r="E83" s="7">
        <f t="shared" si="15"/>
        <v>4895559.492005405</v>
      </c>
      <c r="F83" s="7">
        <f>'Eredmények konzervatív'!$B$9*D83</f>
        <v>59752.853069183991</v>
      </c>
      <c r="G83" s="7">
        <f>SUM(E83:F83)*((1+'Eredmények konzervatív'!$B$10)^(1/12)-1)</f>
        <v>14226.19986409931</v>
      </c>
      <c r="H83" s="7">
        <f t="shared" si="14"/>
        <v>4969538.5449386891</v>
      </c>
    </row>
    <row r="84" spans="1:8">
      <c r="A84">
        <f t="shared" si="12"/>
        <v>2034</v>
      </c>
      <c r="B84">
        <f t="shared" si="13"/>
        <v>30</v>
      </c>
      <c r="C84">
        <f t="shared" si="11"/>
        <v>11</v>
      </c>
      <c r="D84" s="7">
        <f>'Eredmények konzervatív'!$B$5/12*(1+'Eredmények konzervatív'!$B$8)^('Havi számolás konzervatív'!B84-28)</f>
        <v>995880.88448639994</v>
      </c>
      <c r="E84" s="7">
        <f t="shared" si="15"/>
        <v>4969538.5449386891</v>
      </c>
      <c r="F84" s="7">
        <f>'Eredmények konzervatív'!$B$9*D84</f>
        <v>59752.853069183991</v>
      </c>
      <c r="G84" s="7">
        <f>SUM(E84:F84)*((1+'Eredmények konzervatív'!$B$10)^(1/12)-1)</f>
        <v>14438.586232403979</v>
      </c>
      <c r="H84" s="7">
        <f t="shared" si="14"/>
        <v>5043729.9842402777</v>
      </c>
    </row>
    <row r="85" spans="1:8">
      <c r="A85">
        <f t="shared" si="12"/>
        <v>2034</v>
      </c>
      <c r="B85">
        <f t="shared" si="13"/>
        <v>30</v>
      </c>
      <c r="C85">
        <f t="shared" si="11"/>
        <v>12</v>
      </c>
      <c r="D85" s="7">
        <f>'Eredmények konzervatív'!$B$5/12*(1+'Eredmények konzervatív'!$B$8)^('Havi számolás konzervatív'!B85-28)</f>
        <v>995880.88448639994</v>
      </c>
      <c r="E85" s="7">
        <f t="shared" si="15"/>
        <v>5043729.9842402777</v>
      </c>
      <c r="F85" s="7">
        <f>'Eredmények konzervatív'!$B$9*D85</f>
        <v>59752.853069183991</v>
      </c>
      <c r="G85" s="7">
        <f>SUM(E85:F85)*((1+'Eredmények konzervatív'!$B$10)^(1/12)-1)</f>
        <v>14651.582340461362</v>
      </c>
      <c r="H85" s="7">
        <f t="shared" si="14"/>
        <v>5118134.4196499232</v>
      </c>
    </row>
    <row r="86" spans="1:8">
      <c r="A86">
        <f t="shared" si="12"/>
        <v>2035</v>
      </c>
      <c r="B86">
        <f t="shared" si="13"/>
        <v>31</v>
      </c>
      <c r="C86">
        <f t="shared" si="11"/>
        <v>1</v>
      </c>
      <c r="D86" s="7">
        <f>'Eredmények konzervatív'!$B$5/12*(1+'Eredmények konzervatív'!$B$8)^('Havi számolás konzervatív'!B86-28)</f>
        <v>1015798.5021761279</v>
      </c>
      <c r="E86" s="7">
        <f t="shared" si="15"/>
        <v>5118134.4196499232</v>
      </c>
      <c r="F86" s="7">
        <f>'Eredmények konzervatív'!$B$9*D86</f>
        <v>60947.910130567667</v>
      </c>
      <c r="G86" s="7">
        <f>SUM(E86:F86)*((1+'Eredmények konzervatív'!$B$10)^(1/12)-1)</f>
        <v>14868.620826559283</v>
      </c>
      <c r="H86" s="7">
        <f t="shared" si="14"/>
        <v>5193950.9506070502</v>
      </c>
    </row>
    <row r="87" spans="1:8">
      <c r="A87">
        <f t="shared" si="12"/>
        <v>2035</v>
      </c>
      <c r="B87">
        <f t="shared" si="13"/>
        <v>31</v>
      </c>
      <c r="C87">
        <f t="shared" si="11"/>
        <v>2</v>
      </c>
      <c r="D87" s="7">
        <f>'Eredmények konzervatív'!$B$5/12*(1+'Eredmények konzervatív'!$B$8)^('Havi számolás konzervatív'!B87-28)</f>
        <v>1015798.5021761279</v>
      </c>
      <c r="E87" s="7">
        <f t="shared" si="15"/>
        <v>5193950.9506070502</v>
      </c>
      <c r="F87" s="7">
        <f>'Eredmények konzervatív'!$B$9*D87</f>
        <v>60947.910130567667</v>
      </c>
      <c r="G87" s="7">
        <f>SUM(E87:F87)*((1+'Eredmények konzervatív'!$B$10)^(1/12)-1)</f>
        <v>15086.282408168934</v>
      </c>
      <c r="H87" s="7">
        <f t="shared" si="14"/>
        <v>5269985.1431457866</v>
      </c>
    </row>
    <row r="88" spans="1:8">
      <c r="A88">
        <f t="shared" si="12"/>
        <v>2035</v>
      </c>
      <c r="B88">
        <f t="shared" si="13"/>
        <v>31</v>
      </c>
      <c r="C88">
        <f t="shared" si="11"/>
        <v>3</v>
      </c>
      <c r="D88" s="7">
        <f>'Eredmények konzervatív'!$B$5/12*(1+'Eredmények konzervatív'!$B$8)^('Havi számolás konzervatív'!B88-28)</f>
        <v>1015798.5021761279</v>
      </c>
      <c r="E88" s="7">
        <f t="shared" si="15"/>
        <v>5269985.1431457866</v>
      </c>
      <c r="F88" s="7">
        <f>'Eredmények konzervatív'!$B$9*D88</f>
        <v>60947.910130567667</v>
      </c>
      <c r="G88" s="7">
        <f>SUM(E88:F88)*((1+'Eredmények konzervatív'!$B$10)^(1/12)-1)</f>
        <v>15304.568874134418</v>
      </c>
      <c r="H88" s="7">
        <f t="shared" si="14"/>
        <v>5346237.6221504891</v>
      </c>
    </row>
    <row r="89" spans="1:8">
      <c r="A89">
        <f t="shared" si="12"/>
        <v>2035</v>
      </c>
      <c r="B89">
        <f t="shared" si="13"/>
        <v>31</v>
      </c>
      <c r="C89">
        <f t="shared" si="11"/>
        <v>4</v>
      </c>
      <c r="D89" s="7">
        <f>'Eredmények konzervatív'!$B$5/12*(1+'Eredmények konzervatív'!$B$8)^('Havi számolás konzervatív'!B89-28)</f>
        <v>1015798.5021761279</v>
      </c>
      <c r="E89" s="7">
        <f t="shared" si="15"/>
        <v>5346237.6221504891</v>
      </c>
      <c r="F89" s="7">
        <f>'Eredmények konzervatív'!$B$9*D89</f>
        <v>60947.910130567667</v>
      </c>
      <c r="G89" s="7">
        <f>SUM(E89:F89)*((1+'Eredmények konzervatív'!$B$10)^(1/12)-1)</f>
        <v>15523.482018435438</v>
      </c>
      <c r="H89" s="7">
        <f t="shared" si="14"/>
        <v>5422709.0142994924</v>
      </c>
    </row>
    <row r="90" spans="1:8">
      <c r="A90">
        <f t="shared" si="12"/>
        <v>2035</v>
      </c>
      <c r="B90">
        <f t="shared" si="13"/>
        <v>31</v>
      </c>
      <c r="C90">
        <f t="shared" si="11"/>
        <v>5</v>
      </c>
      <c r="D90" s="7">
        <f>'Eredmények konzervatív'!$B$5/12*(1+'Eredmények konzervatív'!$B$8)^('Havi számolás konzervatív'!B90-28)</f>
        <v>1015798.5021761279</v>
      </c>
      <c r="E90" s="7">
        <f t="shared" si="15"/>
        <v>5422709.0142994924</v>
      </c>
      <c r="F90" s="7">
        <f>'Eredmények konzervatív'!$B$9*D90</f>
        <v>60947.910130567667</v>
      </c>
      <c r="G90" s="7">
        <f>SUM(E90:F90)*((1+'Eredmények konzervatív'!$B$10)^(1/12)-1)</f>
        <v>15743.023640202018</v>
      </c>
      <c r="H90" s="7">
        <f t="shared" si="14"/>
        <v>5499399.9480702626</v>
      </c>
    </row>
    <row r="91" spans="1:8">
      <c r="A91">
        <f t="shared" si="12"/>
        <v>2035</v>
      </c>
      <c r="B91">
        <f t="shared" si="13"/>
        <v>31</v>
      </c>
      <c r="C91">
        <f t="shared" si="11"/>
        <v>6</v>
      </c>
      <c r="D91" s="7">
        <f>'Eredmények konzervatív'!$B$5/12*(1+'Eredmények konzervatív'!$B$8)^('Havi számolás konzervatív'!B91-28)</f>
        <v>1015798.5021761279</v>
      </c>
      <c r="E91" s="7">
        <f t="shared" si="15"/>
        <v>5499399.9480702626</v>
      </c>
      <c r="F91" s="7">
        <f>'Eredmények konzervatív'!$B$9*D91</f>
        <v>60947.910130567667</v>
      </c>
      <c r="G91" s="7">
        <f>SUM(E91:F91)*((1+'Eredmények konzervatív'!$B$10)^(1/12)-1)</f>
        <v>15963.195543729315</v>
      </c>
      <c r="H91" s="7">
        <f t="shared" si="14"/>
        <v>5576311.0537445601</v>
      </c>
    </row>
    <row r="92" spans="1:8">
      <c r="A92">
        <f t="shared" si="12"/>
        <v>2035</v>
      </c>
      <c r="B92">
        <f t="shared" si="13"/>
        <v>31</v>
      </c>
      <c r="C92">
        <f t="shared" si="11"/>
        <v>7</v>
      </c>
      <c r="D92" s="7">
        <f>'Eredmények konzervatív'!$B$5/12*(1+'Eredmények konzervatív'!$B$8)^('Havi számolás konzervatív'!B92-28)</f>
        <v>1015798.5021761279</v>
      </c>
      <c r="E92" s="7">
        <f t="shared" si="15"/>
        <v>5576311.0537445601</v>
      </c>
      <c r="F92" s="7">
        <f>'Eredmények konzervatív'!$B$9*D92</f>
        <v>60947.910130567667</v>
      </c>
      <c r="G92" s="7">
        <f>SUM(E92:F92)*((1+'Eredmények konzervatív'!$B$10)^(1/12)-1)</f>
        <v>16183.999538492424</v>
      </c>
      <c r="H92" s="7">
        <f t="shared" si="14"/>
        <v>5653442.9634136204</v>
      </c>
    </row>
    <row r="93" spans="1:8">
      <c r="A93">
        <f t="shared" si="12"/>
        <v>2035</v>
      </c>
      <c r="B93">
        <f t="shared" si="13"/>
        <v>31</v>
      </c>
      <c r="C93">
        <f t="shared" si="11"/>
        <v>8</v>
      </c>
      <c r="D93" s="7">
        <f>'Eredmények konzervatív'!$B$5/12*(1+'Eredmények konzervatív'!$B$8)^('Havi számolás konzervatív'!B93-28)</f>
        <v>1015798.5021761279</v>
      </c>
      <c r="E93" s="7">
        <f t="shared" si="15"/>
        <v>5653442.9634136204</v>
      </c>
      <c r="F93" s="7">
        <f>'Eredmények konzervatív'!$B$9*D93</f>
        <v>60947.910130567667</v>
      </c>
      <c r="G93" s="7">
        <f>SUM(E93:F93)*((1+'Eredmények konzervatív'!$B$10)^(1/12)-1)</f>
        <v>16405.437439161266</v>
      </c>
      <c r="H93" s="7">
        <f t="shared" si="14"/>
        <v>5730796.3109833496</v>
      </c>
    </row>
    <row r="94" spans="1:8">
      <c r="A94">
        <f t="shared" si="12"/>
        <v>2035</v>
      </c>
      <c r="B94">
        <f t="shared" si="13"/>
        <v>31</v>
      </c>
      <c r="C94">
        <f t="shared" si="11"/>
        <v>9</v>
      </c>
      <c r="D94" s="7">
        <f>'Eredmények konzervatív'!$B$5/12*(1+'Eredmények konzervatív'!$B$8)^('Havi számolás konzervatív'!B94-28)</f>
        <v>1015798.5021761279</v>
      </c>
      <c r="E94" s="7">
        <f t="shared" si="15"/>
        <v>5730796.3109833496</v>
      </c>
      <c r="F94" s="7">
        <f>'Eredmények konzervatív'!$B$9*D94</f>
        <v>60947.910130567667</v>
      </c>
      <c r="G94" s="7">
        <f>SUM(E94:F94)*((1+'Eredmények konzervatív'!$B$10)^(1/12)-1)</f>
        <v>16627.51106561549</v>
      </c>
      <c r="H94" s="7">
        <f t="shared" si="14"/>
        <v>5808371.7321795328</v>
      </c>
    </row>
    <row r="95" spans="1:8">
      <c r="A95">
        <f t="shared" si="12"/>
        <v>2035</v>
      </c>
      <c r="B95">
        <f t="shared" si="13"/>
        <v>31</v>
      </c>
      <c r="C95">
        <f t="shared" si="11"/>
        <v>10</v>
      </c>
      <c r="D95" s="7">
        <f>'Eredmények konzervatív'!$B$5/12*(1+'Eredmények konzervatív'!$B$8)^('Havi számolás konzervatív'!B95-28)</f>
        <v>1015798.5021761279</v>
      </c>
      <c r="E95" s="7">
        <f t="shared" si="15"/>
        <v>5808371.7321795328</v>
      </c>
      <c r="F95" s="7">
        <f>'Eredmények konzervatív'!$B$9*D95</f>
        <v>60947.910130567667</v>
      </c>
      <c r="G95" s="7">
        <f>SUM(E95:F95)*((1+'Eredmények konzervatív'!$B$10)^(1/12)-1)</f>
        <v>16850.222242959444</v>
      </c>
      <c r="H95" s="7">
        <f t="shared" si="14"/>
        <v>5886169.8645530604</v>
      </c>
    </row>
    <row r="96" spans="1:8">
      <c r="A96">
        <f t="shared" si="12"/>
        <v>2035</v>
      </c>
      <c r="B96">
        <f t="shared" si="13"/>
        <v>31</v>
      </c>
      <c r="C96">
        <f t="shared" si="11"/>
        <v>11</v>
      </c>
      <c r="D96" s="7">
        <f>'Eredmények konzervatív'!$B$5/12*(1+'Eredmények konzervatív'!$B$8)^('Havi számolás konzervatív'!B96-28)</f>
        <v>1015798.5021761279</v>
      </c>
      <c r="E96" s="7">
        <f t="shared" si="15"/>
        <v>5886169.8645530604</v>
      </c>
      <c r="F96" s="7">
        <f>'Eredmények konzervatív'!$B$9*D96</f>
        <v>60947.910130567667</v>
      </c>
      <c r="G96" s="7">
        <f>SUM(E96:F96)*((1+'Eredmények konzervatív'!$B$10)^(1/12)-1)</f>
        <v>17073.572801537161</v>
      </c>
      <c r="H96" s="7">
        <f t="shared" si="14"/>
        <v>5964191.3474851651</v>
      </c>
    </row>
    <row r="97" spans="1:10">
      <c r="A97">
        <f t="shared" si="12"/>
        <v>2035</v>
      </c>
      <c r="B97">
        <f t="shared" si="13"/>
        <v>31</v>
      </c>
      <c r="C97">
        <f t="shared" si="11"/>
        <v>12</v>
      </c>
      <c r="D97" s="7">
        <f>'Eredmények konzervatív'!$B$5/12*(1+'Eredmények konzervatív'!$B$8)^('Havi számolás konzervatív'!B97-28)</f>
        <v>1015798.5021761279</v>
      </c>
      <c r="E97" s="7">
        <f t="shared" si="15"/>
        <v>5964191.3474851651</v>
      </c>
      <c r="F97" s="7">
        <f>'Eredmények konzervatív'!$B$9*D97</f>
        <v>60947.910130567667</v>
      </c>
      <c r="G97" s="7">
        <f>SUM(E97:F97)*((1+'Eredmények konzervatív'!$B$10)^(1/12)-1)</f>
        <v>17297.564576947399</v>
      </c>
      <c r="H97" s="7">
        <f t="shared" si="14"/>
        <v>6042436.8221926801</v>
      </c>
    </row>
    <row r="98" spans="1:10">
      <c r="A98">
        <f t="shared" si="12"/>
        <v>2036</v>
      </c>
      <c r="B98">
        <f t="shared" si="13"/>
        <v>32</v>
      </c>
      <c r="C98">
        <f t="shared" si="11"/>
        <v>1</v>
      </c>
      <c r="D98" s="7">
        <f>'Eredmények konzervatív'!$B$5/12*(1+'Eredmények konzervatív'!$B$8)^('Havi számolás konzervatív'!B98-28)</f>
        <v>1036114.4722196504</v>
      </c>
      <c r="E98" s="7">
        <f t="shared" si="15"/>
        <v>6042436.8221926801</v>
      </c>
      <c r="F98" s="7">
        <f>'Eredmények konzervatív'!$B$9*D98</f>
        <v>62166.868333179023</v>
      </c>
      <c r="G98" s="7">
        <f>SUM(E98:F98)*((1+'Eredmények konzervatív'!$B$10)^(1/12)-1)</f>
        <v>17525.698915601231</v>
      </c>
      <c r="H98" s="7">
        <f t="shared" si="14"/>
        <v>6122129.3894414594</v>
      </c>
    </row>
    <row r="99" spans="1:10">
      <c r="A99">
        <f t="shared" si="12"/>
        <v>2036</v>
      </c>
      <c r="B99">
        <f t="shared" si="13"/>
        <v>32</v>
      </c>
      <c r="C99">
        <f t="shared" si="11"/>
        <v>2</v>
      </c>
      <c r="D99" s="7">
        <f>'Eredmények konzervatív'!$B$5/12*(1+'Eredmények konzervatív'!$B$8)^('Havi számolás konzervatív'!B99-28)</f>
        <v>1036114.4722196504</v>
      </c>
      <c r="E99" s="7">
        <f t="shared" si="15"/>
        <v>6122129.3894414594</v>
      </c>
      <c r="F99" s="7">
        <f>'Eredmények konzervatív'!$B$9*D99</f>
        <v>62166.868333179023</v>
      </c>
      <c r="G99" s="7">
        <f>SUM(E99:F99)*((1+'Eredmények konzervatív'!$B$10)^(1/12)-1)</f>
        <v>17754.488204835681</v>
      </c>
      <c r="H99" s="7">
        <f t="shared" si="14"/>
        <v>6202050.7459794739</v>
      </c>
    </row>
    <row r="100" spans="1:10">
      <c r="A100">
        <f t="shared" si="12"/>
        <v>2036</v>
      </c>
      <c r="B100">
        <f t="shared" si="13"/>
        <v>32</v>
      </c>
      <c r="C100">
        <f t="shared" si="11"/>
        <v>3</v>
      </c>
      <c r="D100" s="7">
        <f>'Eredmények konzervatív'!$B$5/12*(1+'Eredmények konzervatív'!$B$8)^('Havi számolás konzervatív'!B100-28)</f>
        <v>1036114.4722196504</v>
      </c>
      <c r="E100" s="7">
        <f t="shared" si="15"/>
        <v>6202050.7459794739</v>
      </c>
      <c r="F100" s="7">
        <f>'Eredmények konzervatív'!$B$9*D100</f>
        <v>62166.868333179023</v>
      </c>
      <c r="G100" s="7">
        <f>SUM(E100:F100)*((1+'Eredmények konzervatív'!$B$10)^(1/12)-1)</f>
        <v>17983.934324947535</v>
      </c>
      <c r="H100" s="7">
        <f t="shared" si="14"/>
        <v>6282201.5486375997</v>
      </c>
    </row>
    <row r="101" spans="1:10">
      <c r="A101">
        <f t="shared" si="12"/>
        <v>2036</v>
      </c>
      <c r="B101">
        <f t="shared" si="13"/>
        <v>32</v>
      </c>
      <c r="C101">
        <f t="shared" si="11"/>
        <v>4</v>
      </c>
      <c r="D101" s="7">
        <f>'Eredmények konzervatív'!$B$5/12*(1+'Eredmények konzervatív'!$B$8)^('Havi számolás konzervatív'!B101-28)</f>
        <v>1036114.4722196504</v>
      </c>
      <c r="E101" s="7">
        <f t="shared" si="15"/>
        <v>6282201.5486375997</v>
      </c>
      <c r="F101" s="7">
        <f>'Eredmények konzervatív'!$B$9*D101</f>
        <v>62166.868333179023</v>
      </c>
      <c r="G101" s="7">
        <f>SUM(E101:F101)*((1+'Eredmények konzervatív'!$B$10)^(1/12)-1)</f>
        <v>18214.03916163171</v>
      </c>
      <c r="H101" s="7">
        <f t="shared" si="14"/>
        <v>6362582.4561324101</v>
      </c>
    </row>
    <row r="102" spans="1:10">
      <c r="A102">
        <f t="shared" si="12"/>
        <v>2036</v>
      </c>
      <c r="B102">
        <f t="shared" si="13"/>
        <v>32</v>
      </c>
      <c r="C102">
        <f t="shared" si="11"/>
        <v>5</v>
      </c>
      <c r="D102" s="7">
        <f>'Eredmények konzervatív'!$B$5/12*(1+'Eredmények konzervatív'!$B$8)^('Havi számolás konzervatív'!B102-28)</f>
        <v>1036114.4722196504</v>
      </c>
      <c r="E102" s="7">
        <f t="shared" si="15"/>
        <v>6362582.4561324101</v>
      </c>
      <c r="F102" s="7">
        <f>'Eredmények konzervatív'!$B$9*D102</f>
        <v>62166.868333179023</v>
      </c>
      <c r="G102" s="7">
        <f>SUM(E102:F102)*((1+'Eredmények konzervatív'!$B$10)^(1/12)-1)</f>
        <v>18444.804605996782</v>
      </c>
      <c r="H102" s="7">
        <f t="shared" si="14"/>
        <v>6443194.1290715858</v>
      </c>
    </row>
    <row r="103" spans="1:10">
      <c r="A103">
        <f t="shared" si="12"/>
        <v>2036</v>
      </c>
      <c r="B103">
        <f t="shared" si="13"/>
        <v>32</v>
      </c>
      <c r="C103">
        <f t="shared" si="11"/>
        <v>6</v>
      </c>
      <c r="D103" s="7">
        <f>'Eredmények konzervatív'!$B$5/12*(1+'Eredmények konzervatív'!$B$8)^('Havi számolás konzervatív'!B103-28)</f>
        <v>1036114.4722196504</v>
      </c>
      <c r="E103" s="7">
        <f t="shared" si="15"/>
        <v>6443194.1290715858</v>
      </c>
      <c r="F103" s="7">
        <f>'Eredmények konzervatív'!$B$9*D103</f>
        <v>62166.868333179023</v>
      </c>
      <c r="G103" s="7">
        <f>SUM(E103:F103)*((1+'Eredmények konzervatív'!$B$10)^(1/12)-1)</f>
        <v>18676.232554580485</v>
      </c>
      <c r="H103" s="7">
        <f t="shared" si="14"/>
        <v>6524037.2299593445</v>
      </c>
    </row>
    <row r="104" spans="1:10">
      <c r="A104">
        <f t="shared" si="12"/>
        <v>2036</v>
      </c>
      <c r="B104">
        <f t="shared" si="13"/>
        <v>32</v>
      </c>
      <c r="C104">
        <f t="shared" si="11"/>
        <v>7</v>
      </c>
      <c r="D104" s="7">
        <f>'Eredmények konzervatív'!$B$5/12*(1+'Eredmények konzervatív'!$B$8)^('Havi számolás konzervatív'!B104-28)</f>
        <v>1036114.4722196504</v>
      </c>
      <c r="E104" s="7">
        <f t="shared" si="15"/>
        <v>6524037.2299593445</v>
      </c>
      <c r="F104" s="7">
        <f>'Eredmények konzervatív'!$B$9*D104</f>
        <v>62166.868333179023</v>
      </c>
      <c r="G104" s="7">
        <f>SUM(E104:F104)*((1+'Eredmények konzervatív'!$B$10)^(1/12)-1)</f>
        <v>18908.324909365336</v>
      </c>
      <c r="H104" s="7">
        <f t="shared" si="14"/>
        <v>6605112.4232018888</v>
      </c>
    </row>
    <row r="105" spans="1:10">
      <c r="A105">
        <f t="shared" si="12"/>
        <v>2036</v>
      </c>
      <c r="B105">
        <f t="shared" si="13"/>
        <v>32</v>
      </c>
      <c r="C105">
        <f t="shared" si="11"/>
        <v>8</v>
      </c>
      <c r="D105" s="7">
        <f>'Eredmények konzervatív'!$B$5/12*(1+'Eredmények konzervatív'!$B$8)^('Havi számolás konzervatív'!B105-28)</f>
        <v>1036114.4722196504</v>
      </c>
      <c r="E105" s="7">
        <f t="shared" si="15"/>
        <v>6605112.4232018888</v>
      </c>
      <c r="F105" s="7">
        <f>'Eredmények konzervatív'!$B$9*D105</f>
        <v>62166.868333179023</v>
      </c>
      <c r="G105" s="7">
        <f>SUM(E105:F105)*((1+'Eredmények konzervatív'!$B$10)^(1/12)-1)</f>
        <v>19141.083577794248</v>
      </c>
      <c r="H105" s="7">
        <f t="shared" si="14"/>
        <v>6686420.3751128614</v>
      </c>
    </row>
    <row r="106" spans="1:10">
      <c r="A106">
        <f t="shared" si="12"/>
        <v>2036</v>
      </c>
      <c r="B106">
        <f t="shared" si="13"/>
        <v>32</v>
      </c>
      <c r="C106">
        <f t="shared" si="11"/>
        <v>9</v>
      </c>
      <c r="D106" s="7">
        <f>'Eredmények konzervatív'!$B$5/12*(1+'Eredmények konzervatív'!$B$8)^('Havi számolás konzervatív'!B106-28)</f>
        <v>1036114.4722196504</v>
      </c>
      <c r="E106" s="7">
        <f t="shared" si="15"/>
        <v>6686420.3751128614</v>
      </c>
      <c r="F106" s="7">
        <f>'Eredmények konzervatív'!$B$9*D106</f>
        <v>62166.868333179023</v>
      </c>
      <c r="G106" s="7">
        <f>SUM(E106:F106)*((1+'Eredmények konzervatív'!$B$10)^(1/12)-1)</f>
        <v>19374.510472786205</v>
      </c>
      <c r="H106" s="7">
        <f t="shared" si="14"/>
        <v>6767961.7539188266</v>
      </c>
    </row>
    <row r="107" spans="1:10">
      <c r="A107">
        <f t="shared" si="12"/>
        <v>2036</v>
      </c>
      <c r="B107">
        <f t="shared" si="13"/>
        <v>32</v>
      </c>
      <c r="C107">
        <f t="shared" si="11"/>
        <v>10</v>
      </c>
      <c r="D107" s="7">
        <f>'Eredmények konzervatív'!$B$5/12*(1+'Eredmények konzervatív'!$B$8)^('Havi számolás konzervatív'!B107-28)</f>
        <v>1036114.4722196504</v>
      </c>
      <c r="E107" s="7">
        <f t="shared" si="15"/>
        <v>6767961.7539188266</v>
      </c>
      <c r="F107" s="7">
        <f>'Eredmények konzervatív'!$B$9*D107</f>
        <v>62166.868333179023</v>
      </c>
      <c r="G107" s="7">
        <f>SUM(E107:F107)*((1+'Eredmények konzervatív'!$B$10)^(1/12)-1)</f>
        <v>19608.607512751991</v>
      </c>
      <c r="H107" s="7">
        <f t="shared" si="14"/>
        <v>6849737.2297647567</v>
      </c>
    </row>
    <row r="108" spans="1:10">
      <c r="A108">
        <f t="shared" si="12"/>
        <v>2036</v>
      </c>
      <c r="B108">
        <f t="shared" si="13"/>
        <v>32</v>
      </c>
      <c r="C108">
        <f t="shared" ref="C108:C171" si="16">C96</f>
        <v>11</v>
      </c>
      <c r="D108" s="7">
        <f>'Eredmények konzervatív'!$B$5/12*(1+'Eredmények konzervatív'!$B$8)^('Havi számolás konzervatív'!B108-28)</f>
        <v>1036114.4722196504</v>
      </c>
      <c r="E108" s="7">
        <f t="shared" si="15"/>
        <v>6849737.2297647567</v>
      </c>
      <c r="F108" s="7">
        <f>'Eredmények konzervatív'!$B$9*D108</f>
        <v>62166.868333179023</v>
      </c>
      <c r="G108" s="7">
        <f>SUM(E108:F108)*((1+'Eredmények konzervatív'!$B$10)^(1/12)-1)</f>
        <v>19843.376621609958</v>
      </c>
      <c r="H108" s="7">
        <f t="shared" si="14"/>
        <v>6931747.4747195449</v>
      </c>
    </row>
    <row r="109" spans="1:10">
      <c r="A109">
        <f t="shared" si="12"/>
        <v>2036</v>
      </c>
      <c r="B109">
        <f t="shared" si="13"/>
        <v>32</v>
      </c>
      <c r="C109">
        <f t="shared" si="16"/>
        <v>12</v>
      </c>
      <c r="D109" s="7">
        <f>'Eredmények konzervatív'!$B$5/12*(1+'Eredmények konzervatív'!$B$8)^('Havi számolás konzervatív'!B109-28)</f>
        <v>1036114.4722196504</v>
      </c>
      <c r="E109" s="7">
        <f t="shared" si="15"/>
        <v>6931747.4747195449</v>
      </c>
      <c r="F109" s="7">
        <f>'Eredmények konzervatív'!$B$9*D109</f>
        <v>62166.868333179023</v>
      </c>
      <c r="G109" s="7">
        <f>SUM(E109:F109)*((1+'Eredmények konzervatív'!$B$10)^(1/12)-1)</f>
        <v>20078.81972880182</v>
      </c>
      <c r="H109" s="7">
        <f t="shared" si="14"/>
        <v>7013993.1627815254</v>
      </c>
    </row>
    <row r="110" spans="1:10">
      <c r="A110" s="10">
        <f t="shared" si="12"/>
        <v>2037</v>
      </c>
      <c r="B110" s="10">
        <f t="shared" si="13"/>
        <v>33</v>
      </c>
      <c r="C110" s="10">
        <f t="shared" si="16"/>
        <v>1</v>
      </c>
      <c r="D110" s="11">
        <f>'Eredmények konzervatív'!$B$6/12*(1+'Eredmények konzervatív'!$B$8)^('Havi számolás konzervatív'!B110-33)</f>
        <v>1139725.9194416155</v>
      </c>
      <c r="E110" s="11">
        <f t="shared" si="15"/>
        <v>7013993.1627815254</v>
      </c>
      <c r="F110" s="11">
        <f>'Eredmények konzervatív'!$B$9*D110</f>
        <v>68383.555166496924</v>
      </c>
      <c r="G110" s="11">
        <f>SUM(E110:F110)*((1+'Eredmények konzervatív'!$B$10)^(1/12)-1)</f>
        <v>20332.786247575212</v>
      </c>
      <c r="H110" s="11">
        <f t="shared" si="14"/>
        <v>7102709.504195598</v>
      </c>
      <c r="J110" t="s">
        <v>54</v>
      </c>
    </row>
    <row r="111" spans="1:10">
      <c r="A111">
        <f t="shared" si="12"/>
        <v>2037</v>
      </c>
      <c r="B111">
        <f t="shared" si="13"/>
        <v>33</v>
      </c>
      <c r="C111">
        <f t="shared" si="16"/>
        <v>2</v>
      </c>
      <c r="D111" s="7">
        <f>'Eredmények konzervatív'!$B$6/12*(1+'Eredmények konzervatív'!$B$8)^('Havi számolás konzervatív'!B111-33)</f>
        <v>1139725.9194416155</v>
      </c>
      <c r="E111" s="7">
        <f t="shared" si="15"/>
        <v>7102709.504195598</v>
      </c>
      <c r="F111" s="7">
        <f>'Eredmények konzervatív'!$B$9*D111</f>
        <v>68383.555166496924</v>
      </c>
      <c r="G111" s="7">
        <f>SUM(E111:F111)*((1+'Eredmények konzervatív'!$B$10)^(1/12)-1)</f>
        <v>20587.481878502036</v>
      </c>
      <c r="H111" s="7">
        <f t="shared" si="14"/>
        <v>7191680.5412405971</v>
      </c>
    </row>
    <row r="112" spans="1:10">
      <c r="A112">
        <f t="shared" si="12"/>
        <v>2037</v>
      </c>
      <c r="B112">
        <f t="shared" si="13"/>
        <v>33</v>
      </c>
      <c r="C112">
        <f t="shared" si="16"/>
        <v>3</v>
      </c>
      <c r="D112" s="7">
        <f>'Eredmények konzervatív'!$B$6/12*(1+'Eredmények konzervatív'!$B$8)^('Havi számolás konzervatív'!B112-33)</f>
        <v>1139725.9194416155</v>
      </c>
      <c r="E112" s="7">
        <f t="shared" si="15"/>
        <v>7191680.5412405971</v>
      </c>
      <c r="F112" s="7">
        <f>'Eredmények konzervatív'!$B$9*D112</f>
        <v>68383.555166496924</v>
      </c>
      <c r="G112" s="7">
        <f>SUM(E112:F112)*((1+'Eredmények konzervatív'!$B$10)^(1/12)-1)</f>
        <v>20842.908714789446</v>
      </c>
      <c r="H112" s="7">
        <f t="shared" si="14"/>
        <v>7280907.0051218839</v>
      </c>
    </row>
    <row r="113" spans="1:8">
      <c r="A113">
        <f t="shared" si="12"/>
        <v>2037</v>
      </c>
      <c r="B113">
        <f t="shared" si="13"/>
        <v>33</v>
      </c>
      <c r="C113">
        <f t="shared" si="16"/>
        <v>4</v>
      </c>
      <c r="D113" s="7">
        <f>'Eredmények konzervatív'!$B$6/12*(1+'Eredmények konzervatív'!$B$8)^('Havi számolás konzervatív'!B113-33)</f>
        <v>1139725.9194416155</v>
      </c>
      <c r="E113" s="7">
        <f t="shared" si="15"/>
        <v>7280907.0051218839</v>
      </c>
      <c r="F113" s="7">
        <f>'Eredmények konzervatív'!$B$9*D113</f>
        <v>68383.555166496924</v>
      </c>
      <c r="G113" s="7">
        <f>SUM(E113:F113)*((1+'Eredmények konzervatív'!$B$10)^(1/12)-1)</f>
        <v>21099.068855653972</v>
      </c>
      <c r="H113" s="7">
        <f t="shared" si="14"/>
        <v>7370389.6291440343</v>
      </c>
    </row>
    <row r="114" spans="1:8">
      <c r="A114">
        <f t="shared" si="12"/>
        <v>2037</v>
      </c>
      <c r="B114">
        <f t="shared" si="13"/>
        <v>33</v>
      </c>
      <c r="C114">
        <f t="shared" si="16"/>
        <v>5</v>
      </c>
      <c r="D114" s="7">
        <f>'Eredmények konzervatív'!$B$6/12*(1+'Eredmények konzervatív'!$B$8)^('Havi számolás konzervatív'!B114-33)</f>
        <v>1139725.9194416155</v>
      </c>
      <c r="E114" s="7">
        <f t="shared" si="15"/>
        <v>7370389.6291440343</v>
      </c>
      <c r="F114" s="7">
        <f>'Eredmények konzervatív'!$B$9*D114</f>
        <v>68383.555166496924</v>
      </c>
      <c r="G114" s="7">
        <f>SUM(E114:F114)*((1+'Eredmények konzervatív'!$B$10)^(1/12)-1)</f>
        <v>21355.964406338779</v>
      </c>
      <c r="H114" s="7">
        <f t="shared" si="14"/>
        <v>7460129.1487168698</v>
      </c>
    </row>
    <row r="115" spans="1:8">
      <c r="A115">
        <f t="shared" si="12"/>
        <v>2037</v>
      </c>
      <c r="B115">
        <f t="shared" si="13"/>
        <v>33</v>
      </c>
      <c r="C115">
        <f t="shared" si="16"/>
        <v>6</v>
      </c>
      <c r="D115" s="7">
        <f>'Eredmények konzervatív'!$B$6/12*(1+'Eredmények konzervatív'!$B$8)^('Havi számolás konzervatív'!B115-33)</f>
        <v>1139725.9194416155</v>
      </c>
      <c r="E115" s="7">
        <f t="shared" si="15"/>
        <v>7460129.1487168698</v>
      </c>
      <c r="F115" s="7">
        <f>'Eredmények konzervatív'!$B$9*D115</f>
        <v>68383.555166496924</v>
      </c>
      <c r="G115" s="7">
        <f>SUM(E115:F115)*((1+'Eredmények konzervatív'!$B$10)^(1/12)-1)</f>
        <v>21613.597478130985</v>
      </c>
      <c r="H115" s="7">
        <f t="shared" si="14"/>
        <v>7550126.3013614975</v>
      </c>
    </row>
    <row r="116" spans="1:8">
      <c r="A116">
        <f t="shared" si="12"/>
        <v>2037</v>
      </c>
      <c r="B116">
        <f t="shared" si="13"/>
        <v>33</v>
      </c>
      <c r="C116">
        <f t="shared" si="16"/>
        <v>7</v>
      </c>
      <c r="D116" s="7">
        <f>'Eredmények konzervatív'!$B$6/12*(1+'Eredmények konzervatív'!$B$8)^('Havi számolás konzervatív'!B116-33)</f>
        <v>1139725.9194416155</v>
      </c>
      <c r="E116" s="7">
        <f t="shared" si="15"/>
        <v>7550126.3013614975</v>
      </c>
      <c r="F116" s="7">
        <f>'Eredmények konzervatív'!$B$9*D116</f>
        <v>68383.555166496924</v>
      </c>
      <c r="G116" s="7">
        <f>SUM(E116:F116)*((1+'Eredmények konzervatív'!$B$10)^(1/12)-1)</f>
        <v>21871.970188378993</v>
      </c>
      <c r="H116" s="7">
        <f t="shared" si="14"/>
        <v>7640381.8267163737</v>
      </c>
    </row>
    <row r="117" spans="1:8">
      <c r="A117">
        <f t="shared" si="12"/>
        <v>2037</v>
      </c>
      <c r="B117">
        <f t="shared" si="13"/>
        <v>33</v>
      </c>
      <c r="C117">
        <f t="shared" si="16"/>
        <v>8</v>
      </c>
      <c r="D117" s="7">
        <f>'Eredmények konzervatív'!$B$6/12*(1+'Eredmények konzervatív'!$B$8)^('Havi számolás konzervatív'!B117-33)</f>
        <v>1139725.9194416155</v>
      </c>
      <c r="E117" s="7">
        <f t="shared" si="15"/>
        <v>7640381.8267163737</v>
      </c>
      <c r="F117" s="7">
        <f>'Eredmények konzervatív'!$B$9*D117</f>
        <v>68383.555166496924</v>
      </c>
      <c r="G117" s="7">
        <f>SUM(E117:F117)*((1+'Eredmények konzervatív'!$B$10)^(1/12)-1)</f>
        <v>22131.084660509896</v>
      </c>
      <c r="H117" s="7">
        <f t="shared" si="14"/>
        <v>7730896.4665433802</v>
      </c>
    </row>
    <row r="118" spans="1:8">
      <c r="A118">
        <f t="shared" si="12"/>
        <v>2037</v>
      </c>
      <c r="B118">
        <f t="shared" si="13"/>
        <v>33</v>
      </c>
      <c r="C118">
        <f t="shared" si="16"/>
        <v>9</v>
      </c>
      <c r="D118" s="7">
        <f>'Eredmények konzervatív'!$B$6/12*(1+'Eredmények konzervatív'!$B$8)^('Havi számolás konzervatív'!B118-33)</f>
        <v>1139725.9194416155</v>
      </c>
      <c r="E118" s="7">
        <f t="shared" si="15"/>
        <v>7730896.4665433802</v>
      </c>
      <c r="F118" s="7">
        <f>'Eredmények konzervatív'!$B$9*D118</f>
        <v>68383.555166496924</v>
      </c>
      <c r="G118" s="7">
        <f>SUM(E118:F118)*((1+'Eredmények konzervatív'!$B$10)^(1/12)-1)</f>
        <v>22390.943024046934</v>
      </c>
      <c r="H118" s="7">
        <f t="shared" si="14"/>
        <v>7821670.9647339238</v>
      </c>
    </row>
    <row r="119" spans="1:8">
      <c r="A119">
        <f t="shared" si="12"/>
        <v>2037</v>
      </c>
      <c r="B119">
        <f t="shared" si="13"/>
        <v>33</v>
      </c>
      <c r="C119">
        <f t="shared" si="16"/>
        <v>10</v>
      </c>
      <c r="D119" s="7">
        <f>'Eredmények konzervatív'!$B$6/12*(1+'Eredmények konzervatív'!$B$8)^('Havi számolás konzervatív'!B119-33)</f>
        <v>1139725.9194416155</v>
      </c>
      <c r="E119" s="7">
        <f t="shared" si="15"/>
        <v>7821670.9647339238</v>
      </c>
      <c r="F119" s="7">
        <f>'Eredmények konzervatív'!$B$9*D119</f>
        <v>68383.555166496924</v>
      </c>
      <c r="G119" s="7">
        <f>SUM(E119:F119)*((1+'Eredmények konzervatív'!$B$10)^(1/12)-1)</f>
        <v>22651.547414626988</v>
      </c>
      <c r="H119" s="7">
        <f t="shared" si="14"/>
        <v>7912706.0673150476</v>
      </c>
    </row>
    <row r="120" spans="1:8">
      <c r="A120">
        <f t="shared" si="12"/>
        <v>2037</v>
      </c>
      <c r="B120">
        <f t="shared" si="13"/>
        <v>33</v>
      </c>
      <c r="C120">
        <f t="shared" si="16"/>
        <v>11</v>
      </c>
      <c r="D120" s="7">
        <f>'Eredmények konzervatív'!$B$6/12*(1+'Eredmények konzervatív'!$B$8)^('Havi számolás konzervatív'!B120-33)</f>
        <v>1139725.9194416155</v>
      </c>
      <c r="E120" s="7">
        <f t="shared" si="15"/>
        <v>7912706.0673150476</v>
      </c>
      <c r="F120" s="7">
        <f>'Eredmények konzervatív'!$B$9*D120</f>
        <v>68383.555166496924</v>
      </c>
      <c r="G120" s="7">
        <f>SUM(E120:F120)*((1+'Eredmények konzervatív'!$B$10)^(1/12)-1)</f>
        <v>22912.899974018146</v>
      </c>
      <c r="H120" s="7">
        <f t="shared" si="14"/>
        <v>8004002.5224555628</v>
      </c>
    </row>
    <row r="121" spans="1:8">
      <c r="A121">
        <f t="shared" si="12"/>
        <v>2037</v>
      </c>
      <c r="B121">
        <f t="shared" si="13"/>
        <v>33</v>
      </c>
      <c r="C121">
        <f t="shared" si="16"/>
        <v>12</v>
      </c>
      <c r="D121" s="7">
        <f>'Eredmények konzervatív'!$B$6/12*(1+'Eredmények konzervatív'!$B$8)^('Havi számolás konzervatív'!B121-33)</f>
        <v>1139725.9194416155</v>
      </c>
      <c r="E121" s="7">
        <f t="shared" si="15"/>
        <v>8004002.5224555628</v>
      </c>
      <c r="F121" s="7">
        <f>'Eredmények konzervatív'!$B$9*D121</f>
        <v>68383.555166496924</v>
      </c>
      <c r="G121" s="7">
        <f>SUM(E121:F121)*((1+'Eredmények konzervatív'!$B$10)^(1/12)-1)</f>
        <v>23175.002850137291</v>
      </c>
      <c r="H121" s="7">
        <f t="shared" si="14"/>
        <v>8095561.0804721974</v>
      </c>
    </row>
    <row r="122" spans="1:8">
      <c r="A122">
        <f t="shared" si="12"/>
        <v>2038</v>
      </c>
      <c r="B122">
        <f t="shared" si="13"/>
        <v>34</v>
      </c>
      <c r="C122">
        <f t="shared" si="16"/>
        <v>1</v>
      </c>
      <c r="D122" s="7">
        <f>'Eredmények konzervatív'!$B$6/12*(1+'Eredmények konzervatív'!$B$8)^('Havi számolás konzervatív'!B122-33)</f>
        <v>1162520.4378304477</v>
      </c>
      <c r="E122" s="7">
        <f t="shared" si="15"/>
        <v>8095561.0804721974</v>
      </c>
      <c r="F122" s="7">
        <f>'Eredmények konzervatív'!$B$9*D122</f>
        <v>69751.226269826861</v>
      </c>
      <c r="G122" s="7">
        <f>SUM(E122:F122)*((1+'Eredmények konzervatív'!$B$10)^(1/12)-1)</f>
        <v>23441.78464228642</v>
      </c>
      <c r="H122" s="7">
        <f t="shared" si="14"/>
        <v>8188754.0913843112</v>
      </c>
    </row>
    <row r="123" spans="1:8">
      <c r="A123">
        <f t="shared" si="12"/>
        <v>2038</v>
      </c>
      <c r="B123">
        <f t="shared" si="13"/>
        <v>34</v>
      </c>
      <c r="C123">
        <f t="shared" si="16"/>
        <v>2</v>
      </c>
      <c r="D123" s="7">
        <f>'Eredmények konzervatív'!$B$6/12*(1+'Eredmények konzervatív'!$B$8)^('Havi számolás konzervatív'!B123-33)</f>
        <v>1162520.4378304477</v>
      </c>
      <c r="E123" s="7">
        <f t="shared" si="15"/>
        <v>8188754.0913843112</v>
      </c>
      <c r="F123" s="7">
        <f>'Eredmények konzervatív'!$B$9*D123</f>
        <v>69751.226269826861</v>
      </c>
      <c r="G123" s="7">
        <f>SUM(E123:F123)*((1+'Eredmények konzervatív'!$B$10)^(1/12)-1)</f>
        <v>23709.332337940905</v>
      </c>
      <c r="H123" s="7">
        <f t="shared" si="14"/>
        <v>8282214.6499920795</v>
      </c>
    </row>
    <row r="124" spans="1:8">
      <c r="A124">
        <f t="shared" si="12"/>
        <v>2038</v>
      </c>
      <c r="B124">
        <f t="shared" si="13"/>
        <v>34</v>
      </c>
      <c r="C124">
        <f t="shared" si="16"/>
        <v>3</v>
      </c>
      <c r="D124" s="7">
        <f>'Eredmények konzervatív'!$B$6/12*(1+'Eredmények konzervatív'!$B$8)^('Havi számolás konzervatív'!B124-33)</f>
        <v>1162520.4378304477</v>
      </c>
      <c r="E124" s="7">
        <f t="shared" si="15"/>
        <v>8282214.6499920795</v>
      </c>
      <c r="F124" s="7">
        <f>'Eredmények konzervatív'!$B$9*D124</f>
        <v>69751.226269826861</v>
      </c>
      <c r="G124" s="7">
        <f>SUM(E124:F124)*((1+'Eredmények konzervatív'!$B$10)^(1/12)-1)</f>
        <v>23977.648135932133</v>
      </c>
      <c r="H124" s="7">
        <f t="shared" si="14"/>
        <v>8375943.5243978389</v>
      </c>
    </row>
    <row r="125" spans="1:8">
      <c r="A125">
        <f t="shared" si="12"/>
        <v>2038</v>
      </c>
      <c r="B125">
        <f t="shared" si="13"/>
        <v>34</v>
      </c>
      <c r="C125">
        <f t="shared" si="16"/>
        <v>4</v>
      </c>
      <c r="D125" s="7">
        <f>'Eredmények konzervatív'!$B$6/12*(1+'Eredmények konzervatív'!$B$8)^('Havi számolás konzervatív'!B125-33)</f>
        <v>1162520.4378304477</v>
      </c>
      <c r="E125" s="7">
        <f t="shared" si="15"/>
        <v>8375943.5243978389</v>
      </c>
      <c r="F125" s="7">
        <f>'Eredmények konzervatív'!$B$9*D125</f>
        <v>69751.226269826861</v>
      </c>
      <c r="G125" s="7">
        <f>SUM(E125:F125)*((1+'Eredmények konzervatív'!$B$10)^(1/12)-1)</f>
        <v>24246.73424140412</v>
      </c>
      <c r="H125" s="7">
        <f t="shared" si="14"/>
        <v>8469941.4849090688</v>
      </c>
    </row>
    <row r="126" spans="1:8">
      <c r="A126">
        <f t="shared" si="12"/>
        <v>2038</v>
      </c>
      <c r="B126">
        <f t="shared" si="13"/>
        <v>34</v>
      </c>
      <c r="C126">
        <f t="shared" si="16"/>
        <v>5</v>
      </c>
      <c r="D126" s="7">
        <f>'Eredmények konzervatív'!$B$6/12*(1+'Eredmények konzervatív'!$B$8)^('Havi számolás konzervatív'!B126-33)</f>
        <v>1162520.4378304477</v>
      </c>
      <c r="E126" s="7">
        <f t="shared" si="15"/>
        <v>8469941.4849090688</v>
      </c>
      <c r="F126" s="7">
        <f>'Eredmények konzervatív'!$B$9*D126</f>
        <v>69751.226269826861</v>
      </c>
      <c r="G126" s="7">
        <f>SUM(E126:F126)*((1+'Eredmények konzervatív'!$B$10)^(1/12)-1)</f>
        <v>24516.592865831626</v>
      </c>
      <c r="H126" s="7">
        <f t="shared" si="14"/>
        <v>8564209.3040447272</v>
      </c>
    </row>
    <row r="127" spans="1:8">
      <c r="A127">
        <f t="shared" si="12"/>
        <v>2038</v>
      </c>
      <c r="B127">
        <f t="shared" si="13"/>
        <v>34</v>
      </c>
      <c r="C127">
        <f t="shared" si="16"/>
        <v>6</v>
      </c>
      <c r="D127" s="7">
        <f>'Eredmények konzervatív'!$B$6/12*(1+'Eredmények konzervatív'!$B$8)^('Havi számolás konzervatív'!B127-33)</f>
        <v>1162520.4378304477</v>
      </c>
      <c r="E127" s="7">
        <f t="shared" si="15"/>
        <v>8564209.3040447272</v>
      </c>
      <c r="F127" s="7">
        <f>'Eredmények konzervatív'!$B$9*D127</f>
        <v>69751.226269826861</v>
      </c>
      <c r="G127" s="7">
        <f>SUM(E127:F127)*((1+'Eredmények konzervatív'!$B$10)^(1/12)-1)</f>
        <v>24787.226227038336</v>
      </c>
      <c r="H127" s="7">
        <f t="shared" si="14"/>
        <v>8658747.7565415911</v>
      </c>
    </row>
    <row r="128" spans="1:8">
      <c r="A128">
        <f t="shared" si="12"/>
        <v>2038</v>
      </c>
      <c r="B128">
        <f t="shared" si="13"/>
        <v>34</v>
      </c>
      <c r="C128">
        <f t="shared" si="16"/>
        <v>7</v>
      </c>
      <c r="D128" s="7">
        <f>'Eredmények konzervatív'!$B$6/12*(1+'Eredmények konzervatív'!$B$8)^('Havi számolás konzervatív'!B128-33)</f>
        <v>1162520.4378304477</v>
      </c>
      <c r="E128" s="7">
        <f t="shared" si="15"/>
        <v>8658747.7565415911</v>
      </c>
      <c r="F128" s="7">
        <f>'Eredmények konzervatív'!$B$9*D128</f>
        <v>69751.226269826861</v>
      </c>
      <c r="G128" s="7">
        <f>SUM(E128:F128)*((1+'Eredmények konzervatív'!$B$10)^(1/12)-1)</f>
        <v>25058.636549215073</v>
      </c>
      <c r="H128" s="7">
        <f t="shared" si="14"/>
        <v>8753557.6193606332</v>
      </c>
    </row>
    <row r="129" spans="1:8">
      <c r="A129">
        <f t="shared" si="12"/>
        <v>2038</v>
      </c>
      <c r="B129">
        <f t="shared" si="13"/>
        <v>34</v>
      </c>
      <c r="C129">
        <f t="shared" si="16"/>
        <v>8</v>
      </c>
      <c r="D129" s="7">
        <f>'Eredmények konzervatív'!$B$6/12*(1+'Eredmények konzervatív'!$B$8)^('Havi számolás konzervatív'!B129-33)</f>
        <v>1162520.4378304477</v>
      </c>
      <c r="E129" s="7">
        <f t="shared" si="15"/>
        <v>8753557.6193606332</v>
      </c>
      <c r="F129" s="7">
        <f>'Eredmények konzervatív'!$B$9*D129</f>
        <v>69751.226269826861</v>
      </c>
      <c r="G129" s="7">
        <f>SUM(E129:F129)*((1+'Eredmények konzervatív'!$B$10)^(1/12)-1)</f>
        <v>25330.826062938093</v>
      </c>
      <c r="H129" s="7">
        <f t="shared" si="14"/>
        <v>8848639.6716933977</v>
      </c>
    </row>
    <row r="130" spans="1:8">
      <c r="A130">
        <f t="shared" si="12"/>
        <v>2038</v>
      </c>
      <c r="B130">
        <f t="shared" si="13"/>
        <v>34</v>
      </c>
      <c r="C130">
        <f t="shared" si="16"/>
        <v>9</v>
      </c>
      <c r="D130" s="7">
        <f>'Eredmények konzervatív'!$B$6/12*(1+'Eredmények konzervatív'!$B$8)^('Havi számolás konzervatív'!B130-33)</f>
        <v>1162520.4378304477</v>
      </c>
      <c r="E130" s="7">
        <f t="shared" si="15"/>
        <v>8848639.6716933977</v>
      </c>
      <c r="F130" s="7">
        <f>'Eredmények konzervatív'!$B$9*D130</f>
        <v>69751.226269826861</v>
      </c>
      <c r="G130" s="7">
        <f>SUM(E130:F130)*((1+'Eredmények konzervatív'!$B$10)^(1/12)-1)</f>
        <v>25603.797005187404</v>
      </c>
      <c r="H130" s="7">
        <f t="shared" si="14"/>
        <v>8943994.6949684117</v>
      </c>
    </row>
    <row r="131" spans="1:8">
      <c r="A131">
        <f t="shared" ref="A131:A194" si="17">INT((ROW(A130)-1)/12+2028)</f>
        <v>2038</v>
      </c>
      <c r="B131">
        <f t="shared" ref="B131:B194" si="18">INT((A131-2004)+(C131-1)/12)</f>
        <v>34</v>
      </c>
      <c r="C131">
        <f t="shared" si="16"/>
        <v>10</v>
      </c>
      <c r="D131" s="7">
        <f>'Eredmények konzervatív'!$B$6/12*(1+'Eredmények konzervatív'!$B$8)^('Havi számolás konzervatív'!B131-33)</f>
        <v>1162520.4378304477</v>
      </c>
      <c r="E131" s="7">
        <f t="shared" si="15"/>
        <v>8943994.6949684117</v>
      </c>
      <c r="F131" s="7">
        <f>'Eredmények konzervatív'!$B$9*D131</f>
        <v>69751.226269826861</v>
      </c>
      <c r="G131" s="7">
        <f>SUM(E131:F131)*((1+'Eredmények konzervatív'!$B$10)^(1/12)-1)</f>
        <v>25877.551619365164</v>
      </c>
      <c r="H131" s="7">
        <f t="shared" ref="H131:H194" si="19">E131+F131+G131</f>
        <v>9039623.4728576038</v>
      </c>
    </row>
    <row r="132" spans="1:8">
      <c r="A132">
        <f t="shared" si="17"/>
        <v>2038</v>
      </c>
      <c r="B132">
        <f t="shared" si="18"/>
        <v>34</v>
      </c>
      <c r="C132">
        <f t="shared" si="16"/>
        <v>11</v>
      </c>
      <c r="D132" s="7">
        <f>'Eredmények konzervatív'!$B$6/12*(1+'Eredmények konzervatív'!$B$8)^('Havi számolás konzervatív'!B132-33)</f>
        <v>1162520.4378304477</v>
      </c>
      <c r="E132" s="7">
        <f t="shared" si="15"/>
        <v>9039623.4728576038</v>
      </c>
      <c r="F132" s="7">
        <f>'Eredmények konzervatív'!$B$9*D132</f>
        <v>69751.226269826861</v>
      </c>
      <c r="G132" s="7">
        <f>SUM(E132:F132)*((1+'Eredmények konzervatív'!$B$10)^(1/12)-1)</f>
        <v>26152.092155314112</v>
      </c>
      <c r="H132" s="7">
        <f t="shared" si="19"/>
        <v>9135526.7912827451</v>
      </c>
    </row>
    <row r="133" spans="1:8">
      <c r="A133">
        <f t="shared" si="17"/>
        <v>2038</v>
      </c>
      <c r="B133">
        <f t="shared" si="18"/>
        <v>34</v>
      </c>
      <c r="C133">
        <f t="shared" si="16"/>
        <v>12</v>
      </c>
      <c r="D133" s="7">
        <f>'Eredmények konzervatív'!$B$6/12*(1+'Eredmények konzervatív'!$B$8)^('Havi számolás konzervatív'!B133-33)</f>
        <v>1162520.4378304477</v>
      </c>
      <c r="E133" s="7">
        <f t="shared" ref="E133:E196" si="20">H132</f>
        <v>9135526.7912827451</v>
      </c>
      <c r="F133" s="7">
        <f>'Eredmények konzervatív'!$B$9*D133</f>
        <v>69751.226269826861</v>
      </c>
      <c r="G133" s="7">
        <f>SUM(E133:F133)*((1+'Eredmények konzervatív'!$B$10)^(1/12)-1)</f>
        <v>26427.420869336049</v>
      </c>
      <c r="H133" s="7">
        <f t="shared" si="19"/>
        <v>9231705.4384219069</v>
      </c>
    </row>
    <row r="134" spans="1:8">
      <c r="A134">
        <f t="shared" si="17"/>
        <v>2039</v>
      </c>
      <c r="B134">
        <f t="shared" si="18"/>
        <v>35</v>
      </c>
      <c r="C134">
        <f t="shared" si="16"/>
        <v>1</v>
      </c>
      <c r="D134" s="7">
        <f>'Eredmények konzervatív'!$B$6/12*(1+'Eredmények konzervatív'!$B$8)^('Havi számolás konzervatív'!B134-33)</f>
        <v>1185770.8465870568</v>
      </c>
      <c r="E134" s="7">
        <f t="shared" si="20"/>
        <v>9231705.4384219069</v>
      </c>
      <c r="F134" s="7">
        <f>'Eredmények konzervatív'!$B$9*D134</f>
        <v>71146.250795223401</v>
      </c>
      <c r="G134" s="7">
        <f>SUM(E134:F134)*((1+'Eredmények konzervatív'!$B$10)^(1/12)-1)</f>
        <v>26707.544998333433</v>
      </c>
      <c r="H134" s="7">
        <f t="shared" si="19"/>
        <v>9329559.2342154626</v>
      </c>
    </row>
    <row r="135" spans="1:8">
      <c r="A135">
        <f t="shared" si="17"/>
        <v>2039</v>
      </c>
      <c r="B135">
        <f t="shared" si="18"/>
        <v>35</v>
      </c>
      <c r="C135">
        <f t="shared" si="16"/>
        <v>2</v>
      </c>
      <c r="D135" s="7">
        <f>'Eredmények konzervatív'!$B$6/12*(1+'Eredmények konzervatív'!$B$8)^('Havi számolás konzervatív'!B135-33)</f>
        <v>1185770.8465870568</v>
      </c>
      <c r="E135" s="7">
        <f t="shared" si="20"/>
        <v>9329559.2342154626</v>
      </c>
      <c r="F135" s="7">
        <f>'Eredmények konzervatív'!$B$9*D135</f>
        <v>71146.250795223401</v>
      </c>
      <c r="G135" s="7">
        <f>SUM(E135:F135)*((1+'Eredmények konzervatív'!$B$10)^(1/12)-1)</f>
        <v>26988.47333533394</v>
      </c>
      <c r="H135" s="7">
        <f t="shared" si="19"/>
        <v>9427693.9583460186</v>
      </c>
    </row>
    <row r="136" spans="1:8">
      <c r="A136">
        <f t="shared" si="17"/>
        <v>2039</v>
      </c>
      <c r="B136">
        <f t="shared" si="18"/>
        <v>35</v>
      </c>
      <c r="C136">
        <f t="shared" si="16"/>
        <v>3</v>
      </c>
      <c r="D136" s="7">
        <f>'Eredmények konzervatív'!$B$6/12*(1+'Eredmények konzervatív'!$B$8)^('Havi számolás konzervatív'!B136-33)</f>
        <v>1185770.8465870568</v>
      </c>
      <c r="E136" s="7">
        <f t="shared" si="20"/>
        <v>9427693.9583460186</v>
      </c>
      <c r="F136" s="7">
        <f>'Eredmények konzervatív'!$B$9*D136</f>
        <v>71146.250795223401</v>
      </c>
      <c r="G136" s="7">
        <f>SUM(E136:F136)*((1+'Eredmények konzervatív'!$B$10)^(1/12)-1)</f>
        <v>27270.208189137295</v>
      </c>
      <c r="H136" s="7">
        <f t="shared" si="19"/>
        <v>9526110.4173303787</v>
      </c>
    </row>
    <row r="137" spans="1:8">
      <c r="A137">
        <f t="shared" si="17"/>
        <v>2039</v>
      </c>
      <c r="B137">
        <f t="shared" si="18"/>
        <v>35</v>
      </c>
      <c r="C137">
        <f t="shared" si="16"/>
        <v>4</v>
      </c>
      <c r="D137" s="7">
        <f>'Eredmények konzervatív'!$B$6/12*(1+'Eredmények konzervatív'!$B$8)^('Havi számolás konzervatív'!B137-33)</f>
        <v>1185770.8465870568</v>
      </c>
      <c r="E137" s="7">
        <f t="shared" si="20"/>
        <v>9526110.4173303787</v>
      </c>
      <c r="F137" s="7">
        <f>'Eredmények konzervatív'!$B$9*D137</f>
        <v>71146.250795223401</v>
      </c>
      <c r="G137" s="7">
        <f>SUM(E137:F137)*((1+'Eredmények konzervatív'!$B$10)^(1/12)-1)</f>
        <v>27552.751875171551</v>
      </c>
      <c r="H137" s="7">
        <f t="shared" si="19"/>
        <v>9624809.4200007729</v>
      </c>
    </row>
    <row r="138" spans="1:8">
      <c r="A138">
        <f t="shared" si="17"/>
        <v>2039</v>
      </c>
      <c r="B138">
        <f t="shared" si="18"/>
        <v>35</v>
      </c>
      <c r="C138">
        <f t="shared" si="16"/>
        <v>5</v>
      </c>
      <c r="D138" s="7">
        <f>'Eredmények konzervatív'!$B$6/12*(1+'Eredmények konzervatív'!$B$8)^('Havi számolás konzervatív'!B138-33)</f>
        <v>1185770.8465870568</v>
      </c>
      <c r="E138" s="7">
        <f t="shared" si="20"/>
        <v>9624809.4200007729</v>
      </c>
      <c r="F138" s="7">
        <f>'Eredmények konzervatív'!$B$9*D138</f>
        <v>71146.250795223401</v>
      </c>
      <c r="G138" s="7">
        <f>SUM(E138:F138)*((1+'Eredmények konzervatív'!$B$10)^(1/12)-1)</f>
        <v>27836.106715512127</v>
      </c>
      <c r="H138" s="7">
        <f t="shared" si="19"/>
        <v>9723791.7775115073</v>
      </c>
    </row>
    <row r="139" spans="1:8">
      <c r="A139">
        <f t="shared" si="17"/>
        <v>2039</v>
      </c>
      <c r="B139">
        <f t="shared" si="18"/>
        <v>35</v>
      </c>
      <c r="C139">
        <f t="shared" si="16"/>
        <v>6</v>
      </c>
      <c r="D139" s="7">
        <f>'Eredmények konzervatív'!$B$6/12*(1+'Eredmények konzervatív'!$B$8)^('Havi számolás konzervatív'!B139-33)</f>
        <v>1185770.8465870568</v>
      </c>
      <c r="E139" s="7">
        <f t="shared" si="20"/>
        <v>9723791.7775115073</v>
      </c>
      <c r="F139" s="7">
        <f>'Eredmények konzervatív'!$B$9*D139</f>
        <v>71146.250795223401</v>
      </c>
      <c r="G139" s="7">
        <f>SUM(E139:F139)*((1+'Eredmények konzervatív'!$B$10)^(1/12)-1)</f>
        <v>28120.275038900883</v>
      </c>
      <c r="H139" s="7">
        <f t="shared" si="19"/>
        <v>9823058.3033456318</v>
      </c>
    </row>
    <row r="140" spans="1:8">
      <c r="A140">
        <f t="shared" si="17"/>
        <v>2039</v>
      </c>
      <c r="B140">
        <f t="shared" si="18"/>
        <v>35</v>
      </c>
      <c r="C140">
        <f t="shared" si="16"/>
        <v>7</v>
      </c>
      <c r="D140" s="7">
        <f>'Eredmények konzervatív'!$B$6/12*(1+'Eredmények konzervatív'!$B$8)^('Havi számolás konzervatív'!B140-33)</f>
        <v>1185770.8465870568</v>
      </c>
      <c r="E140" s="7">
        <f t="shared" si="20"/>
        <v>9823058.3033456318</v>
      </c>
      <c r="F140" s="7">
        <f>'Eredmények konzervatív'!$B$9*D140</f>
        <v>71146.250795223401</v>
      </c>
      <c r="G140" s="7">
        <f>SUM(E140:F140)*((1+'Eredmények konzervatív'!$B$10)^(1/12)-1)</f>
        <v>28405.259180765261</v>
      </c>
      <c r="H140" s="7">
        <f t="shared" si="19"/>
        <v>9922609.8133216202</v>
      </c>
    </row>
    <row r="141" spans="1:8">
      <c r="A141">
        <f t="shared" si="17"/>
        <v>2039</v>
      </c>
      <c r="B141">
        <f t="shared" si="18"/>
        <v>35</v>
      </c>
      <c r="C141">
        <f t="shared" si="16"/>
        <v>8</v>
      </c>
      <c r="D141" s="7">
        <f>'Eredmények konzervatív'!$B$6/12*(1+'Eredmények konzervatív'!$B$8)^('Havi számolás konzervatív'!B141-33)</f>
        <v>1185770.8465870568</v>
      </c>
      <c r="E141" s="7">
        <f t="shared" si="20"/>
        <v>9922609.8133216202</v>
      </c>
      <c r="F141" s="7">
        <f>'Eredmények konzervatív'!$B$9*D141</f>
        <v>71146.250795223401</v>
      </c>
      <c r="G141" s="7">
        <f>SUM(E141:F141)*((1+'Eredmények konzervatív'!$B$10)^(1/12)-1)</f>
        <v>28691.06148323747</v>
      </c>
      <c r="H141" s="7">
        <f t="shared" si="19"/>
        <v>10022447.125600081</v>
      </c>
    </row>
    <row r="142" spans="1:8">
      <c r="A142">
        <f t="shared" si="17"/>
        <v>2039</v>
      </c>
      <c r="B142">
        <f t="shared" si="18"/>
        <v>35</v>
      </c>
      <c r="C142">
        <f t="shared" si="16"/>
        <v>9</v>
      </c>
      <c r="D142" s="7">
        <f>'Eredmények konzervatív'!$B$6/12*(1+'Eredmények konzervatív'!$B$8)^('Havi számolás konzervatív'!B142-33)</f>
        <v>1185770.8465870568</v>
      </c>
      <c r="E142" s="7">
        <f t="shared" si="20"/>
        <v>10022447.125600081</v>
      </c>
      <c r="F142" s="7">
        <f>'Eredmények konzervatív'!$B$9*D142</f>
        <v>71146.250795223401</v>
      </c>
      <c r="G142" s="7">
        <f>SUM(E142:F142)*((1+'Eredmények konzervatív'!$B$10)^(1/12)-1)</f>
        <v>28977.684295173756</v>
      </c>
      <c r="H142" s="7">
        <f t="shared" si="19"/>
        <v>10122571.060690477</v>
      </c>
    </row>
    <row r="143" spans="1:8">
      <c r="A143">
        <f t="shared" si="17"/>
        <v>2039</v>
      </c>
      <c r="B143">
        <f t="shared" si="18"/>
        <v>35</v>
      </c>
      <c r="C143">
        <f t="shared" si="16"/>
        <v>10</v>
      </c>
      <c r="D143" s="7">
        <f>'Eredmények konzervatív'!$B$6/12*(1+'Eredmények konzervatív'!$B$8)^('Havi számolás konzervatív'!B143-33)</f>
        <v>1185770.8465870568</v>
      </c>
      <c r="E143" s="7">
        <f t="shared" si="20"/>
        <v>10122571.060690477</v>
      </c>
      <c r="F143" s="7">
        <f>'Eredmények konzervatív'!$B$9*D143</f>
        <v>71146.250795223401</v>
      </c>
      <c r="G143" s="7">
        <f>SUM(E143:F143)*((1+'Eredmények konzervatív'!$B$10)^(1/12)-1)</f>
        <v>29265.12997217369</v>
      </c>
      <c r="H143" s="7">
        <f t="shared" si="19"/>
        <v>10222982.441457873</v>
      </c>
    </row>
    <row r="144" spans="1:8">
      <c r="A144">
        <f t="shared" si="17"/>
        <v>2039</v>
      </c>
      <c r="B144">
        <f t="shared" si="18"/>
        <v>35</v>
      </c>
      <c r="C144">
        <f t="shared" si="16"/>
        <v>11</v>
      </c>
      <c r="D144" s="7">
        <f>'Eredmények konzervatív'!$B$6/12*(1+'Eredmények konzervatív'!$B$8)^('Havi számolás konzervatív'!B144-33)</f>
        <v>1185770.8465870568</v>
      </c>
      <c r="E144" s="7">
        <f t="shared" si="20"/>
        <v>10222982.441457873</v>
      </c>
      <c r="F144" s="7">
        <f>'Eredmények konzervatív'!$B$9*D144</f>
        <v>71146.250795223401</v>
      </c>
      <c r="G144" s="7">
        <f>SUM(E144:F144)*((1+'Eredmények konzervatív'!$B$10)^(1/12)-1)</f>
        <v>29553.400876599524</v>
      </c>
      <c r="H144" s="7">
        <f t="shared" si="19"/>
        <v>10323682.093129696</v>
      </c>
    </row>
    <row r="145" spans="1:8">
      <c r="A145">
        <f t="shared" si="17"/>
        <v>2039</v>
      </c>
      <c r="B145">
        <f t="shared" si="18"/>
        <v>35</v>
      </c>
      <c r="C145">
        <f t="shared" si="16"/>
        <v>12</v>
      </c>
      <c r="D145" s="7">
        <f>'Eredmények konzervatív'!$B$6/12*(1+'Eredmények konzervatív'!$B$8)^('Havi számolás konzervatív'!B145-33)</f>
        <v>1185770.8465870568</v>
      </c>
      <c r="E145" s="7">
        <f t="shared" si="20"/>
        <v>10323682.093129696</v>
      </c>
      <c r="F145" s="7">
        <f>'Eredmények konzervatív'!$B$9*D145</f>
        <v>71146.250795223401</v>
      </c>
      <c r="G145" s="7">
        <f>SUM(E145:F145)*((1+'Eredmények konzervatív'!$B$10)^(1/12)-1)</f>
        <v>29842.499377595625</v>
      </c>
      <c r="H145" s="7">
        <f t="shared" si="19"/>
        <v>10424670.843302514</v>
      </c>
    </row>
    <row r="146" spans="1:8">
      <c r="A146">
        <f t="shared" si="17"/>
        <v>2040</v>
      </c>
      <c r="B146">
        <f t="shared" si="18"/>
        <v>36</v>
      </c>
      <c r="C146">
        <f t="shared" si="16"/>
        <v>1</v>
      </c>
      <c r="D146" s="7">
        <f>'Eredmények konzervatív'!$B$6/12*(1+'Eredmények konzervatív'!$B$8)^('Havi számolás konzervatív'!B146-33)</f>
        <v>1209486.2635187977</v>
      </c>
      <c r="E146" s="7">
        <f t="shared" si="20"/>
        <v>10424670.843302514</v>
      </c>
      <c r="F146" s="7">
        <f>'Eredmények konzervatív'!$B$9*D146</f>
        <v>72569.175811127861</v>
      </c>
      <c r="G146" s="7">
        <f>SUM(E146:F146)*((1+'Eredmények konzervatív'!$B$10)^(1/12)-1)</f>
        <v>30136.512924713425</v>
      </c>
      <c r="H146" s="7">
        <f t="shared" si="19"/>
        <v>10527376.532038357</v>
      </c>
    </row>
    <row r="147" spans="1:8">
      <c r="A147">
        <f t="shared" si="17"/>
        <v>2040</v>
      </c>
      <c r="B147">
        <f t="shared" si="18"/>
        <v>36</v>
      </c>
      <c r="C147">
        <f t="shared" si="16"/>
        <v>2</v>
      </c>
      <c r="D147" s="7">
        <f>'Eredmények konzervatív'!$B$6/12*(1+'Eredmények konzervatív'!$B$8)^('Havi számolás konzervatív'!B147-33)</f>
        <v>1209486.2635187977</v>
      </c>
      <c r="E147" s="7">
        <f t="shared" si="20"/>
        <v>10527376.532038357</v>
      </c>
      <c r="F147" s="7">
        <f>'Eredmények konzervatív'!$B$9*D147</f>
        <v>72569.175811127861</v>
      </c>
      <c r="G147" s="7">
        <f>SUM(E147:F147)*((1+'Eredmények konzervatív'!$B$10)^(1/12)-1)</f>
        <v>30431.37055494704</v>
      </c>
      <c r="H147" s="7">
        <f t="shared" si="19"/>
        <v>10630377.078404432</v>
      </c>
    </row>
    <row r="148" spans="1:8">
      <c r="A148">
        <f t="shared" si="17"/>
        <v>2040</v>
      </c>
      <c r="B148">
        <f t="shared" si="18"/>
        <v>36</v>
      </c>
      <c r="C148">
        <f t="shared" si="16"/>
        <v>3</v>
      </c>
      <c r="D148" s="7">
        <f>'Eredmények konzervatív'!$B$6/12*(1+'Eredmények konzervatív'!$B$8)^('Havi számolás konzervatív'!B148-33)</f>
        <v>1209486.2635187977</v>
      </c>
      <c r="E148" s="7">
        <f t="shared" si="20"/>
        <v>10630377.078404432</v>
      </c>
      <c r="F148" s="7">
        <f>'Eredmények konzervatív'!$B$9*D148</f>
        <v>72569.175811127861</v>
      </c>
      <c r="G148" s="7">
        <f>SUM(E148:F148)*((1+'Eredmények konzervatív'!$B$10)^(1/12)-1)</f>
        <v>30727.074691573598</v>
      </c>
      <c r="H148" s="7">
        <f t="shared" si="19"/>
        <v>10733673.328907134</v>
      </c>
    </row>
    <row r="149" spans="1:8">
      <c r="A149">
        <f t="shared" si="17"/>
        <v>2040</v>
      </c>
      <c r="B149">
        <f t="shared" si="18"/>
        <v>36</v>
      </c>
      <c r="C149">
        <f t="shared" si="16"/>
        <v>4</v>
      </c>
      <c r="D149" s="7">
        <f>'Eredmények konzervatív'!$B$6/12*(1+'Eredmények konzervatív'!$B$8)^('Havi számolás konzervatív'!B149-33)</f>
        <v>1209486.2635187977</v>
      </c>
      <c r="E149" s="7">
        <f t="shared" si="20"/>
        <v>10733673.328907134</v>
      </c>
      <c r="F149" s="7">
        <f>'Eredmények konzervatív'!$B$9*D149</f>
        <v>72569.175811127861</v>
      </c>
      <c r="G149" s="7">
        <f>SUM(E149:F149)*((1+'Eredmények konzervatív'!$B$10)^(1/12)-1)</f>
        <v>31023.627764827226</v>
      </c>
      <c r="H149" s="7">
        <f t="shared" si="19"/>
        <v>10837266.132483089</v>
      </c>
    </row>
    <row r="150" spans="1:8">
      <c r="A150">
        <f t="shared" si="17"/>
        <v>2040</v>
      </c>
      <c r="B150">
        <f t="shared" si="18"/>
        <v>36</v>
      </c>
      <c r="C150">
        <f t="shared" si="16"/>
        <v>5</v>
      </c>
      <c r="D150" s="7">
        <f>'Eredmények konzervatív'!$B$6/12*(1+'Eredmények konzervatív'!$B$8)^('Havi számolás konzervatív'!B150-33)</f>
        <v>1209486.2635187977</v>
      </c>
      <c r="E150" s="7">
        <f t="shared" si="20"/>
        <v>10837266.132483089</v>
      </c>
      <c r="F150" s="7">
        <f>'Eredmények konzervatív'!$B$9*D150</f>
        <v>72569.175811127861</v>
      </c>
      <c r="G150" s="7">
        <f>SUM(E150:F150)*((1+'Eredmények konzervatív'!$B$10)^(1/12)-1)</f>
        <v>31321.032211918995</v>
      </c>
      <c r="H150" s="7">
        <f t="shared" si="19"/>
        <v>10941156.340506136</v>
      </c>
    </row>
    <row r="151" spans="1:8">
      <c r="A151">
        <f t="shared" si="17"/>
        <v>2040</v>
      </c>
      <c r="B151">
        <f t="shared" si="18"/>
        <v>36</v>
      </c>
      <c r="C151">
        <f t="shared" si="16"/>
        <v>6</v>
      </c>
      <c r="D151" s="7">
        <f>'Eredmények konzervatív'!$B$6/12*(1+'Eredmények konzervatív'!$B$8)^('Havi számolás konzervatív'!B151-33)</f>
        <v>1209486.2635187977</v>
      </c>
      <c r="E151" s="7">
        <f t="shared" si="20"/>
        <v>10941156.340506136</v>
      </c>
      <c r="F151" s="7">
        <f>'Eredmények konzervatív'!$B$9*D151</f>
        <v>72569.175811127861</v>
      </c>
      <c r="G151" s="7">
        <f>SUM(E151:F151)*((1+'Eredmények konzervatív'!$B$10)^(1/12)-1)</f>
        <v>31619.290477056966</v>
      </c>
      <c r="H151" s="7">
        <f t="shared" si="19"/>
        <v>11045344.806794321</v>
      </c>
    </row>
    <row r="152" spans="1:8">
      <c r="A152">
        <f t="shared" si="17"/>
        <v>2040</v>
      </c>
      <c r="B152">
        <f t="shared" si="18"/>
        <v>36</v>
      </c>
      <c r="C152">
        <f t="shared" si="16"/>
        <v>7</v>
      </c>
      <c r="D152" s="7">
        <f>'Eredmények konzervatív'!$B$6/12*(1+'Eredmények konzervatív'!$B$8)^('Havi számolás konzervatív'!B152-33)</f>
        <v>1209486.2635187977</v>
      </c>
      <c r="E152" s="7">
        <f t="shared" si="20"/>
        <v>11045344.806794321</v>
      </c>
      <c r="F152" s="7">
        <f>'Eredmények konzervatív'!$B$9*D152</f>
        <v>72569.175811127861</v>
      </c>
      <c r="G152" s="7">
        <f>SUM(E152:F152)*((1+'Eredmények konzervatív'!$B$10)^(1/12)-1)</f>
        <v>31918.405011466275</v>
      </c>
      <c r="H152" s="7">
        <f t="shared" si="19"/>
        <v>11149832.387616916</v>
      </c>
    </row>
    <row r="153" spans="1:8">
      <c r="A153">
        <f t="shared" si="17"/>
        <v>2040</v>
      </c>
      <c r="B153">
        <f t="shared" si="18"/>
        <v>36</v>
      </c>
      <c r="C153">
        <f t="shared" si="16"/>
        <v>8</v>
      </c>
      <c r="D153" s="7">
        <f>'Eredmények konzervatív'!$B$6/12*(1+'Eredmények konzervatív'!$B$8)^('Havi számolás konzervatív'!B153-33)</f>
        <v>1209486.2635187977</v>
      </c>
      <c r="E153" s="7">
        <f t="shared" si="20"/>
        <v>11149832.387616916</v>
      </c>
      <c r="F153" s="7">
        <f>'Eredmények konzervatív'!$B$9*D153</f>
        <v>72569.175811127861</v>
      </c>
      <c r="G153" s="7">
        <f>SUM(E153:F153)*((1+'Eredmények konzervatív'!$B$10)^(1/12)-1)</f>
        <v>32218.378273409278</v>
      </c>
      <c r="H153" s="7">
        <f t="shared" si="19"/>
        <v>11254619.941701453</v>
      </c>
    </row>
    <row r="154" spans="1:8">
      <c r="A154">
        <f t="shared" si="17"/>
        <v>2040</v>
      </c>
      <c r="B154">
        <f t="shared" si="18"/>
        <v>36</v>
      </c>
      <c r="C154">
        <f t="shared" si="16"/>
        <v>9</v>
      </c>
      <c r="D154" s="7">
        <f>'Eredmények konzervatív'!$B$6/12*(1+'Eredmények konzervatív'!$B$8)^('Havi számolás konzervatív'!B154-33)</f>
        <v>1209486.2635187977</v>
      </c>
      <c r="E154" s="7">
        <f t="shared" si="20"/>
        <v>11254619.941701453</v>
      </c>
      <c r="F154" s="7">
        <f>'Eredmények konzervatív'!$B$9*D154</f>
        <v>72569.175811127861</v>
      </c>
      <c r="G154" s="7">
        <f>SUM(E154:F154)*((1+'Eredmények konzervatív'!$B$10)^(1/12)-1)</f>
        <v>32519.212728205752</v>
      </c>
      <c r="H154" s="7">
        <f t="shared" si="19"/>
        <v>11359708.330240788</v>
      </c>
    </row>
    <row r="155" spans="1:8">
      <c r="A155">
        <f t="shared" si="17"/>
        <v>2040</v>
      </c>
      <c r="B155">
        <f t="shared" si="18"/>
        <v>36</v>
      </c>
      <c r="C155">
        <f t="shared" si="16"/>
        <v>10</v>
      </c>
      <c r="D155" s="7">
        <f>'Eredmények konzervatív'!$B$6/12*(1+'Eredmények konzervatív'!$B$8)^('Havi számolás konzervatív'!B155-33)</f>
        <v>1209486.2635187977</v>
      </c>
      <c r="E155" s="7">
        <f t="shared" si="20"/>
        <v>11359708.330240788</v>
      </c>
      <c r="F155" s="7">
        <f>'Eredmények konzervatív'!$B$9*D155</f>
        <v>72569.175811127861</v>
      </c>
      <c r="G155" s="7">
        <f>SUM(E155:F155)*((1+'Eredmények konzervatív'!$B$10)^(1/12)-1)</f>
        <v>32820.910848253159</v>
      </c>
      <c r="H155" s="7">
        <f t="shared" si="19"/>
        <v>11465098.416900169</v>
      </c>
    </row>
    <row r="156" spans="1:8">
      <c r="A156">
        <f t="shared" si="17"/>
        <v>2040</v>
      </c>
      <c r="B156">
        <f t="shared" si="18"/>
        <v>36</v>
      </c>
      <c r="C156">
        <f t="shared" si="16"/>
        <v>11</v>
      </c>
      <c r="D156" s="7">
        <f>'Eredmények konzervatív'!$B$6/12*(1+'Eredmények konzervatív'!$B$8)^('Havi számolás konzervatív'!B156-33)</f>
        <v>1209486.2635187977</v>
      </c>
      <c r="E156" s="7">
        <f t="shared" si="20"/>
        <v>11465098.416900169</v>
      </c>
      <c r="F156" s="7">
        <f>'Eredmények konzervatív'!$B$9*D156</f>
        <v>72569.175811127861</v>
      </c>
      <c r="G156" s="7">
        <f>SUM(E156:F156)*((1+'Eredmények konzervatív'!$B$10)^(1/12)-1)</f>
        <v>33123.475113046952</v>
      </c>
      <c r="H156" s="7">
        <f t="shared" si="19"/>
        <v>11570791.067824345</v>
      </c>
    </row>
    <row r="157" spans="1:8">
      <c r="A157">
        <f t="shared" si="17"/>
        <v>2040</v>
      </c>
      <c r="B157">
        <f t="shared" si="18"/>
        <v>36</v>
      </c>
      <c r="C157">
        <f t="shared" si="16"/>
        <v>12</v>
      </c>
      <c r="D157" s="7">
        <f>'Eredmények konzervatív'!$B$6/12*(1+'Eredmények konzervatív'!$B$8)^('Havi számolás konzervatív'!B157-33)</f>
        <v>1209486.2635187977</v>
      </c>
      <c r="E157" s="7">
        <f t="shared" si="20"/>
        <v>11570791.067824345</v>
      </c>
      <c r="F157" s="7">
        <f>'Eredmények konzervatív'!$B$9*D157</f>
        <v>72569.175811127861</v>
      </c>
      <c r="G157" s="7">
        <f>SUM(E157:F157)*((1+'Eredmények konzervatív'!$B$10)^(1/12)-1)</f>
        <v>33426.908009200983</v>
      </c>
      <c r="H157" s="7">
        <f t="shared" si="19"/>
        <v>11676787.151644675</v>
      </c>
    </row>
    <row r="158" spans="1:8">
      <c r="A158">
        <f t="shared" si="17"/>
        <v>2041</v>
      </c>
      <c r="B158">
        <f t="shared" si="18"/>
        <v>37</v>
      </c>
      <c r="C158">
        <f t="shared" si="16"/>
        <v>1</v>
      </c>
      <c r="D158" s="7">
        <f>'Eredmények konzervatív'!$B$6/12*(1+'Eredmények konzervatív'!$B$8)^('Havi számolás konzervatív'!B158-33)</f>
        <v>1233675.9887891738</v>
      </c>
      <c r="E158" s="7">
        <f t="shared" si="20"/>
        <v>11676787.151644675</v>
      </c>
      <c r="F158" s="7">
        <f>'Eredmények konzervatív'!$B$9*D158</f>
        <v>74020.55932735042</v>
      </c>
      <c r="G158" s="7">
        <f>SUM(E158:F158)*((1+'Eredmények konzervatív'!$B$10)^(1/12)-1)</f>
        <v>33735.378805545522</v>
      </c>
      <c r="H158" s="7">
        <f t="shared" si="19"/>
        <v>11784543.089777572</v>
      </c>
    </row>
    <row r="159" spans="1:8">
      <c r="A159">
        <f t="shared" si="17"/>
        <v>2041</v>
      </c>
      <c r="B159">
        <f t="shared" si="18"/>
        <v>37</v>
      </c>
      <c r="C159">
        <f t="shared" si="16"/>
        <v>2</v>
      </c>
      <c r="D159" s="7">
        <f>'Eredmények konzervatív'!$B$6/12*(1+'Eredmények konzervatív'!$B$8)^('Havi számolás konzervatív'!B159-33)</f>
        <v>1233675.9887891738</v>
      </c>
      <c r="E159" s="7">
        <f t="shared" si="20"/>
        <v>11784543.089777572</v>
      </c>
      <c r="F159" s="7">
        <f>'Eredmények konzervatív'!$B$9*D159</f>
        <v>74020.55932735042</v>
      </c>
      <c r="G159" s="7">
        <f>SUM(E159:F159)*((1+'Eredmények konzervatív'!$B$10)^(1/12)-1)</f>
        <v>34044.735190304156</v>
      </c>
      <c r="H159" s="7">
        <f t="shared" si="19"/>
        <v>11892608.384295227</v>
      </c>
    </row>
    <row r="160" spans="1:8">
      <c r="A160">
        <f t="shared" si="17"/>
        <v>2041</v>
      </c>
      <c r="B160">
        <f t="shared" si="18"/>
        <v>37</v>
      </c>
      <c r="C160">
        <f t="shared" si="16"/>
        <v>3</v>
      </c>
      <c r="D160" s="7">
        <f>'Eredmények konzervatív'!$B$6/12*(1+'Eredmények konzervatív'!$B$8)^('Havi számolás konzervatív'!B160-33)</f>
        <v>1233675.9887891738</v>
      </c>
      <c r="E160" s="7">
        <f t="shared" si="20"/>
        <v>11892608.384295227</v>
      </c>
      <c r="F160" s="7">
        <f>'Eredmények konzervatív'!$B$9*D160</f>
        <v>74020.55932735042</v>
      </c>
      <c r="G160" s="7">
        <f>SUM(E160:F160)*((1+'Eredmények konzervatív'!$B$10)^(1/12)-1)</f>
        <v>34354.97970591153</v>
      </c>
      <c r="H160" s="7">
        <f t="shared" si="19"/>
        <v>12000983.923328489</v>
      </c>
    </row>
    <row r="161" spans="1:8">
      <c r="A161">
        <f t="shared" si="17"/>
        <v>2041</v>
      </c>
      <c r="B161">
        <f t="shared" si="18"/>
        <v>37</v>
      </c>
      <c r="C161">
        <f t="shared" si="16"/>
        <v>4</v>
      </c>
      <c r="D161" s="7">
        <f>'Eredmények konzervatív'!$B$6/12*(1+'Eredmények konzervatív'!$B$8)^('Havi számolás konzervatív'!B161-33)</f>
        <v>1233675.9887891738</v>
      </c>
      <c r="E161" s="7">
        <f t="shared" si="20"/>
        <v>12000983.923328489</v>
      </c>
      <c r="F161" s="7">
        <f>'Eredmények konzervatív'!$B$9*D161</f>
        <v>74020.55932735042</v>
      </c>
      <c r="G161" s="7">
        <f>SUM(E161:F161)*((1+'Eredmények konzervatív'!$B$10)^(1/12)-1)</f>
        <v>34666.114902101363</v>
      </c>
      <c r="H161" s="7">
        <f t="shared" si="19"/>
        <v>12109670.597557941</v>
      </c>
    </row>
    <row r="162" spans="1:8">
      <c r="A162">
        <f t="shared" si="17"/>
        <v>2041</v>
      </c>
      <c r="B162">
        <f t="shared" si="18"/>
        <v>37</v>
      </c>
      <c r="C162">
        <f t="shared" si="16"/>
        <v>5</v>
      </c>
      <c r="D162" s="7">
        <f>'Eredmények konzervatív'!$B$6/12*(1+'Eredmények konzervatív'!$B$8)^('Havi számolás konzervatív'!B162-33)</f>
        <v>1233675.9887891738</v>
      </c>
      <c r="E162" s="7">
        <f t="shared" si="20"/>
        <v>12109670.597557941</v>
      </c>
      <c r="F162" s="7">
        <f>'Eredmények konzervatív'!$B$9*D162</f>
        <v>74020.55932735042</v>
      </c>
      <c r="G162" s="7">
        <f>SUM(E162:F162)*((1+'Eredmények konzervatív'!$B$10)^(1/12)-1)</f>
        <v>34978.143335927401</v>
      </c>
      <c r="H162" s="7">
        <f t="shared" si="19"/>
        <v>12218669.30022122</v>
      </c>
    </row>
    <row r="163" spans="1:8">
      <c r="A163">
        <f t="shared" si="17"/>
        <v>2041</v>
      </c>
      <c r="B163">
        <f t="shared" si="18"/>
        <v>37</v>
      </c>
      <c r="C163">
        <f t="shared" si="16"/>
        <v>6</v>
      </c>
      <c r="D163" s="7">
        <f>'Eredmények konzervatív'!$B$6/12*(1+'Eredmények konzervatív'!$B$8)^('Havi számolás konzervatív'!B163-33)</f>
        <v>1233675.9887891738</v>
      </c>
      <c r="E163" s="7">
        <f t="shared" si="20"/>
        <v>12218669.30022122</v>
      </c>
      <c r="F163" s="7">
        <f>'Eredmények konzervatív'!$B$9*D163</f>
        <v>74020.55932735042</v>
      </c>
      <c r="G163" s="7">
        <f>SUM(E163:F163)*((1+'Eredmények konzervatív'!$B$10)^(1/12)-1)</f>
        <v>35291.067571784421</v>
      </c>
      <c r="H163" s="7">
        <f t="shared" si="19"/>
        <v>12327980.927120356</v>
      </c>
    </row>
    <row r="164" spans="1:8">
      <c r="A164">
        <f t="shared" si="17"/>
        <v>2041</v>
      </c>
      <c r="B164">
        <f t="shared" si="18"/>
        <v>37</v>
      </c>
      <c r="C164">
        <f t="shared" si="16"/>
        <v>7</v>
      </c>
      <c r="D164" s="7">
        <f>'Eredmények konzervatív'!$B$6/12*(1+'Eredmények konzervatív'!$B$8)^('Havi számolás konzervatív'!B164-33)</f>
        <v>1233675.9887891738</v>
      </c>
      <c r="E164" s="7">
        <f t="shared" si="20"/>
        <v>12327980.927120356</v>
      </c>
      <c r="F164" s="7">
        <f>'Eredmények konzervatív'!$B$9*D164</f>
        <v>74020.55932735042</v>
      </c>
      <c r="G164" s="7">
        <f>SUM(E164:F164)*((1+'Eredmények konzervatív'!$B$10)^(1/12)-1)</f>
        <v>35604.890181429335</v>
      </c>
      <c r="H164" s="7">
        <f t="shared" si="19"/>
        <v>12437606.376629137</v>
      </c>
    </row>
    <row r="165" spans="1:8">
      <c r="A165">
        <f t="shared" si="17"/>
        <v>2041</v>
      </c>
      <c r="B165">
        <f t="shared" si="18"/>
        <v>37</v>
      </c>
      <c r="C165">
        <f t="shared" si="16"/>
        <v>8</v>
      </c>
      <c r="D165" s="7">
        <f>'Eredmények konzervatív'!$B$6/12*(1+'Eredmények konzervatív'!$B$8)^('Havi számolás konzervatív'!B165-33)</f>
        <v>1233675.9887891738</v>
      </c>
      <c r="E165" s="7">
        <f t="shared" si="20"/>
        <v>12437606.376629137</v>
      </c>
      <c r="F165" s="7">
        <f>'Eredmények konzervatív'!$B$9*D165</f>
        <v>74020.55932735042</v>
      </c>
      <c r="G165" s="7">
        <f>SUM(E165:F165)*((1+'Eredmények konzervatív'!$B$10)^(1/12)-1)</f>
        <v>35919.613744002294</v>
      </c>
      <c r="H165" s="7">
        <f t="shared" si="19"/>
        <v>12547546.549700489</v>
      </c>
    </row>
    <row r="166" spans="1:8">
      <c r="A166">
        <f t="shared" si="17"/>
        <v>2041</v>
      </c>
      <c r="B166">
        <f t="shared" si="18"/>
        <v>37</v>
      </c>
      <c r="C166">
        <f t="shared" si="16"/>
        <v>9</v>
      </c>
      <c r="D166" s="7">
        <f>'Eredmények konzervatív'!$B$6/12*(1+'Eredmények konzervatív'!$B$8)^('Havi számolás konzervatív'!B166-33)</f>
        <v>1233675.9887891738</v>
      </c>
      <c r="E166" s="7">
        <f t="shared" si="20"/>
        <v>12547546.549700489</v>
      </c>
      <c r="F166" s="7">
        <f>'Eredmények konzervatív'!$B$9*D166</f>
        <v>74020.55932735042</v>
      </c>
      <c r="G166" s="7">
        <f>SUM(E166:F166)*((1+'Eredmények konzervatív'!$B$10)^(1/12)-1)</f>
        <v>36235.240846047906</v>
      </c>
      <c r="H166" s="7">
        <f t="shared" si="19"/>
        <v>12657802.349873887</v>
      </c>
    </row>
    <row r="167" spans="1:8">
      <c r="A167">
        <f t="shared" si="17"/>
        <v>2041</v>
      </c>
      <c r="B167">
        <f t="shared" si="18"/>
        <v>37</v>
      </c>
      <c r="C167">
        <f t="shared" si="16"/>
        <v>10</v>
      </c>
      <c r="D167" s="7">
        <f>'Eredmények konzervatív'!$B$6/12*(1+'Eredmények konzervatív'!$B$8)^('Havi számolás konzervatív'!B167-33)</f>
        <v>1233675.9887891738</v>
      </c>
      <c r="E167" s="7">
        <f t="shared" si="20"/>
        <v>12657802.349873887</v>
      </c>
      <c r="F167" s="7">
        <f>'Eredmények konzervatív'!$B$9*D167</f>
        <v>74020.55932735042</v>
      </c>
      <c r="G167" s="7">
        <f>SUM(E167:F167)*((1+'Eredmények konzervatív'!$B$10)^(1/12)-1)</f>
        <v>36551.774081536481</v>
      </c>
      <c r="H167" s="7">
        <f t="shared" si="19"/>
        <v>12768374.683282774</v>
      </c>
    </row>
    <row r="168" spans="1:8">
      <c r="A168">
        <f t="shared" si="17"/>
        <v>2041</v>
      </c>
      <c r="B168">
        <f t="shared" si="18"/>
        <v>37</v>
      </c>
      <c r="C168">
        <f t="shared" si="16"/>
        <v>11</v>
      </c>
      <c r="D168" s="7">
        <f>'Eredmények konzervatív'!$B$6/12*(1+'Eredmények konzervatív'!$B$8)^('Havi számolás konzervatív'!B168-33)</f>
        <v>1233675.9887891738</v>
      </c>
      <c r="E168" s="7">
        <f t="shared" si="20"/>
        <v>12768374.683282774</v>
      </c>
      <c r="F168" s="7">
        <f>'Eredmények konzervatív'!$B$9*D168</f>
        <v>74020.55932735042</v>
      </c>
      <c r="G168" s="7">
        <f>SUM(E168:F168)*((1+'Eredmények konzervatív'!$B$10)^(1/12)-1)</f>
        <v>36869.216051885371</v>
      </c>
      <c r="H168" s="7">
        <f t="shared" si="19"/>
        <v>12879264.458662011</v>
      </c>
    </row>
    <row r="169" spans="1:8">
      <c r="A169">
        <f t="shared" si="17"/>
        <v>2041</v>
      </c>
      <c r="B169">
        <f t="shared" si="18"/>
        <v>37</v>
      </c>
      <c r="C169">
        <f t="shared" si="16"/>
        <v>12</v>
      </c>
      <c r="D169" s="7">
        <f>'Eredmények konzervatív'!$B$6/12*(1+'Eredmények konzervatív'!$B$8)^('Havi számolás konzervatív'!B169-33)</f>
        <v>1233675.9887891738</v>
      </c>
      <c r="E169" s="7">
        <f t="shared" si="20"/>
        <v>12879264.458662011</v>
      </c>
      <c r="F169" s="7">
        <f>'Eredmények konzervatív'!$B$9*D169</f>
        <v>74020.55932735042</v>
      </c>
      <c r="G169" s="7">
        <f>SUM(E169:F169)*((1+'Eredmények konzervatív'!$B$10)^(1/12)-1)</f>
        <v>37187.569365980322</v>
      </c>
      <c r="H169" s="7">
        <f t="shared" si="19"/>
        <v>12990472.587355342</v>
      </c>
    </row>
    <row r="170" spans="1:8">
      <c r="A170">
        <f t="shared" si="17"/>
        <v>2042</v>
      </c>
      <c r="B170">
        <f t="shared" si="18"/>
        <v>38</v>
      </c>
      <c r="C170">
        <f t="shared" si="16"/>
        <v>1</v>
      </c>
      <c r="D170" s="7">
        <f>'Eredmények konzervatív'!$B$6/12*(1+'Eredmények konzervatív'!$B$8)^('Havi számolás konzervatív'!B170-33)</f>
        <v>1258349.5085649574</v>
      </c>
      <c r="E170" s="7">
        <f t="shared" si="20"/>
        <v>12990472.587355342</v>
      </c>
      <c r="F170" s="7">
        <f>'Eredmények konzervatív'!$B$9*D170</f>
        <v>75500.970513897439</v>
      </c>
      <c r="G170" s="7">
        <f>SUM(E170:F170)*((1+'Eredmények konzervatív'!$B$10)^(1/12)-1)</f>
        <v>37511.086750776078</v>
      </c>
      <c r="H170" s="7">
        <f t="shared" si="19"/>
        <v>13103484.644620014</v>
      </c>
    </row>
    <row r="171" spans="1:8">
      <c r="A171">
        <f t="shared" si="17"/>
        <v>2042</v>
      </c>
      <c r="B171">
        <f t="shared" si="18"/>
        <v>38</v>
      </c>
      <c r="C171">
        <f t="shared" si="16"/>
        <v>2</v>
      </c>
      <c r="D171" s="7">
        <f>'Eredmények konzervatív'!$B$6/12*(1+'Eredmények konzervatív'!$B$8)^('Havi számolás konzervatív'!B171-33)</f>
        <v>1258349.5085649574</v>
      </c>
      <c r="E171" s="7">
        <f t="shared" si="20"/>
        <v>13103484.644620014</v>
      </c>
      <c r="F171" s="7">
        <f>'Eredmények konzervatív'!$B$9*D171</f>
        <v>75500.970513897439</v>
      </c>
      <c r="G171" s="7">
        <f>SUM(E171:F171)*((1+'Eredmények konzervatív'!$B$10)^(1/12)-1)</f>
        <v>37835.53292121744</v>
      </c>
      <c r="H171" s="7">
        <f t="shared" si="19"/>
        <v>13216821.148055129</v>
      </c>
    </row>
    <row r="172" spans="1:8">
      <c r="A172">
        <f t="shared" si="17"/>
        <v>2042</v>
      </c>
      <c r="B172">
        <f t="shared" si="18"/>
        <v>38</v>
      </c>
      <c r="C172">
        <f t="shared" ref="C172:C235" si="21">C160</f>
        <v>3</v>
      </c>
      <c r="D172" s="7">
        <f>'Eredmények konzervatív'!$B$6/12*(1+'Eredmények konzervatív'!$B$8)^('Havi számolás konzervatív'!B172-33)</f>
        <v>1258349.5085649574</v>
      </c>
      <c r="E172" s="7">
        <f t="shared" si="20"/>
        <v>13216821.148055129</v>
      </c>
      <c r="F172" s="7">
        <f>'Eredmények konzervatív'!$B$9*D172</f>
        <v>75500.970513897439</v>
      </c>
      <c r="G172" s="7">
        <f>SUM(E172:F172)*((1+'Eredmények konzervatív'!$B$10)^(1/12)-1)</f>
        <v>38160.910543753933</v>
      </c>
      <c r="H172" s="7">
        <f t="shared" si="19"/>
        <v>13330483.02911278</v>
      </c>
    </row>
    <row r="173" spans="1:8">
      <c r="A173">
        <f t="shared" si="17"/>
        <v>2042</v>
      </c>
      <c r="B173">
        <f t="shared" si="18"/>
        <v>38</v>
      </c>
      <c r="C173">
        <f t="shared" si="21"/>
        <v>4</v>
      </c>
      <c r="D173" s="7">
        <f>'Eredmények konzervatív'!$B$6/12*(1+'Eredmények konzervatív'!$B$8)^('Havi számolás konzervatív'!B173-33)</f>
        <v>1258349.5085649574</v>
      </c>
      <c r="E173" s="7">
        <f t="shared" si="20"/>
        <v>13330483.02911278</v>
      </c>
      <c r="F173" s="7">
        <f>'Eredmények konzervatív'!$B$9*D173</f>
        <v>75500.970513897439</v>
      </c>
      <c r="G173" s="7">
        <f>SUM(E173:F173)*((1+'Eredmények konzervatív'!$B$10)^(1/12)-1)</f>
        <v>38487.222292490187</v>
      </c>
      <c r="H173" s="7">
        <f t="shared" si="19"/>
        <v>13444471.221919168</v>
      </c>
    </row>
    <row r="174" spans="1:8">
      <c r="A174">
        <f t="shared" si="17"/>
        <v>2042</v>
      </c>
      <c r="B174">
        <f t="shared" si="18"/>
        <v>38</v>
      </c>
      <c r="C174">
        <f t="shared" si="21"/>
        <v>5</v>
      </c>
      <c r="D174" s="7">
        <f>'Eredmények konzervatív'!$B$6/12*(1+'Eredmények konzervatív'!$B$8)^('Havi számolás konzervatív'!B174-33)</f>
        <v>1258349.5085649574</v>
      </c>
      <c r="E174" s="7">
        <f t="shared" si="20"/>
        <v>13444471.221919168</v>
      </c>
      <c r="F174" s="7">
        <f>'Eredmények konzervatív'!$B$9*D174</f>
        <v>75500.970513897439</v>
      </c>
      <c r="G174" s="7">
        <f>SUM(E174:F174)*((1+'Eredmények konzervatív'!$B$10)^(1/12)-1)</f>
        <v>38814.470849207908</v>
      </c>
      <c r="H174" s="7">
        <f t="shared" si="19"/>
        <v>13558786.663282273</v>
      </c>
    </row>
    <row r="175" spans="1:8">
      <c r="A175">
        <f t="shared" si="17"/>
        <v>2042</v>
      </c>
      <c r="B175">
        <f t="shared" si="18"/>
        <v>38</v>
      </c>
      <c r="C175">
        <f t="shared" si="21"/>
        <v>6</v>
      </c>
      <c r="D175" s="7">
        <f>'Eredmények konzervatív'!$B$6/12*(1+'Eredmények konzervatív'!$B$8)^('Havi számolás konzervatív'!B175-33)</f>
        <v>1258349.5085649574</v>
      </c>
      <c r="E175" s="7">
        <f t="shared" si="20"/>
        <v>13558786.663282273</v>
      </c>
      <c r="F175" s="7">
        <f>'Eredmények konzervatív'!$B$9*D175</f>
        <v>75500.970513897439</v>
      </c>
      <c r="G175" s="7">
        <f>SUM(E175:F175)*((1+'Eredmények konzervatív'!$B$10)^(1/12)-1)</f>
        <v>39142.658903387928</v>
      </c>
      <c r="H175" s="7">
        <f t="shared" si="19"/>
        <v>13673430.292699559</v>
      </c>
    </row>
    <row r="176" spans="1:8">
      <c r="A176">
        <f t="shared" si="17"/>
        <v>2042</v>
      </c>
      <c r="B176">
        <f t="shared" si="18"/>
        <v>38</v>
      </c>
      <c r="C176">
        <f t="shared" si="21"/>
        <v>7</v>
      </c>
      <c r="D176" s="7">
        <f>'Eredmények konzervatív'!$B$6/12*(1+'Eredmények konzervatív'!$B$8)^('Havi számolás konzervatív'!B176-33)</f>
        <v>1258349.5085649574</v>
      </c>
      <c r="E176" s="7">
        <f t="shared" si="20"/>
        <v>13673430.292699559</v>
      </c>
      <c r="F176" s="7">
        <f>'Eredmények konzervatív'!$B$9*D176</f>
        <v>75500.970513897439</v>
      </c>
      <c r="G176" s="7">
        <f>SUM(E176:F176)*((1+'Eredmények konzervatív'!$B$10)^(1/12)-1)</f>
        <v>39471.789152232312</v>
      </c>
      <c r="H176" s="7">
        <f t="shared" si="19"/>
        <v>13788403.052365689</v>
      </c>
    </row>
    <row r="177" spans="1:8">
      <c r="A177">
        <f t="shared" si="17"/>
        <v>2042</v>
      </c>
      <c r="B177">
        <f t="shared" si="18"/>
        <v>38</v>
      </c>
      <c r="C177">
        <f t="shared" si="21"/>
        <v>8</v>
      </c>
      <c r="D177" s="7">
        <f>'Eredmények konzervatív'!$B$6/12*(1+'Eredmények konzervatív'!$B$8)^('Havi számolás konzervatív'!B177-33)</f>
        <v>1258349.5085649574</v>
      </c>
      <c r="E177" s="7">
        <f t="shared" si="20"/>
        <v>13788403.052365689</v>
      </c>
      <c r="F177" s="7">
        <f>'Eredmények konzervatív'!$B$9*D177</f>
        <v>75500.970513897439</v>
      </c>
      <c r="G177" s="7">
        <f>SUM(E177:F177)*((1+'Eredmények konzervatív'!$B$10)^(1/12)-1)</f>
        <v>39801.86430068651</v>
      </c>
      <c r="H177" s="7">
        <f t="shared" si="19"/>
        <v>13903705.887180272</v>
      </c>
    </row>
    <row r="178" spans="1:8">
      <c r="A178">
        <f t="shared" si="17"/>
        <v>2042</v>
      </c>
      <c r="B178">
        <f t="shared" si="18"/>
        <v>38</v>
      </c>
      <c r="C178">
        <f t="shared" si="21"/>
        <v>9</v>
      </c>
      <c r="D178" s="7">
        <f>'Eredmények konzervatív'!$B$6/12*(1+'Eredmények konzervatív'!$B$8)^('Havi számolás konzervatív'!B178-33)</f>
        <v>1258349.5085649574</v>
      </c>
      <c r="E178" s="7">
        <f t="shared" si="20"/>
        <v>13903705.887180272</v>
      </c>
      <c r="F178" s="7">
        <f>'Eredmények konzervatív'!$B$9*D178</f>
        <v>75500.970513897439</v>
      </c>
      <c r="G178" s="7">
        <f>SUM(E178:F178)*((1+'Eredmények konzervatív'!$B$10)^(1/12)-1)</f>
        <v>40132.887061461603</v>
      </c>
      <c r="H178" s="7">
        <f t="shared" si="19"/>
        <v>14019339.744755631</v>
      </c>
    </row>
    <row r="179" spans="1:8">
      <c r="A179">
        <f t="shared" si="17"/>
        <v>2042</v>
      </c>
      <c r="B179">
        <f t="shared" si="18"/>
        <v>38</v>
      </c>
      <c r="C179">
        <f t="shared" si="21"/>
        <v>10</v>
      </c>
      <c r="D179" s="7">
        <f>'Eredmények konzervatív'!$B$6/12*(1+'Eredmények konzervatív'!$B$8)^('Havi számolás konzervatív'!B179-33)</f>
        <v>1258349.5085649574</v>
      </c>
      <c r="E179" s="7">
        <f t="shared" si="20"/>
        <v>14019339.744755631</v>
      </c>
      <c r="F179" s="7">
        <f>'Eredmények konzervatív'!$B$9*D179</f>
        <v>75500.970513897439</v>
      </c>
      <c r="G179" s="7">
        <f>SUM(E179:F179)*((1+'Eredmények konzervatív'!$B$10)^(1/12)-1)</f>
        <v>40464.860155056595</v>
      </c>
      <c r="H179" s="7">
        <f t="shared" si="19"/>
        <v>14135305.575424585</v>
      </c>
    </row>
    <row r="180" spans="1:8">
      <c r="A180">
        <f t="shared" si="17"/>
        <v>2042</v>
      </c>
      <c r="B180">
        <f t="shared" si="18"/>
        <v>38</v>
      </c>
      <c r="C180">
        <f t="shared" si="21"/>
        <v>11</v>
      </c>
      <c r="D180" s="7">
        <f>'Eredmények konzervatív'!$B$6/12*(1+'Eredmények konzervatív'!$B$8)^('Havi számolás konzervatív'!B180-33)</f>
        <v>1258349.5085649574</v>
      </c>
      <c r="E180" s="7">
        <f t="shared" si="20"/>
        <v>14135305.575424585</v>
      </c>
      <c r="F180" s="7">
        <f>'Eredmények konzervatív'!$B$9*D180</f>
        <v>75500.970513897439</v>
      </c>
      <c r="G180" s="7">
        <f>SUM(E180:F180)*((1+'Eredmények konzervatív'!$B$10)^(1/12)-1)</f>
        <v>40797.786309780749</v>
      </c>
      <c r="H180" s="7">
        <f t="shared" si="19"/>
        <v>14251604.332248263</v>
      </c>
    </row>
    <row r="181" spans="1:8">
      <c r="A181">
        <f t="shared" si="17"/>
        <v>2042</v>
      </c>
      <c r="B181">
        <f t="shared" si="18"/>
        <v>38</v>
      </c>
      <c r="C181">
        <f t="shared" si="21"/>
        <v>12</v>
      </c>
      <c r="D181" s="7">
        <f>'Eredmények konzervatív'!$B$6/12*(1+'Eredmények konzervatív'!$B$8)^('Havi számolás konzervatív'!B181-33)</f>
        <v>1258349.5085649574</v>
      </c>
      <c r="E181" s="7">
        <f t="shared" si="20"/>
        <v>14251604.332248263</v>
      </c>
      <c r="F181" s="7">
        <f>'Eredmények konzervatív'!$B$9*D181</f>
        <v>75500.970513897439</v>
      </c>
      <c r="G181" s="7">
        <f>SUM(E181:F181)*((1+'Eredmények konzervatív'!$B$10)^(1/12)-1)</f>
        <v>41131.668261776053</v>
      </c>
      <c r="H181" s="7">
        <f t="shared" si="19"/>
        <v>14368236.971023936</v>
      </c>
    </row>
    <row r="182" spans="1:8">
      <c r="A182">
        <f t="shared" si="17"/>
        <v>2043</v>
      </c>
      <c r="B182">
        <f t="shared" si="18"/>
        <v>39</v>
      </c>
      <c r="C182">
        <f t="shared" si="21"/>
        <v>1</v>
      </c>
      <c r="D182" s="7">
        <f>'Eredmények konzervatív'!$B$6/12*(1+'Eredmények konzervatív'!$B$8)^('Havi számolás konzervatív'!B182-33)</f>
        <v>1283516.4987362565</v>
      </c>
      <c r="E182" s="7">
        <f t="shared" si="20"/>
        <v>14368236.971023936</v>
      </c>
      <c r="F182" s="7">
        <f>'Eredmények konzervatív'!$B$9*D182</f>
        <v>77010.989924175388</v>
      </c>
      <c r="G182" s="7">
        <f>SUM(E182:F182)*((1+'Eredmények konzervatív'!$B$10)^(1/12)-1)</f>
        <v>41470.843867830408</v>
      </c>
      <c r="H182" s="7">
        <f t="shared" si="19"/>
        <v>14486718.804815942</v>
      </c>
    </row>
    <row r="183" spans="1:8">
      <c r="A183">
        <f t="shared" si="17"/>
        <v>2043</v>
      </c>
      <c r="B183">
        <f t="shared" si="18"/>
        <v>39</v>
      </c>
      <c r="C183">
        <f t="shared" si="21"/>
        <v>2</v>
      </c>
      <c r="D183" s="7">
        <f>'Eredmények konzervatív'!$B$6/12*(1+'Eredmények konzervatív'!$B$8)^('Havi számolás konzervatív'!B183-33)</f>
        <v>1283516.4987362565</v>
      </c>
      <c r="E183" s="7">
        <f t="shared" si="20"/>
        <v>14486718.804815942</v>
      </c>
      <c r="F183" s="7">
        <f>'Eredmények konzervatív'!$B$9*D183</f>
        <v>77010.989924175388</v>
      </c>
      <c r="G183" s="7">
        <f>SUM(E183:F183)*((1+'Eredmények konzervatív'!$B$10)^(1/12)-1)</f>
        <v>41810.993212697736</v>
      </c>
      <c r="H183" s="7">
        <f t="shared" si="19"/>
        <v>14605540.787952816</v>
      </c>
    </row>
    <row r="184" spans="1:8">
      <c r="A184">
        <f t="shared" si="17"/>
        <v>2043</v>
      </c>
      <c r="B184">
        <f t="shared" si="18"/>
        <v>39</v>
      </c>
      <c r="C184">
        <f t="shared" si="21"/>
        <v>3</v>
      </c>
      <c r="D184" s="7">
        <f>'Eredmények konzervatív'!$B$6/12*(1+'Eredmények konzervatív'!$B$8)^('Havi számolás konzervatív'!B184-33)</f>
        <v>1283516.4987362565</v>
      </c>
      <c r="E184" s="7">
        <f t="shared" si="20"/>
        <v>14605540.787952816</v>
      </c>
      <c r="F184" s="7">
        <f>'Eredmények konzervatív'!$B$9*D184</f>
        <v>77010.989924175388</v>
      </c>
      <c r="G184" s="7">
        <f>SUM(E184:F184)*((1+'Eredmények konzervatív'!$B$10)^(1/12)-1)</f>
        <v>42152.119091883535</v>
      </c>
      <c r="H184" s="7">
        <f t="shared" si="19"/>
        <v>14724703.896968875</v>
      </c>
    </row>
    <row r="185" spans="1:8">
      <c r="A185">
        <f t="shared" si="17"/>
        <v>2043</v>
      </c>
      <c r="B185">
        <f t="shared" si="18"/>
        <v>39</v>
      </c>
      <c r="C185">
        <f t="shared" si="21"/>
        <v>4</v>
      </c>
      <c r="D185" s="7">
        <f>'Eredmények konzervatív'!$B$6/12*(1+'Eredmények konzervatív'!$B$8)^('Havi számolás konzervatív'!B185-33)</f>
        <v>1283516.4987362565</v>
      </c>
      <c r="E185" s="7">
        <f t="shared" si="20"/>
        <v>14724703.896968875</v>
      </c>
      <c r="F185" s="7">
        <f>'Eredmények konzervatív'!$B$9*D185</f>
        <v>77010.989924175388</v>
      </c>
      <c r="G185" s="7">
        <f>SUM(E185:F185)*((1+'Eredmények konzervatív'!$B$10)^(1/12)-1)</f>
        <v>42494.224308918921</v>
      </c>
      <c r="H185" s="7">
        <f t="shared" si="19"/>
        <v>14844209.11120197</v>
      </c>
    </row>
    <row r="186" spans="1:8">
      <c r="A186">
        <f t="shared" si="17"/>
        <v>2043</v>
      </c>
      <c r="B186">
        <f t="shared" si="18"/>
        <v>39</v>
      </c>
      <c r="C186">
        <f t="shared" si="21"/>
        <v>5</v>
      </c>
      <c r="D186" s="7">
        <f>'Eredmények konzervatív'!$B$6/12*(1+'Eredmények konzervatív'!$B$8)^('Havi számolás konzervatív'!B186-33)</f>
        <v>1283516.4987362565</v>
      </c>
      <c r="E186" s="7">
        <f t="shared" si="20"/>
        <v>14844209.11120197</v>
      </c>
      <c r="F186" s="7">
        <f>'Eredmények konzervatív'!$B$9*D186</f>
        <v>77010.989924175388</v>
      </c>
      <c r="G186" s="7">
        <f>SUM(E186:F186)*((1+'Eredmények konzervatív'!$B$10)^(1/12)-1)</f>
        <v>42837.311675383695</v>
      </c>
      <c r="H186" s="7">
        <f t="shared" si="19"/>
        <v>14964057.412801528</v>
      </c>
    </row>
    <row r="187" spans="1:8">
      <c r="A187">
        <f t="shared" si="17"/>
        <v>2043</v>
      </c>
      <c r="B187">
        <f t="shared" si="18"/>
        <v>39</v>
      </c>
      <c r="C187">
        <f t="shared" si="21"/>
        <v>6</v>
      </c>
      <c r="D187" s="7">
        <f>'Eredmények konzervatív'!$B$6/12*(1+'Eredmények konzervatív'!$B$8)^('Havi számolás konzervatív'!B187-33)</f>
        <v>1283516.4987362565</v>
      </c>
      <c r="E187" s="7">
        <f t="shared" si="20"/>
        <v>14964057.412801528</v>
      </c>
      <c r="F187" s="7">
        <f>'Eredmények konzervatív'!$B$9*D187</f>
        <v>77010.989924175388</v>
      </c>
      <c r="G187" s="7">
        <f>SUM(E187:F187)*((1+'Eredmények konzervatív'!$B$10)^(1/12)-1)</f>
        <v>43181.384010929381</v>
      </c>
      <c r="H187" s="7">
        <f t="shared" si="19"/>
        <v>15084249.786736634</v>
      </c>
    </row>
    <row r="188" spans="1:8">
      <c r="A188">
        <f t="shared" si="17"/>
        <v>2043</v>
      </c>
      <c r="B188">
        <f t="shared" si="18"/>
        <v>39</v>
      </c>
      <c r="C188">
        <f t="shared" si="21"/>
        <v>7</v>
      </c>
      <c r="D188" s="7">
        <f>'Eredmények konzervatív'!$B$6/12*(1+'Eredmények konzervatív'!$B$8)^('Havi számolás konzervatív'!B188-33)</f>
        <v>1283516.4987362565</v>
      </c>
      <c r="E188" s="7">
        <f t="shared" si="20"/>
        <v>15084249.786736634</v>
      </c>
      <c r="F188" s="7">
        <f>'Eredmények konzervatív'!$B$9*D188</f>
        <v>77010.989924175388</v>
      </c>
      <c r="G188" s="7">
        <f>SUM(E188:F188)*((1+'Eredmények konzervatív'!$B$10)^(1/12)-1)</f>
        <v>43526.444143302455</v>
      </c>
      <c r="H188" s="7">
        <f t="shared" si="19"/>
        <v>15204787.220804112</v>
      </c>
    </row>
    <row r="189" spans="1:8">
      <c r="A189">
        <f t="shared" si="17"/>
        <v>2043</v>
      </c>
      <c r="B189">
        <f t="shared" si="18"/>
        <v>39</v>
      </c>
      <c r="C189">
        <f t="shared" si="21"/>
        <v>8</v>
      </c>
      <c r="D189" s="7">
        <f>'Eredmények konzervatív'!$B$6/12*(1+'Eredmények konzervatív'!$B$8)^('Havi számolás konzervatív'!B189-33)</f>
        <v>1283516.4987362565</v>
      </c>
      <c r="E189" s="7">
        <f t="shared" si="20"/>
        <v>15204787.220804112</v>
      </c>
      <c r="F189" s="7">
        <f>'Eredmények konzervatív'!$B$9*D189</f>
        <v>77010.989924175388</v>
      </c>
      <c r="G189" s="7">
        <f>SUM(E189:F189)*((1+'Eredmények konzervatív'!$B$10)^(1/12)-1)</f>
        <v>43872.49490836756</v>
      </c>
      <c r="H189" s="7">
        <f t="shared" si="19"/>
        <v>15325670.705636656</v>
      </c>
    </row>
    <row r="190" spans="1:8">
      <c r="A190">
        <f t="shared" si="17"/>
        <v>2043</v>
      </c>
      <c r="B190">
        <f t="shared" si="18"/>
        <v>39</v>
      </c>
      <c r="C190">
        <f t="shared" si="21"/>
        <v>9</v>
      </c>
      <c r="D190" s="7">
        <f>'Eredmények konzervatív'!$B$6/12*(1+'Eredmények konzervatív'!$B$8)^('Havi számolás konzervatív'!B190-33)</f>
        <v>1283516.4987362565</v>
      </c>
      <c r="E190" s="7">
        <f t="shared" si="20"/>
        <v>15325670.705636656</v>
      </c>
      <c r="F190" s="7">
        <f>'Eredmények konzervatív'!$B$9*D190</f>
        <v>77010.989924175388</v>
      </c>
      <c r="G190" s="7">
        <f>SUM(E190:F190)*((1+'Eredmények konzervatív'!$B$10)^(1/12)-1)</f>
        <v>44219.539150130833</v>
      </c>
      <c r="H190" s="7">
        <f t="shared" si="19"/>
        <v>15446901.234710962</v>
      </c>
    </row>
    <row r="191" spans="1:8">
      <c r="A191">
        <f t="shared" si="17"/>
        <v>2043</v>
      </c>
      <c r="B191">
        <f t="shared" si="18"/>
        <v>39</v>
      </c>
      <c r="C191">
        <f t="shared" si="21"/>
        <v>10</v>
      </c>
      <c r="D191" s="7">
        <f>'Eredmények konzervatív'!$B$6/12*(1+'Eredmények konzervatív'!$B$8)^('Havi számolás konzervatív'!B191-33)</f>
        <v>1283516.4987362565</v>
      </c>
      <c r="E191" s="7">
        <f t="shared" si="20"/>
        <v>15446901.234710962</v>
      </c>
      <c r="F191" s="7">
        <f>'Eredmények konzervatív'!$B$9*D191</f>
        <v>77010.989924175388</v>
      </c>
      <c r="G191" s="7">
        <f>SUM(E191:F191)*((1+'Eredmények konzervatív'!$B$10)^(1/12)-1)</f>
        <v>44567.579720763242</v>
      </c>
      <c r="H191" s="7">
        <f t="shared" si="19"/>
        <v>15568479.804355901</v>
      </c>
    </row>
    <row r="192" spans="1:8">
      <c r="A192">
        <f t="shared" si="17"/>
        <v>2043</v>
      </c>
      <c r="B192">
        <f t="shared" si="18"/>
        <v>39</v>
      </c>
      <c r="C192">
        <f t="shared" si="21"/>
        <v>11</v>
      </c>
      <c r="D192" s="7">
        <f>'Eredmények konzervatív'!$B$6/12*(1+'Eredmények konzervatív'!$B$8)^('Havi számolás konzervatív'!B192-33)</f>
        <v>1283516.4987362565</v>
      </c>
      <c r="E192" s="7">
        <f t="shared" si="20"/>
        <v>15568479.804355901</v>
      </c>
      <c r="F192" s="7">
        <f>'Eredmények konzervatív'!$B$9*D192</f>
        <v>77010.989924175388</v>
      </c>
      <c r="G192" s="7">
        <f>SUM(E192:F192)*((1+'Eredmények konzervatív'!$B$10)^(1/12)-1)</f>
        <v>44916.619480624067</v>
      </c>
      <c r="H192" s="7">
        <f t="shared" si="19"/>
        <v>15690407.413760701</v>
      </c>
    </row>
    <row r="193" spans="1:8">
      <c r="A193">
        <f t="shared" si="17"/>
        <v>2043</v>
      </c>
      <c r="B193">
        <f t="shared" si="18"/>
        <v>39</v>
      </c>
      <c r="C193">
        <f t="shared" si="21"/>
        <v>12</v>
      </c>
      <c r="D193" s="7">
        <f>'Eredmények konzervatív'!$B$6/12*(1+'Eredmények konzervatív'!$B$8)^('Havi számolás konzervatív'!B193-33)</f>
        <v>1283516.4987362565</v>
      </c>
      <c r="E193" s="7">
        <f t="shared" si="20"/>
        <v>15690407.413760701</v>
      </c>
      <c r="F193" s="7">
        <f>'Eredmények konzervatív'!$B$9*D193</f>
        <v>77010.989924175388</v>
      </c>
      <c r="G193" s="7">
        <f>SUM(E193:F193)*((1+'Eredmények konzervatív'!$B$10)^(1/12)-1)</f>
        <v>45266.661298284387</v>
      </c>
      <c r="H193" s="7">
        <f t="shared" si="19"/>
        <v>15812685.064983161</v>
      </c>
    </row>
    <row r="194" spans="1:8">
      <c r="A194">
        <f t="shared" si="17"/>
        <v>2044</v>
      </c>
      <c r="B194">
        <f t="shared" si="18"/>
        <v>40</v>
      </c>
      <c r="C194">
        <f t="shared" si="21"/>
        <v>1</v>
      </c>
      <c r="D194" s="7">
        <v>0</v>
      </c>
      <c r="E194" s="7">
        <f t="shared" si="20"/>
        <v>15812685.064983161</v>
      </c>
      <c r="F194" s="7">
        <f>'Eredmények konzervatív'!$B$9*D194</f>
        <v>0</v>
      </c>
      <c r="G194" s="7">
        <f>SUM(E194:F194)*((1+'Eredmények konzervatív'!$B$10)^(1/12)-1)</f>
        <v>45396.617298222511</v>
      </c>
      <c r="H194" s="7">
        <f t="shared" si="19"/>
        <v>15858081.682281384</v>
      </c>
    </row>
    <row r="195" spans="1:8">
      <c r="A195">
        <f t="shared" ref="A195:A258" si="22">INT((ROW(A194)-1)/12+2028)</f>
        <v>2044</v>
      </c>
      <c r="B195">
        <f t="shared" ref="B195:B258" si="23">INT((A195-2004)+(C195-1)/12)</f>
        <v>40</v>
      </c>
      <c r="C195">
        <f t="shared" si="21"/>
        <v>2</v>
      </c>
      <c r="D195" s="7">
        <v>0</v>
      </c>
      <c r="E195" s="7">
        <f t="shared" si="20"/>
        <v>15858081.682281384</v>
      </c>
      <c r="F195" s="7">
        <f>'Eredmények konzervatív'!$B$9*D195</f>
        <v>0</v>
      </c>
      <c r="G195" s="7">
        <f>SUM(E195:F195)*((1+'Eredmények konzervatív'!$B$10)^(1/12)-1)</f>
        <v>45526.946388674391</v>
      </c>
      <c r="H195" s="7">
        <f t="shared" ref="H195:H258" si="24">E195+F195+G195</f>
        <v>15903608.628670059</v>
      </c>
    </row>
    <row r="196" spans="1:8">
      <c r="A196">
        <f t="shared" si="22"/>
        <v>2044</v>
      </c>
      <c r="B196">
        <f t="shared" si="23"/>
        <v>40</v>
      </c>
      <c r="C196">
        <f t="shared" si="21"/>
        <v>3</v>
      </c>
      <c r="D196" s="7">
        <v>0</v>
      </c>
      <c r="E196" s="7">
        <f t="shared" si="20"/>
        <v>15903608.628670059</v>
      </c>
      <c r="F196" s="7">
        <f>'Eredmények konzervatív'!$B$9*D196</f>
        <v>0</v>
      </c>
      <c r="G196" s="7">
        <f>SUM(E196:F196)*((1+'Eredmények konzervatív'!$B$10)^(1/12)-1)</f>
        <v>45657.649640745105</v>
      </c>
      <c r="H196" s="7">
        <f t="shared" si="24"/>
        <v>15949266.278310804</v>
      </c>
    </row>
    <row r="197" spans="1:8">
      <c r="A197">
        <f t="shared" si="22"/>
        <v>2044</v>
      </c>
      <c r="B197">
        <f t="shared" si="23"/>
        <v>40</v>
      </c>
      <c r="C197">
        <f t="shared" si="21"/>
        <v>4</v>
      </c>
      <c r="D197" s="7">
        <v>0</v>
      </c>
      <c r="E197" s="7">
        <f t="shared" ref="E197:E260" si="25">H196</f>
        <v>15949266.278310804</v>
      </c>
      <c r="F197" s="7">
        <f>'Eredmények konzervatív'!$B$9*D197</f>
        <v>0</v>
      </c>
      <c r="G197" s="7">
        <f>SUM(E197:F197)*((1+'Eredmények konzervatív'!$B$10)^(1/12)-1)</f>
        <v>45788.72812861477</v>
      </c>
      <c r="H197" s="7">
        <f t="shared" si="24"/>
        <v>15995055.006439418</v>
      </c>
    </row>
    <row r="198" spans="1:8">
      <c r="A198">
        <f t="shared" si="22"/>
        <v>2044</v>
      </c>
      <c r="B198">
        <f t="shared" si="23"/>
        <v>40</v>
      </c>
      <c r="C198">
        <f t="shared" si="21"/>
        <v>5</v>
      </c>
      <c r="D198" s="7">
        <v>0</v>
      </c>
      <c r="E198" s="7">
        <f t="shared" si="25"/>
        <v>15995055.006439418</v>
      </c>
      <c r="F198" s="7">
        <f>'Eredmények konzervatív'!$B$9*D198</f>
        <v>0</v>
      </c>
      <c r="G198" s="7">
        <f>SUM(E198:F198)*((1+'Eredmények konzervatív'!$B$10)^(1/12)-1)</f>
        <v>45920.182929547358</v>
      </c>
      <c r="H198" s="7">
        <f t="shared" si="24"/>
        <v>16040975.189368965</v>
      </c>
    </row>
    <row r="199" spans="1:8">
      <c r="A199">
        <f t="shared" si="22"/>
        <v>2044</v>
      </c>
      <c r="B199">
        <f t="shared" si="23"/>
        <v>40</v>
      </c>
      <c r="C199">
        <f t="shared" si="21"/>
        <v>6</v>
      </c>
      <c r="D199" s="7">
        <v>0</v>
      </c>
      <c r="E199" s="7">
        <f t="shared" si="25"/>
        <v>16040975.189368965</v>
      </c>
      <c r="F199" s="7">
        <f>'Eredmények konzervatív'!$B$9*D199</f>
        <v>0</v>
      </c>
      <c r="G199" s="7">
        <f>SUM(E199:F199)*((1+'Eredmények konzervatív'!$B$10)^(1/12)-1)</f>
        <v>46052.01512389956</v>
      </c>
      <c r="H199" s="7">
        <f t="shared" si="24"/>
        <v>16087027.204492865</v>
      </c>
    </row>
    <row r="200" spans="1:8">
      <c r="A200">
        <f t="shared" si="22"/>
        <v>2044</v>
      </c>
      <c r="B200">
        <f t="shared" si="23"/>
        <v>40</v>
      </c>
      <c r="C200">
        <f t="shared" si="21"/>
        <v>7</v>
      </c>
      <c r="D200" s="7">
        <v>0</v>
      </c>
      <c r="E200" s="7">
        <f t="shared" si="25"/>
        <v>16087027.204492865</v>
      </c>
      <c r="F200" s="7">
        <f>'Eredmények konzervatív'!$B$9*D200</f>
        <v>0</v>
      </c>
      <c r="G200" s="7">
        <f>SUM(E200:F200)*((1+'Eredmények konzervatív'!$B$10)^(1/12)-1)</f>
        <v>46184.225795129663</v>
      </c>
      <c r="H200" s="7">
        <f t="shared" si="24"/>
        <v>16133211.430287994</v>
      </c>
    </row>
    <row r="201" spans="1:8">
      <c r="A201">
        <f t="shared" si="22"/>
        <v>2044</v>
      </c>
      <c r="B201">
        <f t="shared" si="23"/>
        <v>40</v>
      </c>
      <c r="C201">
        <f t="shared" si="21"/>
        <v>8</v>
      </c>
      <c r="D201" s="7">
        <v>0</v>
      </c>
      <c r="E201" s="7">
        <f t="shared" si="25"/>
        <v>16133211.430287994</v>
      </c>
      <c r="F201" s="7">
        <f>'Eredmények konzervatív'!$B$9*D201</f>
        <v>0</v>
      </c>
      <c r="G201" s="7">
        <f>SUM(E201:F201)*((1+'Eredmények konzervatív'!$B$10)^(1/12)-1)</f>
        <v>46316.816029806447</v>
      </c>
      <c r="H201" s="7">
        <f t="shared" si="24"/>
        <v>16179528.2463178</v>
      </c>
    </row>
    <row r="202" spans="1:8">
      <c r="A202">
        <f t="shared" si="22"/>
        <v>2044</v>
      </c>
      <c r="B202">
        <f t="shared" si="23"/>
        <v>40</v>
      </c>
      <c r="C202">
        <f t="shared" si="21"/>
        <v>9</v>
      </c>
      <c r="D202" s="7">
        <v>0</v>
      </c>
      <c r="E202" s="7">
        <f t="shared" si="25"/>
        <v>16179528.2463178</v>
      </c>
      <c r="F202" s="7">
        <f>'Eredmények konzervatív'!$B$9*D202</f>
        <v>0</v>
      </c>
      <c r="G202" s="7">
        <f>SUM(E202:F202)*((1+'Eredmények konzervatív'!$B$10)^(1/12)-1)</f>
        <v>46449.786917618127</v>
      </c>
      <c r="H202" s="7">
        <f t="shared" si="24"/>
        <v>16225978.033235418</v>
      </c>
    </row>
    <row r="203" spans="1:8">
      <c r="A203">
        <f t="shared" si="22"/>
        <v>2044</v>
      </c>
      <c r="B203">
        <f t="shared" si="23"/>
        <v>40</v>
      </c>
      <c r="C203">
        <f t="shared" si="21"/>
        <v>10</v>
      </c>
      <c r="D203" s="7">
        <v>0</v>
      </c>
      <c r="E203" s="7">
        <f t="shared" si="25"/>
        <v>16225978.033235418</v>
      </c>
      <c r="F203" s="7">
        <f>'Eredmények konzervatív'!$B$9*D203</f>
        <v>0</v>
      </c>
      <c r="G203" s="7">
        <f>SUM(E203:F203)*((1+'Eredmények konzervatív'!$B$10)^(1/12)-1)</f>
        <v>46583.139551381297</v>
      </c>
      <c r="H203" s="7">
        <f t="shared" si="24"/>
        <v>16272561.172786798</v>
      </c>
    </row>
    <row r="204" spans="1:8">
      <c r="A204">
        <f t="shared" si="22"/>
        <v>2044</v>
      </c>
      <c r="B204">
        <f t="shared" si="23"/>
        <v>40</v>
      </c>
      <c r="C204">
        <f t="shared" si="21"/>
        <v>11</v>
      </c>
      <c r="D204" s="7">
        <v>0</v>
      </c>
      <c r="E204" s="7">
        <f t="shared" si="25"/>
        <v>16272561.172786798</v>
      </c>
      <c r="F204" s="7">
        <f>'Eredmények konzervatív'!$B$9*D204</f>
        <v>0</v>
      </c>
      <c r="G204" s="7">
        <f>SUM(E204:F204)*((1+'Eredmények konzervatív'!$B$10)^(1/12)-1)</f>
        <v>46716.875027049922</v>
      </c>
      <c r="H204" s="7">
        <f t="shared" si="24"/>
        <v>16319278.047813848</v>
      </c>
    </row>
    <row r="205" spans="1:8">
      <c r="A205">
        <f t="shared" si="22"/>
        <v>2044</v>
      </c>
      <c r="B205">
        <f t="shared" si="23"/>
        <v>40</v>
      </c>
      <c r="C205">
        <f t="shared" si="21"/>
        <v>12</v>
      </c>
      <c r="D205" s="7">
        <v>0</v>
      </c>
      <c r="E205" s="7">
        <f t="shared" si="25"/>
        <v>16319278.047813848</v>
      </c>
      <c r="F205" s="7">
        <f>'Eredmények konzervatív'!$B$9*D205</f>
        <v>0</v>
      </c>
      <c r="G205" s="7">
        <f>SUM(E205:F205)*((1+'Eredmények konzervatív'!$B$10)^(1/12)-1)</f>
        <v>46850.994443724339</v>
      </c>
      <c r="H205" s="7">
        <f t="shared" si="24"/>
        <v>16366129.042257572</v>
      </c>
    </row>
    <row r="206" spans="1:8">
      <c r="A206">
        <f t="shared" si="22"/>
        <v>2045</v>
      </c>
      <c r="B206">
        <f t="shared" si="23"/>
        <v>41</v>
      </c>
      <c r="C206">
        <f t="shared" si="21"/>
        <v>1</v>
      </c>
      <c r="D206" s="7">
        <f>'Eredmények konzervatív'!$B$6/12*(1+'Eredmények konzervatív'!$B$8)^('Havi számolás konzervatív'!B206-33)</f>
        <v>1335370.5652852012</v>
      </c>
      <c r="E206" s="7">
        <f t="shared" si="25"/>
        <v>16366129.042257572</v>
      </c>
      <c r="F206" s="7">
        <f>'Eredmények konzervatív'!$B$9*D206</f>
        <v>80122.233917112069</v>
      </c>
      <c r="G206" s="7">
        <f>SUM(E206:F206)*((1+'Eredmények konzervatív'!$B$10)^(1/12)-1)</f>
        <v>47215.521722382487</v>
      </c>
      <c r="H206" s="7">
        <f t="shared" si="24"/>
        <v>16493466.797897065</v>
      </c>
    </row>
    <row r="207" spans="1:8">
      <c r="A207">
        <f t="shared" si="22"/>
        <v>2045</v>
      </c>
      <c r="B207">
        <f t="shared" si="23"/>
        <v>41</v>
      </c>
      <c r="C207">
        <f t="shared" si="21"/>
        <v>2</v>
      </c>
      <c r="D207" s="7">
        <f>'Eredmények konzervatív'!$B$6/12*(1+'Eredmények konzervatív'!$B$8)^('Havi számolás konzervatív'!B207-33)</f>
        <v>1335370.5652852012</v>
      </c>
      <c r="E207" s="7">
        <f t="shared" si="25"/>
        <v>16493466.797897065</v>
      </c>
      <c r="F207" s="7">
        <f>'Eredmények konzervatív'!$B$9*D207</f>
        <v>80122.233917112069</v>
      </c>
      <c r="G207" s="7">
        <f>SUM(E207:F207)*((1+'Eredmények konzervatív'!$B$10)^(1/12)-1)</f>
        <v>47581.095521938005</v>
      </c>
      <c r="H207" s="7">
        <f t="shared" si="24"/>
        <v>16621170.127336115</v>
      </c>
    </row>
    <row r="208" spans="1:8">
      <c r="A208">
        <f t="shared" si="22"/>
        <v>2045</v>
      </c>
      <c r="B208">
        <f t="shared" si="23"/>
        <v>41</v>
      </c>
      <c r="C208">
        <f t="shared" si="21"/>
        <v>3</v>
      </c>
      <c r="D208" s="7">
        <f>'Eredmények konzervatív'!$B$6/12*(1+'Eredmények konzervatív'!$B$8)^('Havi számolás konzervatív'!B208-33)</f>
        <v>1335370.5652852012</v>
      </c>
      <c r="E208" s="7">
        <f t="shared" si="25"/>
        <v>16621170.127336115</v>
      </c>
      <c r="F208" s="7">
        <f>'Eredmények konzervatív'!$B$9*D208</f>
        <v>80122.233917112069</v>
      </c>
      <c r="G208" s="7">
        <f>SUM(E208:F208)*((1+'Eredmények konzervatív'!$B$10)^(1/12)-1)</f>
        <v>47947.718846846394</v>
      </c>
      <c r="H208" s="7">
        <f t="shared" si="24"/>
        <v>16749240.080100073</v>
      </c>
    </row>
    <row r="209" spans="1:8">
      <c r="A209">
        <f t="shared" si="22"/>
        <v>2045</v>
      </c>
      <c r="B209">
        <f t="shared" si="23"/>
        <v>41</v>
      </c>
      <c r="C209">
        <f t="shared" si="21"/>
        <v>4</v>
      </c>
      <c r="D209" s="7">
        <f>'Eredmények konzervatív'!$B$6/12*(1+'Eredmények konzervatív'!$B$8)^('Havi számolás konzervatív'!B209-33)</f>
        <v>1335370.5652852012</v>
      </c>
      <c r="E209" s="7">
        <f t="shared" si="25"/>
        <v>16749240.080100073</v>
      </c>
      <c r="F209" s="7">
        <f>'Eredmények konzervatív'!$B$9*D209</f>
        <v>80122.233917112069</v>
      </c>
      <c r="G209" s="7">
        <f>SUM(E209:F209)*((1+'Eredmények konzervatív'!$B$10)^(1/12)-1)</f>
        <v>48315.394710188652</v>
      </c>
      <c r="H209" s="7">
        <f t="shared" si="24"/>
        <v>16877677.708727371</v>
      </c>
    </row>
    <row r="210" spans="1:8">
      <c r="A210">
        <f t="shared" si="22"/>
        <v>2045</v>
      </c>
      <c r="B210">
        <f t="shared" si="23"/>
        <v>41</v>
      </c>
      <c r="C210">
        <f t="shared" si="21"/>
        <v>5</v>
      </c>
      <c r="D210" s="7">
        <f>'Eredmények konzervatív'!$B$6/12*(1+'Eredmények konzervatív'!$B$8)^('Havi számolás konzervatív'!B210-33)</f>
        <v>1335370.5652852012</v>
      </c>
      <c r="E210" s="7">
        <f t="shared" si="25"/>
        <v>16877677.708727371</v>
      </c>
      <c r="F210" s="7">
        <f>'Eredmények konzervatív'!$B$9*D210</f>
        <v>80122.233917112069</v>
      </c>
      <c r="G210" s="7">
        <f>SUM(E210:F210)*((1+'Eredmények konzervatív'!$B$10)^(1/12)-1)</f>
        <v>48684.126133696009</v>
      </c>
      <c r="H210" s="7">
        <f t="shared" si="24"/>
        <v>17006484.06877818</v>
      </c>
    </row>
    <row r="211" spans="1:8">
      <c r="A211">
        <f t="shared" si="22"/>
        <v>2045</v>
      </c>
      <c r="B211">
        <f t="shared" si="23"/>
        <v>41</v>
      </c>
      <c r="C211">
        <f t="shared" si="21"/>
        <v>6</v>
      </c>
      <c r="D211" s="7">
        <f>'Eredmények konzervatív'!$B$6/12*(1+'Eredmények konzervatív'!$B$8)^('Havi számolás konzervatív'!B211-33)</f>
        <v>1335370.5652852012</v>
      </c>
      <c r="E211" s="7">
        <f t="shared" si="25"/>
        <v>17006484.06877818</v>
      </c>
      <c r="F211" s="7">
        <f>'Eredmények konzervatív'!$B$9*D211</f>
        <v>80122.233917112069</v>
      </c>
      <c r="G211" s="7">
        <f>SUM(E211:F211)*((1+'Eredmények konzervatív'!$B$10)^(1/12)-1)</f>
        <v>49053.916147774798</v>
      </c>
      <c r="H211" s="7">
        <f t="shared" si="24"/>
        <v>17135660.218843069</v>
      </c>
    </row>
    <row r="212" spans="1:8">
      <c r="A212">
        <f t="shared" si="22"/>
        <v>2045</v>
      </c>
      <c r="B212">
        <f t="shared" si="23"/>
        <v>41</v>
      </c>
      <c r="C212">
        <f t="shared" si="21"/>
        <v>7</v>
      </c>
      <c r="D212" s="7">
        <f>'Eredmények konzervatív'!$B$6/12*(1+'Eredmények konzervatív'!$B$8)^('Havi számolás konzervatív'!B212-33)</f>
        <v>1335370.5652852012</v>
      </c>
      <c r="E212" s="7">
        <f t="shared" si="25"/>
        <v>17135660.218843069</v>
      </c>
      <c r="F212" s="7">
        <f>'Eredmények konzervatív'!$B$9*D212</f>
        <v>80122.233917112069</v>
      </c>
      <c r="G212" s="7">
        <f>SUM(E212:F212)*((1+'Eredmények konzervatív'!$B$10)^(1/12)-1)</f>
        <v>49424.76779153134</v>
      </c>
      <c r="H212" s="7">
        <f t="shared" si="24"/>
        <v>17265207.220551714</v>
      </c>
    </row>
    <row r="213" spans="1:8">
      <c r="A213">
        <f t="shared" si="22"/>
        <v>2045</v>
      </c>
      <c r="B213">
        <f t="shared" si="23"/>
        <v>41</v>
      </c>
      <c r="C213">
        <f t="shared" si="21"/>
        <v>8</v>
      </c>
      <c r="D213" s="7">
        <f>'Eredmények konzervatív'!$B$6/12*(1+'Eredmények konzervatív'!$B$8)^('Havi számolás konzervatív'!B213-33)</f>
        <v>1335370.5652852012</v>
      </c>
      <c r="E213" s="7">
        <f t="shared" si="25"/>
        <v>17265207.220551714</v>
      </c>
      <c r="F213" s="7">
        <f>'Eredmények konzervatív'!$B$9*D213</f>
        <v>80122.233917112069</v>
      </c>
      <c r="G213" s="7">
        <f>SUM(E213:F213)*((1+'Eredmények konzervatív'!$B$10)^(1/12)-1)</f>
        <v>49796.684112796909</v>
      </c>
      <c r="H213" s="7">
        <f t="shared" si="24"/>
        <v>17395126.138581626</v>
      </c>
    </row>
    <row r="214" spans="1:8">
      <c r="A214">
        <f t="shared" si="22"/>
        <v>2045</v>
      </c>
      <c r="B214">
        <f t="shared" si="23"/>
        <v>41</v>
      </c>
      <c r="C214">
        <f t="shared" si="21"/>
        <v>9</v>
      </c>
      <c r="D214" s="7">
        <f>'Eredmények konzervatív'!$B$6/12*(1+'Eredmények konzervatív'!$B$8)^('Havi számolás konzervatív'!B214-33)</f>
        <v>1335370.5652852012</v>
      </c>
      <c r="E214" s="7">
        <f t="shared" si="25"/>
        <v>17395126.138581626</v>
      </c>
      <c r="F214" s="7">
        <f>'Eredmények konzervatív'!$B$9*D214</f>
        <v>80122.233917112069</v>
      </c>
      <c r="G214" s="7">
        <f>SUM(E214:F214)*((1+'Eredmények konzervatív'!$B$10)^(1/12)-1)</f>
        <v>50169.668168152806</v>
      </c>
      <c r="H214" s="7">
        <f t="shared" si="24"/>
        <v>17525418.040666893</v>
      </c>
    </row>
    <row r="215" spans="1:8">
      <c r="A215">
        <f t="shared" si="22"/>
        <v>2045</v>
      </c>
      <c r="B215">
        <f t="shared" si="23"/>
        <v>41</v>
      </c>
      <c r="C215">
        <f t="shared" si="21"/>
        <v>10</v>
      </c>
      <c r="D215" s="7">
        <f>'Eredmények konzervatív'!$B$6/12*(1+'Eredmények konzervatív'!$B$8)^('Havi számolás konzervatív'!B215-33)</f>
        <v>1335370.5652852012</v>
      </c>
      <c r="E215" s="7">
        <f t="shared" si="25"/>
        <v>17525418.040666893</v>
      </c>
      <c r="F215" s="7">
        <f>'Eredmények konzervatív'!$B$9*D215</f>
        <v>80122.233917112069</v>
      </c>
      <c r="G215" s="7">
        <f>SUM(E215:F215)*((1+'Eredmények konzervatív'!$B$10)^(1/12)-1)</f>
        <v>50543.723022955463</v>
      </c>
      <c r="H215" s="7">
        <f t="shared" si="24"/>
        <v>17656083.997606963</v>
      </c>
    </row>
    <row r="216" spans="1:8">
      <c r="A216">
        <f t="shared" si="22"/>
        <v>2045</v>
      </c>
      <c r="B216">
        <f t="shared" si="23"/>
        <v>41</v>
      </c>
      <c r="C216">
        <f t="shared" si="21"/>
        <v>11</v>
      </c>
      <c r="D216" s="7">
        <f>'Eredmények konzervatív'!$B$6/12*(1+'Eredmények konzervatív'!$B$8)^('Havi számolás konzervatív'!B216-33)</f>
        <v>1335370.5652852012</v>
      </c>
      <c r="E216" s="7">
        <f t="shared" si="25"/>
        <v>17656083.997606963</v>
      </c>
      <c r="F216" s="7">
        <f>'Eredmények konzervatív'!$B$9*D216</f>
        <v>80122.233917112069</v>
      </c>
      <c r="G216" s="7">
        <f>SUM(E216:F216)*((1+'Eredmények konzervatív'!$B$10)^(1/12)-1)</f>
        <v>50918.851751361632</v>
      </c>
      <c r="H216" s="7">
        <f t="shared" si="24"/>
        <v>17787125.083275437</v>
      </c>
    </row>
    <row r="217" spans="1:8">
      <c r="A217">
        <f t="shared" si="22"/>
        <v>2045</v>
      </c>
      <c r="B217">
        <f t="shared" si="23"/>
        <v>41</v>
      </c>
      <c r="C217">
        <f t="shared" si="21"/>
        <v>12</v>
      </c>
      <c r="D217" s="7">
        <f>'Eredmények konzervatív'!$B$6/12*(1+'Eredmények konzervatív'!$B$8)^('Havi számolás konzervatív'!B217-33)</f>
        <v>1335370.5652852012</v>
      </c>
      <c r="E217" s="7">
        <f t="shared" si="25"/>
        <v>17787125.083275437</v>
      </c>
      <c r="F217" s="7">
        <f>'Eredmények konzervatív'!$B$9*D217</f>
        <v>80122.233917112069</v>
      </c>
      <c r="G217" s="7">
        <f>SUM(E217:F217)*((1+'Eredmények konzervatív'!$B$10)^(1/12)-1)</f>
        <v>51295.057436353665</v>
      </c>
      <c r="H217" s="7">
        <f t="shared" si="24"/>
        <v>17918542.374628905</v>
      </c>
    </row>
    <row r="218" spans="1:8">
      <c r="A218">
        <f t="shared" si="22"/>
        <v>2046</v>
      </c>
      <c r="B218">
        <f t="shared" si="23"/>
        <v>42</v>
      </c>
      <c r="C218">
        <f t="shared" si="21"/>
        <v>1</v>
      </c>
      <c r="D218" s="7">
        <f>'Eredmények konzervatív'!$B$6/12*(1+'Eredmények konzervatív'!$B$8)^('Havi számolás konzervatív'!B218-33)</f>
        <v>1362077.9765909051</v>
      </c>
      <c r="E218" s="7">
        <f t="shared" si="25"/>
        <v>17918542.374628905</v>
      </c>
      <c r="F218" s="7">
        <f>'Eredmények konzervatív'!$B$9*D218</f>
        <v>81724.678595454301</v>
      </c>
      <c r="G218" s="7">
        <f>SUM(E218:F218)*((1+'Eredmények konzervatív'!$B$10)^(1/12)-1)</f>
        <v>51676.943626139298</v>
      </c>
      <c r="H218" s="7">
        <f t="shared" si="24"/>
        <v>18051943.996850498</v>
      </c>
    </row>
    <row r="219" spans="1:8">
      <c r="A219">
        <f t="shared" si="22"/>
        <v>2046</v>
      </c>
      <c r="B219">
        <f t="shared" si="23"/>
        <v>42</v>
      </c>
      <c r="C219">
        <f t="shared" si="21"/>
        <v>2</v>
      </c>
      <c r="D219" s="7">
        <f>'Eredmények konzervatív'!$B$6/12*(1+'Eredmények konzervatív'!$B$8)^('Havi számolás konzervatív'!B219-33)</f>
        <v>1362077.9765909051</v>
      </c>
      <c r="E219" s="7">
        <f t="shared" si="25"/>
        <v>18051943.996850498</v>
      </c>
      <c r="F219" s="7">
        <f>'Eredmények konzervatív'!$B$9*D219</f>
        <v>81724.678595454301</v>
      </c>
      <c r="G219" s="7">
        <f>SUM(E219:F219)*((1+'Eredmények konzervatív'!$B$10)^(1/12)-1)</f>
        <v>52059.92617249801</v>
      </c>
      <c r="H219" s="7">
        <f t="shared" si="24"/>
        <v>18185728.60161845</v>
      </c>
    </row>
    <row r="220" spans="1:8">
      <c r="A220">
        <f t="shared" si="22"/>
        <v>2046</v>
      </c>
      <c r="B220">
        <f t="shared" si="23"/>
        <v>42</v>
      </c>
      <c r="C220">
        <f t="shared" si="21"/>
        <v>3</v>
      </c>
      <c r="D220" s="7">
        <f>'Eredmények konzervatív'!$B$6/12*(1+'Eredmények konzervatív'!$B$8)^('Havi számolás konzervatív'!B220-33)</f>
        <v>1362077.9765909051</v>
      </c>
      <c r="E220" s="7">
        <f t="shared" si="25"/>
        <v>18185728.60161845</v>
      </c>
      <c r="F220" s="7">
        <f>'Eredmények konzervatív'!$B$9*D220</f>
        <v>81724.678595454301</v>
      </c>
      <c r="G220" s="7">
        <f>SUM(E220:F220)*((1+'Eredmények konzervatív'!$B$10)^(1/12)-1)</f>
        <v>52444.008222958502</v>
      </c>
      <c r="H220" s="7">
        <f t="shared" si="24"/>
        <v>18319897.288436864</v>
      </c>
    </row>
    <row r="221" spans="1:8">
      <c r="A221">
        <f t="shared" si="22"/>
        <v>2046</v>
      </c>
      <c r="B221">
        <f t="shared" si="23"/>
        <v>42</v>
      </c>
      <c r="C221">
        <f t="shared" si="21"/>
        <v>4</v>
      </c>
      <c r="D221" s="7">
        <f>'Eredmények konzervatív'!$B$6/12*(1+'Eredmények konzervatív'!$B$8)^('Havi számolás konzervatív'!B221-33)</f>
        <v>1362077.9765909051</v>
      </c>
      <c r="E221" s="7">
        <f t="shared" si="25"/>
        <v>18319897.288436864</v>
      </c>
      <c r="F221" s="7">
        <f>'Eredmények konzervatív'!$B$9*D221</f>
        <v>81724.678595454301</v>
      </c>
      <c r="G221" s="7">
        <f>SUM(E221:F221)*((1+'Eredmények konzervatív'!$B$10)^(1/12)-1)</f>
        <v>52829.19293408568</v>
      </c>
      <c r="H221" s="7">
        <f t="shared" si="24"/>
        <v>18454451.159966402</v>
      </c>
    </row>
    <row r="222" spans="1:8">
      <c r="A222">
        <f t="shared" si="22"/>
        <v>2046</v>
      </c>
      <c r="B222">
        <f t="shared" si="23"/>
        <v>42</v>
      </c>
      <c r="C222">
        <f t="shared" si="21"/>
        <v>5</v>
      </c>
      <c r="D222" s="7">
        <f>'Eredmények konzervatív'!$B$6/12*(1+'Eredmények konzervatív'!$B$8)^('Havi számolás konzervatív'!B222-33)</f>
        <v>1362077.9765909051</v>
      </c>
      <c r="E222" s="7">
        <f t="shared" si="25"/>
        <v>18454451.159966402</v>
      </c>
      <c r="F222" s="7">
        <f>'Eredmények konzervatív'!$B$9*D222</f>
        <v>81724.678595454301</v>
      </c>
      <c r="G222" s="7">
        <f>SUM(E222:F222)*((1+'Eredmények konzervatív'!$B$10)^(1/12)-1)</f>
        <v>53215.483471506632</v>
      </c>
      <c r="H222" s="7">
        <f t="shared" si="24"/>
        <v>18589391.322033361</v>
      </c>
    </row>
    <row r="223" spans="1:8">
      <c r="A223">
        <f t="shared" si="22"/>
        <v>2046</v>
      </c>
      <c r="B223">
        <f t="shared" si="23"/>
        <v>42</v>
      </c>
      <c r="C223">
        <f t="shared" si="21"/>
        <v>6</v>
      </c>
      <c r="D223" s="7">
        <f>'Eredmények konzervatív'!$B$6/12*(1+'Eredmények konzervatív'!$B$8)^('Havi számolás konzervatív'!B223-33)</f>
        <v>1362077.9765909051</v>
      </c>
      <c r="E223" s="7">
        <f t="shared" si="25"/>
        <v>18589391.322033361</v>
      </c>
      <c r="F223" s="7">
        <f>'Eredmények konzervatív'!$B$9*D223</f>
        <v>81724.678595454301</v>
      </c>
      <c r="G223" s="7">
        <f>SUM(E223:F223)*((1+'Eredmények konzervatív'!$B$10)^(1/12)-1)</f>
        <v>53602.883009936661</v>
      </c>
      <c r="H223" s="7">
        <f t="shared" si="24"/>
        <v>18724718.883638751</v>
      </c>
    </row>
    <row r="224" spans="1:8">
      <c r="A224">
        <f t="shared" si="22"/>
        <v>2046</v>
      </c>
      <c r="B224">
        <f t="shared" si="23"/>
        <v>42</v>
      </c>
      <c r="C224">
        <f t="shared" si="21"/>
        <v>7</v>
      </c>
      <c r="D224" s="7">
        <f>'Eredmények konzervatív'!$B$6/12*(1+'Eredmények konzervatív'!$B$8)^('Havi számolás konzervatív'!B224-33)</f>
        <v>1362077.9765909051</v>
      </c>
      <c r="E224" s="7">
        <f t="shared" si="25"/>
        <v>18724718.883638751</v>
      </c>
      <c r="F224" s="7">
        <f>'Eredmények konzervatív'!$B$9*D224</f>
        <v>81724.678595454301</v>
      </c>
      <c r="G224" s="7">
        <f>SUM(E224:F224)*((1+'Eredmények konzervatív'!$B$10)^(1/12)-1)</f>
        <v>53991.394733205343</v>
      </c>
      <c r="H224" s="7">
        <f t="shared" si="24"/>
        <v>18860434.95696741</v>
      </c>
    </row>
    <row r="225" spans="1:8">
      <c r="A225">
        <f t="shared" si="22"/>
        <v>2046</v>
      </c>
      <c r="B225">
        <f t="shared" si="23"/>
        <v>42</v>
      </c>
      <c r="C225">
        <f t="shared" si="21"/>
        <v>8</v>
      </c>
      <c r="D225" s="7">
        <f>'Eredmények konzervatív'!$B$6/12*(1+'Eredmények konzervatív'!$B$8)^('Havi számolás konzervatív'!B225-33)</f>
        <v>1362077.9765909051</v>
      </c>
      <c r="E225" s="7">
        <f t="shared" si="25"/>
        <v>18860434.95696741</v>
      </c>
      <c r="F225" s="7">
        <f>'Eredmények konzervatív'!$B$9*D225</f>
        <v>81724.678595454301</v>
      </c>
      <c r="G225" s="7">
        <f>SUM(E225:F225)*((1+'Eredmények konzervatív'!$B$10)^(1/12)-1)</f>
        <v>54381.021834282699</v>
      </c>
      <c r="H225" s="7">
        <f t="shared" si="24"/>
        <v>18996540.657397147</v>
      </c>
    </row>
    <row r="226" spans="1:8">
      <c r="A226">
        <f t="shared" si="22"/>
        <v>2046</v>
      </c>
      <c r="B226">
        <f t="shared" si="23"/>
        <v>42</v>
      </c>
      <c r="C226">
        <f t="shared" si="21"/>
        <v>9</v>
      </c>
      <c r="D226" s="7">
        <f>'Eredmények konzervatív'!$B$6/12*(1+'Eredmények konzervatív'!$B$8)^('Havi számolás konzervatív'!B226-33)</f>
        <v>1362077.9765909051</v>
      </c>
      <c r="E226" s="7">
        <f t="shared" si="25"/>
        <v>18996540.657397147</v>
      </c>
      <c r="F226" s="7">
        <f>'Eredmények konzervatív'!$B$9*D226</f>
        <v>81724.678595454301</v>
      </c>
      <c r="G226" s="7">
        <f>SUM(E226:F226)*((1+'Eredmények konzervatív'!$B$10)^(1/12)-1)</f>
        <v>54771.767515305459</v>
      </c>
      <c r="H226" s="7">
        <f t="shared" si="24"/>
        <v>19133037.103507906</v>
      </c>
    </row>
    <row r="227" spans="1:8">
      <c r="A227">
        <f t="shared" si="22"/>
        <v>2046</v>
      </c>
      <c r="B227">
        <f t="shared" si="23"/>
        <v>42</v>
      </c>
      <c r="C227">
        <f t="shared" si="21"/>
        <v>10</v>
      </c>
      <c r="D227" s="7">
        <f>'Eredmények konzervatív'!$B$6/12*(1+'Eredmények konzervatív'!$B$8)^('Havi számolás konzervatív'!B227-33)</f>
        <v>1362077.9765909051</v>
      </c>
      <c r="E227" s="7">
        <f t="shared" si="25"/>
        <v>19133037.103507906</v>
      </c>
      <c r="F227" s="7">
        <f>'Eredmények konzervatív'!$B$9*D227</f>
        <v>81724.678595454301</v>
      </c>
      <c r="G227" s="7">
        <f>SUM(E227:F227)*((1+'Eredmények konzervatív'!$B$10)^(1/12)-1)</f>
        <v>55163.634987603356</v>
      </c>
      <c r="H227" s="7">
        <f t="shared" si="24"/>
        <v>19269925.417090964</v>
      </c>
    </row>
    <row r="228" spans="1:8">
      <c r="A228">
        <f t="shared" si="22"/>
        <v>2046</v>
      </c>
      <c r="B228">
        <f t="shared" si="23"/>
        <v>42</v>
      </c>
      <c r="C228">
        <f t="shared" si="21"/>
        <v>11</v>
      </c>
      <c r="D228" s="7">
        <f>'Eredmények konzervatív'!$B$6/12*(1+'Eredmények konzervatív'!$B$8)^('Havi számolás konzervatív'!B228-33)</f>
        <v>1362077.9765909051</v>
      </c>
      <c r="E228" s="7">
        <f t="shared" si="25"/>
        <v>19269925.417090964</v>
      </c>
      <c r="F228" s="7">
        <f>'Eredmények konzervatív'!$B$9*D228</f>
        <v>81724.678595454301</v>
      </c>
      <c r="G228" s="7">
        <f>SUM(E228:F228)*((1+'Eredmények konzervatív'!$B$10)^(1/12)-1)</f>
        <v>55556.627471725515</v>
      </c>
      <c r="H228" s="7">
        <f t="shared" si="24"/>
        <v>19407206.723158143</v>
      </c>
    </row>
    <row r="229" spans="1:8">
      <c r="A229">
        <f t="shared" si="22"/>
        <v>2046</v>
      </c>
      <c r="B229">
        <f t="shared" si="23"/>
        <v>42</v>
      </c>
      <c r="C229">
        <f t="shared" si="21"/>
        <v>12</v>
      </c>
      <c r="D229" s="7">
        <f>'Eredmények konzervatív'!$B$6/12*(1+'Eredmények konzervatív'!$B$8)^('Havi számolás konzervatív'!B229-33)</f>
        <v>1362077.9765909051</v>
      </c>
      <c r="E229" s="7">
        <f t="shared" si="25"/>
        <v>19407206.723158143</v>
      </c>
      <c r="F229" s="7">
        <f>'Eredmények konzervatív'!$B$9*D229</f>
        <v>81724.678595454301</v>
      </c>
      <c r="G229" s="7">
        <f>SUM(E229:F229)*((1+'Eredmények konzervatív'!$B$10)^(1/12)-1)</f>
        <v>55950.74819746695</v>
      </c>
      <c r="H229" s="7">
        <f t="shared" si="24"/>
        <v>19544882.149951063</v>
      </c>
    </row>
    <row r="230" spans="1:8">
      <c r="A230">
        <f t="shared" si="22"/>
        <v>2047</v>
      </c>
      <c r="B230">
        <f t="shared" si="23"/>
        <v>43</v>
      </c>
      <c r="C230">
        <f t="shared" si="21"/>
        <v>1</v>
      </c>
      <c r="D230" s="7">
        <f>'Eredmények konzervatív'!$B$6/12*(1+'Eredmények konzervatív'!$B$8)^('Havi számolás konzervatív'!B230-33)</f>
        <v>1389319.5361227232</v>
      </c>
      <c r="E230" s="7">
        <f t="shared" si="25"/>
        <v>19544882.149951063</v>
      </c>
      <c r="F230" s="7">
        <f>'Eredmények konzervatív'!$B$9*D230</f>
        <v>83359.172167363387</v>
      </c>
      <c r="G230" s="7">
        <f>SUM(E230:F230)*((1+'Eredmények konzervatív'!$B$10)^(1/12)-1)</f>
        <v>56350.692869397011</v>
      </c>
      <c r="H230" s="7">
        <f t="shared" si="24"/>
        <v>19684592.014987826</v>
      </c>
    </row>
    <row r="231" spans="1:8">
      <c r="A231">
        <f t="shared" si="22"/>
        <v>2047</v>
      </c>
      <c r="B231">
        <f t="shared" si="23"/>
        <v>43</v>
      </c>
      <c r="C231">
        <f t="shared" si="21"/>
        <v>2</v>
      </c>
      <c r="D231" s="7">
        <f>'Eredmények konzervatív'!$B$6/12*(1+'Eredmények konzervatív'!$B$8)^('Havi számolás konzervatív'!B231-33)</f>
        <v>1389319.5361227232</v>
      </c>
      <c r="E231" s="7">
        <f t="shared" si="25"/>
        <v>19684592.014987826</v>
      </c>
      <c r="F231" s="7">
        <f>'Eredmények konzervatív'!$B$9*D231</f>
        <v>83359.172167363387</v>
      </c>
      <c r="G231" s="7">
        <f>SUM(E231:F231)*((1+'Eredmények konzervatív'!$B$10)^(1/12)-1)</f>
        <v>56751.785741973428</v>
      </c>
      <c r="H231" s="7">
        <f t="shared" si="24"/>
        <v>19824702.972897165</v>
      </c>
    </row>
    <row r="232" spans="1:8">
      <c r="A232">
        <f t="shared" si="22"/>
        <v>2047</v>
      </c>
      <c r="B232">
        <f t="shared" si="23"/>
        <v>43</v>
      </c>
      <c r="C232">
        <f t="shared" si="21"/>
        <v>3</v>
      </c>
      <c r="D232" s="7">
        <f>'Eredmények konzervatív'!$B$6/12*(1+'Eredmények konzervatív'!$B$8)^('Havi számolás konzervatív'!B232-33)</f>
        <v>1389319.5361227232</v>
      </c>
      <c r="E232" s="7">
        <f t="shared" si="25"/>
        <v>19824702.972897165</v>
      </c>
      <c r="F232" s="7">
        <f>'Eredmények konzervatív'!$B$9*D232</f>
        <v>83359.172167363387</v>
      </c>
      <c r="G232" s="7">
        <f>SUM(E232:F232)*((1+'Eredmények konzervatív'!$B$10)^(1/12)-1)</f>
        <v>57154.030111563945</v>
      </c>
      <c r="H232" s="7">
        <f t="shared" si="24"/>
        <v>19965216.175176091</v>
      </c>
    </row>
    <row r="233" spans="1:8">
      <c r="A233">
        <f t="shared" si="22"/>
        <v>2047</v>
      </c>
      <c r="B233">
        <f t="shared" si="23"/>
        <v>43</v>
      </c>
      <c r="C233">
        <f t="shared" si="21"/>
        <v>4</v>
      </c>
      <c r="D233" s="7">
        <f>'Eredmények konzervatív'!$B$6/12*(1+'Eredmények konzervatív'!$B$8)^('Havi számolás konzervatív'!B233-33)</f>
        <v>1389319.5361227232</v>
      </c>
      <c r="E233" s="7">
        <f t="shared" si="25"/>
        <v>19965216.175176091</v>
      </c>
      <c r="F233" s="7">
        <f>'Eredmények konzervatív'!$B$9*D233</f>
        <v>83359.172167363387</v>
      </c>
      <c r="G233" s="7">
        <f>SUM(E233:F233)*((1+'Eredmények konzervatív'!$B$10)^(1/12)-1)</f>
        <v>57557.429283999874</v>
      </c>
      <c r="H233" s="7">
        <f t="shared" si="24"/>
        <v>20106132.776627455</v>
      </c>
    </row>
    <row r="234" spans="1:8">
      <c r="A234">
        <f t="shared" si="22"/>
        <v>2047</v>
      </c>
      <c r="B234">
        <f t="shared" si="23"/>
        <v>43</v>
      </c>
      <c r="C234">
        <f t="shared" si="21"/>
        <v>5</v>
      </c>
      <c r="D234" s="7">
        <f>'Eredmények konzervatív'!$B$6/12*(1+'Eredmények konzervatív'!$B$8)^('Havi számolás konzervatív'!B234-33)</f>
        <v>1389319.5361227232</v>
      </c>
      <c r="E234" s="7">
        <f t="shared" si="25"/>
        <v>20106132.776627455</v>
      </c>
      <c r="F234" s="7">
        <f>'Eredmények konzervatív'!$B$9*D234</f>
        <v>83359.172167363387</v>
      </c>
      <c r="G234" s="7">
        <f>SUM(E234:F234)*((1+'Eredmények konzervatív'!$B$10)^(1/12)-1)</f>
        <v>57961.98657460323</v>
      </c>
      <c r="H234" s="7">
        <f t="shared" si="24"/>
        <v>20247453.935369421</v>
      </c>
    </row>
    <row r="235" spans="1:8">
      <c r="A235">
        <f t="shared" si="22"/>
        <v>2047</v>
      </c>
      <c r="B235">
        <f t="shared" si="23"/>
        <v>43</v>
      </c>
      <c r="C235">
        <f t="shared" si="21"/>
        <v>6</v>
      </c>
      <c r="D235" s="7">
        <f>'Eredmények konzervatív'!$B$6/12*(1+'Eredmények konzervatív'!$B$8)^('Havi számolás konzervatív'!B235-33)</f>
        <v>1389319.5361227232</v>
      </c>
      <c r="E235" s="7">
        <f t="shared" si="25"/>
        <v>20247453.935369421</v>
      </c>
      <c r="F235" s="7">
        <f>'Eredmények konzervatív'!$B$9*D235</f>
        <v>83359.172167363387</v>
      </c>
      <c r="G235" s="7">
        <f>SUM(E235:F235)*((1+'Eredmények konzervatív'!$B$10)^(1/12)-1)</f>
        <v>58367.705308213961</v>
      </c>
      <c r="H235" s="7">
        <f t="shared" si="24"/>
        <v>20389180.812844999</v>
      </c>
    </row>
    <row r="236" spans="1:8">
      <c r="A236">
        <f t="shared" si="22"/>
        <v>2047</v>
      </c>
      <c r="B236">
        <f t="shared" si="23"/>
        <v>43</v>
      </c>
      <c r="C236">
        <f t="shared" ref="C236:C299" si="26">C224</f>
        <v>7</v>
      </c>
      <c r="D236" s="7">
        <f>'Eredmények konzervatív'!$B$6/12*(1+'Eredmények konzervatív'!$B$8)^('Havi számolás konzervatív'!B236-33)</f>
        <v>1389319.5361227232</v>
      </c>
      <c r="E236" s="7">
        <f t="shared" si="25"/>
        <v>20389180.812844999</v>
      </c>
      <c r="F236" s="7">
        <f>'Eredmények konzervatív'!$B$9*D236</f>
        <v>83359.172167363387</v>
      </c>
      <c r="G236" s="7">
        <f>SUM(E236:F236)*((1+'Eredmények konzervatív'!$B$10)^(1/12)-1)</f>
        <v>58774.588819217337</v>
      </c>
      <c r="H236" s="7">
        <f t="shared" si="24"/>
        <v>20531314.573831581</v>
      </c>
    </row>
    <row r="237" spans="1:8">
      <c r="A237">
        <f t="shared" si="22"/>
        <v>2047</v>
      </c>
      <c r="B237">
        <f t="shared" si="23"/>
        <v>43</v>
      </c>
      <c r="C237">
        <f t="shared" si="26"/>
        <v>8</v>
      </c>
      <c r="D237" s="7">
        <f>'Eredmények konzervatív'!$B$6/12*(1+'Eredmények konzervatív'!$B$8)^('Havi számolás konzervatív'!B237-33)</f>
        <v>1389319.5361227232</v>
      </c>
      <c r="E237" s="7">
        <f t="shared" si="25"/>
        <v>20531314.573831581</v>
      </c>
      <c r="F237" s="7">
        <f>'Eredmények konzervatív'!$B$9*D237</f>
        <v>83359.172167363387</v>
      </c>
      <c r="G237" s="7">
        <f>SUM(E237:F237)*((1+'Eredmények konzervatív'!$B$10)^(1/12)-1)</f>
        <v>59182.640451571257</v>
      </c>
      <c r="H237" s="7">
        <f t="shared" si="24"/>
        <v>20673856.386450518</v>
      </c>
    </row>
    <row r="238" spans="1:8">
      <c r="A238">
        <f t="shared" si="22"/>
        <v>2047</v>
      </c>
      <c r="B238">
        <f t="shared" si="23"/>
        <v>43</v>
      </c>
      <c r="C238">
        <f t="shared" si="26"/>
        <v>9</v>
      </c>
      <c r="D238" s="7">
        <f>'Eredmények konzervatív'!$B$6/12*(1+'Eredmények konzervatív'!$B$8)^('Havi számolás konzervatív'!B238-33)</f>
        <v>1389319.5361227232</v>
      </c>
      <c r="E238" s="7">
        <f t="shared" si="25"/>
        <v>20673856.386450518</v>
      </c>
      <c r="F238" s="7">
        <f>'Eredmények konzervatív'!$B$9*D238</f>
        <v>83359.172167363387</v>
      </c>
      <c r="G238" s="7">
        <f>SUM(E238:F238)*((1+'Eredmények konzervatív'!$B$10)^(1/12)-1)</f>
        <v>59591.863558833829</v>
      </c>
      <c r="H238" s="7">
        <f t="shared" si="24"/>
        <v>20816807.422176715</v>
      </c>
    </row>
    <row r="239" spans="1:8">
      <c r="A239">
        <f t="shared" si="22"/>
        <v>2047</v>
      </c>
      <c r="B239">
        <f t="shared" si="23"/>
        <v>43</v>
      </c>
      <c r="C239">
        <f t="shared" si="26"/>
        <v>10</v>
      </c>
      <c r="D239" s="7">
        <f>'Eredmények konzervatív'!$B$6/12*(1+'Eredmények konzervatív'!$B$8)^('Havi számolás konzervatív'!B239-33)</f>
        <v>1389319.5361227232</v>
      </c>
      <c r="E239" s="7">
        <f t="shared" si="25"/>
        <v>20816807.422176715</v>
      </c>
      <c r="F239" s="7">
        <f>'Eredmények konzervatív'!$B$9*D239</f>
        <v>83359.172167363387</v>
      </c>
      <c r="G239" s="7">
        <f>SUM(E239:F239)*((1+'Eredmények konzervatív'!$B$10)^(1/12)-1)</f>
        <v>60002.261504190843</v>
      </c>
      <c r="H239" s="7">
        <f t="shared" si="24"/>
        <v>20960168.855848271</v>
      </c>
    </row>
    <row r="240" spans="1:8">
      <c r="A240">
        <f t="shared" si="22"/>
        <v>2047</v>
      </c>
      <c r="B240">
        <f t="shared" si="23"/>
        <v>43</v>
      </c>
      <c r="C240">
        <f t="shared" si="26"/>
        <v>11</v>
      </c>
      <c r="D240" s="7">
        <f>'Eredmények konzervatív'!$B$6/12*(1+'Eredmények konzervatív'!$B$8)^('Havi számolás konzervatív'!B240-33)</f>
        <v>1389319.5361227232</v>
      </c>
      <c r="E240" s="7">
        <f t="shared" si="25"/>
        <v>20960168.855848271</v>
      </c>
      <c r="F240" s="7">
        <f>'Eredmények konzervatív'!$B$9*D240</f>
        <v>83359.172167363387</v>
      </c>
      <c r="G240" s="7">
        <f>SUM(E240:F240)*((1+'Eredmények konzervatív'!$B$10)^(1/12)-1)</f>
        <v>60413.837660483507</v>
      </c>
      <c r="H240" s="7">
        <f t="shared" si="24"/>
        <v>21103941.86567612</v>
      </c>
    </row>
    <row r="241" spans="1:8">
      <c r="A241">
        <f t="shared" si="22"/>
        <v>2047</v>
      </c>
      <c r="B241">
        <f t="shared" si="23"/>
        <v>43</v>
      </c>
      <c r="C241">
        <f t="shared" si="26"/>
        <v>12</v>
      </c>
      <c r="D241" s="7">
        <f>'Eredmények konzervatív'!$B$6/12*(1+'Eredmények konzervatív'!$B$8)^('Havi számolás konzervatív'!B241-33)</f>
        <v>1389319.5361227232</v>
      </c>
      <c r="E241" s="7">
        <f t="shared" si="25"/>
        <v>21103941.86567612</v>
      </c>
      <c r="F241" s="7">
        <f>'Eredmények konzervatív'!$B$9*D241</f>
        <v>83359.172167363387</v>
      </c>
      <c r="G241" s="7">
        <f>SUM(E241:F241)*((1+'Eredmények konzervatív'!$B$10)^(1/12)-1)</f>
        <v>60826.59541023607</v>
      </c>
      <c r="H241" s="7">
        <f t="shared" si="24"/>
        <v>21248127.63325372</v>
      </c>
    </row>
    <row r="242" spans="1:8">
      <c r="A242">
        <f t="shared" si="22"/>
        <v>2048</v>
      </c>
      <c r="B242">
        <f t="shared" si="23"/>
        <v>44</v>
      </c>
      <c r="C242">
        <f t="shared" si="26"/>
        <v>1</v>
      </c>
      <c r="D242" s="7">
        <f>'Eredmények konzervatív'!$B$6/12*(1+'Eredmények konzervatív'!$B$8)^('Havi számolás konzervatív'!B242-33)</f>
        <v>1417105.9268451775</v>
      </c>
      <c r="E242" s="7">
        <f t="shared" si="25"/>
        <v>21248127.63325372</v>
      </c>
      <c r="F242" s="7">
        <f>'Eredmények konzervatív'!$B$9*D242</f>
        <v>85026.355610710656</v>
      </c>
      <c r="G242" s="7">
        <f>SUM(E242:F242)*((1+'Eredmények konzervatív'!$B$10)^(1/12)-1)</f>
        <v>61245.324460495649</v>
      </c>
      <c r="H242" s="7">
        <f t="shared" si="24"/>
        <v>21394399.313324925</v>
      </c>
    </row>
    <row r="243" spans="1:8">
      <c r="A243">
        <f t="shared" si="22"/>
        <v>2048</v>
      </c>
      <c r="B243">
        <f t="shared" si="23"/>
        <v>44</v>
      </c>
      <c r="C243">
        <f t="shared" si="26"/>
        <v>2</v>
      </c>
      <c r="D243" s="7">
        <f>'Eredmények konzervatív'!$B$6/12*(1+'Eredmények konzervatív'!$B$8)^('Havi számolás konzervatív'!B243-33)</f>
        <v>1417105.9268451775</v>
      </c>
      <c r="E243" s="7">
        <f t="shared" si="25"/>
        <v>21394399.313324925</v>
      </c>
      <c r="F243" s="7">
        <f>'Eredmények konzervatív'!$B$9*D243</f>
        <v>85026.355610710656</v>
      </c>
      <c r="G243" s="7">
        <f>SUM(E243:F243)*((1+'Eredmények konzervatív'!$B$10)^(1/12)-1)</f>
        <v>61665.255639449257</v>
      </c>
      <c r="H243" s="7">
        <f t="shared" si="24"/>
        <v>21541090.924575083</v>
      </c>
    </row>
    <row r="244" spans="1:8">
      <c r="A244">
        <f t="shared" si="22"/>
        <v>2048</v>
      </c>
      <c r="B244">
        <f t="shared" si="23"/>
        <v>44</v>
      </c>
      <c r="C244">
        <f t="shared" si="26"/>
        <v>3</v>
      </c>
      <c r="D244" s="7">
        <f>'Eredmények konzervatív'!$B$6/12*(1+'Eredmények konzervatív'!$B$8)^('Havi számolás konzervatív'!B244-33)</f>
        <v>1417105.9268451775</v>
      </c>
      <c r="E244" s="7">
        <f t="shared" si="25"/>
        <v>21541090.924575083</v>
      </c>
      <c r="F244" s="7">
        <f>'Eredmények konzervatív'!$B$9*D244</f>
        <v>85026.355610710656</v>
      </c>
      <c r="G244" s="7">
        <f>SUM(E244:F244)*((1+'Eredmények konzervatív'!$B$10)^(1/12)-1)</f>
        <v>62086.392398286625</v>
      </c>
      <c r="H244" s="7">
        <f t="shared" si="24"/>
        <v>21688203.672584079</v>
      </c>
    </row>
    <row r="245" spans="1:8">
      <c r="A245">
        <f t="shared" si="22"/>
        <v>2048</v>
      </c>
      <c r="B245">
        <f t="shared" si="23"/>
        <v>44</v>
      </c>
      <c r="C245">
        <f t="shared" si="26"/>
        <v>4</v>
      </c>
      <c r="D245" s="7">
        <f>'Eredmények konzervatív'!$B$6/12*(1+'Eredmények konzervatív'!$B$8)^('Havi számolás konzervatív'!B245-33)</f>
        <v>1417105.9268451775</v>
      </c>
      <c r="E245" s="7">
        <f t="shared" si="25"/>
        <v>21688203.672584079</v>
      </c>
      <c r="F245" s="7">
        <f>'Eredmények konzervatív'!$B$9*D245</f>
        <v>85026.355610710656</v>
      </c>
      <c r="G245" s="7">
        <f>SUM(E245:F245)*((1+'Eredmények konzervatív'!$B$10)^(1/12)-1)</f>
        <v>62508.7381981055</v>
      </c>
      <c r="H245" s="7">
        <f t="shared" si="24"/>
        <v>21835738.766392894</v>
      </c>
    </row>
    <row r="246" spans="1:8">
      <c r="A246">
        <f t="shared" si="22"/>
        <v>2048</v>
      </c>
      <c r="B246">
        <f t="shared" si="23"/>
        <v>44</v>
      </c>
      <c r="C246">
        <f t="shared" si="26"/>
        <v>5</v>
      </c>
      <c r="D246" s="7">
        <f>'Eredmények konzervatív'!$B$6/12*(1+'Eredmények konzervatív'!$B$8)^('Havi számolás konzervatív'!B246-33)</f>
        <v>1417105.9268451775</v>
      </c>
      <c r="E246" s="7">
        <f t="shared" si="25"/>
        <v>21835738.766392894</v>
      </c>
      <c r="F246" s="7">
        <f>'Eredmények konzervatív'!$B$9*D246</f>
        <v>85026.355610710656</v>
      </c>
      <c r="G246" s="7">
        <f>SUM(E246:F246)*((1+'Eredmények konzervatív'!$B$10)^(1/12)-1)</f>
        <v>62932.296509940083</v>
      </c>
      <c r="H246" s="7">
        <f t="shared" si="24"/>
        <v>21983697.418513544</v>
      </c>
    </row>
    <row r="247" spans="1:8">
      <c r="A247">
        <f t="shared" si="22"/>
        <v>2048</v>
      </c>
      <c r="B247">
        <f t="shared" si="23"/>
        <v>44</v>
      </c>
      <c r="C247">
        <f t="shared" si="26"/>
        <v>6</v>
      </c>
      <c r="D247" s="7">
        <f>'Eredmények konzervatív'!$B$6/12*(1+'Eredmények konzervatív'!$B$8)^('Havi számolás konzervatív'!B247-33)</f>
        <v>1417105.9268451775</v>
      </c>
      <c r="E247" s="7">
        <f t="shared" si="25"/>
        <v>21983697.418513544</v>
      </c>
      <c r="F247" s="7">
        <f>'Eredmények konzervatív'!$B$9*D247</f>
        <v>85026.355610710656</v>
      </c>
      <c r="G247" s="7">
        <f>SUM(E247:F247)*((1+'Eredmények konzervatív'!$B$10)^(1/12)-1)</f>
        <v>63357.070814789557</v>
      </c>
      <c r="H247" s="7">
        <f t="shared" si="24"/>
        <v>22132080.844939042</v>
      </c>
    </row>
    <row r="248" spans="1:8">
      <c r="A248">
        <f t="shared" si="22"/>
        <v>2048</v>
      </c>
      <c r="B248">
        <f t="shared" si="23"/>
        <v>44</v>
      </c>
      <c r="C248">
        <f t="shared" si="26"/>
        <v>7</v>
      </c>
      <c r="D248" s="7">
        <f>'Eredmények konzervatív'!$B$6/12*(1+'Eredmények konzervatív'!$B$8)^('Havi számolás konzervatív'!B248-33)</f>
        <v>1417105.9268451775</v>
      </c>
      <c r="E248" s="7">
        <f t="shared" si="25"/>
        <v>22132080.844939042</v>
      </c>
      <c r="F248" s="7">
        <f>'Eredmények konzervatív'!$B$9*D248</f>
        <v>85026.355610710656</v>
      </c>
      <c r="G248" s="7">
        <f>SUM(E248:F248)*((1+'Eredmények konzervatív'!$B$10)^(1/12)-1)</f>
        <v>63783.064603646722</v>
      </c>
      <c r="H248" s="7">
        <f t="shared" si="24"/>
        <v>22280890.265153397</v>
      </c>
    </row>
    <row r="249" spans="1:8">
      <c r="A249">
        <f t="shared" si="22"/>
        <v>2048</v>
      </c>
      <c r="B249">
        <f t="shared" si="23"/>
        <v>44</v>
      </c>
      <c r="C249">
        <f t="shared" si="26"/>
        <v>8</v>
      </c>
      <c r="D249" s="7">
        <f>'Eredmények konzervatív'!$B$6/12*(1+'Eredmények konzervatív'!$B$8)^('Havi számolás konzervatív'!B249-33)</f>
        <v>1417105.9268451775</v>
      </c>
      <c r="E249" s="7">
        <f t="shared" si="25"/>
        <v>22280890.265153397</v>
      </c>
      <c r="F249" s="7">
        <f>'Eredmények konzervatív'!$B$9*D249</f>
        <v>85026.355610710656</v>
      </c>
      <c r="G249" s="7">
        <f>SUM(E249:F249)*((1+'Eredmények konzervatív'!$B$10)^(1/12)-1)</f>
        <v>64210.281377526655</v>
      </c>
      <c r="H249" s="7">
        <f t="shared" si="24"/>
        <v>22430126.902141634</v>
      </c>
    </row>
    <row r="250" spans="1:8">
      <c r="A250">
        <f t="shared" si="22"/>
        <v>2048</v>
      </c>
      <c r="B250">
        <f t="shared" si="23"/>
        <v>44</v>
      </c>
      <c r="C250">
        <f t="shared" si="26"/>
        <v>9</v>
      </c>
      <c r="D250" s="7">
        <f>'Eredmények konzervatív'!$B$6/12*(1+'Eredmények konzervatív'!$B$8)^('Havi számolás konzervatív'!B250-33)</f>
        <v>1417105.9268451775</v>
      </c>
      <c r="E250" s="7">
        <f t="shared" si="25"/>
        <v>22430126.902141634</v>
      </c>
      <c r="F250" s="7">
        <f>'Eredmények konzervatív'!$B$9*D250</f>
        <v>85026.355610710656</v>
      </c>
      <c r="G250" s="7">
        <f>SUM(E250:F250)*((1+'Eredmények konzervatív'!$B$10)^(1/12)-1)</f>
        <v>64638.724647495488</v>
      </c>
      <c r="H250" s="7">
        <f t="shared" si="24"/>
        <v>22579791.98239984</v>
      </c>
    </row>
    <row r="251" spans="1:8">
      <c r="A251">
        <f t="shared" si="22"/>
        <v>2048</v>
      </c>
      <c r="B251">
        <f t="shared" si="23"/>
        <v>44</v>
      </c>
      <c r="C251">
        <f t="shared" si="26"/>
        <v>10</v>
      </c>
      <c r="D251" s="7">
        <f>'Eredmények konzervatív'!$B$6/12*(1+'Eredmények konzervatív'!$B$8)^('Havi számolás konzervatív'!B251-33)</f>
        <v>1417105.9268451775</v>
      </c>
      <c r="E251" s="7">
        <f t="shared" si="25"/>
        <v>22579791.98239984</v>
      </c>
      <c r="F251" s="7">
        <f>'Eredmények konzervatív'!$B$9*D251</f>
        <v>85026.355610710656</v>
      </c>
      <c r="G251" s="7">
        <f>SUM(E251:F251)*((1+'Eredmények konzervatív'!$B$10)^(1/12)-1)</f>
        <v>65068.397934699278</v>
      </c>
      <c r="H251" s="7">
        <f t="shared" si="24"/>
        <v>22729886.735945247</v>
      </c>
    </row>
    <row r="252" spans="1:8">
      <c r="A252">
        <f t="shared" si="22"/>
        <v>2048</v>
      </c>
      <c r="B252">
        <f t="shared" si="23"/>
        <v>44</v>
      </c>
      <c r="C252">
        <f t="shared" si="26"/>
        <v>11</v>
      </c>
      <c r="D252" s="7">
        <f>'Eredmények konzervatív'!$B$6/12*(1+'Eredmények konzervatív'!$B$8)^('Havi számolás konzervatív'!B252-33)</f>
        <v>1417105.9268451775</v>
      </c>
      <c r="E252" s="7">
        <f t="shared" si="25"/>
        <v>22729886.735945247</v>
      </c>
      <c r="F252" s="7">
        <f>'Eredmények konzervatív'!$B$9*D252</f>
        <v>85026.355610710656</v>
      </c>
      <c r="G252" s="7">
        <f>SUM(E252:F252)*((1+'Eredmények konzervatív'!$B$10)^(1/12)-1)</f>
        <v>65499.304770392911</v>
      </c>
      <c r="H252" s="7">
        <f t="shared" si="24"/>
        <v>22880412.396326348</v>
      </c>
    </row>
    <row r="253" spans="1:8">
      <c r="A253">
        <f t="shared" si="22"/>
        <v>2048</v>
      </c>
      <c r="B253">
        <f t="shared" si="23"/>
        <v>44</v>
      </c>
      <c r="C253">
        <f t="shared" si="26"/>
        <v>12</v>
      </c>
      <c r="D253" s="7">
        <f>'Eredmények konzervatív'!$B$6/12*(1+'Eredmények konzervatív'!$B$8)^('Havi számolás konzervatív'!B253-33)</f>
        <v>1417105.9268451775</v>
      </c>
      <c r="E253" s="7">
        <f t="shared" si="25"/>
        <v>22880412.396326348</v>
      </c>
      <c r="F253" s="7">
        <f>'Eredmények konzervatív'!$B$9*D253</f>
        <v>85026.355610710656</v>
      </c>
      <c r="G253" s="7">
        <f>SUM(E253:F253)*((1+'Eredmények konzervatív'!$B$10)^(1/12)-1)</f>
        <v>65931.448695969186</v>
      </c>
      <c r="H253" s="7">
        <f t="shared" si="24"/>
        <v>23031370.200633027</v>
      </c>
    </row>
    <row r="254" spans="1:8">
      <c r="A254">
        <f t="shared" si="22"/>
        <v>2049</v>
      </c>
      <c r="B254">
        <f t="shared" si="23"/>
        <v>45</v>
      </c>
      <c r="C254">
        <f t="shared" si="26"/>
        <v>1</v>
      </c>
      <c r="D254" s="7">
        <f>'Eredmények konzervatív'!$B$6/12*(1+'Eredmények konzervatív'!$B$8)^('Havi számolás konzervatív'!B254-33)</f>
        <v>1445448.0453820813</v>
      </c>
      <c r="E254" s="7">
        <f t="shared" si="25"/>
        <v>23031370.200633027</v>
      </c>
      <c r="F254" s="7">
        <f>'Eredmények konzervatív'!$B$9*D254</f>
        <v>86726.882722924871</v>
      </c>
      <c r="G254" s="7">
        <f>SUM(E254:F254)*((1+'Eredmények konzervatív'!$B$10)^(1/12)-1)</f>
        <v>66369.715304096055</v>
      </c>
      <c r="H254" s="7">
        <f t="shared" si="24"/>
        <v>23184466.798660047</v>
      </c>
    </row>
    <row r="255" spans="1:8">
      <c r="A255">
        <f t="shared" si="22"/>
        <v>2049</v>
      </c>
      <c r="B255">
        <f t="shared" si="23"/>
        <v>45</v>
      </c>
      <c r="C255">
        <f t="shared" si="26"/>
        <v>2</v>
      </c>
      <c r="D255" s="7">
        <f>'Eredmények konzervatív'!$B$6/12*(1+'Eredmények konzervatív'!$B$8)^('Havi számolás konzervatív'!B255-33)</f>
        <v>1445448.0453820813</v>
      </c>
      <c r="E255" s="7">
        <f t="shared" si="25"/>
        <v>23184466.798660047</v>
      </c>
      <c r="F255" s="7">
        <f>'Eredmények konzervatív'!$B$9*D255</f>
        <v>86726.882722924871</v>
      </c>
      <c r="G255" s="7">
        <f>SUM(E255:F255)*((1+'Eredmények konzervatív'!$B$10)^(1/12)-1)</f>
        <v>66809.240131266823</v>
      </c>
      <c r="H255" s="7">
        <f t="shared" si="24"/>
        <v>23338002.921514239</v>
      </c>
    </row>
    <row r="256" spans="1:8">
      <c r="A256">
        <f t="shared" si="22"/>
        <v>2049</v>
      </c>
      <c r="B256">
        <f t="shared" si="23"/>
        <v>45</v>
      </c>
      <c r="C256">
        <f t="shared" si="26"/>
        <v>3</v>
      </c>
      <c r="D256" s="7">
        <f>'Eredmények konzervatív'!$B$6/12*(1+'Eredmények konzervatív'!$B$8)^('Havi számolás konzervatív'!B256-33)</f>
        <v>1445448.0453820813</v>
      </c>
      <c r="E256" s="7">
        <f t="shared" si="25"/>
        <v>23338002.921514239</v>
      </c>
      <c r="F256" s="7">
        <f>'Eredmények konzervatív'!$B$9*D256</f>
        <v>86726.882722924871</v>
      </c>
      <c r="G256" s="7">
        <f>SUM(E256:F256)*((1+'Eredmények konzervatív'!$B$10)^(1/12)-1)</f>
        <v>67250.026789700918</v>
      </c>
      <c r="H256" s="7">
        <f t="shared" si="24"/>
        <v>23491979.831026867</v>
      </c>
    </row>
    <row r="257" spans="1:8">
      <c r="A257">
        <f t="shared" si="22"/>
        <v>2049</v>
      </c>
      <c r="B257">
        <f t="shared" si="23"/>
        <v>45</v>
      </c>
      <c r="C257">
        <f t="shared" si="26"/>
        <v>4</v>
      </c>
      <c r="D257" s="7">
        <f>'Eredmények konzervatív'!$B$6/12*(1+'Eredmények konzervatív'!$B$8)^('Havi számolás konzervatív'!B257-33)</f>
        <v>1445448.0453820813</v>
      </c>
      <c r="E257" s="7">
        <f t="shared" si="25"/>
        <v>23491979.831026867</v>
      </c>
      <c r="F257" s="7">
        <f>'Eredmények konzervatív'!$B$9*D257</f>
        <v>86726.882722924871</v>
      </c>
      <c r="G257" s="7">
        <f>SUM(E257:F257)*((1+'Eredmények konzervatív'!$B$10)^(1/12)-1)</f>
        <v>67692.078901988105</v>
      </c>
      <c r="H257" s="7">
        <f t="shared" si="24"/>
        <v>23646398.79265178</v>
      </c>
    </row>
    <row r="258" spans="1:8">
      <c r="A258">
        <f t="shared" si="22"/>
        <v>2049</v>
      </c>
      <c r="B258">
        <f t="shared" si="23"/>
        <v>45</v>
      </c>
      <c r="C258">
        <f t="shared" si="26"/>
        <v>5</v>
      </c>
      <c r="D258" s="7">
        <f>'Eredmények konzervatív'!$B$6/12*(1+'Eredmények konzervatív'!$B$8)^('Havi számolás konzervatív'!B258-33)</f>
        <v>1445448.0453820813</v>
      </c>
      <c r="E258" s="7">
        <f t="shared" si="25"/>
        <v>23646398.79265178</v>
      </c>
      <c r="F258" s="7">
        <f>'Eredmények konzervatív'!$B$9*D258</f>
        <v>86726.882722924871</v>
      </c>
      <c r="G258" s="7">
        <f>SUM(E258:F258)*((1+'Eredmények konzervatív'!$B$10)^(1/12)-1)</f>
        <v>68135.400101118212</v>
      </c>
      <c r="H258" s="7">
        <f t="shared" si="24"/>
        <v>23801261.075475823</v>
      </c>
    </row>
    <row r="259" spans="1:8">
      <c r="A259">
        <f t="shared" ref="A259:A322" si="27">INT((ROW(A258)-1)/12+2028)</f>
        <v>2049</v>
      </c>
      <c r="B259">
        <f t="shared" ref="B259:B322" si="28">INT((A259-2004)+(C259-1)/12)</f>
        <v>45</v>
      </c>
      <c r="C259">
        <f t="shared" si="26"/>
        <v>6</v>
      </c>
      <c r="D259" s="7">
        <f>'Eredmények konzervatív'!$B$6/12*(1+'Eredmények konzervatív'!$B$8)^('Havi számolás konzervatív'!B259-33)</f>
        <v>1445448.0453820813</v>
      </c>
      <c r="E259" s="7">
        <f t="shared" si="25"/>
        <v>23801261.075475823</v>
      </c>
      <c r="F259" s="7">
        <f>'Eredmények konzervatív'!$B$9*D259</f>
        <v>86726.882722924871</v>
      </c>
      <c r="G259" s="7">
        <f>SUM(E259:F259)*((1+'Eredmények konzervatív'!$B$10)^(1/12)-1)</f>
        <v>68579.994030511036</v>
      </c>
      <c r="H259" s="7">
        <f t="shared" ref="H259:H322" si="29">E259+F259+G259</f>
        <v>23956567.952229261</v>
      </c>
    </row>
    <row r="260" spans="1:8">
      <c r="A260">
        <f t="shared" si="27"/>
        <v>2049</v>
      </c>
      <c r="B260">
        <f t="shared" si="28"/>
        <v>45</v>
      </c>
      <c r="C260">
        <f t="shared" si="26"/>
        <v>7</v>
      </c>
      <c r="D260" s="7">
        <f>'Eredmények konzervatív'!$B$6/12*(1+'Eredmények konzervatív'!$B$8)^('Havi számolás konzervatív'!B260-33)</f>
        <v>1445448.0453820813</v>
      </c>
      <c r="E260" s="7">
        <f t="shared" si="25"/>
        <v>23956567.952229261</v>
      </c>
      <c r="F260" s="7">
        <f>'Eredmények konzervatív'!$B$9*D260</f>
        <v>86726.882722924871</v>
      </c>
      <c r="G260" s="7">
        <f>SUM(E260:F260)*((1+'Eredmények konzervatív'!$B$10)^(1/12)-1)</f>
        <v>69025.864344046277</v>
      </c>
      <c r="H260" s="7">
        <f t="shared" si="29"/>
        <v>24112320.699296232</v>
      </c>
    </row>
    <row r="261" spans="1:8">
      <c r="A261">
        <f t="shared" si="27"/>
        <v>2049</v>
      </c>
      <c r="B261">
        <f t="shared" si="28"/>
        <v>45</v>
      </c>
      <c r="C261">
        <f t="shared" si="26"/>
        <v>8</v>
      </c>
      <c r="D261" s="7">
        <f>'Eredmények konzervatív'!$B$6/12*(1+'Eredmények konzervatív'!$B$8)^('Havi számolás konzervatív'!B261-33)</f>
        <v>1445448.0453820813</v>
      </c>
      <c r="E261" s="7">
        <f t="shared" ref="E261:E324" si="30">H260</f>
        <v>24112320.699296232</v>
      </c>
      <c r="F261" s="7">
        <f>'Eredmények konzervatív'!$B$9*D261</f>
        <v>86726.882722924871</v>
      </c>
      <c r="G261" s="7">
        <f>SUM(E261:F261)*((1+'Eredmények konzervatív'!$B$10)^(1/12)-1)</f>
        <v>69473.014706093512</v>
      </c>
      <c r="H261" s="7">
        <f t="shared" si="29"/>
        <v>24268520.596725252</v>
      </c>
    </row>
    <row r="262" spans="1:8">
      <c r="A262">
        <f t="shared" si="27"/>
        <v>2049</v>
      </c>
      <c r="B262">
        <f t="shared" si="28"/>
        <v>45</v>
      </c>
      <c r="C262">
        <f t="shared" si="26"/>
        <v>9</v>
      </c>
      <c r="D262" s="7">
        <f>'Eredmények konzervatív'!$B$6/12*(1+'Eredmények konzervatív'!$B$8)^('Havi számolás konzervatív'!B262-33)</f>
        <v>1445448.0453820813</v>
      </c>
      <c r="E262" s="7">
        <f t="shared" si="30"/>
        <v>24268520.596725252</v>
      </c>
      <c r="F262" s="7">
        <f>'Eredmények konzervatív'!$B$9*D262</f>
        <v>86726.882722924871</v>
      </c>
      <c r="G262" s="7">
        <f>SUM(E262:F262)*((1+'Eredmények konzervatív'!$B$10)^(1/12)-1)</f>
        <v>69921.448791542396</v>
      </c>
      <c r="H262" s="7">
        <f t="shared" si="29"/>
        <v>24425168.928239718</v>
      </c>
    </row>
    <row r="263" spans="1:8">
      <c r="A263">
        <f t="shared" si="27"/>
        <v>2049</v>
      </c>
      <c r="B263">
        <f t="shared" si="28"/>
        <v>45</v>
      </c>
      <c r="C263">
        <f t="shared" si="26"/>
        <v>10</v>
      </c>
      <c r="D263" s="7">
        <f>'Eredmények konzervatív'!$B$6/12*(1+'Eredmények konzervatív'!$B$8)^('Havi számolás konzervatív'!B263-33)</f>
        <v>1445448.0453820813</v>
      </c>
      <c r="E263" s="7">
        <f t="shared" si="30"/>
        <v>24425168.928239718</v>
      </c>
      <c r="F263" s="7">
        <f>'Eredmények konzervatív'!$B$9*D263</f>
        <v>86726.882722924871</v>
      </c>
      <c r="G263" s="7">
        <f>SUM(E263:F263)*((1+'Eredmények konzervatív'!$B$10)^(1/12)-1)</f>
        <v>70371.170285832763</v>
      </c>
      <c r="H263" s="7">
        <f t="shared" si="29"/>
        <v>24582266.981248476</v>
      </c>
    </row>
    <row r="264" spans="1:8">
      <c r="A264">
        <f t="shared" si="27"/>
        <v>2049</v>
      </c>
      <c r="B264">
        <f t="shared" si="28"/>
        <v>45</v>
      </c>
      <c r="C264">
        <f t="shared" si="26"/>
        <v>11</v>
      </c>
      <c r="D264" s="7">
        <f>'Eredmények konzervatív'!$B$6/12*(1+'Eredmények konzervatív'!$B$8)^('Havi számolás konzervatív'!B264-33)</f>
        <v>1445448.0453820813</v>
      </c>
      <c r="E264" s="7">
        <f t="shared" si="30"/>
        <v>24582266.981248476</v>
      </c>
      <c r="F264" s="7">
        <f>'Eredmények konzervatív'!$B$9*D264</f>
        <v>86726.882722924871</v>
      </c>
      <c r="G264" s="7">
        <f>SUM(E264:F264)*((1+'Eredmények konzervatív'!$B$10)^(1/12)-1)</f>
        <v>70822.182884985043</v>
      </c>
      <c r="H264" s="7">
        <f t="shared" si="29"/>
        <v>24739816.046856385</v>
      </c>
    </row>
    <row r="265" spans="1:8">
      <c r="A265">
        <f t="shared" si="27"/>
        <v>2049</v>
      </c>
      <c r="B265">
        <f t="shared" si="28"/>
        <v>45</v>
      </c>
      <c r="C265">
        <f t="shared" si="26"/>
        <v>12</v>
      </c>
      <c r="D265" s="7">
        <f>'Eredmények konzervatív'!$B$6/12*(1+'Eredmények konzervatív'!$B$8)^('Havi számolás konzervatív'!B265-33)</f>
        <v>1445448.0453820813</v>
      </c>
      <c r="E265" s="7">
        <f t="shared" si="30"/>
        <v>24739816.046856385</v>
      </c>
      <c r="F265" s="7">
        <f>'Eredmények konzervatív'!$B$9*D265</f>
        <v>86726.882722924871</v>
      </c>
      <c r="G265" s="7">
        <f>SUM(E265:F265)*((1+'Eredmények konzervatív'!$B$10)^(1/12)-1)</f>
        <v>71274.490295630516</v>
      </c>
      <c r="H265" s="7">
        <f t="shared" si="29"/>
        <v>24897817.41987494</v>
      </c>
    </row>
    <row r="266" spans="1:8">
      <c r="A266">
        <f t="shared" si="27"/>
        <v>2050</v>
      </c>
      <c r="B266">
        <f t="shared" si="28"/>
        <v>46</v>
      </c>
      <c r="C266">
        <f t="shared" si="26"/>
        <v>1</v>
      </c>
      <c r="D266" s="7">
        <f>'Eredmények konzervatív'!$B$6/12*(1+'Eredmények konzervatív'!$B$8)^('Havi számolás konzervatív'!B266-33)</f>
        <v>1474357.0062897229</v>
      </c>
      <c r="E266" s="7">
        <f t="shared" si="30"/>
        <v>24897817.41987494</v>
      </c>
      <c r="F266" s="7">
        <f>'Eredmények konzervatív'!$B$9*D266</f>
        <v>88461.420377383372</v>
      </c>
      <c r="G266" s="7">
        <f>SUM(E266:F266)*((1+'Eredmények konzervatív'!$B$10)^(1/12)-1)</f>
        <v>71733.075916972215</v>
      </c>
      <c r="H266" s="7">
        <f t="shared" si="29"/>
        <v>25058011.916169297</v>
      </c>
    </row>
    <row r="267" spans="1:8">
      <c r="A267">
        <f t="shared" si="27"/>
        <v>2050</v>
      </c>
      <c r="B267">
        <f t="shared" si="28"/>
        <v>46</v>
      </c>
      <c r="C267">
        <f t="shared" si="26"/>
        <v>2</v>
      </c>
      <c r="D267" s="7">
        <f>'Eredmények konzervatív'!$B$6/12*(1+'Eredmények konzervatív'!$B$8)^('Havi számolás konzervatív'!B267-33)</f>
        <v>1474357.0062897229</v>
      </c>
      <c r="E267" s="7">
        <f t="shared" si="30"/>
        <v>25058011.916169297</v>
      </c>
      <c r="F267" s="7">
        <f>'Eredmények konzervatív'!$B$9*D267</f>
        <v>88461.420377383372</v>
      </c>
      <c r="G267" s="7">
        <f>SUM(E267:F267)*((1+'Eredmények konzervatív'!$B$10)^(1/12)-1)</f>
        <v>72192.9780911868</v>
      </c>
      <c r="H267" s="7">
        <f t="shared" si="29"/>
        <v>25218666.31463787</v>
      </c>
    </row>
    <row r="268" spans="1:8">
      <c r="A268">
        <f t="shared" si="27"/>
        <v>2050</v>
      </c>
      <c r="B268">
        <f t="shared" si="28"/>
        <v>46</v>
      </c>
      <c r="C268">
        <f t="shared" si="26"/>
        <v>3</v>
      </c>
      <c r="D268" s="7">
        <f>'Eredmények konzervatív'!$B$6/12*(1+'Eredmények konzervatív'!$B$8)^('Havi számolás konzervatív'!B268-33)</f>
        <v>1474357.0062897229</v>
      </c>
      <c r="E268" s="7">
        <f t="shared" si="30"/>
        <v>25218666.31463787</v>
      </c>
      <c r="F268" s="7">
        <f>'Eredmények konzervatív'!$B$9*D268</f>
        <v>88461.420377383372</v>
      </c>
      <c r="G268" s="7">
        <f>SUM(E268:F268)*((1+'Eredmények konzervatív'!$B$10)^(1/12)-1)</f>
        <v>72654.200597964256</v>
      </c>
      <c r="H268" s="7">
        <f t="shared" si="29"/>
        <v>25379781.935613219</v>
      </c>
    </row>
    <row r="269" spans="1:8">
      <c r="A269">
        <f t="shared" si="27"/>
        <v>2050</v>
      </c>
      <c r="B269">
        <f t="shared" si="28"/>
        <v>46</v>
      </c>
      <c r="C269">
        <f t="shared" si="26"/>
        <v>4</v>
      </c>
      <c r="D269" s="7">
        <f>'Eredmények konzervatív'!$B$6/12*(1+'Eredmények konzervatív'!$B$8)^('Havi számolás konzervatív'!B269-33)</f>
        <v>1474357.0062897229</v>
      </c>
      <c r="E269" s="7">
        <f t="shared" si="30"/>
        <v>25379781.935613219</v>
      </c>
      <c r="F269" s="7">
        <f>'Eredmények konzervatív'!$B$9*D269</f>
        <v>88461.420377383372</v>
      </c>
      <c r="G269" s="7">
        <f>SUM(E269:F269)*((1+'Eredmények konzervatív'!$B$10)^(1/12)-1)</f>
        <v>73116.747227845626</v>
      </c>
      <c r="H269" s="7">
        <f t="shared" si="29"/>
        <v>25541360.103218447</v>
      </c>
    </row>
    <row r="270" spans="1:8">
      <c r="A270">
        <f t="shared" si="27"/>
        <v>2050</v>
      </c>
      <c r="B270">
        <f t="shared" si="28"/>
        <v>46</v>
      </c>
      <c r="C270">
        <f t="shared" si="26"/>
        <v>5</v>
      </c>
      <c r="D270" s="7">
        <f>'Eredmények konzervatív'!$B$6/12*(1+'Eredmények konzervatív'!$B$8)^('Havi számolás konzervatív'!B270-33)</f>
        <v>1474357.0062897229</v>
      </c>
      <c r="E270" s="7">
        <f t="shared" si="30"/>
        <v>25541360.103218447</v>
      </c>
      <c r="F270" s="7">
        <f>'Eredmények konzervatív'!$B$9*D270</f>
        <v>88461.420377383372</v>
      </c>
      <c r="G270" s="7">
        <f>SUM(E270:F270)*((1+'Eredmények konzervatív'!$B$10)^(1/12)-1)</f>
        <v>73580.621782254224</v>
      </c>
      <c r="H270" s="7">
        <f t="shared" si="29"/>
        <v>25703402.145378087</v>
      </c>
    </row>
    <row r="271" spans="1:8">
      <c r="A271">
        <f t="shared" si="27"/>
        <v>2050</v>
      </c>
      <c r="B271">
        <f t="shared" si="28"/>
        <v>46</v>
      </c>
      <c r="C271">
        <f t="shared" si="26"/>
        <v>6</v>
      </c>
      <c r="D271" s="7">
        <f>'Eredmények konzervatív'!$B$6/12*(1+'Eredmények konzervatív'!$B$8)^('Havi számolás konzervatív'!B271-33)</f>
        <v>1474357.0062897229</v>
      </c>
      <c r="E271" s="7">
        <f t="shared" si="30"/>
        <v>25703402.145378087</v>
      </c>
      <c r="F271" s="7">
        <f>'Eredmények konzervatív'!$B$9*D271</f>
        <v>88461.420377383372</v>
      </c>
      <c r="G271" s="7">
        <f>SUM(E271:F271)*((1+'Eredmények konzervatív'!$B$10)^(1/12)-1)</f>
        <v>74045.828073526907</v>
      </c>
      <c r="H271" s="7">
        <f t="shared" si="29"/>
        <v>25865909.393828999</v>
      </c>
    </row>
    <row r="272" spans="1:8">
      <c r="A272">
        <f t="shared" si="27"/>
        <v>2050</v>
      </c>
      <c r="B272">
        <f t="shared" si="28"/>
        <v>46</v>
      </c>
      <c r="C272">
        <f t="shared" si="26"/>
        <v>7</v>
      </c>
      <c r="D272" s="7">
        <f>'Eredmények konzervatív'!$B$6/12*(1+'Eredmények konzervatív'!$B$8)^('Havi számolás konzervatív'!B272-33)</f>
        <v>1474357.0062897229</v>
      </c>
      <c r="E272" s="7">
        <f t="shared" si="30"/>
        <v>25865909.393828999</v>
      </c>
      <c r="F272" s="7">
        <f>'Eredmények konzervatív'!$B$9*D272</f>
        <v>88461.420377383372</v>
      </c>
      <c r="G272" s="7">
        <f>SUM(E272:F272)*((1+'Eredmények konzervatív'!$B$10)^(1/12)-1)</f>
        <v>74512.369924945291</v>
      </c>
      <c r="H272" s="7">
        <f t="shared" si="29"/>
        <v>26028883.184131328</v>
      </c>
    </row>
    <row r="273" spans="1:8">
      <c r="A273">
        <f t="shared" si="27"/>
        <v>2050</v>
      </c>
      <c r="B273">
        <f t="shared" si="28"/>
        <v>46</v>
      </c>
      <c r="C273">
        <f t="shared" si="26"/>
        <v>8</v>
      </c>
      <c r="D273" s="7">
        <f>'Eredmények konzervatív'!$B$6/12*(1+'Eredmények konzervatív'!$B$8)^('Havi számolás konzervatív'!B273-33)</f>
        <v>1474357.0062897229</v>
      </c>
      <c r="E273" s="7">
        <f t="shared" si="30"/>
        <v>26028883.184131328</v>
      </c>
      <c r="F273" s="7">
        <f>'Eredmények konzervatív'!$B$9*D273</f>
        <v>88461.420377383372</v>
      </c>
      <c r="G273" s="7">
        <f>SUM(E273:F273)*((1+'Eredmények konzervatív'!$B$10)^(1/12)-1)</f>
        <v>74980.251170767311</v>
      </c>
      <c r="H273" s="7">
        <f t="shared" si="29"/>
        <v>26192324.855679478</v>
      </c>
    </row>
    <row r="274" spans="1:8">
      <c r="A274">
        <f t="shared" si="27"/>
        <v>2050</v>
      </c>
      <c r="B274">
        <f t="shared" si="28"/>
        <v>46</v>
      </c>
      <c r="C274">
        <f t="shared" si="26"/>
        <v>9</v>
      </c>
      <c r="D274" s="7">
        <f>'Eredmények konzervatív'!$B$6/12*(1+'Eredmények konzervatív'!$B$8)^('Havi számolás konzervatív'!B274-33)</f>
        <v>1474357.0062897229</v>
      </c>
      <c r="E274" s="7">
        <f t="shared" si="30"/>
        <v>26192324.855679478</v>
      </c>
      <c r="F274" s="7">
        <f>'Eredmények konzervatív'!$B$9*D274</f>
        <v>88461.420377383372</v>
      </c>
      <c r="G274" s="7">
        <f>SUM(E274:F274)*((1+'Eredmények konzervatív'!$B$10)^(1/12)-1)</f>
        <v>75449.475656258641</v>
      </c>
      <c r="H274" s="7">
        <f t="shared" si="29"/>
        <v>26356235.751713123</v>
      </c>
    </row>
    <row r="275" spans="1:8">
      <c r="A275">
        <f t="shared" si="27"/>
        <v>2050</v>
      </c>
      <c r="B275">
        <f t="shared" si="28"/>
        <v>46</v>
      </c>
      <c r="C275">
        <f t="shared" si="26"/>
        <v>10</v>
      </c>
      <c r="D275" s="7">
        <f>'Eredmények konzervatív'!$B$6/12*(1+'Eredmények konzervatív'!$B$8)^('Havi számolás konzervatív'!B275-33)</f>
        <v>1474357.0062897229</v>
      </c>
      <c r="E275" s="7">
        <f t="shared" si="30"/>
        <v>26356235.751713123</v>
      </c>
      <c r="F275" s="7">
        <f>'Eredmények konzervatív'!$B$9*D275</f>
        <v>88461.420377383372</v>
      </c>
      <c r="G275" s="7">
        <f>SUM(E275:F275)*((1+'Eredmények konzervatív'!$B$10)^(1/12)-1)</f>
        <v>75920.047237724342</v>
      </c>
      <c r="H275" s="7">
        <f t="shared" si="29"/>
        <v>26520617.219328232</v>
      </c>
    </row>
    <row r="276" spans="1:8">
      <c r="A276">
        <f t="shared" si="27"/>
        <v>2050</v>
      </c>
      <c r="B276">
        <f t="shared" si="28"/>
        <v>46</v>
      </c>
      <c r="C276">
        <f t="shared" si="26"/>
        <v>11</v>
      </c>
      <c r="D276" s="7">
        <f>'Eredmények konzervatív'!$B$6/12*(1+'Eredmények konzervatív'!$B$8)^('Havi számolás konzervatív'!B276-33)</f>
        <v>1474357.0062897229</v>
      </c>
      <c r="E276" s="7">
        <f t="shared" si="30"/>
        <v>26520617.219328232</v>
      </c>
      <c r="F276" s="7">
        <f>'Eredmények konzervatív'!$B$9*D276</f>
        <v>88461.420377383372</v>
      </c>
      <c r="G276" s="7">
        <f>SUM(E276:F276)*((1+'Eredmények konzervatív'!$B$10)^(1/12)-1)</f>
        <v>76391.969782540502</v>
      </c>
      <c r="H276" s="7">
        <f t="shared" si="29"/>
        <v>26685470.609488156</v>
      </c>
    </row>
    <row r="277" spans="1:8">
      <c r="A277">
        <f t="shared" si="27"/>
        <v>2050</v>
      </c>
      <c r="B277">
        <f t="shared" si="28"/>
        <v>46</v>
      </c>
      <c r="C277">
        <f t="shared" si="26"/>
        <v>12</v>
      </c>
      <c r="D277" s="7">
        <f>'Eredmények konzervatív'!$B$6/12*(1+'Eredmények konzervatív'!$B$8)^('Havi számolás konzervatív'!B277-33)</f>
        <v>1474357.0062897229</v>
      </c>
      <c r="E277" s="7">
        <f t="shared" si="30"/>
        <v>26685470.609488156</v>
      </c>
      <c r="F277" s="7">
        <f>'Eredmények konzervatív'!$B$9*D277</f>
        <v>88461.420377383372</v>
      </c>
      <c r="G277" s="7">
        <f>SUM(E277:F277)*((1+'Eredmények konzervatív'!$B$10)^(1/12)-1)</f>
        <v>76865.247169186056</v>
      </c>
      <c r="H277" s="7">
        <f t="shared" si="29"/>
        <v>26850797.277034726</v>
      </c>
    </row>
    <row r="278" spans="1:8">
      <c r="A278">
        <f t="shared" si="27"/>
        <v>2051</v>
      </c>
      <c r="B278">
        <f t="shared" si="28"/>
        <v>47</v>
      </c>
      <c r="C278">
        <f t="shared" si="26"/>
        <v>1</v>
      </c>
      <c r="D278" s="7">
        <f>'Eredmények konzervatív'!$B$6/12*(1+'Eredmények konzervatív'!$B$8)^('Havi számolás konzervatív'!B278-33)</f>
        <v>1503844.1464155174</v>
      </c>
      <c r="E278" s="7">
        <f t="shared" si="30"/>
        <v>26850797.277034726</v>
      </c>
      <c r="F278" s="7">
        <f>'Eredmények konzervatív'!$B$9*D278</f>
        <v>90230.648784931036</v>
      </c>
      <c r="G278" s="7">
        <f>SUM(E278:F278)*((1+'Eredmények konzervatív'!$B$10)^(1/12)-1)</f>
        <v>77344.962562843706</v>
      </c>
      <c r="H278" s="7">
        <f t="shared" si="29"/>
        <v>27018372.888382502</v>
      </c>
    </row>
    <row r="279" spans="1:8">
      <c r="A279">
        <f t="shared" si="27"/>
        <v>2051</v>
      </c>
      <c r="B279">
        <f t="shared" si="28"/>
        <v>47</v>
      </c>
      <c r="C279">
        <f t="shared" si="26"/>
        <v>2</v>
      </c>
      <c r="D279" s="7">
        <f>'Eredmények konzervatív'!$B$6/12*(1+'Eredmények konzervatív'!$B$8)^('Havi számolás konzervatív'!B279-33)</f>
        <v>1503844.1464155174</v>
      </c>
      <c r="E279" s="7">
        <f t="shared" si="30"/>
        <v>27018372.888382502</v>
      </c>
      <c r="F279" s="7">
        <f>'Eredmények konzervatív'!$B$9*D279</f>
        <v>90230.648784931036</v>
      </c>
      <c r="G279" s="7">
        <f>SUM(E279:F279)*((1+'Eredmények konzervatív'!$B$10)^(1/12)-1)</f>
        <v>77826.055170810519</v>
      </c>
      <c r="H279" s="7">
        <f t="shared" si="29"/>
        <v>27186429.592338245</v>
      </c>
    </row>
    <row r="280" spans="1:8">
      <c r="A280">
        <f t="shared" si="27"/>
        <v>2051</v>
      </c>
      <c r="B280">
        <f t="shared" si="28"/>
        <v>47</v>
      </c>
      <c r="C280">
        <f t="shared" si="26"/>
        <v>3</v>
      </c>
      <c r="D280" s="7">
        <f>'Eredmények konzervatív'!$B$6/12*(1+'Eredmények konzervatív'!$B$8)^('Havi számolás konzervatív'!B280-33)</f>
        <v>1503844.1464155174</v>
      </c>
      <c r="E280" s="7">
        <f t="shared" si="30"/>
        <v>27186429.592338245</v>
      </c>
      <c r="F280" s="7">
        <f>'Eredmények konzervatív'!$B$9*D280</f>
        <v>90230.648784931036</v>
      </c>
      <c r="G280" s="7">
        <f>SUM(E280:F280)*((1+'Eredmények konzervatív'!$B$10)^(1/12)-1)</f>
        <v>78308.528946929306</v>
      </c>
      <c r="H280" s="7">
        <f t="shared" si="29"/>
        <v>27354968.770070106</v>
      </c>
    </row>
    <row r="281" spans="1:8">
      <c r="A281">
        <f t="shared" si="27"/>
        <v>2051</v>
      </c>
      <c r="B281">
        <f t="shared" si="28"/>
        <v>47</v>
      </c>
      <c r="C281">
        <f t="shared" si="26"/>
        <v>4</v>
      </c>
      <c r="D281" s="7">
        <f>'Eredmények konzervatív'!$B$6/12*(1+'Eredmények konzervatív'!$B$8)^('Havi számolás konzervatív'!B281-33)</f>
        <v>1503844.1464155174</v>
      </c>
      <c r="E281" s="7">
        <f t="shared" si="30"/>
        <v>27354968.770070106</v>
      </c>
      <c r="F281" s="7">
        <f>'Eredmények konzervatív'!$B$9*D281</f>
        <v>90230.648784931036</v>
      </c>
      <c r="G281" s="7">
        <f>SUM(E281:F281)*((1+'Eredmények konzervatív'!$B$10)^(1/12)-1)</f>
        <v>78792.387856393936</v>
      </c>
      <c r="H281" s="7">
        <f t="shared" si="29"/>
        <v>27523991.806711432</v>
      </c>
    </row>
    <row r="282" spans="1:8">
      <c r="A282">
        <f t="shared" si="27"/>
        <v>2051</v>
      </c>
      <c r="B282">
        <f t="shared" si="28"/>
        <v>47</v>
      </c>
      <c r="C282">
        <f t="shared" si="26"/>
        <v>5</v>
      </c>
      <c r="D282" s="7">
        <f>'Eredmények konzervatív'!$B$6/12*(1+'Eredmények konzervatív'!$B$8)^('Havi számolás konzervatív'!B282-33)</f>
        <v>1503844.1464155174</v>
      </c>
      <c r="E282" s="7">
        <f t="shared" si="30"/>
        <v>27523991.806711432</v>
      </c>
      <c r="F282" s="7">
        <f>'Eredmények konzervatív'!$B$9*D282</f>
        <v>90230.648784931036</v>
      </c>
      <c r="G282" s="7">
        <f>SUM(E282:F282)*((1+'Eredmények konzervatív'!$B$10)^(1/12)-1)</f>
        <v>79277.635875781954</v>
      </c>
      <c r="H282" s="7">
        <f t="shared" si="29"/>
        <v>27693500.091372143</v>
      </c>
    </row>
    <row r="283" spans="1:8">
      <c r="A283">
        <f t="shared" si="27"/>
        <v>2051</v>
      </c>
      <c r="B283">
        <f t="shared" si="28"/>
        <v>47</v>
      </c>
      <c r="C283">
        <f t="shared" si="26"/>
        <v>6</v>
      </c>
      <c r="D283" s="7">
        <f>'Eredmények konzervatív'!$B$6/12*(1+'Eredmények konzervatív'!$B$8)^('Havi számolás konzervatív'!B283-33)</f>
        <v>1503844.1464155174</v>
      </c>
      <c r="E283" s="7">
        <f t="shared" si="30"/>
        <v>27693500.091372143</v>
      </c>
      <c r="F283" s="7">
        <f>'Eredmények konzervatív'!$B$9*D283</f>
        <v>90230.648784931036</v>
      </c>
      <c r="G283" s="7">
        <f>SUM(E283:F283)*((1+'Eredmények konzervatív'!$B$10)^(1/12)-1)</f>
        <v>79764.276993087275</v>
      </c>
      <c r="H283" s="7">
        <f t="shared" si="29"/>
        <v>27863495.017150164</v>
      </c>
    </row>
    <row r="284" spans="1:8">
      <c r="A284">
        <f t="shared" si="27"/>
        <v>2051</v>
      </c>
      <c r="B284">
        <f t="shared" si="28"/>
        <v>47</v>
      </c>
      <c r="C284">
        <f t="shared" si="26"/>
        <v>7</v>
      </c>
      <c r="D284" s="7">
        <f>'Eredmények konzervatív'!$B$6/12*(1+'Eredmények konzervatív'!$B$8)^('Havi számolás konzervatív'!B284-33)</f>
        <v>1503844.1464155174</v>
      </c>
      <c r="E284" s="7">
        <f t="shared" si="30"/>
        <v>27863495.017150164</v>
      </c>
      <c r="F284" s="7">
        <f>'Eredmények konzervatív'!$B$9*D284</f>
        <v>90230.648784931036</v>
      </c>
      <c r="G284" s="7">
        <f>SUM(E284:F284)*((1+'Eredmények konzervatív'!$B$10)^(1/12)-1)</f>
        <v>80252.315207752923</v>
      </c>
      <c r="H284" s="7">
        <f t="shared" si="29"/>
        <v>28033977.981142849</v>
      </c>
    </row>
    <row r="285" spans="1:8">
      <c r="A285">
        <f t="shared" si="27"/>
        <v>2051</v>
      </c>
      <c r="B285">
        <f t="shared" si="28"/>
        <v>47</v>
      </c>
      <c r="C285">
        <f t="shared" si="26"/>
        <v>8</v>
      </c>
      <c r="D285" s="7">
        <f>'Eredmények konzervatív'!$B$6/12*(1+'Eredmények konzervatív'!$B$8)^('Havi számolás konzervatív'!B285-33)</f>
        <v>1503844.1464155174</v>
      </c>
      <c r="E285" s="7">
        <f t="shared" si="30"/>
        <v>28033977.981142849</v>
      </c>
      <c r="F285" s="7">
        <f>'Eredmények konzervatív'!$B$9*D285</f>
        <v>90230.648784931036</v>
      </c>
      <c r="G285" s="7">
        <f>SUM(E285:F285)*((1+'Eredmények konzervatív'!$B$10)^(1/12)-1)</f>
        <v>80741.754530703911</v>
      </c>
      <c r="H285" s="7">
        <f t="shared" si="29"/>
        <v>28204950.384458486</v>
      </c>
    </row>
    <row r="286" spans="1:8">
      <c r="A286">
        <f t="shared" si="27"/>
        <v>2051</v>
      </c>
      <c r="B286">
        <f t="shared" si="28"/>
        <v>47</v>
      </c>
      <c r="C286">
        <f t="shared" si="26"/>
        <v>9</v>
      </c>
      <c r="D286" s="7">
        <f>'Eredmények konzervatív'!$B$6/12*(1+'Eredmények konzervatív'!$B$8)^('Havi számolás konzervatív'!B286-33)</f>
        <v>1503844.1464155174</v>
      </c>
      <c r="E286" s="7">
        <f t="shared" si="30"/>
        <v>28204950.384458486</v>
      </c>
      <c r="F286" s="7">
        <f>'Eredmények konzervatív'!$B$9*D286</f>
        <v>90230.648784931036</v>
      </c>
      <c r="G286" s="7">
        <f>SUM(E286:F286)*((1+'Eredmények konzervatív'!$B$10)^(1/12)-1)</f>
        <v>81232.598984380224</v>
      </c>
      <c r="H286" s="7">
        <f t="shared" si="29"/>
        <v>28376413.632227797</v>
      </c>
    </row>
    <row r="287" spans="1:8">
      <c r="A287">
        <f t="shared" si="27"/>
        <v>2051</v>
      </c>
      <c r="B287">
        <f t="shared" si="28"/>
        <v>47</v>
      </c>
      <c r="C287">
        <f t="shared" si="26"/>
        <v>10</v>
      </c>
      <c r="D287" s="7">
        <f>'Eredmények konzervatív'!$B$6/12*(1+'Eredmények konzervatív'!$B$8)^('Havi számolás konzervatív'!B287-33)</f>
        <v>1503844.1464155174</v>
      </c>
      <c r="E287" s="7">
        <f t="shared" si="30"/>
        <v>28376413.632227797</v>
      </c>
      <c r="F287" s="7">
        <f>'Eredmények konzervatív'!$B$9*D287</f>
        <v>90230.648784931036</v>
      </c>
      <c r="G287" s="7">
        <f>SUM(E287:F287)*((1+'Eredmények konzervatív'!$B$10)^(1/12)-1)</f>
        <v>81724.852602769868</v>
      </c>
      <c r="H287" s="7">
        <f t="shared" si="29"/>
        <v>28548369.133615497</v>
      </c>
    </row>
    <row r="288" spans="1:8">
      <c r="A288">
        <f t="shared" si="27"/>
        <v>2051</v>
      </c>
      <c r="B288">
        <f t="shared" si="28"/>
        <v>47</v>
      </c>
      <c r="C288">
        <f t="shared" si="26"/>
        <v>11</v>
      </c>
      <c r="D288" s="7">
        <f>'Eredmények konzervatív'!$B$6/12*(1+'Eredmények konzervatív'!$B$8)^('Havi számolás konzervatív'!B288-33)</f>
        <v>1503844.1464155174</v>
      </c>
      <c r="E288" s="7">
        <f t="shared" si="30"/>
        <v>28548369.133615497</v>
      </c>
      <c r="F288" s="7">
        <f>'Eredmények konzervatív'!$B$9*D288</f>
        <v>90230.648784931036</v>
      </c>
      <c r="G288" s="7">
        <f>SUM(E288:F288)*((1+'Eredmények konzervatív'!$B$10)^(1/12)-1)</f>
        <v>82218.519431441993</v>
      </c>
      <c r="H288" s="7">
        <f t="shared" si="29"/>
        <v>28720818.301831871</v>
      </c>
    </row>
    <row r="289" spans="1:8">
      <c r="A289">
        <f t="shared" si="27"/>
        <v>2051</v>
      </c>
      <c r="B289">
        <f t="shared" si="28"/>
        <v>47</v>
      </c>
      <c r="C289">
        <f t="shared" si="26"/>
        <v>12</v>
      </c>
      <c r="D289" s="7">
        <f>'Eredmények konzervatív'!$B$6/12*(1+'Eredmények konzervatív'!$B$8)^('Havi számolás konzervatív'!B289-33)</f>
        <v>1503844.1464155174</v>
      </c>
      <c r="E289" s="7">
        <f t="shared" si="30"/>
        <v>28720818.301831871</v>
      </c>
      <c r="F289" s="7">
        <f>'Eredmények konzervatív'!$B$9*D289</f>
        <v>90230.648784931036</v>
      </c>
      <c r="G289" s="7">
        <f>SUM(E289:F289)*((1+'Eredmények konzervatív'!$B$10)^(1/12)-1)</f>
        <v>82713.603527580213</v>
      </c>
      <c r="H289" s="7">
        <f t="shared" si="29"/>
        <v>28893762.554144382</v>
      </c>
    </row>
    <row r="290" spans="1:8">
      <c r="A290">
        <f t="shared" si="27"/>
        <v>2052</v>
      </c>
      <c r="B290">
        <f t="shared" si="28"/>
        <v>48</v>
      </c>
      <c r="C290">
        <f t="shared" si="26"/>
        <v>1</v>
      </c>
      <c r="D290" s="7">
        <f>'Eredmények konzervatív'!$B$6/12*(1+'Eredmények konzervatív'!$B$8)^('Havi számolás konzervatív'!B290-33)</f>
        <v>1533921.0293438274</v>
      </c>
      <c r="E290" s="7">
        <f t="shared" si="30"/>
        <v>28893762.554144382</v>
      </c>
      <c r="F290" s="7">
        <f>'Eredmények konzervatív'!$B$9*D290</f>
        <v>92035.261760629641</v>
      </c>
      <c r="G290" s="7">
        <f>SUM(E290:F290)*((1+'Eredmények konzervatív'!$B$10)^(1/12)-1)</f>
        <v>83215.28982109623</v>
      </c>
      <c r="H290" s="7">
        <f t="shared" si="29"/>
        <v>29069013.105726108</v>
      </c>
    </row>
    <row r="291" spans="1:8">
      <c r="A291">
        <f t="shared" si="27"/>
        <v>2052</v>
      </c>
      <c r="B291">
        <f t="shared" si="28"/>
        <v>48</v>
      </c>
      <c r="C291">
        <f t="shared" si="26"/>
        <v>2</v>
      </c>
      <c r="D291" s="7">
        <f>'Eredmények konzervatív'!$B$6/12*(1+'Eredmények konzervatív'!$B$8)^('Havi számolás konzervatív'!B291-33)</f>
        <v>1533921.0293438274</v>
      </c>
      <c r="E291" s="7">
        <f t="shared" si="30"/>
        <v>29069013.105726108</v>
      </c>
      <c r="F291" s="7">
        <f>'Eredmények konzervatív'!$B$9*D291</f>
        <v>92035.261760629641</v>
      </c>
      <c r="G291" s="7">
        <f>SUM(E291:F291)*((1+'Eredmények konzervatív'!$B$10)^(1/12)-1)</f>
        <v>83718.416405149677</v>
      </c>
      <c r="H291" s="7">
        <f t="shared" si="29"/>
        <v>29244766.783891886</v>
      </c>
    </row>
    <row r="292" spans="1:8">
      <c r="A292">
        <f t="shared" si="27"/>
        <v>2052</v>
      </c>
      <c r="B292">
        <f t="shared" si="28"/>
        <v>48</v>
      </c>
      <c r="C292">
        <f t="shared" si="26"/>
        <v>3</v>
      </c>
      <c r="D292" s="7">
        <f>'Eredmények konzervatív'!$B$6/12*(1+'Eredmények konzervatív'!$B$8)^('Havi számolás konzervatív'!B292-33)</f>
        <v>1533921.0293438274</v>
      </c>
      <c r="E292" s="7">
        <f t="shared" si="30"/>
        <v>29244766.783891886</v>
      </c>
      <c r="F292" s="7">
        <f>'Eredmények konzervatív'!$B$9*D292</f>
        <v>92035.261760629641</v>
      </c>
      <c r="G292" s="7">
        <f>SUM(E292:F292)*((1+'Eredmények konzervatív'!$B$10)^(1/12)-1)</f>
        <v>84222.987414668823</v>
      </c>
      <c r="H292" s="7">
        <f t="shared" si="29"/>
        <v>29421025.033067185</v>
      </c>
    </row>
    <row r="293" spans="1:8">
      <c r="A293">
        <f t="shared" si="27"/>
        <v>2052</v>
      </c>
      <c r="B293">
        <f t="shared" si="28"/>
        <v>48</v>
      </c>
      <c r="C293">
        <f t="shared" si="26"/>
        <v>4</v>
      </c>
      <c r="D293" s="7">
        <f>'Eredmények konzervatív'!$B$6/12*(1+'Eredmények konzervatív'!$B$8)^('Havi számolás konzervatív'!B293-33)</f>
        <v>1533921.0293438274</v>
      </c>
      <c r="E293" s="7">
        <f t="shared" si="30"/>
        <v>29421025.033067185</v>
      </c>
      <c r="F293" s="7">
        <f>'Eredmények konzervatív'!$B$9*D293</f>
        <v>92035.261760629641</v>
      </c>
      <c r="G293" s="7">
        <f>SUM(E293:F293)*((1+'Eredmények konzervatív'!$B$10)^(1/12)-1)</f>
        <v>84729.006996452881</v>
      </c>
      <c r="H293" s="7">
        <f t="shared" si="29"/>
        <v>29597789.301824268</v>
      </c>
    </row>
    <row r="294" spans="1:8">
      <c r="A294">
        <f t="shared" si="27"/>
        <v>2052</v>
      </c>
      <c r="B294">
        <f t="shared" si="28"/>
        <v>48</v>
      </c>
      <c r="C294">
        <f t="shared" si="26"/>
        <v>5</v>
      </c>
      <c r="D294" s="7">
        <f>'Eredmények konzervatív'!$B$6/12*(1+'Eredmények konzervatív'!$B$8)^('Havi számolás konzervatív'!B294-33)</f>
        <v>1533921.0293438274</v>
      </c>
      <c r="E294" s="7">
        <f t="shared" si="30"/>
        <v>29597789.301824268</v>
      </c>
      <c r="F294" s="7">
        <f>'Eredmények konzervatív'!$B$9*D294</f>
        <v>92035.261760629641</v>
      </c>
      <c r="G294" s="7">
        <f>SUM(E294:F294)*((1+'Eredmények konzervatív'!$B$10)^(1/12)-1)</f>
        <v>85236.479309206115</v>
      </c>
      <c r="H294" s="7">
        <f t="shared" si="29"/>
        <v>29775061.042894103</v>
      </c>
    </row>
    <row r="295" spans="1:8">
      <c r="A295">
        <f t="shared" si="27"/>
        <v>2052</v>
      </c>
      <c r="B295">
        <f t="shared" si="28"/>
        <v>48</v>
      </c>
      <c r="C295">
        <f t="shared" si="26"/>
        <v>6</v>
      </c>
      <c r="D295" s="7">
        <f>'Eredmények konzervatív'!$B$6/12*(1+'Eredmények konzervatív'!$B$8)^('Havi számolás konzervatív'!B295-33)</f>
        <v>1533921.0293438274</v>
      </c>
      <c r="E295" s="7">
        <f t="shared" si="30"/>
        <v>29775061.042894103</v>
      </c>
      <c r="F295" s="7">
        <f>'Eredmények konzervatív'!$B$9*D295</f>
        <v>92035.261760629641</v>
      </c>
      <c r="G295" s="7">
        <f>SUM(E295:F295)*((1+'Eredmények konzervatív'!$B$10)^(1/12)-1)</f>
        <v>85745.408523571983</v>
      </c>
      <c r="H295" s="7">
        <f t="shared" si="29"/>
        <v>29952841.713178303</v>
      </c>
    </row>
    <row r="296" spans="1:8">
      <c r="A296">
        <f t="shared" si="27"/>
        <v>2052</v>
      </c>
      <c r="B296">
        <f t="shared" si="28"/>
        <v>48</v>
      </c>
      <c r="C296">
        <f t="shared" si="26"/>
        <v>7</v>
      </c>
      <c r="D296" s="7">
        <f>'Eredmények konzervatív'!$B$6/12*(1+'Eredmények konzervatív'!$B$8)^('Havi számolás konzervatív'!B296-33)</f>
        <v>1533921.0293438274</v>
      </c>
      <c r="E296" s="7">
        <f t="shared" si="30"/>
        <v>29952841.713178303</v>
      </c>
      <c r="F296" s="7">
        <f>'Eredmények konzervatív'!$B$9*D296</f>
        <v>92035.261760629641</v>
      </c>
      <c r="G296" s="7">
        <f>SUM(E296:F296)*((1+'Eredmények konzervatív'!$B$10)^(1/12)-1)</f>
        <v>86255.798822167475</v>
      </c>
      <c r="H296" s="7">
        <f t="shared" si="29"/>
        <v>30131132.773761101</v>
      </c>
    </row>
    <row r="297" spans="1:8">
      <c r="A297">
        <f t="shared" si="27"/>
        <v>2052</v>
      </c>
      <c r="B297">
        <f t="shared" si="28"/>
        <v>48</v>
      </c>
      <c r="C297">
        <f t="shared" si="26"/>
        <v>8</v>
      </c>
      <c r="D297" s="7">
        <f>'Eredmények konzervatív'!$B$6/12*(1+'Eredmények konzervatív'!$B$8)^('Havi számolás konzervatív'!B297-33)</f>
        <v>1533921.0293438274</v>
      </c>
      <c r="E297" s="7">
        <f t="shared" si="30"/>
        <v>30131132.773761101</v>
      </c>
      <c r="F297" s="7">
        <f>'Eredmények konzervatív'!$B$9*D297</f>
        <v>92035.261760629641</v>
      </c>
      <c r="G297" s="7">
        <f>SUM(E297:F297)*((1+'Eredmények konzervatív'!$B$10)^(1/12)-1)</f>
        <v>86767.654399617459</v>
      </c>
      <c r="H297" s="7">
        <f t="shared" si="29"/>
        <v>30309935.689921349</v>
      </c>
    </row>
    <row r="298" spans="1:8">
      <c r="A298">
        <f t="shared" si="27"/>
        <v>2052</v>
      </c>
      <c r="B298">
        <f t="shared" si="28"/>
        <v>48</v>
      </c>
      <c r="C298">
        <f t="shared" si="26"/>
        <v>9</v>
      </c>
      <c r="D298" s="7">
        <f>'Eredmények konzervatív'!$B$6/12*(1+'Eredmények konzervatív'!$B$8)^('Havi számolás konzervatív'!B298-33)</f>
        <v>1533921.0293438274</v>
      </c>
      <c r="E298" s="7">
        <f t="shared" si="30"/>
        <v>30309935.689921349</v>
      </c>
      <c r="F298" s="7">
        <f>'Eredmények konzervatív'!$B$9*D298</f>
        <v>92035.261760629641</v>
      </c>
      <c r="G298" s="7">
        <f>SUM(E298:F298)*((1+'Eredmények konzervatív'!$B$10)^(1/12)-1)</f>
        <v>87280.979462589079</v>
      </c>
      <c r="H298" s="7">
        <f t="shared" si="29"/>
        <v>30489251.931144569</v>
      </c>
    </row>
    <row r="299" spans="1:8">
      <c r="A299">
        <f t="shared" si="27"/>
        <v>2052</v>
      </c>
      <c r="B299">
        <f t="shared" si="28"/>
        <v>48</v>
      </c>
      <c r="C299">
        <f t="shared" si="26"/>
        <v>10</v>
      </c>
      <c r="D299" s="7">
        <f>'Eredmények konzervatív'!$B$6/12*(1+'Eredmények konzervatív'!$B$8)^('Havi számolás konzervatív'!B299-33)</f>
        <v>1533921.0293438274</v>
      </c>
      <c r="E299" s="7">
        <f t="shared" si="30"/>
        <v>30489251.931144569</v>
      </c>
      <c r="F299" s="7">
        <f>'Eredmények konzervatív'!$B$9*D299</f>
        <v>92035.261760629641</v>
      </c>
      <c r="G299" s="7">
        <f>SUM(E299:F299)*((1+'Eredmények konzervatív'!$B$10)^(1/12)-1)</f>
        <v>87795.778229826465</v>
      </c>
      <c r="H299" s="7">
        <f t="shared" si="29"/>
        <v>30669082.971135024</v>
      </c>
    </row>
    <row r="300" spans="1:8">
      <c r="A300">
        <f t="shared" si="27"/>
        <v>2052</v>
      </c>
      <c r="B300">
        <f t="shared" si="28"/>
        <v>48</v>
      </c>
      <c r="C300">
        <f t="shared" ref="C300:C363" si="31">C288</f>
        <v>11</v>
      </c>
      <c r="D300" s="7">
        <f>'Eredmények konzervatív'!$B$6/12*(1+'Eredmények konzervatív'!$B$8)^('Havi számolás konzervatív'!B300-33)</f>
        <v>1533921.0293438274</v>
      </c>
      <c r="E300" s="7">
        <f t="shared" si="30"/>
        <v>30669082.971135024</v>
      </c>
      <c r="F300" s="7">
        <f>'Eredmények konzervatív'!$B$9*D300</f>
        <v>92035.261760629641</v>
      </c>
      <c r="G300" s="7">
        <f>SUM(E300:F300)*((1+'Eredmények konzervatív'!$B$10)^(1/12)-1)</f>
        <v>88312.054932185274</v>
      </c>
      <c r="H300" s="7">
        <f t="shared" si="29"/>
        <v>30849430.287827838</v>
      </c>
    </row>
    <row r="301" spans="1:8">
      <c r="A301">
        <f t="shared" si="27"/>
        <v>2052</v>
      </c>
      <c r="B301">
        <f t="shared" si="28"/>
        <v>48</v>
      </c>
      <c r="C301">
        <f t="shared" si="31"/>
        <v>12</v>
      </c>
      <c r="D301" s="7">
        <f>'Eredmények konzervatív'!$B$6/12*(1+'Eredmények konzervatív'!$B$8)^('Havi számolás konzervatív'!B301-33)</f>
        <v>1533921.0293438274</v>
      </c>
      <c r="E301" s="7">
        <f t="shared" si="30"/>
        <v>30849430.287827838</v>
      </c>
      <c r="F301" s="7">
        <f>'Eredmények konzervatív'!$B$9*D301</f>
        <v>92035.261760629641</v>
      </c>
      <c r="G301" s="7">
        <f>SUM(E301:F301)*((1+'Eredmények konzervatív'!$B$10)^(1/12)-1)</f>
        <v>88829.813812667591</v>
      </c>
      <c r="H301" s="7">
        <f t="shared" si="29"/>
        <v>31030295.363401137</v>
      </c>
    </row>
    <row r="302" spans="1:8">
      <c r="A302">
        <f t="shared" si="27"/>
        <v>2053</v>
      </c>
      <c r="B302">
        <f t="shared" si="28"/>
        <v>49</v>
      </c>
      <c r="C302">
        <f t="shared" si="31"/>
        <v>1</v>
      </c>
      <c r="D302" s="7">
        <f>'Eredmények konzervatív'!$B$6/12*(1+'Eredmények konzervatív'!$B$8)^('Havi számolás konzervatív'!B302-33)</f>
        <v>1564599.4499307042</v>
      </c>
      <c r="E302" s="7">
        <f t="shared" si="30"/>
        <v>31030295.363401137</v>
      </c>
      <c r="F302" s="7">
        <f>'Eredmények konzervatív'!$B$9*D302</f>
        <v>93875.966995842246</v>
      </c>
      <c r="G302" s="7">
        <f>SUM(E302:F302)*((1+'Eredmények konzervatív'!$B$10)^(1/12)-1)</f>
        <v>89354.343604758644</v>
      </c>
      <c r="H302" s="7">
        <f t="shared" si="29"/>
        <v>31213525.674001738</v>
      </c>
    </row>
    <row r="303" spans="1:8">
      <c r="A303">
        <f t="shared" si="27"/>
        <v>2053</v>
      </c>
      <c r="B303">
        <f t="shared" si="28"/>
        <v>49</v>
      </c>
      <c r="C303">
        <f t="shared" si="31"/>
        <v>2</v>
      </c>
      <c r="D303" s="7">
        <f>'Eredmények konzervatív'!$B$6/12*(1+'Eredmények konzervatív'!$B$8)^('Havi számolás konzervatív'!B303-33)</f>
        <v>1564599.4499307042</v>
      </c>
      <c r="E303" s="7">
        <f t="shared" si="30"/>
        <v>31213525.674001738</v>
      </c>
      <c r="F303" s="7">
        <f>'Eredmények konzervatív'!$B$9*D303</f>
        <v>93875.966995842246</v>
      </c>
      <c r="G303" s="7">
        <f>SUM(E303:F303)*((1+'Eredmények konzervatív'!$B$10)^(1/12)-1)</f>
        <v>89880.379268757926</v>
      </c>
      <c r="H303" s="7">
        <f t="shared" si="29"/>
        <v>31397282.020266339</v>
      </c>
    </row>
    <row r="304" spans="1:8">
      <c r="A304">
        <f t="shared" si="27"/>
        <v>2053</v>
      </c>
      <c r="B304">
        <f t="shared" si="28"/>
        <v>49</v>
      </c>
      <c r="C304">
        <f t="shared" si="31"/>
        <v>3</v>
      </c>
      <c r="D304" s="7">
        <f>'Eredmények konzervatív'!$B$6/12*(1+'Eredmények konzervatív'!$B$8)^('Havi számolás konzervatív'!B304-33)</f>
        <v>1564599.4499307042</v>
      </c>
      <c r="E304" s="7">
        <f t="shared" si="30"/>
        <v>31397282.020266339</v>
      </c>
      <c r="F304" s="7">
        <f>'Eredmények konzervatív'!$B$9*D304</f>
        <v>93875.966995842246</v>
      </c>
      <c r="G304" s="7">
        <f>SUM(E304:F304)*((1+'Eredmények konzervatív'!$B$10)^(1/12)-1)</f>
        <v>90407.925127871174</v>
      </c>
      <c r="H304" s="7">
        <f t="shared" si="29"/>
        <v>31581565.912390053</v>
      </c>
    </row>
    <row r="305" spans="1:8">
      <c r="A305">
        <f t="shared" si="27"/>
        <v>2053</v>
      </c>
      <c r="B305">
        <f t="shared" si="28"/>
        <v>49</v>
      </c>
      <c r="C305">
        <f t="shared" si="31"/>
        <v>4</v>
      </c>
      <c r="D305" s="7">
        <f>'Eredmények konzervatív'!$B$6/12*(1+'Eredmények konzervatív'!$B$8)^('Havi számolás konzervatív'!B305-33)</f>
        <v>1564599.4499307042</v>
      </c>
      <c r="E305" s="7">
        <f t="shared" si="30"/>
        <v>31581565.912390053</v>
      </c>
      <c r="F305" s="7">
        <f>'Eredmények konzervatív'!$B$9*D305</f>
        <v>93875.966995842246</v>
      </c>
      <c r="G305" s="7">
        <f>SUM(E305:F305)*((1+'Eredmények konzervatív'!$B$10)^(1/12)-1)</f>
        <v>90936.985517715599</v>
      </c>
      <c r="H305" s="7">
        <f t="shared" si="29"/>
        <v>31766378.86490361</v>
      </c>
    </row>
    <row r="306" spans="1:8">
      <c r="A306">
        <f t="shared" si="27"/>
        <v>2053</v>
      </c>
      <c r="B306">
        <f t="shared" si="28"/>
        <v>49</v>
      </c>
      <c r="C306">
        <f t="shared" si="31"/>
        <v>5</v>
      </c>
      <c r="D306" s="7">
        <f>'Eredmények konzervatív'!$B$6/12*(1+'Eredmények konzervatív'!$B$8)^('Havi számolás konzervatív'!B306-33)</f>
        <v>1564599.4499307042</v>
      </c>
      <c r="E306" s="7">
        <f t="shared" si="30"/>
        <v>31766378.86490361</v>
      </c>
      <c r="F306" s="7">
        <f>'Eredmények konzervatív'!$B$9*D306</f>
        <v>93875.966995842246</v>
      </c>
      <c r="G306" s="7">
        <f>SUM(E306:F306)*((1+'Eredmények konzervatív'!$B$10)^(1/12)-1)</f>
        <v>91467.564786355535</v>
      </c>
      <c r="H306" s="7">
        <f t="shared" si="29"/>
        <v>31951722.396685809</v>
      </c>
    </row>
    <row r="307" spans="1:8">
      <c r="A307">
        <f t="shared" si="27"/>
        <v>2053</v>
      </c>
      <c r="B307">
        <f t="shared" si="28"/>
        <v>49</v>
      </c>
      <c r="C307">
        <f t="shared" si="31"/>
        <v>6</v>
      </c>
      <c r="D307" s="7">
        <f>'Eredmények konzervatív'!$B$6/12*(1+'Eredmények konzervatív'!$B$8)^('Havi számolás konzervatív'!B307-33)</f>
        <v>1564599.4499307042</v>
      </c>
      <c r="E307" s="7">
        <f t="shared" si="30"/>
        <v>31951722.396685809</v>
      </c>
      <c r="F307" s="7">
        <f>'Eredmények konzervatív'!$B$9*D307</f>
        <v>93875.966995842246</v>
      </c>
      <c r="G307" s="7">
        <f>SUM(E307:F307)*((1+'Eredmények konzervatív'!$B$10)^(1/12)-1)</f>
        <v>91999.6672943382</v>
      </c>
      <c r="H307" s="7">
        <f t="shared" si="29"/>
        <v>32137598.03097599</v>
      </c>
    </row>
    <row r="308" spans="1:8">
      <c r="A308">
        <f t="shared" si="27"/>
        <v>2053</v>
      </c>
      <c r="B308">
        <f t="shared" si="28"/>
        <v>49</v>
      </c>
      <c r="C308">
        <f t="shared" si="31"/>
        <v>7</v>
      </c>
      <c r="D308" s="7">
        <f>'Eredmények konzervatív'!$B$6/12*(1+'Eredmények konzervatív'!$B$8)^('Havi számolás konzervatív'!B308-33)</f>
        <v>1564599.4499307042</v>
      </c>
      <c r="E308" s="7">
        <f t="shared" si="30"/>
        <v>32137598.03097599</v>
      </c>
      <c r="F308" s="7">
        <f>'Eredmények konzervatív'!$B$9*D308</f>
        <v>93875.966995842246</v>
      </c>
      <c r="G308" s="7">
        <f>SUM(E308:F308)*((1+'Eredmények konzervatív'!$B$10)^(1/12)-1)</f>
        <v>92533.29741472943</v>
      </c>
      <c r="H308" s="7">
        <f t="shared" si="29"/>
        <v>32324007.295386564</v>
      </c>
    </row>
    <row r="309" spans="1:8">
      <c r="A309">
        <f t="shared" si="27"/>
        <v>2053</v>
      </c>
      <c r="B309">
        <f t="shared" si="28"/>
        <v>49</v>
      </c>
      <c r="C309">
        <f t="shared" si="31"/>
        <v>8</v>
      </c>
      <c r="D309" s="7">
        <f>'Eredmények konzervatív'!$B$6/12*(1+'Eredmények konzervatív'!$B$8)^('Havi számolás konzervatív'!B309-33)</f>
        <v>1564599.4499307042</v>
      </c>
      <c r="E309" s="7">
        <f t="shared" si="30"/>
        <v>32324007.295386564</v>
      </c>
      <c r="F309" s="7">
        <f>'Eredmények konzervatív'!$B$9*D309</f>
        <v>93875.966995842246</v>
      </c>
      <c r="G309" s="7">
        <f>SUM(E309:F309)*((1+'Eredmények konzervatív'!$B$10)^(1/12)-1)</f>
        <v>93068.459533149769</v>
      </c>
      <c r="H309" s="7">
        <f t="shared" si="29"/>
        <v>32510951.721915558</v>
      </c>
    </row>
    <row r="310" spans="1:8">
      <c r="A310">
        <f t="shared" si="27"/>
        <v>2053</v>
      </c>
      <c r="B310">
        <f t="shared" si="28"/>
        <v>49</v>
      </c>
      <c r="C310">
        <f t="shared" si="31"/>
        <v>9</v>
      </c>
      <c r="D310" s="7">
        <f>'Eredmények konzervatív'!$B$6/12*(1+'Eredmények konzervatív'!$B$8)^('Havi számolás konzervatív'!B310-33)</f>
        <v>1564599.4499307042</v>
      </c>
      <c r="E310" s="7">
        <f t="shared" si="30"/>
        <v>32510951.721915558</v>
      </c>
      <c r="F310" s="7">
        <f>'Eredmények konzervatív'!$B$9*D310</f>
        <v>93875.966995842246</v>
      </c>
      <c r="G310" s="7">
        <f>SUM(E310:F310)*((1+'Eredmények konzervatív'!$B$10)^(1/12)-1)</f>
        <v>93605.158047810371</v>
      </c>
      <c r="H310" s="7">
        <f t="shared" si="29"/>
        <v>32698432.846959211</v>
      </c>
    </row>
    <row r="311" spans="1:8">
      <c r="A311">
        <f t="shared" si="27"/>
        <v>2053</v>
      </c>
      <c r="B311">
        <f t="shared" si="28"/>
        <v>49</v>
      </c>
      <c r="C311">
        <f t="shared" si="31"/>
        <v>10</v>
      </c>
      <c r="D311" s="7">
        <f>'Eredmények konzervatív'!$B$6/12*(1+'Eredmények konzervatív'!$B$8)^('Havi számolás konzervatív'!B311-33)</f>
        <v>1564599.4499307042</v>
      </c>
      <c r="E311" s="7">
        <f t="shared" si="30"/>
        <v>32698432.846959211</v>
      </c>
      <c r="F311" s="7">
        <f>'Eredmények konzervatív'!$B$9*D311</f>
        <v>93875.966995842246</v>
      </c>
      <c r="G311" s="7">
        <f>SUM(E311:F311)*((1+'Eredmények konzervatív'!$B$10)^(1/12)-1)</f>
        <v>94143.397369549246</v>
      </c>
      <c r="H311" s="7">
        <f t="shared" si="29"/>
        <v>32886452.211324602</v>
      </c>
    </row>
    <row r="312" spans="1:8">
      <c r="A312">
        <f t="shared" si="27"/>
        <v>2053</v>
      </c>
      <c r="B312">
        <f t="shared" si="28"/>
        <v>49</v>
      </c>
      <c r="C312">
        <f t="shared" si="31"/>
        <v>11</v>
      </c>
      <c r="D312" s="7">
        <f>'Eredmények konzervatív'!$B$6/12*(1+'Eredmények konzervatív'!$B$8)^('Havi számolás konzervatív'!B312-33)</f>
        <v>1564599.4499307042</v>
      </c>
      <c r="E312" s="7">
        <f t="shared" si="30"/>
        <v>32886452.211324602</v>
      </c>
      <c r="F312" s="7">
        <f>'Eredmények konzervatív'!$B$9*D312</f>
        <v>93875.966995842246</v>
      </c>
      <c r="G312" s="7">
        <f>SUM(E312:F312)*((1+'Eredmények konzervatív'!$B$10)^(1/12)-1)</f>
        <v>94683.18192186745</v>
      </c>
      <c r="H312" s="7">
        <f t="shared" si="29"/>
        <v>33075011.360242311</v>
      </c>
    </row>
    <row r="313" spans="1:8">
      <c r="A313">
        <f t="shared" si="27"/>
        <v>2053</v>
      </c>
      <c r="B313">
        <f t="shared" si="28"/>
        <v>49</v>
      </c>
      <c r="C313">
        <f t="shared" si="31"/>
        <v>12</v>
      </c>
      <c r="D313" s="7">
        <f>'Eredmények konzervatív'!$B$6/12*(1+'Eredmények konzervatív'!$B$8)^('Havi számolás konzervatív'!B313-33)</f>
        <v>1564599.4499307042</v>
      </c>
      <c r="E313" s="7">
        <f t="shared" si="30"/>
        <v>33075011.360242311</v>
      </c>
      <c r="F313" s="7">
        <f>'Eredmények konzervatív'!$B$9*D313</f>
        <v>93875.966995842246</v>
      </c>
      <c r="G313" s="7">
        <f>SUM(E313:F313)*((1+'Eredmények konzervatív'!$B$10)^(1/12)-1)</f>
        <v>95224.516140965483</v>
      </c>
      <c r="H313" s="7">
        <f t="shared" si="29"/>
        <v>33264111.843379118</v>
      </c>
    </row>
    <row r="314" spans="1:8">
      <c r="A314">
        <f t="shared" si="27"/>
        <v>2054</v>
      </c>
      <c r="B314">
        <f t="shared" si="28"/>
        <v>50</v>
      </c>
      <c r="C314">
        <f t="shared" si="31"/>
        <v>1</v>
      </c>
      <c r="D314" s="7">
        <f>'Eredmények konzervatív'!$B$6/12*(1+'Eredmények konzervatív'!$B$8)^('Havi számolás konzervatív'!B314-33)</f>
        <v>1595891.4389293185</v>
      </c>
      <c r="E314" s="7">
        <f t="shared" si="30"/>
        <v>33264111.843379118</v>
      </c>
      <c r="F314" s="7">
        <f>'Eredmények konzervatív'!$B$9*D314</f>
        <v>95753.486335759109</v>
      </c>
      <c r="G314" s="7">
        <f>SUM(E314:F314)*((1+'Eredmények konzervatív'!$B$10)^(1/12)-1)</f>
        <v>95772.794643647721</v>
      </c>
      <c r="H314" s="7">
        <f t="shared" si="29"/>
        <v>33455638.124358524</v>
      </c>
    </row>
    <row r="315" spans="1:8">
      <c r="A315">
        <f t="shared" si="27"/>
        <v>2054</v>
      </c>
      <c r="B315">
        <f t="shared" si="28"/>
        <v>50</v>
      </c>
      <c r="C315">
        <f t="shared" si="31"/>
        <v>2</v>
      </c>
      <c r="D315" s="7">
        <f>'Eredmények konzervatív'!$B$6/12*(1+'Eredmények konzervatív'!$B$8)^('Havi számolás konzervatív'!B315-33)</f>
        <v>1595891.4389293185</v>
      </c>
      <c r="E315" s="7">
        <f t="shared" si="30"/>
        <v>33455638.124358524</v>
      </c>
      <c r="F315" s="7">
        <f>'Eredmények konzervatív'!$B$9*D315</f>
        <v>95753.486335759109</v>
      </c>
      <c r="G315" s="7">
        <f>SUM(E315:F315)*((1+'Eredmények konzervatív'!$B$10)^(1/12)-1)</f>
        <v>96322.647198381019</v>
      </c>
      <c r="H315" s="7">
        <f t="shared" si="29"/>
        <v>33647714.257892661</v>
      </c>
    </row>
    <row r="316" spans="1:8">
      <c r="A316">
        <f t="shared" si="27"/>
        <v>2054</v>
      </c>
      <c r="B316">
        <f t="shared" si="28"/>
        <v>50</v>
      </c>
      <c r="C316">
        <f t="shared" si="31"/>
        <v>3</v>
      </c>
      <c r="D316" s="7">
        <f>'Eredmények konzervatív'!$B$6/12*(1+'Eredmények konzervatív'!$B$8)^('Havi számolás konzervatív'!B316-33)</f>
        <v>1595891.4389293185</v>
      </c>
      <c r="E316" s="7">
        <f t="shared" si="30"/>
        <v>33647714.257892661</v>
      </c>
      <c r="F316" s="7">
        <f>'Eredmények konzervatív'!$B$9*D316</f>
        <v>95753.486335759109</v>
      </c>
      <c r="G316" s="7">
        <f>SUM(E316:F316)*((1+'Eredmények konzervatív'!$B$10)^(1/12)-1)</f>
        <v>96874.078324109374</v>
      </c>
      <c r="H316" s="7">
        <f t="shared" si="29"/>
        <v>33840341.822552532</v>
      </c>
    </row>
    <row r="317" spans="1:8">
      <c r="A317">
        <f t="shared" si="27"/>
        <v>2054</v>
      </c>
      <c r="B317">
        <f t="shared" si="28"/>
        <v>50</v>
      </c>
      <c r="C317">
        <f t="shared" si="31"/>
        <v>4</v>
      </c>
      <c r="D317" s="7">
        <f>'Eredmények konzervatív'!$B$6/12*(1+'Eredmények konzervatív'!$B$8)^('Havi számolás konzervatív'!B317-33)</f>
        <v>1595891.4389293185</v>
      </c>
      <c r="E317" s="7">
        <f t="shared" si="30"/>
        <v>33840341.822552532</v>
      </c>
      <c r="F317" s="7">
        <f>'Eredmények konzervatív'!$B$9*D317</f>
        <v>95753.486335759109</v>
      </c>
      <c r="G317" s="7">
        <f>SUM(E317:F317)*((1+'Eredmények konzervatív'!$B$10)^(1/12)-1)</f>
        <v>97427.092552750255</v>
      </c>
      <c r="H317" s="7">
        <f t="shared" si="29"/>
        <v>34033522.401441045</v>
      </c>
    </row>
    <row r="318" spans="1:8">
      <c r="A318">
        <f t="shared" si="27"/>
        <v>2054</v>
      </c>
      <c r="B318">
        <f t="shared" si="28"/>
        <v>50</v>
      </c>
      <c r="C318">
        <f t="shared" si="31"/>
        <v>5</v>
      </c>
      <c r="D318" s="7">
        <f>'Eredmények konzervatív'!$B$6/12*(1+'Eredmények konzervatív'!$B$8)^('Havi számolás konzervatív'!B318-33)</f>
        <v>1595891.4389293185</v>
      </c>
      <c r="E318" s="7">
        <f t="shared" si="30"/>
        <v>34033522.401441045</v>
      </c>
      <c r="F318" s="7">
        <f>'Eredmények konzervatív'!$B$9*D318</f>
        <v>95753.486335759109</v>
      </c>
      <c r="G318" s="7">
        <f>SUM(E318:F318)*((1+'Eredmények konzervatív'!$B$10)^(1/12)-1)</f>
        <v>97981.694429231764</v>
      </c>
      <c r="H318" s="7">
        <f t="shared" si="29"/>
        <v>34227257.582206041</v>
      </c>
    </row>
    <row r="319" spans="1:8">
      <c r="A319">
        <f t="shared" si="27"/>
        <v>2054</v>
      </c>
      <c r="B319">
        <f t="shared" si="28"/>
        <v>50</v>
      </c>
      <c r="C319">
        <f t="shared" si="31"/>
        <v>6</v>
      </c>
      <c r="D319" s="7">
        <f>'Eredmények konzervatív'!$B$6/12*(1+'Eredmények konzervatív'!$B$8)^('Havi számolás konzervatív'!B319-33)</f>
        <v>1595891.4389293185</v>
      </c>
      <c r="E319" s="7">
        <f t="shared" si="30"/>
        <v>34227257.582206041</v>
      </c>
      <c r="F319" s="7">
        <f>'Eredmények konzervatív'!$B$9*D319</f>
        <v>95753.486335759109</v>
      </c>
      <c r="G319" s="7">
        <f>SUM(E319:F319)*((1+'Eredmények konzervatív'!$B$10)^(1/12)-1)</f>
        <v>98537.888511530065</v>
      </c>
      <c r="H319" s="7">
        <f t="shared" si="29"/>
        <v>34421548.957053334</v>
      </c>
    </row>
    <row r="320" spans="1:8">
      <c r="A320">
        <f t="shared" si="27"/>
        <v>2054</v>
      </c>
      <c r="B320">
        <f t="shared" si="28"/>
        <v>50</v>
      </c>
      <c r="C320">
        <f t="shared" si="31"/>
        <v>7</v>
      </c>
      <c r="D320" s="7">
        <f>'Eredmények konzervatív'!$B$6/12*(1+'Eredmények konzervatív'!$B$8)^('Havi számolás konzervatív'!B320-33)</f>
        <v>1595891.4389293185</v>
      </c>
      <c r="E320" s="7">
        <f t="shared" si="30"/>
        <v>34421548.957053334</v>
      </c>
      <c r="F320" s="7">
        <f>'Eredmények konzervatív'!$B$9*D320</f>
        <v>95753.486335759109</v>
      </c>
      <c r="G320" s="7">
        <f>SUM(E320:F320)*((1+'Eredmények konzervatív'!$B$10)^(1/12)-1)</f>
        <v>99095.679370706799</v>
      </c>
      <c r="H320" s="7">
        <f t="shared" si="29"/>
        <v>34616398.122759804</v>
      </c>
    </row>
    <row r="321" spans="1:8">
      <c r="A321">
        <f t="shared" si="27"/>
        <v>2054</v>
      </c>
      <c r="B321">
        <f t="shared" si="28"/>
        <v>50</v>
      </c>
      <c r="C321">
        <f t="shared" si="31"/>
        <v>8</v>
      </c>
      <c r="D321" s="7">
        <f>'Eredmények konzervatív'!$B$6/12*(1+'Eredmények konzervatív'!$B$8)^('Havi számolás konzervatív'!B321-33)</f>
        <v>1595891.4389293185</v>
      </c>
      <c r="E321" s="7">
        <f t="shared" si="30"/>
        <v>34616398.122759804</v>
      </c>
      <c r="F321" s="7">
        <f>'Eredmények konzervatív'!$B$9*D321</f>
        <v>95753.486335759109</v>
      </c>
      <c r="G321" s="7">
        <f>SUM(E321:F321)*((1+'Eredmények konzervatív'!$B$10)^(1/12)-1)</f>
        <v>99655.071590946667</v>
      </c>
      <c r="H321" s="7">
        <f t="shared" si="29"/>
        <v>34811806.680686511</v>
      </c>
    </row>
    <row r="322" spans="1:8">
      <c r="A322">
        <f t="shared" si="27"/>
        <v>2054</v>
      </c>
      <c r="B322">
        <f t="shared" si="28"/>
        <v>50</v>
      </c>
      <c r="C322">
        <f t="shared" si="31"/>
        <v>9</v>
      </c>
      <c r="D322" s="7">
        <f>'Eredmények konzervatív'!$B$6/12*(1+'Eredmények konzervatív'!$B$8)^('Havi számolás konzervatív'!B322-33)</f>
        <v>1595891.4389293185</v>
      </c>
      <c r="E322" s="7">
        <f t="shared" si="30"/>
        <v>34811806.680686511</v>
      </c>
      <c r="F322" s="7">
        <f>'Eredmények konzervatív'!$B$9*D322</f>
        <v>95753.486335759109</v>
      </c>
      <c r="G322" s="7">
        <f>SUM(E322:F322)*((1+'Eredmények konzervatív'!$B$10)^(1/12)-1)</f>
        <v>100216.06976959507</v>
      </c>
      <c r="H322" s="7">
        <f t="shared" si="29"/>
        <v>35007776.236791871</v>
      </c>
    </row>
    <row r="323" spans="1:8">
      <c r="A323">
        <f t="shared" ref="A323:A386" si="32">INT((ROW(A322)-1)/12+2028)</f>
        <v>2054</v>
      </c>
      <c r="B323">
        <f t="shared" ref="B323:B386" si="33">INT((A323-2004)+(C323-1)/12)</f>
        <v>50</v>
      </c>
      <c r="C323">
        <f t="shared" si="31"/>
        <v>10</v>
      </c>
      <c r="D323" s="7">
        <f>'Eredmények konzervatív'!$B$6/12*(1+'Eredmények konzervatív'!$B$8)^('Havi számolás konzervatív'!B323-33)</f>
        <v>1595891.4389293185</v>
      </c>
      <c r="E323" s="7">
        <f t="shared" si="30"/>
        <v>35007776.236791871</v>
      </c>
      <c r="F323" s="7">
        <f>'Eredmények konzervatív'!$B$9*D323</f>
        <v>95753.486335759109</v>
      </c>
      <c r="G323" s="7">
        <f>SUM(E323:F323)*((1+'Eredmények konzervatív'!$B$10)^(1/12)-1)</f>
        <v>100778.67851719596</v>
      </c>
      <c r="H323" s="7">
        <f t="shared" ref="H323:H386" si="34">E323+F323+G323</f>
        <v>35204308.401644826</v>
      </c>
    </row>
    <row r="324" spans="1:8">
      <c r="A324">
        <f t="shared" si="32"/>
        <v>2054</v>
      </c>
      <c r="B324">
        <f t="shared" si="33"/>
        <v>50</v>
      </c>
      <c r="C324">
        <f t="shared" si="31"/>
        <v>11</v>
      </c>
      <c r="D324" s="7">
        <f>'Eredmények konzervatív'!$B$6/12*(1+'Eredmények konzervatív'!$B$8)^('Havi számolás konzervatív'!B324-33)</f>
        <v>1595891.4389293185</v>
      </c>
      <c r="E324" s="7">
        <f t="shared" si="30"/>
        <v>35204308.401644826</v>
      </c>
      <c r="F324" s="7">
        <f>'Eredmények konzervatív'!$B$9*D324</f>
        <v>95753.486335759109</v>
      </c>
      <c r="G324" s="7">
        <f>SUM(E324:F324)*((1+'Eredmények konzervatív'!$B$10)^(1/12)-1)</f>
        <v>101342.90245752966</v>
      </c>
      <c r="H324" s="7">
        <f t="shared" si="34"/>
        <v>35401404.790438116</v>
      </c>
    </row>
    <row r="325" spans="1:8">
      <c r="A325">
        <f t="shared" si="32"/>
        <v>2054</v>
      </c>
      <c r="B325">
        <f t="shared" si="33"/>
        <v>50</v>
      </c>
      <c r="C325">
        <f t="shared" si="31"/>
        <v>12</v>
      </c>
      <c r="D325" s="7">
        <f>'Eredmények konzervatív'!$B$6/12*(1+'Eredmények konzervatív'!$B$8)^('Havi számolás konzervatív'!B325-33)</f>
        <v>1595891.4389293185</v>
      </c>
      <c r="E325" s="7">
        <f t="shared" ref="E325:E388" si="35">H324</f>
        <v>35401404.790438116</v>
      </c>
      <c r="F325" s="7">
        <f>'Eredmények konzervatív'!$B$9*D325</f>
        <v>95753.486335759109</v>
      </c>
      <c r="G325" s="7">
        <f>SUM(E325:F325)*((1+'Eredmények konzervatív'!$B$10)^(1/12)-1)</f>
        <v>101908.74622765095</v>
      </c>
      <c r="H325" s="7">
        <f t="shared" si="34"/>
        <v>35599067.023001529</v>
      </c>
    </row>
    <row r="326" spans="1:8">
      <c r="A326">
        <f t="shared" si="32"/>
        <v>2055</v>
      </c>
      <c r="B326">
        <f t="shared" si="33"/>
        <v>51</v>
      </c>
      <c r="C326">
        <f t="shared" si="31"/>
        <v>1</v>
      </c>
      <c r="D326" s="7">
        <f>'Eredmények konzervatív'!$B$6/12*(1+'Eredmények konzervatív'!$B$8)^('Havi számolás konzervatív'!B326-33)</f>
        <v>1627809.2677079046</v>
      </c>
      <c r="E326" s="7">
        <f t="shared" si="35"/>
        <v>35599067.023001529</v>
      </c>
      <c r="F326" s="7">
        <f>'Eredmények konzervatív'!$B$9*D326</f>
        <v>97668.556062474265</v>
      </c>
      <c r="G326" s="7">
        <f>SUM(E326:F326)*((1+'Eredmények konzervatív'!$B$10)^(1/12)-1)</f>
        <v>102481.71244915244</v>
      </c>
      <c r="H326" s="7">
        <f t="shared" si="34"/>
        <v>35799217.29151316</v>
      </c>
    </row>
    <row r="327" spans="1:8">
      <c r="A327">
        <f t="shared" si="32"/>
        <v>2055</v>
      </c>
      <c r="B327">
        <f t="shared" si="33"/>
        <v>51</v>
      </c>
      <c r="C327">
        <f t="shared" si="31"/>
        <v>2</v>
      </c>
      <c r="D327" s="7">
        <f>'Eredmények konzervatív'!$B$6/12*(1+'Eredmények konzervatív'!$B$8)^('Havi számolás konzervatív'!B327-33)</f>
        <v>1627809.2677079046</v>
      </c>
      <c r="E327" s="7">
        <f t="shared" si="35"/>
        <v>35799217.29151316</v>
      </c>
      <c r="F327" s="7">
        <f>'Eredmények konzervatív'!$B$9*D327</f>
        <v>97668.556062474265</v>
      </c>
      <c r="G327" s="7">
        <f>SUM(E327:F327)*((1+'Eredmények konzervatív'!$B$10)^(1/12)-1)</f>
        <v>103056.32359864534</v>
      </c>
      <c r="H327" s="7">
        <f t="shared" si="34"/>
        <v>35999942.17117428</v>
      </c>
    </row>
    <row r="328" spans="1:8">
      <c r="A328">
        <f t="shared" si="32"/>
        <v>2055</v>
      </c>
      <c r="B328">
        <f t="shared" si="33"/>
        <v>51</v>
      </c>
      <c r="C328">
        <f t="shared" si="31"/>
        <v>3</v>
      </c>
      <c r="D328" s="7">
        <f>'Eredmények konzervatív'!$B$6/12*(1+'Eredmények konzervatív'!$B$8)^('Havi számolás konzervatív'!B328-33)</f>
        <v>1627809.2677079046</v>
      </c>
      <c r="E328" s="7">
        <f t="shared" si="35"/>
        <v>35999942.17117428</v>
      </c>
      <c r="F328" s="7">
        <f>'Eredmények konzervatív'!$B$9*D328</f>
        <v>97668.556062474265</v>
      </c>
      <c r="G328" s="7">
        <f>SUM(E328:F328)*((1+'Eredmények konzervatív'!$B$10)^(1/12)-1)</f>
        <v>103632.58439855126</v>
      </c>
      <c r="H328" s="7">
        <f t="shared" si="34"/>
        <v>36201243.311635308</v>
      </c>
    </row>
    <row r="329" spans="1:8">
      <c r="A329">
        <f t="shared" si="32"/>
        <v>2055</v>
      </c>
      <c r="B329">
        <f t="shared" si="33"/>
        <v>51</v>
      </c>
      <c r="C329">
        <f t="shared" si="31"/>
        <v>4</v>
      </c>
      <c r="D329" s="7">
        <f>'Eredmények konzervatív'!$B$6/12*(1+'Eredmények konzervatív'!$B$8)^('Havi számolás konzervatív'!B329-33)</f>
        <v>1627809.2677079046</v>
      </c>
      <c r="E329" s="7">
        <f t="shared" si="35"/>
        <v>36201243.311635308</v>
      </c>
      <c r="F329" s="7">
        <f>'Eredmények konzervatív'!$B$9*D329</f>
        <v>97668.556062474265</v>
      </c>
      <c r="G329" s="7">
        <f>SUM(E329:F329)*((1+'Eredmények konzervatív'!$B$10)^(1/12)-1)</f>
        <v>104210.49958484949</v>
      </c>
      <c r="H329" s="7">
        <f t="shared" si="34"/>
        <v>36403122.367282629</v>
      </c>
    </row>
    <row r="330" spans="1:8">
      <c r="A330">
        <f t="shared" si="32"/>
        <v>2055</v>
      </c>
      <c r="B330">
        <f t="shared" si="33"/>
        <v>51</v>
      </c>
      <c r="C330">
        <f t="shared" si="31"/>
        <v>5</v>
      </c>
      <c r="D330" s="7">
        <f>'Eredmények konzervatív'!$B$6/12*(1+'Eredmények konzervatív'!$B$8)^('Havi számolás konzervatív'!B330-33)</f>
        <v>1627809.2677079046</v>
      </c>
      <c r="E330" s="7">
        <f t="shared" si="35"/>
        <v>36403122.367282629</v>
      </c>
      <c r="F330" s="7">
        <f>'Eredmények konzervatív'!$B$9*D330</f>
        <v>97668.556062474265</v>
      </c>
      <c r="G330" s="7">
        <f>SUM(E330:F330)*((1+'Eredmények konzervatív'!$B$10)^(1/12)-1)</f>
        <v>104790.07390711579</v>
      </c>
      <c r="H330" s="7">
        <f t="shared" si="34"/>
        <v>36605580.997252218</v>
      </c>
    </row>
    <row r="331" spans="1:8">
      <c r="A331">
        <f t="shared" si="32"/>
        <v>2055</v>
      </c>
      <c r="B331">
        <f t="shared" si="33"/>
        <v>51</v>
      </c>
      <c r="C331">
        <f t="shared" si="31"/>
        <v>6</v>
      </c>
      <c r="D331" s="7">
        <f>'Eredmények konzervatív'!$B$6/12*(1+'Eredmények konzervatív'!$B$8)^('Havi számolás konzervatív'!B331-33)</f>
        <v>1627809.2677079046</v>
      </c>
      <c r="E331" s="7">
        <f t="shared" si="35"/>
        <v>36605580.997252218</v>
      </c>
      <c r="F331" s="7">
        <f>'Eredmények konzervatív'!$B$9*D331</f>
        <v>97668.556062474265</v>
      </c>
      <c r="G331" s="7">
        <f>SUM(E331:F331)*((1+'Eredmények konzervatív'!$B$10)^(1/12)-1)</f>
        <v>105371.31212856149</v>
      </c>
      <c r="H331" s="7">
        <f t="shared" si="34"/>
        <v>36808620.865443252</v>
      </c>
    </row>
    <row r="332" spans="1:8">
      <c r="A332">
        <f t="shared" si="32"/>
        <v>2055</v>
      </c>
      <c r="B332">
        <f t="shared" si="33"/>
        <v>51</v>
      </c>
      <c r="C332">
        <f t="shared" si="31"/>
        <v>7</v>
      </c>
      <c r="D332" s="7">
        <f>'Eredmények konzervatív'!$B$6/12*(1+'Eredmények konzervatív'!$B$8)^('Havi számolás konzervatív'!B332-33)</f>
        <v>1627809.2677079046</v>
      </c>
      <c r="E332" s="7">
        <f t="shared" si="35"/>
        <v>36808620.865443252</v>
      </c>
      <c r="F332" s="7">
        <f>'Eredmények konzervatív'!$B$9*D332</f>
        <v>97668.556062474265</v>
      </c>
      <c r="G332" s="7">
        <f>SUM(E332:F332)*((1+'Eredmények konzervatív'!$B$10)^(1/12)-1)</f>
        <v>105954.21902607262</v>
      </c>
      <c r="H332" s="7">
        <f t="shared" si="34"/>
        <v>37012243.640531801</v>
      </c>
    </row>
    <row r="333" spans="1:8">
      <c r="A333">
        <f t="shared" si="32"/>
        <v>2055</v>
      </c>
      <c r="B333">
        <f t="shared" si="33"/>
        <v>51</v>
      </c>
      <c r="C333">
        <f t="shared" si="31"/>
        <v>8</v>
      </c>
      <c r="D333" s="7">
        <f>'Eredmények konzervatív'!$B$6/12*(1+'Eredmények konzervatív'!$B$8)^('Havi számolás konzervatív'!B333-33)</f>
        <v>1627809.2677079046</v>
      </c>
      <c r="E333" s="7">
        <f t="shared" si="35"/>
        <v>37012243.640531801</v>
      </c>
      <c r="F333" s="7">
        <f>'Eredmények konzervatív'!$B$9*D333</f>
        <v>97668.556062474265</v>
      </c>
      <c r="G333" s="7">
        <f>SUM(E333:F333)*((1+'Eredmények konzervatív'!$B$10)^(1/12)-1)</f>
        <v>106538.79939024917</v>
      </c>
      <c r="H333" s="7">
        <f t="shared" si="34"/>
        <v>37216450.995984524</v>
      </c>
    </row>
    <row r="334" spans="1:8">
      <c r="A334">
        <f t="shared" si="32"/>
        <v>2055</v>
      </c>
      <c r="B334">
        <f t="shared" si="33"/>
        <v>51</v>
      </c>
      <c r="C334">
        <f t="shared" si="31"/>
        <v>9</v>
      </c>
      <c r="D334" s="7">
        <f>'Eredmények konzervatív'!$B$6/12*(1+'Eredmények konzervatív'!$B$8)^('Havi számolás konzervatív'!B334-33)</f>
        <v>1627809.2677079046</v>
      </c>
      <c r="E334" s="7">
        <f t="shared" si="35"/>
        <v>37216450.995984524</v>
      </c>
      <c r="F334" s="7">
        <f>'Eredmények konzervatív'!$B$9*D334</f>
        <v>97668.556062474265</v>
      </c>
      <c r="G334" s="7">
        <f>SUM(E334:F334)*((1+'Eredmények konzervatív'!$B$10)^(1/12)-1)</f>
        <v>107125.05802544442</v>
      </c>
      <c r="H334" s="7">
        <f t="shared" si="34"/>
        <v>37421244.610072441</v>
      </c>
    </row>
    <row r="335" spans="1:8">
      <c r="A335">
        <f t="shared" si="32"/>
        <v>2055</v>
      </c>
      <c r="B335">
        <f t="shared" si="33"/>
        <v>51</v>
      </c>
      <c r="C335">
        <f t="shared" si="31"/>
        <v>10</v>
      </c>
      <c r="D335" s="7">
        <f>'Eredmények konzervatív'!$B$6/12*(1+'Eredmények konzervatív'!$B$8)^('Havi számolás konzervatív'!B335-33)</f>
        <v>1627809.2677079046</v>
      </c>
      <c r="E335" s="7">
        <f t="shared" si="35"/>
        <v>37421244.610072441</v>
      </c>
      <c r="F335" s="7">
        <f>'Eredmények konzervatív'!$B$9*D335</f>
        <v>97668.556062474265</v>
      </c>
      <c r="G335" s="7">
        <f>SUM(E335:F335)*((1+'Eredmények konzervatív'!$B$10)^(1/12)-1)</f>
        <v>107712.9997498045</v>
      </c>
      <c r="H335" s="7">
        <f t="shared" si="34"/>
        <v>37626626.165884718</v>
      </c>
    </row>
    <row r="336" spans="1:8">
      <c r="A336">
        <f t="shared" si="32"/>
        <v>2055</v>
      </c>
      <c r="B336">
        <f t="shared" si="33"/>
        <v>51</v>
      </c>
      <c r="C336">
        <f t="shared" si="31"/>
        <v>11</v>
      </c>
      <c r="D336" s="7">
        <f>'Eredmények konzervatív'!$B$6/12*(1+'Eredmények konzervatív'!$B$8)^('Havi számolás konzervatív'!B336-33)</f>
        <v>1627809.2677079046</v>
      </c>
      <c r="E336" s="7">
        <f t="shared" si="35"/>
        <v>37626626.165884718</v>
      </c>
      <c r="F336" s="7">
        <f>'Eredmények konzervatív'!$B$9*D336</f>
        <v>97668.556062474265</v>
      </c>
      <c r="G336" s="7">
        <f>SUM(E336:F336)*((1+'Eredmények konzervatív'!$B$10)^(1/12)-1)</f>
        <v>108302.62939530793</v>
      </c>
      <c r="H336" s="7">
        <f t="shared" si="34"/>
        <v>37832597.351342499</v>
      </c>
    </row>
    <row r="337" spans="1:8">
      <c r="A337">
        <f t="shared" si="32"/>
        <v>2055</v>
      </c>
      <c r="B337">
        <f t="shared" si="33"/>
        <v>51</v>
      </c>
      <c r="C337">
        <f t="shared" si="31"/>
        <v>12</v>
      </c>
      <c r="D337" s="7">
        <f>'Eredmények konzervatív'!$B$6/12*(1+'Eredmények konzervatív'!$B$8)^('Havi számolás konzervatív'!B337-33)</f>
        <v>1627809.2677079046</v>
      </c>
      <c r="E337" s="7">
        <f t="shared" si="35"/>
        <v>37832597.351342499</v>
      </c>
      <c r="F337" s="7">
        <f>'Eredmények konzervatív'!$B$9*D337</f>
        <v>97668.556062474265</v>
      </c>
      <c r="G337" s="7">
        <f>SUM(E337:F337)*((1+'Eredmények konzervatív'!$B$10)^(1/12)-1)</f>
        <v>108893.95180780537</v>
      </c>
      <c r="H337" s="7">
        <f t="shared" si="34"/>
        <v>38039159.859212779</v>
      </c>
    </row>
    <row r="338" spans="1:8">
      <c r="A338">
        <f t="shared" si="32"/>
        <v>2056</v>
      </c>
      <c r="B338">
        <f t="shared" si="33"/>
        <v>52</v>
      </c>
      <c r="C338">
        <f t="shared" si="31"/>
        <v>1</v>
      </c>
      <c r="D338" s="7">
        <f>'Eredmények konzervatív'!$B$6/12*(1+'Eredmények konzervatív'!$B$8)^('Havi számolás konzervatív'!B338-33)</f>
        <v>1660365.4530620626</v>
      </c>
      <c r="E338" s="7">
        <f t="shared" si="35"/>
        <v>38039159.859212779</v>
      </c>
      <c r="F338" s="7">
        <f>'Eredmények konzervatív'!$B$9*D338</f>
        <v>99621.927183723747</v>
      </c>
      <c r="G338" s="7">
        <f>SUM(E338:F338)*((1+'Eredmények konzervatív'!$B$10)^(1/12)-1)</f>
        <v>109492.5797777093</v>
      </c>
      <c r="H338" s="7">
        <f t="shared" si="34"/>
        <v>38248274.366174214</v>
      </c>
    </row>
    <row r="339" spans="1:8">
      <c r="A339">
        <f t="shared" si="32"/>
        <v>2056</v>
      </c>
      <c r="B339">
        <f t="shared" si="33"/>
        <v>52</v>
      </c>
      <c r="C339">
        <f t="shared" si="31"/>
        <v>2</v>
      </c>
      <c r="D339" s="7">
        <f>'Eredmények konzervatív'!$B$6/12*(1+'Eredmények konzervatív'!$B$8)^('Havi számolás konzervatív'!B339-33)</f>
        <v>1660365.4530620626</v>
      </c>
      <c r="E339" s="7">
        <f t="shared" si="35"/>
        <v>38248274.366174214</v>
      </c>
      <c r="F339" s="7">
        <f>'Eredmények konzervatív'!$B$9*D339</f>
        <v>99621.927183723747</v>
      </c>
      <c r="G339" s="7">
        <f>SUM(E339:F339)*((1+'Eredmények konzervatív'!$B$10)^(1/12)-1)</f>
        <v>110092.92634788522</v>
      </c>
      <c r="H339" s="7">
        <f t="shared" si="34"/>
        <v>38457989.21970582</v>
      </c>
    </row>
    <row r="340" spans="1:8">
      <c r="A340">
        <f t="shared" si="32"/>
        <v>2056</v>
      </c>
      <c r="B340">
        <f t="shared" si="33"/>
        <v>52</v>
      </c>
      <c r="C340">
        <f t="shared" si="31"/>
        <v>3</v>
      </c>
      <c r="D340" s="7">
        <f>'Eredmények konzervatív'!$B$6/12*(1+'Eredmények konzervatív'!$B$8)^('Havi számolás konzervatív'!B340-33)</f>
        <v>1660365.4530620626</v>
      </c>
      <c r="E340" s="7">
        <f t="shared" si="35"/>
        <v>38457989.21970582</v>
      </c>
      <c r="F340" s="7">
        <f>'Eredmények konzervatív'!$B$9*D340</f>
        <v>99621.927183723747</v>
      </c>
      <c r="G340" s="7">
        <f>SUM(E340:F340)*((1+'Eredmények konzervatív'!$B$10)^(1/12)-1)</f>
        <v>110694.99645226046</v>
      </c>
      <c r="H340" s="7">
        <f t="shared" si="34"/>
        <v>38668306.143341802</v>
      </c>
    </row>
    <row r="341" spans="1:8">
      <c r="A341">
        <f t="shared" si="32"/>
        <v>2056</v>
      </c>
      <c r="B341">
        <f t="shared" si="33"/>
        <v>52</v>
      </c>
      <c r="C341">
        <f t="shared" si="31"/>
        <v>4</v>
      </c>
      <c r="D341" s="7">
        <f>'Eredmények konzervatív'!$B$6/12*(1+'Eredmények konzervatív'!$B$8)^('Havi számolás konzervatív'!B341-33)</f>
        <v>1660365.4530620626</v>
      </c>
      <c r="E341" s="7">
        <f t="shared" si="35"/>
        <v>38668306.143341802</v>
      </c>
      <c r="F341" s="7">
        <f>'Eredmények konzervatív'!$B$9*D341</f>
        <v>99621.927183723747</v>
      </c>
      <c r="G341" s="7">
        <f>SUM(E341:F341)*((1+'Eredmények konzervatív'!$B$10)^(1/12)-1)</f>
        <v>111298.79503892714</v>
      </c>
      <c r="H341" s="7">
        <f t="shared" si="34"/>
        <v>38879226.865564451</v>
      </c>
    </row>
    <row r="342" spans="1:8">
      <c r="A342">
        <f t="shared" si="32"/>
        <v>2056</v>
      </c>
      <c r="B342">
        <f t="shared" si="33"/>
        <v>52</v>
      </c>
      <c r="C342">
        <f t="shared" si="31"/>
        <v>5</v>
      </c>
      <c r="D342" s="7">
        <f>'Eredmények konzervatív'!$B$6/12*(1+'Eredmények konzervatív'!$B$8)^('Havi számolás konzervatív'!B342-33)</f>
        <v>1660365.4530620626</v>
      </c>
      <c r="E342" s="7">
        <f t="shared" si="35"/>
        <v>38879226.865564451</v>
      </c>
      <c r="F342" s="7">
        <f>'Eredmények konzervatív'!$B$9*D342</f>
        <v>99621.927183723747</v>
      </c>
      <c r="G342" s="7">
        <f>SUM(E342:F342)*((1+'Eredmények konzervatív'!$B$10)^(1/12)-1)</f>
        <v>111904.32707018286</v>
      </c>
      <c r="H342" s="7">
        <f t="shared" si="34"/>
        <v>39090753.11981836</v>
      </c>
    </row>
    <row r="343" spans="1:8">
      <c r="A343">
        <f t="shared" si="32"/>
        <v>2056</v>
      </c>
      <c r="B343">
        <f t="shared" si="33"/>
        <v>52</v>
      </c>
      <c r="C343">
        <f t="shared" si="31"/>
        <v>6</v>
      </c>
      <c r="D343" s="7">
        <f>'Eredmények konzervatív'!$B$6/12*(1+'Eredmények konzervatív'!$B$8)^('Havi számolás konzervatív'!B343-33)</f>
        <v>1660365.4530620626</v>
      </c>
      <c r="E343" s="7">
        <f t="shared" si="35"/>
        <v>39090753.11981836</v>
      </c>
      <c r="F343" s="7">
        <f>'Eredmények konzervatív'!$B$9*D343</f>
        <v>99621.927183723747</v>
      </c>
      <c r="G343" s="7">
        <f>SUM(E343:F343)*((1+'Eredmények konzervatív'!$B$10)^(1/12)-1)</f>
        <v>112511.59752257148</v>
      </c>
      <c r="H343" s="7">
        <f t="shared" si="34"/>
        <v>39302886.644524656</v>
      </c>
    </row>
    <row r="344" spans="1:8">
      <c r="A344">
        <f t="shared" si="32"/>
        <v>2056</v>
      </c>
      <c r="B344">
        <f t="shared" si="33"/>
        <v>52</v>
      </c>
      <c r="C344">
        <f t="shared" si="31"/>
        <v>7</v>
      </c>
      <c r="D344" s="7">
        <f>'Eredmények konzervatív'!$B$6/12*(1+'Eredmények konzervatív'!$B$8)^('Havi számolás konzervatív'!B344-33)</f>
        <v>1660365.4530620626</v>
      </c>
      <c r="E344" s="7">
        <f t="shared" si="35"/>
        <v>39302886.644524656</v>
      </c>
      <c r="F344" s="7">
        <f>'Eredmények konzervatív'!$B$9*D344</f>
        <v>99621.927183723747</v>
      </c>
      <c r="G344" s="7">
        <f>SUM(E344:F344)*((1+'Eredmények konzervatív'!$B$10)^(1/12)-1)</f>
        <v>113120.61138692401</v>
      </c>
      <c r="H344" s="7">
        <f t="shared" si="34"/>
        <v>39515629.183095306</v>
      </c>
    </row>
    <row r="345" spans="1:8">
      <c r="A345">
        <f t="shared" si="32"/>
        <v>2056</v>
      </c>
      <c r="B345">
        <f t="shared" si="33"/>
        <v>52</v>
      </c>
      <c r="C345">
        <f t="shared" si="31"/>
        <v>8</v>
      </c>
      <c r="D345" s="7">
        <f>'Eredmények konzervatív'!$B$6/12*(1+'Eredmények konzervatív'!$B$8)^('Havi számolás konzervatív'!B345-33)</f>
        <v>1660365.4530620626</v>
      </c>
      <c r="E345" s="7">
        <f t="shared" si="35"/>
        <v>39515629.183095306</v>
      </c>
      <c r="F345" s="7">
        <f>'Eredmények konzervatív'!$B$9*D345</f>
        <v>99621.927183723747</v>
      </c>
      <c r="G345" s="7">
        <f>SUM(E345:F345)*((1+'Eredmények konzervatív'!$B$10)^(1/12)-1)</f>
        <v>113731.3736683996</v>
      </c>
      <c r="H345" s="7">
        <f t="shared" si="34"/>
        <v>39728982.483947434</v>
      </c>
    </row>
    <row r="346" spans="1:8">
      <c r="A346">
        <f t="shared" si="32"/>
        <v>2056</v>
      </c>
      <c r="B346">
        <f t="shared" si="33"/>
        <v>52</v>
      </c>
      <c r="C346">
        <f t="shared" si="31"/>
        <v>9</v>
      </c>
      <c r="D346" s="7">
        <f>'Eredmények konzervatív'!$B$6/12*(1+'Eredmények konzervatív'!$B$8)^('Havi számolás konzervatív'!B346-33)</f>
        <v>1660365.4530620626</v>
      </c>
      <c r="E346" s="7">
        <f t="shared" si="35"/>
        <v>39728982.483947434</v>
      </c>
      <c r="F346" s="7">
        <f>'Eredmények konzervatív'!$B$9*D346</f>
        <v>99621.927183723747</v>
      </c>
      <c r="G346" s="7">
        <f>SUM(E346:F346)*((1+'Eredmények konzervatív'!$B$10)^(1/12)-1)</f>
        <v>114343.88938652675</v>
      </c>
      <c r="H346" s="7">
        <f t="shared" si="34"/>
        <v>39942948.300517686</v>
      </c>
    </row>
    <row r="347" spans="1:8">
      <c r="A347">
        <f t="shared" si="32"/>
        <v>2056</v>
      </c>
      <c r="B347">
        <f t="shared" si="33"/>
        <v>52</v>
      </c>
      <c r="C347">
        <f t="shared" si="31"/>
        <v>10</v>
      </c>
      <c r="D347" s="7">
        <f>'Eredmények konzervatív'!$B$6/12*(1+'Eredmények konzervatív'!$B$8)^('Havi számolás konzervatív'!B347-33)</f>
        <v>1660365.4530620626</v>
      </c>
      <c r="E347" s="7">
        <f t="shared" si="35"/>
        <v>39942948.300517686</v>
      </c>
      <c r="F347" s="7">
        <f>'Eredmények konzervatív'!$B$9*D347</f>
        <v>99621.927183723747</v>
      </c>
      <c r="G347" s="7">
        <f>SUM(E347:F347)*((1+'Eredmények konzervatív'!$B$10)^(1/12)-1)</f>
        <v>114958.16357524447</v>
      </c>
      <c r="H347" s="7">
        <f t="shared" si="34"/>
        <v>40157528.391276658</v>
      </c>
    </row>
    <row r="348" spans="1:8">
      <c r="A348">
        <f t="shared" si="32"/>
        <v>2056</v>
      </c>
      <c r="B348">
        <f t="shared" si="33"/>
        <v>52</v>
      </c>
      <c r="C348">
        <f t="shared" si="31"/>
        <v>11</v>
      </c>
      <c r="D348" s="7">
        <f>'Eredmények konzervatív'!$B$6/12*(1+'Eredmények konzervatív'!$B$8)^('Havi számolás konzervatív'!B348-33)</f>
        <v>1660365.4530620626</v>
      </c>
      <c r="E348" s="7">
        <f t="shared" si="35"/>
        <v>40157528.391276658</v>
      </c>
      <c r="F348" s="7">
        <f>'Eredmények konzervatív'!$B$9*D348</f>
        <v>99621.927183723747</v>
      </c>
      <c r="G348" s="7">
        <f>SUM(E348:F348)*((1+'Eredmények konzervatív'!$B$10)^(1/12)-1)</f>
        <v>115574.20128294374</v>
      </c>
      <c r="H348" s="7">
        <f t="shared" si="34"/>
        <v>40372724.519743323</v>
      </c>
    </row>
    <row r="349" spans="1:8">
      <c r="A349">
        <f t="shared" si="32"/>
        <v>2056</v>
      </c>
      <c r="B349">
        <f t="shared" si="33"/>
        <v>52</v>
      </c>
      <c r="C349">
        <f t="shared" si="31"/>
        <v>12</v>
      </c>
      <c r="D349" s="7">
        <f>'Eredmények konzervatív'!$B$6/12*(1+'Eredmények konzervatív'!$B$8)^('Havi számolás konzervatív'!B349-33)</f>
        <v>1660365.4530620626</v>
      </c>
      <c r="E349" s="7">
        <f t="shared" si="35"/>
        <v>40372724.519743323</v>
      </c>
      <c r="F349" s="7">
        <f>'Eredmények konzervatív'!$B$9*D349</f>
        <v>99621.927183723747</v>
      </c>
      <c r="G349" s="7">
        <f>SUM(E349:F349)*((1+'Eredmények konzervatív'!$B$10)^(1/12)-1)</f>
        <v>116192.00757250896</v>
      </c>
      <c r="H349" s="7">
        <f t="shared" si="34"/>
        <v>40588538.454499558</v>
      </c>
    </row>
    <row r="350" spans="1:8">
      <c r="A350">
        <f t="shared" si="32"/>
        <v>2057</v>
      </c>
      <c r="B350">
        <f t="shared" si="33"/>
        <v>53</v>
      </c>
      <c r="C350">
        <f t="shared" si="31"/>
        <v>1</v>
      </c>
      <c r="D350" s="7">
        <f>'Eredmények konzervatív'!$B$6/12*(1+'Eredmények konzervatív'!$B$8)^('Havi számolás konzervatív'!B350-33)</f>
        <v>1693572.762123304</v>
      </c>
      <c r="E350" s="7">
        <f t="shared" si="35"/>
        <v>40588538.454499558</v>
      </c>
      <c r="F350" s="7">
        <f>'Eredmények konzervatív'!$B$9*D350</f>
        <v>101614.36572739824</v>
      </c>
      <c r="G350" s="7">
        <f>SUM(E350:F350)*((1+'Eredmények konzervatív'!$B$10)^(1/12)-1)</f>
        <v>116817.30761062237</v>
      </c>
      <c r="H350" s="7">
        <f t="shared" si="34"/>
        <v>40806970.127837576</v>
      </c>
    </row>
    <row r="351" spans="1:8">
      <c r="A351">
        <f t="shared" si="32"/>
        <v>2057</v>
      </c>
      <c r="B351">
        <f t="shared" si="33"/>
        <v>53</v>
      </c>
      <c r="C351">
        <f t="shared" si="31"/>
        <v>2</v>
      </c>
      <c r="D351" s="7">
        <f>'Eredmények konzervatív'!$B$6/12*(1+'Eredmények konzervatív'!$B$8)^('Havi számolás konzervatív'!B351-33)</f>
        <v>1693572.762123304</v>
      </c>
      <c r="E351" s="7">
        <f t="shared" si="35"/>
        <v>40806970.127837576</v>
      </c>
      <c r="F351" s="7">
        <f>'Eredmények konzervatív'!$B$9*D351</f>
        <v>101614.36572739824</v>
      </c>
      <c r="G351" s="7">
        <f>SUM(E351:F351)*((1+'Eredmények konzervatív'!$B$10)^(1/12)-1)</f>
        <v>117444.40282181426</v>
      </c>
      <c r="H351" s="7">
        <f t="shared" si="34"/>
        <v>41026028.896386787</v>
      </c>
    </row>
    <row r="352" spans="1:8">
      <c r="A352">
        <f t="shared" si="32"/>
        <v>2057</v>
      </c>
      <c r="B352">
        <f t="shared" si="33"/>
        <v>53</v>
      </c>
      <c r="C352">
        <f t="shared" si="31"/>
        <v>3</v>
      </c>
      <c r="D352" s="7">
        <f>'Eredmények konzervatív'!$B$6/12*(1+'Eredmények konzervatív'!$B$8)^('Havi számolás konzervatív'!B352-33)</f>
        <v>1693572.762123304</v>
      </c>
      <c r="E352" s="7">
        <f t="shared" si="35"/>
        <v>41026028.896386787</v>
      </c>
      <c r="F352" s="7">
        <f>'Eredmények konzervatív'!$B$9*D352</f>
        <v>101614.36572739824</v>
      </c>
      <c r="G352" s="7">
        <f>SUM(E352:F352)*((1+'Eredmények konzervatív'!$B$10)^(1/12)-1)</f>
        <v>118073.2983598447</v>
      </c>
      <c r="H352" s="7">
        <f t="shared" si="34"/>
        <v>41245716.560474023</v>
      </c>
    </row>
    <row r="353" spans="1:8">
      <c r="A353">
        <f t="shared" si="32"/>
        <v>2057</v>
      </c>
      <c r="B353">
        <f t="shared" si="33"/>
        <v>53</v>
      </c>
      <c r="C353">
        <f t="shared" si="31"/>
        <v>4</v>
      </c>
      <c r="D353" s="7">
        <f>'Eredmények konzervatív'!$B$6/12*(1+'Eredmények konzervatív'!$B$8)^('Havi számolás konzervatív'!B353-33)</f>
        <v>1693572.762123304</v>
      </c>
      <c r="E353" s="7">
        <f t="shared" si="35"/>
        <v>41245716.560474023</v>
      </c>
      <c r="F353" s="7">
        <f>'Eredmények konzervatív'!$B$9*D353</f>
        <v>101614.36572739824</v>
      </c>
      <c r="G353" s="7">
        <f>SUM(E353:F353)*((1+'Eredmények konzervatív'!$B$10)^(1/12)-1)</f>
        <v>118703.99939326968</v>
      </c>
      <c r="H353" s="7">
        <f t="shared" si="34"/>
        <v>41466034.925594687</v>
      </c>
    </row>
    <row r="354" spans="1:8">
      <c r="A354">
        <f t="shared" si="32"/>
        <v>2057</v>
      </c>
      <c r="B354">
        <f t="shared" si="33"/>
        <v>53</v>
      </c>
      <c r="C354">
        <f t="shared" si="31"/>
        <v>5</v>
      </c>
      <c r="D354" s="7">
        <f>'Eredmények konzervatív'!$B$6/12*(1+'Eredmények konzervatív'!$B$8)^('Havi számolás konzervatív'!B354-33)</f>
        <v>1693572.762123304</v>
      </c>
      <c r="E354" s="7">
        <f t="shared" si="35"/>
        <v>41466034.925594687</v>
      </c>
      <c r="F354" s="7">
        <f>'Eredmények konzervatív'!$B$9*D354</f>
        <v>101614.36572739824</v>
      </c>
      <c r="G354" s="7">
        <f>SUM(E354:F354)*((1+'Eredmények konzervatív'!$B$10)^(1/12)-1)</f>
        <v>119336.51110548366</v>
      </c>
      <c r="H354" s="7">
        <f t="shared" si="34"/>
        <v>41686985.802427568</v>
      </c>
    </row>
    <row r="355" spans="1:8">
      <c r="A355">
        <f t="shared" si="32"/>
        <v>2057</v>
      </c>
      <c r="B355">
        <f t="shared" si="33"/>
        <v>53</v>
      </c>
      <c r="C355">
        <f t="shared" si="31"/>
        <v>6</v>
      </c>
      <c r="D355" s="7">
        <f>'Eredmények konzervatív'!$B$6/12*(1+'Eredmények konzervatív'!$B$8)^('Havi számolás konzervatív'!B355-33)</f>
        <v>1693572.762123304</v>
      </c>
      <c r="E355" s="7">
        <f t="shared" si="35"/>
        <v>41686985.802427568</v>
      </c>
      <c r="F355" s="7">
        <f>'Eredmények konzervatív'!$B$9*D355</f>
        <v>101614.36572739824</v>
      </c>
      <c r="G355" s="7">
        <f>SUM(E355:F355)*((1+'Eredmények konzervatív'!$B$10)^(1/12)-1)</f>
        <v>119970.83869476203</v>
      </c>
      <c r="H355" s="7">
        <f t="shared" si="34"/>
        <v>41908571.006849721</v>
      </c>
    </row>
    <row r="356" spans="1:8">
      <c r="A356">
        <f t="shared" si="32"/>
        <v>2057</v>
      </c>
      <c r="B356">
        <f t="shared" si="33"/>
        <v>53</v>
      </c>
      <c r="C356">
        <f t="shared" si="31"/>
        <v>7</v>
      </c>
      <c r="D356" s="7">
        <f>'Eredmények konzervatív'!$B$6/12*(1+'Eredmények konzervatív'!$B$8)^('Havi számolás konzervatív'!B356-33)</f>
        <v>1693572.762123304</v>
      </c>
      <c r="E356" s="7">
        <f t="shared" si="35"/>
        <v>41908571.006849721</v>
      </c>
      <c r="F356" s="7">
        <f>'Eredmények konzervatív'!$B$9*D356</f>
        <v>101614.36572739824</v>
      </c>
      <c r="G356" s="7">
        <f>SUM(E356:F356)*((1+'Eredmények konzervatív'!$B$10)^(1/12)-1)</f>
        <v>120606.98737430394</v>
      </c>
      <c r="H356" s="7">
        <f t="shared" si="34"/>
        <v>42130792.359951422</v>
      </c>
    </row>
    <row r="357" spans="1:8">
      <c r="A357">
        <f t="shared" si="32"/>
        <v>2057</v>
      </c>
      <c r="B357">
        <f t="shared" si="33"/>
        <v>53</v>
      </c>
      <c r="C357">
        <f t="shared" si="31"/>
        <v>8</v>
      </c>
      <c r="D357" s="7">
        <f>'Eredmények konzervatív'!$B$6/12*(1+'Eredmények konzervatív'!$B$8)^('Havi számolás konzervatív'!B357-33)</f>
        <v>1693572.762123304</v>
      </c>
      <c r="E357" s="7">
        <f t="shared" si="35"/>
        <v>42130792.359951422</v>
      </c>
      <c r="F357" s="7">
        <f>'Eredmények konzervatív'!$B$9*D357</f>
        <v>101614.36572739824</v>
      </c>
      <c r="G357" s="7">
        <f>SUM(E357:F357)*((1+'Eredmények konzervatív'!$B$10)^(1/12)-1)</f>
        <v>121244.96237227508</v>
      </c>
      <c r="H357" s="7">
        <f t="shared" si="34"/>
        <v>42353651.68805109</v>
      </c>
    </row>
    <row r="358" spans="1:8">
      <c r="A358">
        <f t="shared" si="32"/>
        <v>2057</v>
      </c>
      <c r="B358">
        <f t="shared" si="33"/>
        <v>53</v>
      </c>
      <c r="C358">
        <f t="shared" si="31"/>
        <v>9</v>
      </c>
      <c r="D358" s="7">
        <f>'Eredmények konzervatív'!$B$6/12*(1+'Eredmények konzervatív'!$B$8)^('Havi számolás konzervatív'!B358-33)</f>
        <v>1693572.762123304</v>
      </c>
      <c r="E358" s="7">
        <f t="shared" si="35"/>
        <v>42353651.68805109</v>
      </c>
      <c r="F358" s="7">
        <f>'Eredmények konzervatív'!$B$9*D358</f>
        <v>101614.36572739824</v>
      </c>
      <c r="G358" s="7">
        <f>SUM(E358:F358)*((1+'Eredmények konzervatív'!$B$10)^(1/12)-1)</f>
        <v>121884.7689318507</v>
      </c>
      <c r="H358" s="7">
        <f t="shared" si="34"/>
        <v>42577150.822710335</v>
      </c>
    </row>
    <row r="359" spans="1:8">
      <c r="A359">
        <f t="shared" si="32"/>
        <v>2057</v>
      </c>
      <c r="B359">
        <f t="shared" si="33"/>
        <v>53</v>
      </c>
      <c r="C359">
        <f t="shared" si="31"/>
        <v>10</v>
      </c>
      <c r="D359" s="7">
        <f>'Eredmények konzervatív'!$B$6/12*(1+'Eredmények konzervatív'!$B$8)^('Havi számolás konzervatív'!B359-33)</f>
        <v>1693572.762123304</v>
      </c>
      <c r="E359" s="7">
        <f t="shared" si="35"/>
        <v>42577150.822710335</v>
      </c>
      <c r="F359" s="7">
        <f>'Eredmények konzervatív'!$B$9*D359</f>
        <v>101614.36572739824</v>
      </c>
      <c r="G359" s="7">
        <f>SUM(E359:F359)*((1+'Eredmények konzervatív'!$B$10)^(1/12)-1)</f>
        <v>122526.41231125867</v>
      </c>
      <c r="H359" s="7">
        <f t="shared" si="34"/>
        <v>42801291.600748986</v>
      </c>
    </row>
    <row r="360" spans="1:8">
      <c r="A360">
        <f t="shared" si="32"/>
        <v>2057</v>
      </c>
      <c r="B360">
        <f t="shared" si="33"/>
        <v>53</v>
      </c>
      <c r="C360">
        <f t="shared" si="31"/>
        <v>11</v>
      </c>
      <c r="D360" s="7">
        <f>'Eredmények konzervatív'!$B$6/12*(1+'Eredmények konzervatív'!$B$8)^('Havi számolás konzervatív'!B360-33)</f>
        <v>1693572.762123304</v>
      </c>
      <c r="E360" s="7">
        <f t="shared" si="35"/>
        <v>42801291.600748986</v>
      </c>
      <c r="F360" s="7">
        <f>'Eredmények konzervatív'!$B$9*D360</f>
        <v>101614.36572739824</v>
      </c>
      <c r="G360" s="7">
        <f>SUM(E360:F360)*((1+'Eredmények konzervatív'!$B$10)^(1/12)-1)</f>
        <v>123169.89778382267</v>
      </c>
      <c r="H360" s="7">
        <f t="shared" si="34"/>
        <v>43026075.864260204</v>
      </c>
    </row>
    <row r="361" spans="1:8">
      <c r="A361">
        <f t="shared" si="32"/>
        <v>2057</v>
      </c>
      <c r="B361">
        <f t="shared" si="33"/>
        <v>53</v>
      </c>
      <c r="C361">
        <f t="shared" si="31"/>
        <v>12</v>
      </c>
      <c r="D361" s="7">
        <f>'Eredmények konzervatív'!$B$6/12*(1+'Eredmények konzervatív'!$B$8)^('Havi számolás konzervatív'!B361-33)</f>
        <v>1693572.762123304</v>
      </c>
      <c r="E361" s="7">
        <f t="shared" si="35"/>
        <v>43026075.864260204</v>
      </c>
      <c r="F361" s="7">
        <f>'Eredmények konzervatív'!$B$9*D361</f>
        <v>101614.36572739824</v>
      </c>
      <c r="G361" s="7">
        <f>SUM(E361:F361)*((1+'Eredmények konzervatív'!$B$10)^(1/12)-1)</f>
        <v>123815.23063800561</v>
      </c>
      <c r="H361" s="7">
        <f t="shared" si="34"/>
        <v>43251505.460625604</v>
      </c>
    </row>
    <row r="362" spans="1:8">
      <c r="A362">
        <f t="shared" si="32"/>
        <v>2058</v>
      </c>
      <c r="B362">
        <f t="shared" si="33"/>
        <v>54</v>
      </c>
      <c r="C362">
        <f t="shared" si="31"/>
        <v>1</v>
      </c>
      <c r="D362" s="7">
        <f>'Eredmények konzervatív'!$B$6/12*(1+'Eredmények konzervatív'!$B$8)^('Havi számolás konzervatív'!B362-33)</f>
        <v>1727444.2173657699</v>
      </c>
      <c r="E362" s="7">
        <f t="shared" si="35"/>
        <v>43251505.460625604</v>
      </c>
      <c r="F362" s="7">
        <f>'Eredmények konzervatív'!$B$9*D362</f>
        <v>103646.65304194619</v>
      </c>
      <c r="G362" s="7">
        <f>SUM(E362:F362)*((1+'Eredmények konzervatív'!$B$10)^(1/12)-1)</f>
        <v>124468.25066850113</v>
      </c>
      <c r="H362" s="7">
        <f t="shared" si="34"/>
        <v>43479620.364336051</v>
      </c>
    </row>
    <row r="363" spans="1:8">
      <c r="A363">
        <f t="shared" si="32"/>
        <v>2058</v>
      </c>
      <c r="B363">
        <f t="shared" si="33"/>
        <v>54</v>
      </c>
      <c r="C363">
        <f t="shared" si="31"/>
        <v>2</v>
      </c>
      <c r="D363" s="7">
        <f>'Eredmények konzervatív'!$B$6/12*(1+'Eredmények konzervatív'!$B$8)^('Havi számolás konzervatív'!B363-33)</f>
        <v>1727444.2173657699</v>
      </c>
      <c r="E363" s="7">
        <f t="shared" si="35"/>
        <v>43479620.364336051</v>
      </c>
      <c r="F363" s="7">
        <f>'Eredmények konzervatív'!$B$9*D363</f>
        <v>103646.65304194619</v>
      </c>
      <c r="G363" s="7">
        <f>SUM(E363:F363)*((1+'Eredmények konzervatív'!$B$10)^(1/12)-1)</f>
        <v>125123.14545336575</v>
      </c>
      <c r="H363" s="7">
        <f t="shared" si="34"/>
        <v>43708390.162831359</v>
      </c>
    </row>
    <row r="364" spans="1:8">
      <c r="A364">
        <f t="shared" si="32"/>
        <v>2058</v>
      </c>
      <c r="B364">
        <f t="shared" si="33"/>
        <v>54</v>
      </c>
      <c r="C364">
        <f t="shared" ref="C364:C427" si="36">C352</f>
        <v>3</v>
      </c>
      <c r="D364" s="7">
        <f>'Eredmények konzervatív'!$B$6/12*(1+'Eredmények konzervatív'!$B$8)^('Havi számolás konzervatív'!B364-33)</f>
        <v>1727444.2173657699</v>
      </c>
      <c r="E364" s="7">
        <f t="shared" si="35"/>
        <v>43708390.162831359</v>
      </c>
      <c r="F364" s="7">
        <f>'Eredmények konzervatív'!$B$9*D364</f>
        <v>103646.65304194619</v>
      </c>
      <c r="G364" s="7">
        <f>SUM(E364:F364)*((1+'Eredmények konzervatív'!$B$10)^(1/12)-1)</f>
        <v>125779.92037482935</v>
      </c>
      <c r="H364" s="7">
        <f t="shared" si="34"/>
        <v>43937816.736248136</v>
      </c>
    </row>
    <row r="365" spans="1:8">
      <c r="A365">
        <f t="shared" si="32"/>
        <v>2058</v>
      </c>
      <c r="B365">
        <f t="shared" si="33"/>
        <v>54</v>
      </c>
      <c r="C365">
        <f t="shared" si="36"/>
        <v>4</v>
      </c>
      <c r="D365" s="7">
        <f>'Eredmények konzervatív'!$B$6/12*(1+'Eredmények konzervatív'!$B$8)^('Havi számolás konzervatív'!B365-33)</f>
        <v>1727444.2173657699</v>
      </c>
      <c r="E365" s="7">
        <f t="shared" si="35"/>
        <v>43937816.736248136</v>
      </c>
      <c r="F365" s="7">
        <f>'Eredmények konzervatív'!$B$9*D365</f>
        <v>103646.65304194619</v>
      </c>
      <c r="G365" s="7">
        <f>SUM(E365:F365)*((1+'Eredmények konzervatív'!$B$10)^(1/12)-1)</f>
        <v>126438.58083057372</v>
      </c>
      <c r="H365" s="7">
        <f t="shared" si="34"/>
        <v>44167901.970120654</v>
      </c>
    </row>
    <row r="366" spans="1:8">
      <c r="A366">
        <f t="shared" si="32"/>
        <v>2058</v>
      </c>
      <c r="B366">
        <f t="shared" si="33"/>
        <v>54</v>
      </c>
      <c r="C366">
        <f t="shared" si="36"/>
        <v>5</v>
      </c>
      <c r="D366" s="7">
        <f>'Eredmények konzervatív'!$B$6/12*(1+'Eredmények konzervatív'!$B$8)^('Havi számolás konzervatív'!B366-33)</f>
        <v>1727444.2173657699</v>
      </c>
      <c r="E366" s="7">
        <f t="shared" si="35"/>
        <v>44167901.970120654</v>
      </c>
      <c r="F366" s="7">
        <f>'Eredmények konzervatív'!$B$9*D366</f>
        <v>103646.65304194619</v>
      </c>
      <c r="G366" s="7">
        <f>SUM(E366:F366)*((1+'Eredmények konzervatív'!$B$10)^(1/12)-1)</f>
        <v>127099.13223377678</v>
      </c>
      <c r="H366" s="7">
        <f t="shared" si="34"/>
        <v>44398647.755396374</v>
      </c>
    </row>
    <row r="367" spans="1:8">
      <c r="A367">
        <f t="shared" si="32"/>
        <v>2058</v>
      </c>
      <c r="B367">
        <f t="shared" si="33"/>
        <v>54</v>
      </c>
      <c r="C367">
        <f t="shared" si="36"/>
        <v>6</v>
      </c>
      <c r="D367" s="7">
        <f>'Eredmények konzervatív'!$B$6/12*(1+'Eredmények konzervatív'!$B$8)^('Havi számolás konzervatív'!B367-33)</f>
        <v>1727444.2173657699</v>
      </c>
      <c r="E367" s="7">
        <f t="shared" si="35"/>
        <v>44398647.755396374</v>
      </c>
      <c r="F367" s="7">
        <f>'Eredmények konzervatív'!$B$9*D367</f>
        <v>103646.65304194619</v>
      </c>
      <c r="G367" s="7">
        <f>SUM(E367:F367)*((1+'Eredmények konzervatív'!$B$10)^(1/12)-1)</f>
        <v>127761.58001315717</v>
      </c>
      <c r="H367" s="7">
        <f t="shared" si="34"/>
        <v>44630055.988451473</v>
      </c>
    </row>
    <row r="368" spans="1:8">
      <c r="A368">
        <f t="shared" si="32"/>
        <v>2058</v>
      </c>
      <c r="B368">
        <f t="shared" si="33"/>
        <v>54</v>
      </c>
      <c r="C368">
        <f t="shared" si="36"/>
        <v>7</v>
      </c>
      <c r="D368" s="7">
        <f>'Eredmények konzervatív'!$B$6/12*(1+'Eredmények konzervatív'!$B$8)^('Havi számolás konzervatív'!B368-33)</f>
        <v>1727444.2173657699</v>
      </c>
      <c r="E368" s="7">
        <f t="shared" si="35"/>
        <v>44630055.988451473</v>
      </c>
      <c r="F368" s="7">
        <f>'Eredmények konzervatív'!$B$9*D368</f>
        <v>103646.65304194619</v>
      </c>
      <c r="G368" s="7">
        <f>SUM(E368:F368)*((1+'Eredmények konzervatív'!$B$10)^(1/12)-1)</f>
        <v>128425.92961301886</v>
      </c>
      <c r="H368" s="7">
        <f t="shared" si="34"/>
        <v>44862128.571106434</v>
      </c>
    </row>
    <row r="369" spans="1:8">
      <c r="A369">
        <f t="shared" si="32"/>
        <v>2058</v>
      </c>
      <c r="B369">
        <f t="shared" si="33"/>
        <v>54</v>
      </c>
      <c r="C369">
        <f t="shared" si="36"/>
        <v>8</v>
      </c>
      <c r="D369" s="7">
        <f>'Eredmények konzervatív'!$B$6/12*(1+'Eredmények konzervatív'!$B$8)^('Havi számolás konzervatív'!B369-33)</f>
        <v>1727444.2173657699</v>
      </c>
      <c r="E369" s="7">
        <f t="shared" si="35"/>
        <v>44862128.571106434</v>
      </c>
      <c r="F369" s="7">
        <f>'Eredmények konzervatív'!$B$9*D369</f>
        <v>103646.65304194619</v>
      </c>
      <c r="G369" s="7">
        <f>SUM(E369:F369)*((1+'Eredmények konzervatív'!$B$10)^(1/12)-1)</f>
        <v>129092.1864932958</v>
      </c>
      <c r="H369" s="7">
        <f t="shared" si="34"/>
        <v>45094867.41064167</v>
      </c>
    </row>
    <row r="370" spans="1:8">
      <c r="A370">
        <f t="shared" si="32"/>
        <v>2058</v>
      </c>
      <c r="B370">
        <f t="shared" si="33"/>
        <v>54</v>
      </c>
      <c r="C370">
        <f t="shared" si="36"/>
        <v>9</v>
      </c>
      <c r="D370" s="7">
        <f>'Eredmények konzervatív'!$B$6/12*(1+'Eredmények konzervatív'!$B$8)^('Havi számolás konzervatív'!B370-33)</f>
        <v>1727444.2173657699</v>
      </c>
      <c r="E370" s="7">
        <f t="shared" si="35"/>
        <v>45094867.41064167</v>
      </c>
      <c r="F370" s="7">
        <f>'Eredmények konzervatív'!$B$9*D370</f>
        <v>103646.65304194619</v>
      </c>
      <c r="G370" s="7">
        <f>SUM(E370:F370)*((1+'Eredmények konzervatív'!$B$10)^(1/12)-1)</f>
        <v>129760.35612959688</v>
      </c>
      <c r="H370" s="7">
        <f t="shared" si="34"/>
        <v>45328274.419813208</v>
      </c>
    </row>
    <row r="371" spans="1:8">
      <c r="A371">
        <f t="shared" si="32"/>
        <v>2058</v>
      </c>
      <c r="B371">
        <f t="shared" si="33"/>
        <v>54</v>
      </c>
      <c r="C371">
        <f t="shared" si="36"/>
        <v>10</v>
      </c>
      <c r="D371" s="7">
        <f>'Eredmények konzervatív'!$B$6/12*(1+'Eredmények konzervatív'!$B$8)^('Havi számolás konzervatív'!B371-33)</f>
        <v>1727444.2173657699</v>
      </c>
      <c r="E371" s="7">
        <f t="shared" si="35"/>
        <v>45328274.419813208</v>
      </c>
      <c r="F371" s="7">
        <f>'Eredmények konzervatív'!$B$9*D371</f>
        <v>103646.65304194619</v>
      </c>
      <c r="G371" s="7">
        <f>SUM(E371:F371)*((1+'Eredmények konzervatív'!$B$10)^(1/12)-1)</f>
        <v>130430.44401325096</v>
      </c>
      <c r="H371" s="7">
        <f t="shared" si="34"/>
        <v>45562351.516868405</v>
      </c>
    </row>
    <row r="372" spans="1:8">
      <c r="A372">
        <f t="shared" si="32"/>
        <v>2058</v>
      </c>
      <c r="B372">
        <f t="shared" si="33"/>
        <v>54</v>
      </c>
      <c r="C372">
        <f t="shared" si="36"/>
        <v>11</v>
      </c>
      <c r="D372" s="7">
        <f>'Eredmények konzervatív'!$B$6/12*(1+'Eredmények konzervatív'!$B$8)^('Havi számolás konzervatív'!B372-33)</f>
        <v>1727444.2173657699</v>
      </c>
      <c r="E372" s="7">
        <f t="shared" si="35"/>
        <v>45562351.516868405</v>
      </c>
      <c r="F372" s="7">
        <f>'Eredmények konzervatív'!$B$9*D372</f>
        <v>103646.65304194619</v>
      </c>
      <c r="G372" s="7">
        <f>SUM(E372:F372)*((1+'Eredmények konzervatív'!$B$10)^(1/12)-1)</f>
        <v>131102.45565135192</v>
      </c>
      <c r="H372" s="7">
        <f t="shared" si="34"/>
        <v>45797100.625561699</v>
      </c>
    </row>
    <row r="373" spans="1:8">
      <c r="A373">
        <f t="shared" si="32"/>
        <v>2058</v>
      </c>
      <c r="B373">
        <f t="shared" si="33"/>
        <v>54</v>
      </c>
      <c r="C373">
        <f t="shared" si="36"/>
        <v>12</v>
      </c>
      <c r="D373" s="7">
        <f>'Eredmények konzervatív'!$B$6/12*(1+'Eredmények konzervatív'!$B$8)^('Havi számolás konzervatív'!B373-33)</f>
        <v>1727444.2173657699</v>
      </c>
      <c r="E373" s="7">
        <f t="shared" si="35"/>
        <v>45797100.625561699</v>
      </c>
      <c r="F373" s="7">
        <f>'Eredmények konzervatív'!$B$9*D373</f>
        <v>103646.65304194619</v>
      </c>
      <c r="G373" s="7">
        <f>SUM(E373:F373)*((1+'Eredmények konzervatív'!$B$10)^(1/12)-1)</f>
        <v>131776.39656680386</v>
      </c>
      <c r="H373" s="7">
        <f t="shared" si="34"/>
        <v>46032523.675170444</v>
      </c>
    </row>
    <row r="374" spans="1:8">
      <c r="A374">
        <f t="shared" si="32"/>
        <v>2059</v>
      </c>
      <c r="B374">
        <f t="shared" si="33"/>
        <v>55</v>
      </c>
      <c r="C374">
        <f t="shared" si="36"/>
        <v>1</v>
      </c>
      <c r="D374" s="7">
        <f>'Eredmények konzervatív'!$B$6/12*(1+'Eredmények konzervatív'!$B$8)^('Havi számolás konzervatív'!B374-33)</f>
        <v>1761993.1017130855</v>
      </c>
      <c r="E374" s="7">
        <f t="shared" si="35"/>
        <v>46032523.675170444</v>
      </c>
      <c r="F374" s="7">
        <f>'Eredmények konzervatív'!$B$9*D374</f>
        <v>105719.58610278514</v>
      </c>
      <c r="G374" s="7">
        <f>SUM(E374:F374)*((1+'Eredmények konzervatív'!$B$10)^(1/12)-1)</f>
        <v>132458.22347923584</v>
      </c>
      <c r="H374" s="7">
        <f t="shared" si="34"/>
        <v>46270701.484752461</v>
      </c>
    </row>
    <row r="375" spans="1:8">
      <c r="A375">
        <f t="shared" si="32"/>
        <v>2059</v>
      </c>
      <c r="B375">
        <f t="shared" si="33"/>
        <v>55</v>
      </c>
      <c r="C375">
        <f t="shared" si="36"/>
        <v>2</v>
      </c>
      <c r="D375" s="7">
        <f>'Eredmények konzervatív'!$B$6/12*(1+'Eredmények konzervatív'!$B$8)^('Havi számolás konzervatív'!B375-33)</f>
        <v>1761993.1017130855</v>
      </c>
      <c r="E375" s="7">
        <f t="shared" si="35"/>
        <v>46270701.484752461</v>
      </c>
      <c r="F375" s="7">
        <f>'Eredmények konzervatív'!$B$9*D375</f>
        <v>105719.58610278514</v>
      </c>
      <c r="G375" s="7">
        <f>SUM(E375:F375)*((1+'Eredmények konzervatív'!$B$10)^(1/12)-1)</f>
        <v>133142.00784767733</v>
      </c>
      <c r="H375" s="7">
        <f t="shared" si="34"/>
        <v>46509563.078702919</v>
      </c>
    </row>
    <row r="376" spans="1:8">
      <c r="A376">
        <f t="shared" si="32"/>
        <v>2059</v>
      </c>
      <c r="B376">
        <f t="shared" si="33"/>
        <v>55</v>
      </c>
      <c r="C376">
        <f t="shared" si="36"/>
        <v>3</v>
      </c>
      <c r="D376" s="7">
        <f>'Eredmények konzervatív'!$B$6/12*(1+'Eredmények konzervatív'!$B$8)^('Havi számolás konzervatív'!B376-33)</f>
        <v>1761993.1017130855</v>
      </c>
      <c r="E376" s="7">
        <f t="shared" si="35"/>
        <v>46509563.078702919</v>
      </c>
      <c r="F376" s="7">
        <f>'Eredmények konzervatív'!$B$9*D376</f>
        <v>105719.58610278514</v>
      </c>
      <c r="G376" s="7">
        <f>SUM(E376:F376)*((1+'Eredmények konzervatív'!$B$10)^(1/12)-1)</f>
        <v>133827.75529178631</v>
      </c>
      <c r="H376" s="7">
        <f t="shared" si="34"/>
        <v>46749110.420097493</v>
      </c>
    </row>
    <row r="377" spans="1:8">
      <c r="A377">
        <f t="shared" si="32"/>
        <v>2059</v>
      </c>
      <c r="B377">
        <f t="shared" si="33"/>
        <v>55</v>
      </c>
      <c r="C377">
        <f t="shared" si="36"/>
        <v>4</v>
      </c>
      <c r="D377" s="7">
        <f>'Eredmények konzervatív'!$B$6/12*(1+'Eredmények konzervatív'!$B$8)^('Havi számolás konzervatív'!B377-33)</f>
        <v>1761993.1017130855</v>
      </c>
      <c r="E377" s="7">
        <f t="shared" si="35"/>
        <v>46749110.420097493</v>
      </c>
      <c r="F377" s="7">
        <f>'Eredmények konzervatív'!$B$9*D377</f>
        <v>105719.58610278514</v>
      </c>
      <c r="G377" s="7">
        <f>SUM(E377:F377)*((1+'Eredmények konzervatív'!$B$10)^(1/12)-1)</f>
        <v>134515.47144735418</v>
      </c>
      <c r="H377" s="7">
        <f t="shared" si="34"/>
        <v>46989345.477647632</v>
      </c>
    </row>
    <row r="378" spans="1:8">
      <c r="A378">
        <f t="shared" si="32"/>
        <v>2059</v>
      </c>
      <c r="B378">
        <f t="shared" si="33"/>
        <v>55</v>
      </c>
      <c r="C378">
        <f t="shared" si="36"/>
        <v>5</v>
      </c>
      <c r="D378" s="7">
        <f>'Eredmények konzervatív'!$B$6/12*(1+'Eredmények konzervatív'!$B$8)^('Havi számolás konzervatív'!B378-33)</f>
        <v>1761993.1017130855</v>
      </c>
      <c r="E378" s="7">
        <f t="shared" si="35"/>
        <v>46989345.477647632</v>
      </c>
      <c r="F378" s="7">
        <f>'Eredmények konzervatív'!$B$9*D378</f>
        <v>105719.58610278514</v>
      </c>
      <c r="G378" s="7">
        <f>SUM(E378:F378)*((1+'Eredmények konzervatív'!$B$10)^(1/12)-1)</f>
        <v>135205.1619663522</v>
      </c>
      <c r="H378" s="7">
        <f t="shared" si="34"/>
        <v>47230270.22571677</v>
      </c>
    </row>
    <row r="379" spans="1:8">
      <c r="A379">
        <f t="shared" si="32"/>
        <v>2059</v>
      </c>
      <c r="B379">
        <f t="shared" si="33"/>
        <v>55</v>
      </c>
      <c r="C379">
        <f t="shared" si="36"/>
        <v>6</v>
      </c>
      <c r="D379" s="7">
        <f>'Eredmények konzervatív'!$B$6/12*(1+'Eredmények konzervatív'!$B$8)^('Havi számolás konzervatív'!B379-33)</f>
        <v>1761993.1017130855</v>
      </c>
      <c r="E379" s="7">
        <f t="shared" si="35"/>
        <v>47230270.22571677</v>
      </c>
      <c r="F379" s="7">
        <f>'Eredmények konzervatív'!$B$9*D379</f>
        <v>105719.58610278514</v>
      </c>
      <c r="G379" s="7">
        <f>SUM(E379:F379)*((1+'Eredmények konzervatív'!$B$10)^(1/12)-1)</f>
        <v>135896.83251697774</v>
      </c>
      <c r="H379" s="7">
        <f t="shared" si="34"/>
        <v>47471886.644336529</v>
      </c>
    </row>
    <row r="380" spans="1:8">
      <c r="A380">
        <f t="shared" si="32"/>
        <v>2059</v>
      </c>
      <c r="B380">
        <f t="shared" si="33"/>
        <v>55</v>
      </c>
      <c r="C380">
        <f t="shared" si="36"/>
        <v>7</v>
      </c>
      <c r="D380" s="7">
        <f>'Eredmények konzervatív'!$B$6/12*(1+'Eredmények konzervatív'!$B$8)^('Havi számolás konzervatív'!B380-33)</f>
        <v>1761993.1017130855</v>
      </c>
      <c r="E380" s="7">
        <f t="shared" si="35"/>
        <v>47471886.644336529</v>
      </c>
      <c r="F380" s="7">
        <f>'Eredmények konzervatív'!$B$9*D380</f>
        <v>105719.58610278514</v>
      </c>
      <c r="G380" s="7">
        <f>SUM(E380:F380)*((1+'Eredmények konzervatív'!$B$10)^(1/12)-1)</f>
        <v>136590.48878370109</v>
      </c>
      <c r="H380" s="7">
        <f t="shared" si="34"/>
        <v>47714196.719223015</v>
      </c>
    </row>
    <row r="381" spans="1:8">
      <c r="A381">
        <f t="shared" si="32"/>
        <v>2059</v>
      </c>
      <c r="B381">
        <f t="shared" si="33"/>
        <v>55</v>
      </c>
      <c r="C381">
        <f t="shared" si="36"/>
        <v>8</v>
      </c>
      <c r="D381" s="7">
        <f>'Eredmények konzervatív'!$B$6/12*(1+'Eredmények konzervatív'!$B$8)^('Havi számolás konzervatív'!B381-33)</f>
        <v>1761993.1017130855</v>
      </c>
      <c r="E381" s="7">
        <f t="shared" si="35"/>
        <v>47714196.719223015</v>
      </c>
      <c r="F381" s="7">
        <f>'Eredmények konzervatív'!$B$9*D381</f>
        <v>105719.58610278514</v>
      </c>
      <c r="G381" s="7">
        <f>SUM(E381:F381)*((1+'Eredmények konzervatív'!$B$10)^(1/12)-1)</f>
        <v>137286.13646731208</v>
      </c>
      <c r="H381" s="7">
        <f t="shared" si="34"/>
        <v>47957202.441793114</v>
      </c>
    </row>
    <row r="382" spans="1:8">
      <c r="A382">
        <f t="shared" si="32"/>
        <v>2059</v>
      </c>
      <c r="B382">
        <f t="shared" si="33"/>
        <v>55</v>
      </c>
      <c r="C382">
        <f t="shared" si="36"/>
        <v>9</v>
      </c>
      <c r="D382" s="7">
        <f>'Eredmények konzervatív'!$B$6/12*(1+'Eredmények konzervatív'!$B$8)^('Havi számolás konzervatív'!B382-33)</f>
        <v>1761993.1017130855</v>
      </c>
      <c r="E382" s="7">
        <f t="shared" si="35"/>
        <v>47957202.441793114</v>
      </c>
      <c r="F382" s="7">
        <f>'Eredmények konzervatív'!$B$9*D382</f>
        <v>105719.58610278514</v>
      </c>
      <c r="G382" s="7">
        <f>SUM(E382:F382)*((1+'Eredmények konzervatív'!$B$10)^(1/12)-1)</f>
        <v>137983.78128496686</v>
      </c>
      <c r="H382" s="7">
        <f t="shared" si="34"/>
        <v>48200905.809180863</v>
      </c>
    </row>
    <row r="383" spans="1:8">
      <c r="A383">
        <f t="shared" si="32"/>
        <v>2059</v>
      </c>
      <c r="B383">
        <f t="shared" si="33"/>
        <v>55</v>
      </c>
      <c r="C383">
        <f t="shared" si="36"/>
        <v>10</v>
      </c>
      <c r="D383" s="7">
        <f>'Eredmények konzervatív'!$B$6/12*(1+'Eredmények konzervatív'!$B$8)^('Havi számolás konzervatív'!B383-33)</f>
        <v>1761993.1017130855</v>
      </c>
      <c r="E383" s="7">
        <f t="shared" si="35"/>
        <v>48200905.809180863</v>
      </c>
      <c r="F383" s="7">
        <f>'Eredmények konzervatív'!$B$9*D383</f>
        <v>105719.58610278514</v>
      </c>
      <c r="G383" s="7">
        <f>SUM(E383:F383)*((1+'Eredmények konzervatív'!$B$10)^(1/12)-1)</f>
        <v>138683.42897023502</v>
      </c>
      <c r="H383" s="7">
        <f t="shared" si="34"/>
        <v>48445308.824253879</v>
      </c>
    </row>
    <row r="384" spans="1:8">
      <c r="A384">
        <f t="shared" si="32"/>
        <v>2059</v>
      </c>
      <c r="B384">
        <f t="shared" si="33"/>
        <v>55</v>
      </c>
      <c r="C384">
        <f t="shared" si="36"/>
        <v>11</v>
      </c>
      <c r="D384" s="7">
        <f>'Eredmények konzervatív'!$B$6/12*(1+'Eredmények konzervatív'!$B$8)^('Havi számolás konzervatív'!B384-33)</f>
        <v>1761993.1017130855</v>
      </c>
      <c r="E384" s="7">
        <f t="shared" si="35"/>
        <v>48445308.824253879</v>
      </c>
      <c r="F384" s="7">
        <f>'Eredmények konzervatív'!$B$9*D384</f>
        <v>105719.58610278514</v>
      </c>
      <c r="G384" s="7">
        <f>SUM(E384:F384)*((1+'Eredmények konzervatív'!$B$10)^(1/12)-1)</f>
        <v>139385.0852731466</v>
      </c>
      <c r="H384" s="7">
        <f t="shared" si="34"/>
        <v>48690413.49562981</v>
      </c>
    </row>
    <row r="385" spans="1:8">
      <c r="A385">
        <f t="shared" si="32"/>
        <v>2059</v>
      </c>
      <c r="B385">
        <f t="shared" si="33"/>
        <v>55</v>
      </c>
      <c r="C385">
        <f t="shared" si="36"/>
        <v>12</v>
      </c>
      <c r="D385" s="7">
        <f>'Eredmények konzervatív'!$B$6/12*(1+'Eredmények konzervatív'!$B$8)^('Havi számolás konzervatív'!B385-33)</f>
        <v>1761993.1017130855</v>
      </c>
      <c r="E385" s="7">
        <f t="shared" si="35"/>
        <v>48690413.49562981</v>
      </c>
      <c r="F385" s="7">
        <f>'Eredmények konzervatív'!$B$9*D385</f>
        <v>105719.58610278514</v>
      </c>
      <c r="G385" s="7">
        <f>SUM(E385:F385)*((1+'Eredmények konzervatív'!$B$10)^(1/12)-1)</f>
        <v>140088.75596023948</v>
      </c>
      <c r="H385" s="7">
        <f t="shared" si="34"/>
        <v>48936221.837692834</v>
      </c>
    </row>
    <row r="386" spans="1:8">
      <c r="A386">
        <f t="shared" si="32"/>
        <v>2060</v>
      </c>
      <c r="B386">
        <f t="shared" si="33"/>
        <v>56</v>
      </c>
      <c r="C386">
        <f t="shared" si="36"/>
        <v>1</v>
      </c>
      <c r="D386" s="7">
        <f>'Eredmények konzervatív'!$B$6/12*(1+'Eredmények konzervatív'!$B$8)^('Havi számolás konzervatív'!B386-33)</f>
        <v>1797232.9637473468</v>
      </c>
      <c r="E386" s="7">
        <f t="shared" si="35"/>
        <v>48936221.837692834</v>
      </c>
      <c r="F386" s="7">
        <f>'Eredmények konzervatív'!$B$9*D386</f>
        <v>107833.9778248408</v>
      </c>
      <c r="G386" s="7">
        <f>SUM(E386:F386)*((1+'Eredmények konzervatív'!$B$10)^(1/12)-1)</f>
        <v>140800.51701909304</v>
      </c>
      <c r="H386" s="7">
        <f t="shared" si="34"/>
        <v>49184856.332536772</v>
      </c>
    </row>
    <row r="387" spans="1:8">
      <c r="A387">
        <f t="shared" ref="A387:A450" si="37">INT((ROW(A386)-1)/12+2028)</f>
        <v>2060</v>
      </c>
      <c r="B387">
        <f t="shared" ref="B387:B450" si="38">INT((A387-2004)+(C387-1)/12)</f>
        <v>56</v>
      </c>
      <c r="C387">
        <f t="shared" si="36"/>
        <v>2</v>
      </c>
      <c r="D387" s="7">
        <f>'Eredmények konzervatív'!$B$6/12*(1+'Eredmények konzervatív'!$B$8)^('Havi számolás konzervatív'!B387-33)</f>
        <v>1797232.9637473468</v>
      </c>
      <c r="E387" s="7">
        <f t="shared" si="35"/>
        <v>49184856.332536772</v>
      </c>
      <c r="F387" s="7">
        <f>'Eredmények konzervatív'!$B$9*D387</f>
        <v>107833.9778248408</v>
      </c>
      <c r="G387" s="7">
        <f>SUM(E387:F387)*((1+'Eredmények konzervatív'!$B$10)^(1/12)-1)</f>
        <v>141514.32147185877</v>
      </c>
      <c r="H387" s="7">
        <f t="shared" ref="H387:H450" si="39">E387+F387+G387</f>
        <v>49434204.631833479</v>
      </c>
    </row>
    <row r="388" spans="1:8">
      <c r="A388">
        <f t="shared" si="37"/>
        <v>2060</v>
      </c>
      <c r="B388">
        <f t="shared" si="38"/>
        <v>56</v>
      </c>
      <c r="C388">
        <f t="shared" si="36"/>
        <v>3</v>
      </c>
      <c r="D388" s="7">
        <f>'Eredmények konzervatív'!$B$6/12*(1+'Eredmények konzervatív'!$B$8)^('Havi számolás konzervatív'!B388-33)</f>
        <v>1797232.9637473468</v>
      </c>
      <c r="E388" s="7">
        <f t="shared" si="35"/>
        <v>49434204.631833479</v>
      </c>
      <c r="F388" s="7">
        <f>'Eredmények konzervatív'!$B$9*D388</f>
        <v>107833.9778248408</v>
      </c>
      <c r="G388" s="7">
        <f>SUM(E388:F388)*((1+'Eredmények konzervatív'!$B$10)^(1/12)-1)</f>
        <v>142230.17518491362</v>
      </c>
      <c r="H388" s="7">
        <f t="shared" si="39"/>
        <v>49684268.784843236</v>
      </c>
    </row>
    <row r="389" spans="1:8">
      <c r="A389">
        <f t="shared" si="37"/>
        <v>2060</v>
      </c>
      <c r="B389">
        <f t="shared" si="38"/>
        <v>56</v>
      </c>
      <c r="C389">
        <f t="shared" si="36"/>
        <v>4</v>
      </c>
      <c r="D389" s="7">
        <f>'Eredmények konzervatív'!$B$6/12*(1+'Eredmények konzervatív'!$B$8)^('Havi számolás konzervatív'!B389-33)</f>
        <v>1797232.9637473468</v>
      </c>
      <c r="E389" s="7">
        <f t="shared" ref="E389:E452" si="40">H388</f>
        <v>49684268.784843236</v>
      </c>
      <c r="F389" s="7">
        <f>'Eredmények konzervatív'!$B$9*D389</f>
        <v>107833.9778248408</v>
      </c>
      <c r="G389" s="7">
        <f>SUM(E389:F389)*((1+'Eredmények konzervatív'!$B$10)^(1/12)-1)</f>
        <v>142948.08404147634</v>
      </c>
      <c r="H389" s="7">
        <f t="shared" si="39"/>
        <v>49935050.846709557</v>
      </c>
    </row>
    <row r="390" spans="1:8">
      <c r="A390">
        <f t="shared" si="37"/>
        <v>2060</v>
      </c>
      <c r="B390">
        <f t="shared" si="38"/>
        <v>56</v>
      </c>
      <c r="C390">
        <f t="shared" si="36"/>
        <v>5</v>
      </c>
      <c r="D390" s="7">
        <f>'Eredmények konzervatív'!$B$6/12*(1+'Eredmények konzervatív'!$B$8)^('Havi számolás konzervatív'!B390-33)</f>
        <v>1797232.9637473468</v>
      </c>
      <c r="E390" s="7">
        <f t="shared" si="40"/>
        <v>49935050.846709557</v>
      </c>
      <c r="F390" s="7">
        <f>'Eredmények konzervatív'!$B$9*D390</f>
        <v>107833.9778248408</v>
      </c>
      <c r="G390" s="7">
        <f>SUM(E390:F390)*((1+'Eredmények konzervatív'!$B$10)^(1/12)-1)</f>
        <v>143668.05394165576</v>
      </c>
      <c r="H390" s="7">
        <f t="shared" si="39"/>
        <v>50186552.878476053</v>
      </c>
    </row>
    <row r="391" spans="1:8">
      <c r="A391">
        <f t="shared" si="37"/>
        <v>2060</v>
      </c>
      <c r="B391">
        <f t="shared" si="38"/>
        <v>56</v>
      </c>
      <c r="C391">
        <f t="shared" si="36"/>
        <v>6</v>
      </c>
      <c r="D391" s="7">
        <f>'Eredmények konzervatív'!$B$6/12*(1+'Eredmények konzervatív'!$B$8)^('Havi számolás konzervatív'!B391-33)</f>
        <v>1797232.9637473468</v>
      </c>
      <c r="E391" s="7">
        <f t="shared" si="40"/>
        <v>50186552.878476053</v>
      </c>
      <c r="F391" s="7">
        <f>'Eredmények konzervatív'!$B$9*D391</f>
        <v>107833.9778248408</v>
      </c>
      <c r="G391" s="7">
        <f>SUM(E391:F391)*((1+'Eredmények konzervatív'!$B$10)^(1/12)-1)</f>
        <v>144390.09080249936</v>
      </c>
      <c r="H391" s="7">
        <f t="shared" si="39"/>
        <v>50438776.947103396</v>
      </c>
    </row>
    <row r="392" spans="1:8">
      <c r="A392">
        <f t="shared" si="37"/>
        <v>2060</v>
      </c>
      <c r="B392">
        <f t="shared" si="38"/>
        <v>56</v>
      </c>
      <c r="C392">
        <f t="shared" si="36"/>
        <v>7</v>
      </c>
      <c r="D392" s="7">
        <f>'Eredmények konzervatív'!$B$6/12*(1+'Eredmények konzervatív'!$B$8)^('Havi számolás konzervatív'!B392-33)</f>
        <v>1797232.9637473468</v>
      </c>
      <c r="E392" s="7">
        <f t="shared" si="40"/>
        <v>50438776.947103396</v>
      </c>
      <c r="F392" s="7">
        <f>'Eredmények konzervatív'!$B$9*D392</f>
        <v>107833.9778248408</v>
      </c>
      <c r="G392" s="7">
        <f>SUM(E392:F392)*((1+'Eredmények konzervatív'!$B$10)^(1/12)-1)</f>
        <v>145114.20055804189</v>
      </c>
      <c r="H392" s="7">
        <f t="shared" si="39"/>
        <v>50691725.125486284</v>
      </c>
    </row>
    <row r="393" spans="1:8">
      <c r="A393">
        <f t="shared" si="37"/>
        <v>2060</v>
      </c>
      <c r="B393">
        <f t="shared" si="38"/>
        <v>56</v>
      </c>
      <c r="C393">
        <f t="shared" si="36"/>
        <v>8</v>
      </c>
      <c r="D393" s="7">
        <f>'Eredmények konzervatív'!$B$6/12*(1+'Eredmények konzervatív'!$B$8)^('Havi számolás konzervatív'!B393-33)</f>
        <v>1797232.9637473468</v>
      </c>
      <c r="E393" s="7">
        <f t="shared" si="40"/>
        <v>50691725.125486284</v>
      </c>
      <c r="F393" s="7">
        <f>'Eredmények konzervatív'!$B$9*D393</f>
        <v>107833.9778248408</v>
      </c>
      <c r="G393" s="7">
        <f>SUM(E393:F393)*((1+'Eredmények konzervatív'!$B$10)^(1/12)-1)</f>
        <v>145840.38915935409</v>
      </c>
      <c r="H393" s="7">
        <f t="shared" si="39"/>
        <v>50945399.492470481</v>
      </c>
    </row>
    <row r="394" spans="1:8">
      <c r="A394">
        <f t="shared" si="37"/>
        <v>2060</v>
      </c>
      <c r="B394">
        <f t="shared" si="38"/>
        <v>56</v>
      </c>
      <c r="C394">
        <f t="shared" si="36"/>
        <v>9</v>
      </c>
      <c r="D394" s="7">
        <f>'Eredmények konzervatív'!$B$6/12*(1+'Eredmények konzervatív'!$B$8)^('Havi számolás konzervatív'!B394-33)</f>
        <v>1797232.9637473468</v>
      </c>
      <c r="E394" s="7">
        <f t="shared" si="40"/>
        <v>50945399.492470481</v>
      </c>
      <c r="F394" s="7">
        <f>'Eredmények konzervatív'!$B$9*D394</f>
        <v>107833.9778248408</v>
      </c>
      <c r="G394" s="7">
        <f>SUM(E394:F394)*((1+'Eredmények konzervatív'!$B$10)^(1/12)-1)</f>
        <v>146568.66257459161</v>
      </c>
      <c r="H394" s="7">
        <f t="shared" si="39"/>
        <v>51199802.132869914</v>
      </c>
    </row>
    <row r="395" spans="1:8">
      <c r="A395">
        <f t="shared" si="37"/>
        <v>2060</v>
      </c>
      <c r="B395">
        <f t="shared" si="38"/>
        <v>56</v>
      </c>
      <c r="C395">
        <f t="shared" si="36"/>
        <v>10</v>
      </c>
      <c r="D395" s="7">
        <f>'Eredmények konzervatív'!$B$6/12*(1+'Eredmények konzervatív'!$B$8)^('Havi számolás konzervatív'!B395-33)</f>
        <v>1797232.9637473468</v>
      </c>
      <c r="E395" s="7">
        <f t="shared" si="40"/>
        <v>51199802.132869914</v>
      </c>
      <c r="F395" s="7">
        <f>'Eredmények konzervatív'!$B$9*D395</f>
        <v>107833.9778248408</v>
      </c>
      <c r="G395" s="7">
        <f>SUM(E395:F395)*((1+'Eredmények konzervatív'!$B$10)^(1/12)-1)</f>
        <v>147299.02678904406</v>
      </c>
      <c r="H395" s="7">
        <f t="shared" si="39"/>
        <v>51454935.137483805</v>
      </c>
    </row>
    <row r="396" spans="1:8">
      <c r="A396">
        <f t="shared" si="37"/>
        <v>2060</v>
      </c>
      <c r="B396">
        <f t="shared" si="38"/>
        <v>56</v>
      </c>
      <c r="C396">
        <f t="shared" si="36"/>
        <v>11</v>
      </c>
      <c r="D396" s="7">
        <f>'Eredmények konzervatív'!$B$6/12*(1+'Eredmények konzervatív'!$B$8)^('Havi számolás konzervatív'!B396-33)</f>
        <v>1797232.9637473468</v>
      </c>
      <c r="E396" s="7">
        <f t="shared" si="40"/>
        <v>51454935.137483805</v>
      </c>
      <c r="F396" s="7">
        <f>'Eredmények konzervatív'!$B$9*D396</f>
        <v>107833.9778248408</v>
      </c>
      <c r="G396" s="7">
        <f>SUM(E396:F396)*((1+'Eredmények konzervatív'!$B$10)^(1/12)-1)</f>
        <v>148031.48780518424</v>
      </c>
      <c r="H396" s="7">
        <f t="shared" si="39"/>
        <v>51710800.603113838</v>
      </c>
    </row>
    <row r="397" spans="1:8">
      <c r="A397">
        <f t="shared" si="37"/>
        <v>2060</v>
      </c>
      <c r="B397">
        <f t="shared" si="38"/>
        <v>56</v>
      </c>
      <c r="C397">
        <f t="shared" si="36"/>
        <v>12</v>
      </c>
      <c r="D397" s="7">
        <f>'Eredmények konzervatív'!$B$6/12*(1+'Eredmények konzervatív'!$B$8)^('Havi számolás konzervatív'!B397-33)</f>
        <v>1797232.9637473468</v>
      </c>
      <c r="E397" s="7">
        <f t="shared" si="40"/>
        <v>51710800.603113838</v>
      </c>
      <c r="F397" s="7">
        <f>'Eredmények konzervatív'!$B$9*D397</f>
        <v>107833.9778248408</v>
      </c>
      <c r="G397" s="7">
        <f>SUM(E397:F397)*((1+'Eredmények konzervatív'!$B$10)^(1/12)-1)</f>
        <v>148766.05164271744</v>
      </c>
      <c r="H397" s="7">
        <f t="shared" si="39"/>
        <v>51967400.632581398</v>
      </c>
    </row>
    <row r="398" spans="1:8">
      <c r="A398">
        <f t="shared" si="37"/>
        <v>2061</v>
      </c>
      <c r="B398">
        <f t="shared" si="38"/>
        <v>57</v>
      </c>
      <c r="C398">
        <f t="shared" si="36"/>
        <v>1</v>
      </c>
      <c r="D398" s="7">
        <f>'Eredmények konzervatív'!$B$6/12*(1+'Eredmények konzervatív'!$B$8)^('Havi számolás konzervatív'!B398-33)</f>
        <v>1833177.6230222939</v>
      </c>
      <c r="E398" s="7">
        <f t="shared" si="40"/>
        <v>51967400.632581398</v>
      </c>
      <c r="F398" s="7">
        <f>'Eredmények konzervatív'!$B$9*D398</f>
        <v>109990.65738133763</v>
      </c>
      <c r="G398" s="7">
        <f>SUM(E398:F398)*((1+'Eredmények konzervatív'!$B$10)^(1/12)-1)</f>
        <v>149508.9159472071</v>
      </c>
      <c r="H398" s="7">
        <f t="shared" si="39"/>
        <v>52226900.205909945</v>
      </c>
    </row>
    <row r="399" spans="1:8">
      <c r="A399">
        <f t="shared" si="37"/>
        <v>2061</v>
      </c>
      <c r="B399">
        <f t="shared" si="38"/>
        <v>57</v>
      </c>
      <c r="C399">
        <f t="shared" si="36"/>
        <v>2</v>
      </c>
      <c r="D399" s="7">
        <f>'Eredmények konzervatív'!$B$6/12*(1+'Eredmények konzervatív'!$B$8)^('Havi számolás konzervatív'!B399-33)</f>
        <v>1833177.6230222939</v>
      </c>
      <c r="E399" s="7">
        <f t="shared" si="40"/>
        <v>52226900.205909945</v>
      </c>
      <c r="F399" s="7">
        <f>'Eredmények konzervatív'!$B$9*D399</f>
        <v>109990.65738133763</v>
      </c>
      <c r="G399" s="7">
        <f>SUM(E399:F399)*((1+'Eredmények konzervatív'!$B$10)^(1/12)-1)</f>
        <v>150253.91293987696</v>
      </c>
      <c r="H399" s="7">
        <f t="shared" si="39"/>
        <v>52487144.776231162</v>
      </c>
    </row>
    <row r="400" spans="1:8">
      <c r="A400">
        <f t="shared" si="37"/>
        <v>2061</v>
      </c>
      <c r="B400">
        <f t="shared" si="38"/>
        <v>57</v>
      </c>
      <c r="C400">
        <f t="shared" si="36"/>
        <v>3</v>
      </c>
      <c r="D400" s="7">
        <f>'Eredmények konzervatív'!$B$6/12*(1+'Eredmények konzervatív'!$B$8)^('Havi számolás konzervatív'!B400-33)</f>
        <v>1833177.6230222939</v>
      </c>
      <c r="E400" s="7">
        <f t="shared" si="40"/>
        <v>52487144.776231162</v>
      </c>
      <c r="F400" s="7">
        <f>'Eredmények konzervatív'!$B$9*D400</f>
        <v>109990.65738133763</v>
      </c>
      <c r="G400" s="7">
        <f>SUM(E400:F400)*((1+'Eredmények konzervatív'!$B$10)^(1/12)-1)</f>
        <v>151001.04874345881</v>
      </c>
      <c r="H400" s="7">
        <f t="shared" si="39"/>
        <v>52748136.48235596</v>
      </c>
    </row>
    <row r="401" spans="1:8">
      <c r="A401">
        <f t="shared" si="37"/>
        <v>2061</v>
      </c>
      <c r="B401">
        <f t="shared" si="38"/>
        <v>57</v>
      </c>
      <c r="C401">
        <f t="shared" si="36"/>
        <v>4</v>
      </c>
      <c r="D401" s="7">
        <f>'Eredmények konzervatív'!$B$6/12*(1+'Eredmények konzervatív'!$B$8)^('Havi számolás konzervatív'!B401-33)</f>
        <v>1833177.6230222939</v>
      </c>
      <c r="E401" s="7">
        <f t="shared" si="40"/>
        <v>52748136.48235596</v>
      </c>
      <c r="F401" s="7">
        <f>'Eredmények konzervatív'!$B$9*D401</f>
        <v>109990.65738133763</v>
      </c>
      <c r="G401" s="7">
        <f>SUM(E401:F401)*((1+'Eredmények konzervatív'!$B$10)^(1/12)-1)</f>
        <v>151750.32949826212</v>
      </c>
      <c r="H401" s="7">
        <f t="shared" si="39"/>
        <v>53009877.469235562</v>
      </c>
    </row>
    <row r="402" spans="1:8">
      <c r="A402">
        <f t="shared" si="37"/>
        <v>2061</v>
      </c>
      <c r="B402">
        <f t="shared" si="38"/>
        <v>57</v>
      </c>
      <c r="C402">
        <f t="shared" si="36"/>
        <v>5</v>
      </c>
      <c r="D402" s="7">
        <f>'Eredmények konzervatív'!$B$6/12*(1+'Eredmények konzervatív'!$B$8)^('Havi számolás konzervatív'!B402-33)</f>
        <v>1833177.6230222939</v>
      </c>
      <c r="E402" s="7">
        <f t="shared" si="40"/>
        <v>53009877.469235562</v>
      </c>
      <c r="F402" s="7">
        <f>'Eredmények konzervatív'!$B$9*D402</f>
        <v>109990.65738133763</v>
      </c>
      <c r="G402" s="7">
        <f>SUM(E402:F402)*((1+'Eredmények konzervatív'!$B$10)^(1/12)-1)</f>
        <v>152501.76136222461</v>
      </c>
      <c r="H402" s="7">
        <f t="shared" si="39"/>
        <v>53272369.887979127</v>
      </c>
    </row>
    <row r="403" spans="1:8">
      <c r="A403">
        <f t="shared" si="37"/>
        <v>2061</v>
      </c>
      <c r="B403">
        <f t="shared" si="38"/>
        <v>57</v>
      </c>
      <c r="C403">
        <f t="shared" si="36"/>
        <v>6</v>
      </c>
      <c r="D403" s="7">
        <f>'Eredmények konzervatív'!$B$6/12*(1+'Eredmények konzervatív'!$B$8)^('Havi számolás konzervatív'!B403-33)</f>
        <v>1833177.6230222939</v>
      </c>
      <c r="E403" s="7">
        <f t="shared" si="40"/>
        <v>53272369.887979127</v>
      </c>
      <c r="F403" s="7">
        <f>'Eredmények konzervatív'!$B$9*D403</f>
        <v>109990.65738133763</v>
      </c>
      <c r="G403" s="7">
        <f>SUM(E403:F403)*((1+'Eredmények konzervatív'!$B$10)^(1/12)-1)</f>
        <v>153255.35051096286</v>
      </c>
      <c r="H403" s="7">
        <f t="shared" si="39"/>
        <v>53535615.895871431</v>
      </c>
    </row>
    <row r="404" spans="1:8">
      <c r="A404">
        <f t="shared" si="37"/>
        <v>2061</v>
      </c>
      <c r="B404">
        <f t="shared" si="38"/>
        <v>57</v>
      </c>
      <c r="C404">
        <f t="shared" si="36"/>
        <v>7</v>
      </c>
      <c r="D404" s="7">
        <f>'Eredmények konzervatív'!$B$6/12*(1+'Eredmények konzervatív'!$B$8)^('Havi számolás konzervatív'!B404-33)</f>
        <v>1833177.6230222939</v>
      </c>
      <c r="E404" s="7">
        <f t="shared" si="40"/>
        <v>53535615.895871431</v>
      </c>
      <c r="F404" s="7">
        <f>'Eredmények konzervatív'!$B$9*D404</f>
        <v>109990.65738133763</v>
      </c>
      <c r="G404" s="7">
        <f>SUM(E404:F404)*((1+'Eredmények konzervatív'!$B$10)^(1/12)-1)</f>
        <v>154011.10313782291</v>
      </c>
      <c r="H404" s="7">
        <f t="shared" si="39"/>
        <v>53799617.656390592</v>
      </c>
    </row>
    <row r="405" spans="1:8">
      <c r="A405">
        <f t="shared" si="37"/>
        <v>2061</v>
      </c>
      <c r="B405">
        <f t="shared" si="38"/>
        <v>57</v>
      </c>
      <c r="C405">
        <f t="shared" si="36"/>
        <v>8</v>
      </c>
      <c r="D405" s="7">
        <f>'Eredmények konzervatív'!$B$6/12*(1+'Eredmények konzervatív'!$B$8)^('Havi számolás konzervatív'!B405-33)</f>
        <v>1833177.6230222939</v>
      </c>
      <c r="E405" s="7">
        <f t="shared" si="40"/>
        <v>53799617.656390592</v>
      </c>
      <c r="F405" s="7">
        <f>'Eredmények konzervatív'!$B$9*D405</f>
        <v>109990.65738133763</v>
      </c>
      <c r="G405" s="7">
        <f>SUM(E405:F405)*((1+'Eredmények konzervatív'!$B$10)^(1/12)-1)</f>
        <v>154769.02545393133</v>
      </c>
      <c r="H405" s="7">
        <f t="shared" si="39"/>
        <v>54064377.339225866</v>
      </c>
    </row>
    <row r="406" spans="1:8">
      <c r="A406">
        <f t="shared" si="37"/>
        <v>2061</v>
      </c>
      <c r="B406">
        <f t="shared" si="38"/>
        <v>57</v>
      </c>
      <c r="C406">
        <f t="shared" si="36"/>
        <v>9</v>
      </c>
      <c r="D406" s="7">
        <f>'Eredmények konzervatív'!$B$6/12*(1+'Eredmények konzervatív'!$B$8)^('Havi számolás konzervatív'!B406-33)</f>
        <v>1833177.6230222939</v>
      </c>
      <c r="E406" s="7">
        <f t="shared" si="40"/>
        <v>54064377.339225866</v>
      </c>
      <c r="F406" s="7">
        <f>'Eredmények konzervatív'!$B$9*D406</f>
        <v>109990.65738133763</v>
      </c>
      <c r="G406" s="7">
        <f>SUM(E406:F406)*((1+'Eredmények konzervatív'!$B$10)^(1/12)-1)</f>
        <v>155529.12368824627</v>
      </c>
      <c r="H406" s="7">
        <f t="shared" si="39"/>
        <v>54329897.12029545</v>
      </c>
    </row>
    <row r="407" spans="1:8">
      <c r="A407">
        <f t="shared" si="37"/>
        <v>2061</v>
      </c>
      <c r="B407">
        <f t="shared" si="38"/>
        <v>57</v>
      </c>
      <c r="C407">
        <f t="shared" si="36"/>
        <v>10</v>
      </c>
      <c r="D407" s="7">
        <f>'Eredmények konzervatív'!$B$6/12*(1+'Eredmények konzervatív'!$B$8)^('Havi számolás konzervatív'!B407-33)</f>
        <v>1833177.6230222939</v>
      </c>
      <c r="E407" s="7">
        <f t="shared" si="40"/>
        <v>54329897.12029545</v>
      </c>
      <c r="F407" s="7">
        <f>'Eredmények konzervatív'!$B$9*D407</f>
        <v>109990.65738133763</v>
      </c>
      <c r="G407" s="7">
        <f>SUM(E407:F407)*((1+'Eredmények konzervatív'!$B$10)^(1/12)-1)</f>
        <v>156291.40408760845</v>
      </c>
      <c r="H407" s="7">
        <f t="shared" si="39"/>
        <v>54596179.181764401</v>
      </c>
    </row>
    <row r="408" spans="1:8">
      <c r="A408">
        <f t="shared" si="37"/>
        <v>2061</v>
      </c>
      <c r="B408">
        <f t="shared" si="38"/>
        <v>57</v>
      </c>
      <c r="C408">
        <f t="shared" si="36"/>
        <v>11</v>
      </c>
      <c r="D408" s="7">
        <f>'Eredmények konzervatív'!$B$6/12*(1+'Eredmények konzervatív'!$B$8)^('Havi számolás konzervatív'!B408-33)</f>
        <v>1833177.6230222939</v>
      </c>
      <c r="E408" s="7">
        <f t="shared" si="40"/>
        <v>54596179.181764401</v>
      </c>
      <c r="F408" s="7">
        <f>'Eredmények konzervatív'!$B$9*D408</f>
        <v>109990.65738133763</v>
      </c>
      <c r="G408" s="7">
        <f>SUM(E408:F408)*((1+'Eredmények konzervatív'!$B$10)^(1/12)-1)</f>
        <v>157055.87291679275</v>
      </c>
      <c r="H408" s="7">
        <f t="shared" si="39"/>
        <v>54863225.712062538</v>
      </c>
    </row>
    <row r="409" spans="1:8">
      <c r="A409">
        <f t="shared" si="37"/>
        <v>2061</v>
      </c>
      <c r="B409">
        <f t="shared" si="38"/>
        <v>57</v>
      </c>
      <c r="C409">
        <f t="shared" si="36"/>
        <v>12</v>
      </c>
      <c r="D409" s="7">
        <f>'Eredmények konzervatív'!$B$6/12*(1+'Eredmények konzervatív'!$B$8)^('Havi számolás konzervatív'!B409-33)</f>
        <v>1833177.6230222939</v>
      </c>
      <c r="E409" s="7">
        <f t="shared" si="40"/>
        <v>54863225.712062538</v>
      </c>
      <c r="F409" s="7">
        <f>'Eredmények konzervatív'!$B$9*D409</f>
        <v>109990.65738133763</v>
      </c>
      <c r="G409" s="7">
        <f>SUM(E409:F409)*((1+'Eredmények konzervatív'!$B$10)^(1/12)-1)</f>
        <v>157822.53645855954</v>
      </c>
      <c r="H409" s="7">
        <f t="shared" si="39"/>
        <v>55131038.905902438</v>
      </c>
    </row>
    <row r="410" spans="1:8">
      <c r="A410">
        <f t="shared" si="37"/>
        <v>2062</v>
      </c>
      <c r="B410">
        <f t="shared" si="38"/>
        <v>58</v>
      </c>
      <c r="C410">
        <f t="shared" si="36"/>
        <v>1</v>
      </c>
      <c r="D410" s="7">
        <f>'Eredmények konzervatív'!$B$6/12*(1+'Eredmények konzervatív'!$B$8)^('Havi számolás konzervatív'!B410-33)</f>
        <v>1869841.1754827397</v>
      </c>
      <c r="E410" s="7">
        <f t="shared" si="40"/>
        <v>55131038.905902438</v>
      </c>
      <c r="F410" s="7">
        <f>'Eredmények konzervatív'!$B$9*D410</f>
        <v>112190.47052896438</v>
      </c>
      <c r="G410" s="7">
        <f>SUM(E410:F410)*((1+'Eredmények konzervatív'!$B$10)^(1/12)-1)</f>
        <v>158597.71645445406</v>
      </c>
      <c r="H410" s="7">
        <f t="shared" si="39"/>
        <v>55401827.092885859</v>
      </c>
    </row>
    <row r="411" spans="1:8">
      <c r="A411">
        <f t="shared" si="37"/>
        <v>2062</v>
      </c>
      <c r="B411">
        <f t="shared" si="38"/>
        <v>58</v>
      </c>
      <c r="C411">
        <f t="shared" si="36"/>
        <v>2</v>
      </c>
      <c r="D411" s="7">
        <f>'Eredmények konzervatív'!$B$6/12*(1+'Eredmények konzervatív'!$B$8)^('Havi számolás konzervatív'!B411-33)</f>
        <v>1869841.1754827397</v>
      </c>
      <c r="E411" s="7">
        <f t="shared" si="40"/>
        <v>55401827.092885859</v>
      </c>
      <c r="F411" s="7">
        <f>'Eredmények konzervatív'!$B$9*D411</f>
        <v>112190.47052896438</v>
      </c>
      <c r="G411" s="7">
        <f>SUM(E411:F411)*((1+'Eredmények konzervatív'!$B$10)^(1/12)-1)</f>
        <v>159375.12191360584</v>
      </c>
      <c r="H411" s="7">
        <f t="shared" si="39"/>
        <v>55673392.685328431</v>
      </c>
    </row>
    <row r="412" spans="1:8">
      <c r="A412">
        <f t="shared" si="37"/>
        <v>2062</v>
      </c>
      <c r="B412">
        <f t="shared" si="38"/>
        <v>58</v>
      </c>
      <c r="C412">
        <f t="shared" si="36"/>
        <v>3</v>
      </c>
      <c r="D412" s="7">
        <f>'Eredmények konzervatív'!$B$6/12*(1+'Eredmények konzervatív'!$B$8)^('Havi számolás konzervatív'!B412-33)</f>
        <v>1869841.1754827397</v>
      </c>
      <c r="E412" s="7">
        <f t="shared" si="40"/>
        <v>55673392.685328431</v>
      </c>
      <c r="F412" s="7">
        <f>'Eredmények konzervatív'!$B$9*D412</f>
        <v>112190.47052896438</v>
      </c>
      <c r="G412" s="7">
        <f>SUM(E412:F412)*((1+'Eredmények konzervatív'!$B$10)^(1/12)-1)</f>
        <v>160154.75922509452</v>
      </c>
      <c r="H412" s="7">
        <f t="shared" si="39"/>
        <v>55945737.915082492</v>
      </c>
    </row>
    <row r="413" spans="1:8">
      <c r="A413">
        <f t="shared" si="37"/>
        <v>2062</v>
      </c>
      <c r="B413">
        <f t="shared" si="38"/>
        <v>58</v>
      </c>
      <c r="C413">
        <f t="shared" si="36"/>
        <v>4</v>
      </c>
      <c r="D413" s="7">
        <f>'Eredmények konzervatív'!$B$6/12*(1+'Eredmények konzervatív'!$B$8)^('Havi számolás konzervatív'!B413-33)</f>
        <v>1869841.1754827397</v>
      </c>
      <c r="E413" s="7">
        <f t="shared" si="40"/>
        <v>55945737.915082492</v>
      </c>
      <c r="F413" s="7">
        <f>'Eredmények konzervatív'!$B$9*D413</f>
        <v>112190.47052896438</v>
      </c>
      <c r="G413" s="7">
        <f>SUM(E413:F413)*((1+'Eredmények konzervatív'!$B$10)^(1/12)-1)</f>
        <v>160936.63479634208</v>
      </c>
      <c r="H413" s="7">
        <f t="shared" si="39"/>
        <v>56218865.020407803</v>
      </c>
    </row>
    <row r="414" spans="1:8">
      <c r="A414">
        <f t="shared" si="37"/>
        <v>2062</v>
      </c>
      <c r="B414">
        <f t="shared" si="38"/>
        <v>58</v>
      </c>
      <c r="C414">
        <f t="shared" si="36"/>
        <v>5</v>
      </c>
      <c r="D414" s="7">
        <f>'Eredmények konzervatív'!$B$6/12*(1+'Eredmények konzervatív'!$B$8)^('Havi számolás konzervatív'!B414-33)</f>
        <v>1869841.1754827397</v>
      </c>
      <c r="E414" s="7">
        <f t="shared" si="40"/>
        <v>56218865.020407803</v>
      </c>
      <c r="F414" s="7">
        <f>'Eredmények konzervatív'!$B$9*D414</f>
        <v>112190.47052896438</v>
      </c>
      <c r="G414" s="7">
        <f>SUM(E414:F414)*((1+'Eredmények konzervatív'!$B$10)^(1/12)-1)</f>
        <v>161720.75505316563</v>
      </c>
      <c r="H414" s="7">
        <f t="shared" si="39"/>
        <v>56492776.245989934</v>
      </c>
    </row>
    <row r="415" spans="1:8">
      <c r="A415">
        <f t="shared" si="37"/>
        <v>2062</v>
      </c>
      <c r="B415">
        <f t="shared" si="38"/>
        <v>58</v>
      </c>
      <c r="C415">
        <f t="shared" si="36"/>
        <v>6</v>
      </c>
      <c r="D415" s="7">
        <f>'Eredmények konzervatív'!$B$6/12*(1+'Eredmények konzervatív'!$B$8)^('Havi számolás konzervatív'!B415-33)</f>
        <v>1869841.1754827397</v>
      </c>
      <c r="E415" s="7">
        <f t="shared" si="40"/>
        <v>56492776.245989934</v>
      </c>
      <c r="F415" s="7">
        <f>'Eredmények konzervatív'!$B$9*D415</f>
        <v>112190.47052896438</v>
      </c>
      <c r="G415" s="7">
        <f>SUM(E415:F415)*((1+'Eredmények konzervatív'!$B$10)^(1/12)-1)</f>
        <v>162507.12643983008</v>
      </c>
      <c r="H415" s="7">
        <f t="shared" si="39"/>
        <v>56767473.842958733</v>
      </c>
    </row>
    <row r="416" spans="1:8">
      <c r="A416">
        <f t="shared" si="37"/>
        <v>2062</v>
      </c>
      <c r="B416">
        <f t="shared" si="38"/>
        <v>58</v>
      </c>
      <c r="C416">
        <f t="shared" si="36"/>
        <v>7</v>
      </c>
      <c r="D416" s="7">
        <f>'Eredmények konzervatív'!$B$6/12*(1+'Eredmények konzervatív'!$B$8)^('Havi számolás konzervatív'!B416-33)</f>
        <v>1869841.1754827397</v>
      </c>
      <c r="E416" s="7">
        <f t="shared" si="40"/>
        <v>56767473.842958733</v>
      </c>
      <c r="F416" s="7">
        <f>'Eredmények konzervatív'!$B$9*D416</f>
        <v>112190.47052896438</v>
      </c>
      <c r="G416" s="7">
        <f>SUM(E416:F416)*((1+'Eredmények konzervatív'!$B$10)^(1/12)-1)</f>
        <v>163295.75541910125</v>
      </c>
      <c r="H416" s="7">
        <f t="shared" si="39"/>
        <v>57042960.068906799</v>
      </c>
    </row>
    <row r="417" spans="1:8">
      <c r="A417">
        <f t="shared" si="37"/>
        <v>2062</v>
      </c>
      <c r="B417">
        <f t="shared" si="38"/>
        <v>58</v>
      </c>
      <c r="C417">
        <f t="shared" si="36"/>
        <v>8</v>
      </c>
      <c r="D417" s="7">
        <f>'Eredmények konzervatív'!$B$6/12*(1+'Eredmények konzervatív'!$B$8)^('Havi számolás konzervatív'!B417-33)</f>
        <v>1869841.1754827397</v>
      </c>
      <c r="E417" s="7">
        <f t="shared" si="40"/>
        <v>57042960.068906799</v>
      </c>
      <c r="F417" s="7">
        <f>'Eredmények konzervatív'!$B$9*D417</f>
        <v>112190.47052896438</v>
      </c>
      <c r="G417" s="7">
        <f>SUM(E417:F417)*((1+'Eredmények konzervatív'!$B$10)^(1/12)-1)</f>
        <v>164086.64847229881</v>
      </c>
      <c r="H417" s="7">
        <f t="shared" si="39"/>
        <v>57319237.187908068</v>
      </c>
    </row>
    <row r="418" spans="1:8">
      <c r="A418">
        <f t="shared" si="37"/>
        <v>2062</v>
      </c>
      <c r="B418">
        <f t="shared" si="38"/>
        <v>58</v>
      </c>
      <c r="C418">
        <f t="shared" si="36"/>
        <v>9</v>
      </c>
      <c r="D418" s="7">
        <f>'Eredmények konzervatív'!$B$6/12*(1+'Eredmények konzervatív'!$B$8)^('Havi számolás konzervatív'!B418-33)</f>
        <v>1869841.1754827397</v>
      </c>
      <c r="E418" s="7">
        <f t="shared" si="40"/>
        <v>57319237.187908068</v>
      </c>
      <c r="F418" s="7">
        <f>'Eredmények konzervatív'!$B$9*D418</f>
        <v>112190.47052896438</v>
      </c>
      <c r="G418" s="7">
        <f>SUM(E418:F418)*((1+'Eredmények konzervatív'!$B$10)^(1/12)-1)</f>
        <v>164879.81209934971</v>
      </c>
      <c r="H418" s="7">
        <f t="shared" si="39"/>
        <v>57596307.470536388</v>
      </c>
    </row>
    <row r="419" spans="1:8">
      <c r="A419">
        <f t="shared" si="37"/>
        <v>2062</v>
      </c>
      <c r="B419">
        <f t="shared" si="38"/>
        <v>58</v>
      </c>
      <c r="C419">
        <f t="shared" si="36"/>
        <v>10</v>
      </c>
      <c r="D419" s="7">
        <f>'Eredmények konzervatív'!$B$6/12*(1+'Eredmények konzervatív'!$B$8)^('Havi számolás konzervatív'!B419-33)</f>
        <v>1869841.1754827397</v>
      </c>
      <c r="E419" s="7">
        <f t="shared" si="40"/>
        <v>57596307.470536388</v>
      </c>
      <c r="F419" s="7">
        <f>'Eredmények konzervatív'!$B$9*D419</f>
        <v>112190.47052896438</v>
      </c>
      <c r="G419" s="7">
        <f>SUM(E419:F419)*((1+'Eredmények konzervatív'!$B$10)^(1/12)-1)</f>
        <v>165675.25281884157</v>
      </c>
      <c r="H419" s="7">
        <f t="shared" si="39"/>
        <v>57874173.193884201</v>
      </c>
    </row>
    <row r="420" spans="1:8">
      <c r="A420">
        <f t="shared" si="37"/>
        <v>2062</v>
      </c>
      <c r="B420">
        <f t="shared" si="38"/>
        <v>58</v>
      </c>
      <c r="C420">
        <f t="shared" si="36"/>
        <v>11</v>
      </c>
      <c r="D420" s="7">
        <f>'Eredmények konzervatív'!$B$6/12*(1+'Eredmények konzervatív'!$B$8)^('Havi számolás konzervatív'!B420-33)</f>
        <v>1869841.1754827397</v>
      </c>
      <c r="E420" s="7">
        <f t="shared" si="40"/>
        <v>57874173.193884201</v>
      </c>
      <c r="F420" s="7">
        <f>'Eredmények konzervatív'!$B$9*D420</f>
        <v>112190.47052896438</v>
      </c>
      <c r="G420" s="7">
        <f>SUM(E420:F420)*((1+'Eredmények konzervatív'!$B$10)^(1/12)-1)</f>
        <v>166472.97716807612</v>
      </c>
      <c r="H420" s="7">
        <f t="shared" si="39"/>
        <v>58152836.641581245</v>
      </c>
    </row>
    <row r="421" spans="1:8">
      <c r="A421">
        <f t="shared" si="37"/>
        <v>2062</v>
      </c>
      <c r="B421">
        <f t="shared" si="38"/>
        <v>58</v>
      </c>
      <c r="C421">
        <f t="shared" si="36"/>
        <v>12</v>
      </c>
      <c r="D421" s="7">
        <f>'Eredmények konzervatív'!$B$6/12*(1+'Eredmények konzervatív'!$B$8)^('Havi számolás konzervatív'!B421-33)</f>
        <v>1869841.1754827397</v>
      </c>
      <c r="E421" s="7">
        <f t="shared" si="40"/>
        <v>58152836.641581245</v>
      </c>
      <c r="F421" s="7">
        <f>'Eredmények konzervatív'!$B$9*D421</f>
        <v>112190.47052896438</v>
      </c>
      <c r="G421" s="7">
        <f>SUM(E421:F421)*((1+'Eredmények konzervatív'!$B$10)^(1/12)-1)</f>
        <v>167272.99170312303</v>
      </c>
      <c r="H421" s="7">
        <f t="shared" si="39"/>
        <v>58432300.103813335</v>
      </c>
    </row>
    <row r="422" spans="1:8">
      <c r="A422">
        <f t="shared" si="37"/>
        <v>2063</v>
      </c>
      <c r="B422">
        <f t="shared" si="38"/>
        <v>59</v>
      </c>
      <c r="C422">
        <f t="shared" si="36"/>
        <v>1</v>
      </c>
      <c r="D422" s="7">
        <f>'Eredmények konzervatív'!$B$6/12*(1+'Eredmények konzervatív'!$B$8)^('Havi számolás konzervatív'!B422-33)</f>
        <v>1907237.9989923949</v>
      </c>
      <c r="E422" s="7">
        <f t="shared" si="40"/>
        <v>58432300.103813335</v>
      </c>
      <c r="F422" s="7">
        <f>'Eredmények konzervatív'!$B$9*D422</f>
        <v>114434.27993954369</v>
      </c>
      <c r="G422" s="7">
        <f>SUM(E422:F422)*((1+'Eredmények konzervatív'!$B$10)^(1/12)-1)</f>
        <v>168081.74474843655</v>
      </c>
      <c r="H422" s="7">
        <f t="shared" si="39"/>
        <v>58714816.128501318</v>
      </c>
    </row>
    <row r="423" spans="1:8">
      <c r="A423">
        <f t="shared" si="37"/>
        <v>2063</v>
      </c>
      <c r="B423">
        <f t="shared" si="38"/>
        <v>59</v>
      </c>
      <c r="C423">
        <f t="shared" si="36"/>
        <v>2</v>
      </c>
      <c r="D423" s="7">
        <f>'Eredmények konzervatív'!$B$6/12*(1+'Eredmények konzervatív'!$B$8)^('Havi számolás konzervatív'!B423-33)</f>
        <v>1907237.9989923949</v>
      </c>
      <c r="E423" s="7">
        <f t="shared" si="40"/>
        <v>58714816.128501318</v>
      </c>
      <c r="F423" s="7">
        <f>'Eredmények konzervatív'!$B$9*D423</f>
        <v>114434.27993954369</v>
      </c>
      <c r="G423" s="7">
        <f>SUM(E423:F423)*((1+'Eredmények konzervatív'!$B$10)^(1/12)-1)</f>
        <v>168892.81964183191</v>
      </c>
      <c r="H423" s="7">
        <f t="shared" si="39"/>
        <v>58998143.228082694</v>
      </c>
    </row>
    <row r="424" spans="1:8">
      <c r="A424">
        <f t="shared" si="37"/>
        <v>2063</v>
      </c>
      <c r="B424">
        <f t="shared" si="38"/>
        <v>59</v>
      </c>
      <c r="C424">
        <f t="shared" si="36"/>
        <v>3</v>
      </c>
      <c r="D424" s="7">
        <f>'Eredmények konzervatív'!$B$6/12*(1+'Eredmények konzervatív'!$B$8)^('Havi számolás konzervatív'!B424-33)</f>
        <v>1907237.9989923949</v>
      </c>
      <c r="E424" s="7">
        <f t="shared" si="40"/>
        <v>58998143.228082694</v>
      </c>
      <c r="F424" s="7">
        <f>'Eredmények konzervatív'!$B$9*D424</f>
        <v>114434.27993954369</v>
      </c>
      <c r="G424" s="7">
        <f>SUM(E424:F424)*((1+'Eredmények konzervatív'!$B$10)^(1/12)-1)</f>
        <v>169706.22304909979</v>
      </c>
      <c r="H424" s="7">
        <f t="shared" si="39"/>
        <v>59282283.731071338</v>
      </c>
    </row>
    <row r="425" spans="1:8">
      <c r="A425">
        <f t="shared" si="37"/>
        <v>2063</v>
      </c>
      <c r="B425">
        <f t="shared" si="38"/>
        <v>59</v>
      </c>
      <c r="C425">
        <f t="shared" si="36"/>
        <v>4</v>
      </c>
      <c r="D425" s="7">
        <f>'Eredmények konzervatív'!$B$6/12*(1+'Eredmények konzervatív'!$B$8)^('Havi számolás konzervatív'!B425-33)</f>
        <v>1907237.9989923949</v>
      </c>
      <c r="E425" s="7">
        <f t="shared" si="40"/>
        <v>59282283.731071338</v>
      </c>
      <c r="F425" s="7">
        <f>'Eredmények konzervatív'!$B$9*D425</f>
        <v>114434.27993954369</v>
      </c>
      <c r="G425" s="7">
        <f>SUM(E425:F425)*((1+'Eredmények konzervatív'!$B$10)^(1/12)-1)</f>
        <v>170521.96165516766</v>
      </c>
      <c r="H425" s="7">
        <f t="shared" si="39"/>
        <v>59567239.972666055</v>
      </c>
    </row>
    <row r="426" spans="1:8">
      <c r="A426">
        <f t="shared" si="37"/>
        <v>2063</v>
      </c>
      <c r="B426">
        <f t="shared" si="38"/>
        <v>59</v>
      </c>
      <c r="C426">
        <f t="shared" si="36"/>
        <v>5</v>
      </c>
      <c r="D426" s="7">
        <f>'Eredmények konzervatív'!$B$6/12*(1+'Eredmények konzervatív'!$B$8)^('Havi számolás konzervatív'!B426-33)</f>
        <v>1907237.9989923949</v>
      </c>
      <c r="E426" s="7">
        <f t="shared" si="40"/>
        <v>59567239.972666055</v>
      </c>
      <c r="F426" s="7">
        <f>'Eredmények konzervatív'!$B$9*D426</f>
        <v>114434.27993954369</v>
      </c>
      <c r="G426" s="7">
        <f>SUM(E426:F426)*((1+'Eredmények konzervatív'!$B$10)^(1/12)-1)</f>
        <v>171340.04216415485</v>
      </c>
      <c r="H426" s="7">
        <f t="shared" si="39"/>
        <v>59853014.294769756</v>
      </c>
    </row>
    <row r="427" spans="1:8">
      <c r="A427">
        <f t="shared" si="37"/>
        <v>2063</v>
      </c>
      <c r="B427">
        <f t="shared" si="38"/>
        <v>59</v>
      </c>
      <c r="C427">
        <f t="shared" si="36"/>
        <v>6</v>
      </c>
      <c r="D427" s="7">
        <f>'Eredmények konzervatív'!$B$6/12*(1+'Eredmények konzervatív'!$B$8)^('Havi számolás konzervatív'!B427-33)</f>
        <v>1907237.9989923949</v>
      </c>
      <c r="E427" s="7">
        <f t="shared" si="40"/>
        <v>59853014.294769756</v>
      </c>
      <c r="F427" s="7">
        <f>'Eredmények konzervatív'!$B$9*D427</f>
        <v>114434.27993954369</v>
      </c>
      <c r="G427" s="7">
        <f>SUM(E427:F427)*((1+'Eredmények konzervatív'!$B$10)^(1/12)-1)</f>
        <v>172160.47129942736</v>
      </c>
      <c r="H427" s="7">
        <f t="shared" si="39"/>
        <v>60139609.046008728</v>
      </c>
    </row>
    <row r="428" spans="1:8">
      <c r="A428">
        <f t="shared" si="37"/>
        <v>2063</v>
      </c>
      <c r="B428">
        <f t="shared" si="38"/>
        <v>59</v>
      </c>
      <c r="C428">
        <f t="shared" ref="C428:C491" si="41">C416</f>
        <v>7</v>
      </c>
      <c r="D428" s="7">
        <f>'Eredmények konzervatív'!$B$6/12*(1+'Eredmények konzervatív'!$B$8)^('Havi számolás konzervatív'!B428-33)</f>
        <v>1907237.9989923949</v>
      </c>
      <c r="E428" s="7">
        <f t="shared" si="40"/>
        <v>60139609.046008728</v>
      </c>
      <c r="F428" s="7">
        <f>'Eredmények konzervatív'!$B$9*D428</f>
        <v>114434.27993954369</v>
      </c>
      <c r="G428" s="7">
        <f>SUM(E428:F428)*((1+'Eredmények konzervatív'!$B$10)^(1/12)-1)</f>
        <v>172983.25580365342</v>
      </c>
      <c r="H428" s="7">
        <f t="shared" si="39"/>
        <v>60427026.581751928</v>
      </c>
    </row>
    <row r="429" spans="1:8">
      <c r="A429">
        <f t="shared" si="37"/>
        <v>2063</v>
      </c>
      <c r="B429">
        <f t="shared" si="38"/>
        <v>59</v>
      </c>
      <c r="C429">
        <f t="shared" si="41"/>
        <v>8</v>
      </c>
      <c r="D429" s="7">
        <f>'Eredmények konzervatív'!$B$6/12*(1+'Eredmények konzervatív'!$B$8)^('Havi számolás konzervatív'!B429-33)</f>
        <v>1907237.9989923949</v>
      </c>
      <c r="E429" s="7">
        <f t="shared" si="40"/>
        <v>60427026.581751928</v>
      </c>
      <c r="F429" s="7">
        <f>'Eredmények konzervatív'!$B$9*D429</f>
        <v>114434.27993954369</v>
      </c>
      <c r="G429" s="7">
        <f>SUM(E429:F429)*((1+'Eredmények konzervatív'!$B$10)^(1/12)-1)</f>
        <v>173808.40243885873</v>
      </c>
      <c r="H429" s="7">
        <f t="shared" si="39"/>
        <v>60715269.264130332</v>
      </c>
    </row>
    <row r="430" spans="1:8">
      <c r="A430">
        <f t="shared" si="37"/>
        <v>2063</v>
      </c>
      <c r="B430">
        <f t="shared" si="38"/>
        <v>59</v>
      </c>
      <c r="C430">
        <f t="shared" si="41"/>
        <v>9</v>
      </c>
      <c r="D430" s="7">
        <f>'Eredmények konzervatív'!$B$6/12*(1+'Eredmények konzervatív'!$B$8)^('Havi számolás konzervatív'!B430-33)</f>
        <v>1907237.9989923949</v>
      </c>
      <c r="E430" s="7">
        <f t="shared" si="40"/>
        <v>60715269.264130332</v>
      </c>
      <c r="F430" s="7">
        <f>'Eredmények konzervatív'!$B$9*D430</f>
        <v>114434.27993954369</v>
      </c>
      <c r="G430" s="7">
        <f>SUM(E430:F430)*((1+'Eredmények konzervatív'!$B$10)^(1/12)-1)</f>
        <v>174635.91798648209</v>
      </c>
      <c r="H430" s="7">
        <f t="shared" si="39"/>
        <v>61004339.462056361</v>
      </c>
    </row>
    <row r="431" spans="1:8">
      <c r="A431">
        <f t="shared" si="37"/>
        <v>2063</v>
      </c>
      <c r="B431">
        <f t="shared" si="38"/>
        <v>59</v>
      </c>
      <c r="C431">
        <f t="shared" si="41"/>
        <v>10</v>
      </c>
      <c r="D431" s="7">
        <f>'Eredmények konzervatív'!$B$6/12*(1+'Eredmények konzervatív'!$B$8)^('Havi számolás konzervatív'!B431-33)</f>
        <v>1907237.9989923949</v>
      </c>
      <c r="E431" s="7">
        <f t="shared" si="40"/>
        <v>61004339.462056361</v>
      </c>
      <c r="F431" s="7">
        <f>'Eredmények konzervatív'!$B$9*D431</f>
        <v>114434.27993954369</v>
      </c>
      <c r="G431" s="7">
        <f>SUM(E431:F431)*((1+'Eredmények konzervatív'!$B$10)^(1/12)-1)</f>
        <v>175465.80924743117</v>
      </c>
      <c r="H431" s="7">
        <f t="shared" si="39"/>
        <v>61294239.551243342</v>
      </c>
    </row>
    <row r="432" spans="1:8">
      <c r="A432">
        <f t="shared" si="37"/>
        <v>2063</v>
      </c>
      <c r="B432">
        <f t="shared" si="38"/>
        <v>59</v>
      </c>
      <c r="C432">
        <f t="shared" si="41"/>
        <v>11</v>
      </c>
      <c r="D432" s="7">
        <f>'Eredmények konzervatív'!$B$6/12*(1+'Eredmények konzervatív'!$B$8)^('Havi számolás konzervatív'!B432-33)</f>
        <v>1907237.9989923949</v>
      </c>
      <c r="E432" s="7">
        <f t="shared" si="40"/>
        <v>61294239.551243342</v>
      </c>
      <c r="F432" s="7">
        <f>'Eredmények konzervatív'!$B$9*D432</f>
        <v>114434.27993954369</v>
      </c>
      <c r="G432" s="7">
        <f>SUM(E432:F432)*((1+'Eredmények konzervatív'!$B$10)^(1/12)-1)</f>
        <v>176298.08304213829</v>
      </c>
      <c r="H432" s="7">
        <f t="shared" si="39"/>
        <v>61584971.914225027</v>
      </c>
    </row>
    <row r="433" spans="1:8">
      <c r="A433">
        <f t="shared" si="37"/>
        <v>2063</v>
      </c>
      <c r="B433">
        <f t="shared" si="38"/>
        <v>59</v>
      </c>
      <c r="C433">
        <f t="shared" si="41"/>
        <v>12</v>
      </c>
      <c r="D433" s="7">
        <f>'Eredmények konzervatív'!$B$6/12*(1+'Eredmények konzervatív'!$B$8)^('Havi számolás konzervatív'!B433-33)</f>
        <v>1907237.9989923949</v>
      </c>
      <c r="E433" s="7">
        <f t="shared" si="40"/>
        <v>61584971.914225027</v>
      </c>
      <c r="F433" s="7">
        <f>'Eredmények konzervatív'!$B$9*D433</f>
        <v>114434.27993954369</v>
      </c>
      <c r="G433" s="7">
        <f>SUM(E433:F433)*((1+'Eredmények konzervatív'!$B$10)^(1/12)-1)</f>
        <v>177132.74621061652</v>
      </c>
      <c r="H433" s="7">
        <f t="shared" si="39"/>
        <v>61876538.940375194</v>
      </c>
    </row>
    <row r="434" spans="1:8">
      <c r="A434">
        <f t="shared" si="37"/>
        <v>2064</v>
      </c>
      <c r="B434">
        <f t="shared" si="38"/>
        <v>60</v>
      </c>
      <c r="C434">
        <f t="shared" si="41"/>
        <v>1</v>
      </c>
      <c r="D434" s="7">
        <f>'Eredmények konzervatív'!$B$6/12*(1+'Eredmények konzervatív'!$B$8)^('Havi számolás konzervatív'!B434-33)</f>
        <v>1945382.7589722422</v>
      </c>
      <c r="E434" s="7">
        <f t="shared" si="40"/>
        <v>61876538.940375194</v>
      </c>
      <c r="F434" s="7">
        <f>'Eredmények konzervatív'!$B$9*D434</f>
        <v>116722.96553833452</v>
      </c>
      <c r="G434" s="7">
        <f>SUM(E434:F434)*((1+'Eredmények konzervatív'!$B$10)^(1/12)-1)</f>
        <v>177976.37619706994</v>
      </c>
      <c r="H434" s="7">
        <f t="shared" si="39"/>
        <v>62171238.282110602</v>
      </c>
    </row>
    <row r="435" spans="1:8">
      <c r="A435">
        <f t="shared" si="37"/>
        <v>2064</v>
      </c>
      <c r="B435">
        <f t="shared" si="38"/>
        <v>60</v>
      </c>
      <c r="C435">
        <f t="shared" si="41"/>
        <v>2</v>
      </c>
      <c r="D435" s="7">
        <f>'Eredmények konzervatív'!$B$6/12*(1+'Eredmények konzervatív'!$B$8)^('Havi számolás konzervatív'!B435-33)</f>
        <v>1945382.7589722422</v>
      </c>
      <c r="E435" s="7">
        <f t="shared" si="40"/>
        <v>62171238.282110602</v>
      </c>
      <c r="F435" s="7">
        <f>'Eredmények konzervatív'!$B$9*D435</f>
        <v>116722.96553833452</v>
      </c>
      <c r="G435" s="7">
        <f>SUM(E435:F435)*((1+'Eredmények konzervatív'!$B$10)^(1/12)-1)</f>
        <v>178822.42815977088</v>
      </c>
      <c r="H435" s="7">
        <f t="shared" si="39"/>
        <v>62466783.675808713</v>
      </c>
    </row>
    <row r="436" spans="1:8">
      <c r="A436">
        <f t="shared" si="37"/>
        <v>2064</v>
      </c>
      <c r="B436">
        <f t="shared" si="38"/>
        <v>60</v>
      </c>
      <c r="C436">
        <f t="shared" si="41"/>
        <v>3</v>
      </c>
      <c r="D436" s="7">
        <f>'Eredmények konzervatív'!$B$6/12*(1+'Eredmények konzervatív'!$B$8)^('Havi számolás konzervatív'!B436-33)</f>
        <v>1945382.7589722422</v>
      </c>
      <c r="E436" s="7">
        <f t="shared" si="40"/>
        <v>62466783.675808713</v>
      </c>
      <c r="F436" s="7">
        <f>'Eredmények konzervatív'!$B$9*D436</f>
        <v>116722.96553833452</v>
      </c>
      <c r="G436" s="7">
        <f>SUM(E436:F436)*((1+'Eredmények konzervatív'!$B$10)^(1/12)-1)</f>
        <v>179670.90905196778</v>
      </c>
      <c r="H436" s="7">
        <f t="shared" si="39"/>
        <v>62763177.55039902</v>
      </c>
    </row>
    <row r="437" spans="1:8">
      <c r="A437">
        <f t="shared" si="37"/>
        <v>2064</v>
      </c>
      <c r="B437">
        <f t="shared" si="38"/>
        <v>60</v>
      </c>
      <c r="C437">
        <f t="shared" si="41"/>
        <v>4</v>
      </c>
      <c r="D437" s="7">
        <f>'Eredmények konzervatív'!$B$6/12*(1+'Eredmények konzervatív'!$B$8)^('Havi számolás konzervatív'!B437-33)</f>
        <v>1945382.7589722422</v>
      </c>
      <c r="E437" s="7">
        <f t="shared" si="40"/>
        <v>62763177.55039902</v>
      </c>
      <c r="F437" s="7">
        <f>'Eredmények konzervatív'!$B$9*D437</f>
        <v>116722.96553833452</v>
      </c>
      <c r="G437" s="7">
        <f>SUM(E437:F437)*((1+'Eredmények konzervatív'!$B$10)^(1/12)-1)</f>
        <v>180521.82584687124</v>
      </c>
      <c r="H437" s="7">
        <f t="shared" si="39"/>
        <v>63060422.341784231</v>
      </c>
    </row>
    <row r="438" spans="1:8">
      <c r="A438">
        <f t="shared" si="37"/>
        <v>2064</v>
      </c>
      <c r="B438">
        <f t="shared" si="38"/>
        <v>60</v>
      </c>
      <c r="C438">
        <f t="shared" si="41"/>
        <v>5</v>
      </c>
      <c r="D438" s="7">
        <f>'Eredmények konzervatív'!$B$6/12*(1+'Eredmények konzervatív'!$B$8)^('Havi számolás konzervatív'!B438-33)</f>
        <v>1945382.7589722422</v>
      </c>
      <c r="E438" s="7">
        <f t="shared" si="40"/>
        <v>63060422.341784231</v>
      </c>
      <c r="F438" s="7">
        <f>'Eredmények konzervatív'!$B$9*D438</f>
        <v>116722.96553833452</v>
      </c>
      <c r="G438" s="7">
        <f>SUM(E438:F438)*((1+'Eredmények konzervatív'!$B$10)^(1/12)-1)</f>
        <v>181375.18553771125</v>
      </c>
      <c r="H438" s="7">
        <f t="shared" si="39"/>
        <v>63358520.49286028</v>
      </c>
    </row>
    <row r="439" spans="1:8">
      <c r="A439">
        <f t="shared" si="37"/>
        <v>2064</v>
      </c>
      <c r="B439">
        <f t="shared" si="38"/>
        <v>60</v>
      </c>
      <c r="C439">
        <f t="shared" si="41"/>
        <v>6</v>
      </c>
      <c r="D439" s="7">
        <f>'Eredmények konzervatív'!$B$6/12*(1+'Eredmények konzervatív'!$B$8)^('Havi számolás konzervatív'!B439-33)</f>
        <v>1945382.7589722422</v>
      </c>
      <c r="E439" s="7">
        <f t="shared" si="40"/>
        <v>63358520.49286028</v>
      </c>
      <c r="F439" s="7">
        <f>'Eredmények konzervatív'!$B$9*D439</f>
        <v>116722.96553833452</v>
      </c>
      <c r="G439" s="7">
        <f>SUM(E439:F439)*((1+'Eredmények konzervatív'!$B$10)^(1/12)-1)</f>
        <v>182230.99513779461</v>
      </c>
      <c r="H439" s="7">
        <f t="shared" si="39"/>
        <v>63657474.453536414</v>
      </c>
    </row>
    <row r="440" spans="1:8">
      <c r="A440">
        <f t="shared" si="37"/>
        <v>2064</v>
      </c>
      <c r="B440">
        <f t="shared" si="38"/>
        <v>60</v>
      </c>
      <c r="C440">
        <f t="shared" si="41"/>
        <v>7</v>
      </c>
      <c r="D440" s="7">
        <f>'Eredmények konzervatív'!$B$6/12*(1+'Eredmények konzervatív'!$B$8)^('Havi számolás konzervatív'!B440-33)</f>
        <v>1945382.7589722422</v>
      </c>
      <c r="E440" s="7">
        <f t="shared" si="40"/>
        <v>63657474.453536414</v>
      </c>
      <c r="F440" s="7">
        <f>'Eredmények konzervatív'!$B$9*D440</f>
        <v>116722.96553833452</v>
      </c>
      <c r="G440" s="7">
        <f>SUM(E440:F440)*((1+'Eredmények konzervatív'!$B$10)^(1/12)-1)</f>
        <v>183089.2616805626</v>
      </c>
      <c r="H440" s="7">
        <f t="shared" si="39"/>
        <v>63957286.680755317</v>
      </c>
    </row>
    <row r="441" spans="1:8">
      <c r="A441">
        <f t="shared" si="37"/>
        <v>2064</v>
      </c>
      <c r="B441">
        <f t="shared" si="38"/>
        <v>60</v>
      </c>
      <c r="C441">
        <f t="shared" si="41"/>
        <v>8</v>
      </c>
      <c r="D441" s="7">
        <f>'Eredmények konzervatív'!$B$6/12*(1+'Eredmények konzervatív'!$B$8)^('Havi számolás konzervatív'!B441-33)</f>
        <v>1945382.7589722422</v>
      </c>
      <c r="E441" s="7">
        <f t="shared" si="40"/>
        <v>63957286.680755317</v>
      </c>
      <c r="F441" s="7">
        <f>'Eredmények konzervatív'!$B$9*D441</f>
        <v>116722.96553833452</v>
      </c>
      <c r="G441" s="7">
        <f>SUM(E441:F441)*((1+'Eredmények konzervatív'!$B$10)^(1/12)-1)</f>
        <v>183949.99221964888</v>
      </c>
      <c r="H441" s="7">
        <f t="shared" si="39"/>
        <v>64257959.638513304</v>
      </c>
    </row>
    <row r="442" spans="1:8">
      <c r="A442">
        <f t="shared" si="37"/>
        <v>2064</v>
      </c>
      <c r="B442">
        <f t="shared" si="38"/>
        <v>60</v>
      </c>
      <c r="C442">
        <f t="shared" si="41"/>
        <v>9</v>
      </c>
      <c r="D442" s="7">
        <f>'Eredmények konzervatív'!$B$6/12*(1+'Eredmények konzervatív'!$B$8)^('Havi számolás konzervatív'!B442-33)</f>
        <v>1945382.7589722422</v>
      </c>
      <c r="E442" s="7">
        <f t="shared" si="40"/>
        <v>64257959.638513304</v>
      </c>
      <c r="F442" s="7">
        <f>'Eredmények konzervatív'!$B$9*D442</f>
        <v>116722.96553833452</v>
      </c>
      <c r="G442" s="7">
        <f>SUM(E442:F442)*((1+'Eredmények konzervatív'!$B$10)^(1/12)-1)</f>
        <v>184813.19382893725</v>
      </c>
      <c r="H442" s="7">
        <f t="shared" si="39"/>
        <v>64559495.797880583</v>
      </c>
    </row>
    <row r="443" spans="1:8">
      <c r="A443">
        <f t="shared" si="37"/>
        <v>2064</v>
      </c>
      <c r="B443">
        <f t="shared" si="38"/>
        <v>60</v>
      </c>
      <c r="C443">
        <f t="shared" si="41"/>
        <v>10</v>
      </c>
      <c r="D443" s="7">
        <f>'Eredmények konzervatív'!$B$6/12*(1+'Eredmények konzervatív'!$B$8)^('Havi számolás konzervatív'!B443-33)</f>
        <v>1945382.7589722422</v>
      </c>
      <c r="E443" s="7">
        <f t="shared" si="40"/>
        <v>64559495.797880583</v>
      </c>
      <c r="F443" s="7">
        <f>'Eredmények konzervatív'!$B$9*D443</f>
        <v>116722.96553833452</v>
      </c>
      <c r="G443" s="7">
        <f>SUM(E443:F443)*((1+'Eredmények konzervatív'!$B$10)^(1/12)-1)</f>
        <v>185678.87360262006</v>
      </c>
      <c r="H443" s="7">
        <f t="shared" si="39"/>
        <v>64861897.637021542</v>
      </c>
    </row>
    <row r="444" spans="1:8">
      <c r="A444">
        <f t="shared" si="37"/>
        <v>2064</v>
      </c>
      <c r="B444">
        <f t="shared" si="38"/>
        <v>60</v>
      </c>
      <c r="C444">
        <f t="shared" si="41"/>
        <v>11</v>
      </c>
      <c r="D444" s="7">
        <f>'Eredmények konzervatív'!$B$6/12*(1+'Eredmények konzervatív'!$B$8)^('Havi számolás konzervatív'!B444-33)</f>
        <v>1945382.7589722422</v>
      </c>
      <c r="E444" s="7">
        <f t="shared" si="40"/>
        <v>64861897.637021542</v>
      </c>
      <c r="F444" s="7">
        <f>'Eredmények konzervatív'!$B$9*D444</f>
        <v>116722.96553833452</v>
      </c>
      <c r="G444" s="7">
        <f>SUM(E444:F444)*((1+'Eredmények konzervatív'!$B$10)^(1/12)-1)</f>
        <v>186547.03865525627</v>
      </c>
      <c r="H444" s="7">
        <f t="shared" si="39"/>
        <v>65165167.641215138</v>
      </c>
    </row>
    <row r="445" spans="1:8">
      <c r="A445">
        <f t="shared" si="37"/>
        <v>2064</v>
      </c>
      <c r="B445">
        <f t="shared" si="38"/>
        <v>60</v>
      </c>
      <c r="C445">
        <f t="shared" si="41"/>
        <v>12</v>
      </c>
      <c r="D445" s="7">
        <f>'Eredmények konzervatív'!$B$6/12*(1+'Eredmények konzervatív'!$B$8)^('Havi számolás konzervatív'!B445-33)</f>
        <v>1945382.7589722422</v>
      </c>
      <c r="E445" s="7">
        <f t="shared" si="40"/>
        <v>65165167.641215138</v>
      </c>
      <c r="F445" s="7">
        <f>'Eredmények konzervatív'!$B$9*D445</f>
        <v>116722.96553833452</v>
      </c>
      <c r="G445" s="7">
        <f>SUM(E445:F445)*((1+'Eredmények konzervatív'!$B$10)^(1/12)-1)</f>
        <v>187417.69612183003</v>
      </c>
      <c r="H445" s="7">
        <f t="shared" si="39"/>
        <v>65469308.302875303</v>
      </c>
    </row>
    <row r="446" spans="1:8">
      <c r="A446">
        <f t="shared" si="37"/>
        <v>2065</v>
      </c>
      <c r="B446">
        <f t="shared" si="38"/>
        <v>61</v>
      </c>
      <c r="C446">
        <f t="shared" si="41"/>
        <v>1</v>
      </c>
      <c r="D446" s="7">
        <f>'Eredmények konzervatív'!$B$6/12*(1+'Eredmények konzervatív'!$B$8)^('Havi számolás konzervatív'!B446-33)</f>
        <v>1984290.4141516876</v>
      </c>
      <c r="E446" s="7">
        <f t="shared" si="40"/>
        <v>65469308.302875303</v>
      </c>
      <c r="F446" s="7">
        <f>'Eredmények konzervatív'!$B$9*D446</f>
        <v>119057.42484910125</v>
      </c>
      <c r="G446" s="7">
        <f>SUM(E446:F446)*((1+'Eredmények konzervatív'!$B$10)^(1/12)-1)</f>
        <v>188297.55515405434</v>
      </c>
      <c r="H446" s="7">
        <f t="shared" si="39"/>
        <v>65776663.282878458</v>
      </c>
    </row>
    <row r="447" spans="1:8">
      <c r="A447">
        <f t="shared" si="37"/>
        <v>2065</v>
      </c>
      <c r="B447">
        <f t="shared" si="38"/>
        <v>61</v>
      </c>
      <c r="C447">
        <f t="shared" si="41"/>
        <v>2</v>
      </c>
      <c r="D447" s="7">
        <f>'Eredmények konzervatív'!$B$6/12*(1+'Eredmények konzervatív'!$B$8)^('Havi számolás konzervatív'!B447-33)</f>
        <v>1984290.4141516876</v>
      </c>
      <c r="E447" s="7">
        <f t="shared" si="40"/>
        <v>65776663.282878458</v>
      </c>
      <c r="F447" s="7">
        <f>'Eredmények konzervatív'!$B$9*D447</f>
        <v>119057.42484910125</v>
      </c>
      <c r="G447" s="7">
        <f>SUM(E447:F447)*((1+'Eredmények konzervatív'!$B$10)^(1/12)-1)</f>
        <v>189179.94017244721</v>
      </c>
      <c r="H447" s="7">
        <f t="shared" si="39"/>
        <v>66084900.647900008</v>
      </c>
    </row>
    <row r="448" spans="1:8">
      <c r="A448">
        <f t="shared" si="37"/>
        <v>2065</v>
      </c>
      <c r="B448">
        <f t="shared" si="38"/>
        <v>61</v>
      </c>
      <c r="C448">
        <f t="shared" si="41"/>
        <v>3</v>
      </c>
      <c r="D448" s="7">
        <f>'Eredmények konzervatív'!$B$6/12*(1+'Eredmények konzervatív'!$B$8)^('Havi számolás konzervatív'!B448-33)</f>
        <v>1984290.4141516876</v>
      </c>
      <c r="E448" s="7">
        <f t="shared" si="40"/>
        <v>66084900.647900008</v>
      </c>
      <c r="F448" s="7">
        <f>'Eredmények konzervatív'!$B$9*D448</f>
        <v>119057.42484910125</v>
      </c>
      <c r="G448" s="7">
        <f>SUM(E448:F448)*((1+'Eredmények konzervatív'!$B$10)^(1/12)-1)</f>
        <v>190064.85842885915</v>
      </c>
      <c r="H448" s="7">
        <f t="shared" si="39"/>
        <v>66394022.931177966</v>
      </c>
    </row>
    <row r="449" spans="1:8">
      <c r="A449">
        <f t="shared" si="37"/>
        <v>2065</v>
      </c>
      <c r="B449">
        <f t="shared" si="38"/>
        <v>61</v>
      </c>
      <c r="C449">
        <f t="shared" si="41"/>
        <v>4</v>
      </c>
      <c r="D449" s="7">
        <f>'Eredmények konzervatív'!$B$6/12*(1+'Eredmények konzervatív'!$B$8)^('Havi számolás konzervatív'!B449-33)</f>
        <v>1984290.4141516876</v>
      </c>
      <c r="E449" s="7">
        <f t="shared" si="40"/>
        <v>66394022.931177966</v>
      </c>
      <c r="F449" s="7">
        <f>'Eredmények konzervatív'!$B$9*D449</f>
        <v>119057.42484910125</v>
      </c>
      <c r="G449" s="7">
        <f>SUM(E449:F449)*((1+'Eredmények konzervatív'!$B$10)^(1/12)-1)</f>
        <v>190952.31719595988</v>
      </c>
      <c r="H449" s="7">
        <f t="shared" si="39"/>
        <v>66704032.673223026</v>
      </c>
    </row>
    <row r="450" spans="1:8">
      <c r="A450">
        <f t="shared" si="37"/>
        <v>2065</v>
      </c>
      <c r="B450">
        <f t="shared" si="38"/>
        <v>61</v>
      </c>
      <c r="C450">
        <f t="shared" si="41"/>
        <v>5</v>
      </c>
      <c r="D450" s="7">
        <f>'Eredmények konzervatív'!$B$6/12*(1+'Eredmények konzervatív'!$B$8)^('Havi számolás konzervatív'!B450-33)</f>
        <v>1984290.4141516876</v>
      </c>
      <c r="E450" s="7">
        <f t="shared" si="40"/>
        <v>66704032.673223026</v>
      </c>
      <c r="F450" s="7">
        <f>'Eredmények konzervatív'!$B$9*D450</f>
        <v>119057.42484910125</v>
      </c>
      <c r="G450" s="7">
        <f>SUM(E450:F450)*((1+'Eredmények konzervatív'!$B$10)^(1/12)-1)</f>
        <v>191842.32376729831</v>
      </c>
      <c r="H450" s="7">
        <f t="shared" si="39"/>
        <v>67014932.421839423</v>
      </c>
    </row>
    <row r="451" spans="1:8">
      <c r="A451">
        <f t="shared" ref="A451:A514" si="42">INT((ROW(A450)-1)/12+2028)</f>
        <v>2065</v>
      </c>
      <c r="B451">
        <f t="shared" ref="B451:B514" si="43">INT((A451-2004)+(C451-1)/12)</f>
        <v>61</v>
      </c>
      <c r="C451">
        <f t="shared" si="41"/>
        <v>6</v>
      </c>
      <c r="D451" s="7">
        <f>'Eredmények konzervatív'!$B$6/12*(1+'Eredmények konzervatív'!$B$8)^('Havi számolás konzervatív'!B451-33)</f>
        <v>1984290.4141516876</v>
      </c>
      <c r="E451" s="7">
        <f t="shared" si="40"/>
        <v>67014932.421839423</v>
      </c>
      <c r="F451" s="7">
        <f>'Eredmények konzervatív'!$B$9*D451</f>
        <v>119057.42484910125</v>
      </c>
      <c r="G451" s="7">
        <f>SUM(E451:F451)*((1+'Eredmények konzervatív'!$B$10)^(1/12)-1)</f>
        <v>192734.8854573624</v>
      </c>
      <c r="H451" s="7">
        <f t="shared" ref="H451:H514" si="44">E451+F451+G451</f>
        <v>67326724.732145891</v>
      </c>
    </row>
    <row r="452" spans="1:8">
      <c r="A452">
        <f t="shared" si="42"/>
        <v>2065</v>
      </c>
      <c r="B452">
        <f t="shared" si="43"/>
        <v>61</v>
      </c>
      <c r="C452">
        <f t="shared" si="41"/>
        <v>7</v>
      </c>
      <c r="D452" s="7">
        <f>'Eredmények konzervatív'!$B$6/12*(1+'Eredmények konzervatív'!$B$8)^('Havi számolás konzervatív'!B452-33)</f>
        <v>1984290.4141516876</v>
      </c>
      <c r="E452" s="7">
        <f t="shared" si="40"/>
        <v>67326724.732145891</v>
      </c>
      <c r="F452" s="7">
        <f>'Eredmények konzervatív'!$B$9*D452</f>
        <v>119057.42484910125</v>
      </c>
      <c r="G452" s="7">
        <f>SUM(E452:F452)*((1+'Eredmények konzervatív'!$B$10)^(1/12)-1)</f>
        <v>193630.00960163918</v>
      </c>
      <c r="H452" s="7">
        <f t="shared" si="44"/>
        <v>67639412.166596636</v>
      </c>
    </row>
    <row r="453" spans="1:8">
      <c r="A453">
        <f t="shared" si="42"/>
        <v>2065</v>
      </c>
      <c r="B453">
        <f t="shared" si="43"/>
        <v>61</v>
      </c>
      <c r="C453">
        <f t="shared" si="41"/>
        <v>8</v>
      </c>
      <c r="D453" s="7">
        <f>'Eredmények konzervatív'!$B$6/12*(1+'Eredmények konzervatív'!$B$8)^('Havi számolás konzervatív'!B453-33)</f>
        <v>1984290.4141516876</v>
      </c>
      <c r="E453" s="7">
        <f t="shared" ref="E453:E516" si="45">H452</f>
        <v>67639412.166596636</v>
      </c>
      <c r="F453" s="7">
        <f>'Eredmények konzervatív'!$B$9*D453</f>
        <v>119057.42484910125</v>
      </c>
      <c r="G453" s="7">
        <f>SUM(E453:F453)*((1+'Eredmények konzervatív'!$B$10)^(1/12)-1)</f>
        <v>194527.7035566752</v>
      </c>
      <c r="H453" s="7">
        <f t="shared" si="44"/>
        <v>67952997.295002416</v>
      </c>
    </row>
    <row r="454" spans="1:8">
      <c r="A454">
        <f t="shared" si="42"/>
        <v>2065</v>
      </c>
      <c r="B454">
        <f t="shared" si="43"/>
        <v>61</v>
      </c>
      <c r="C454">
        <f t="shared" si="41"/>
        <v>9</v>
      </c>
      <c r="D454" s="7">
        <f>'Eredmények konzervatív'!$B$6/12*(1+'Eredmények konzervatív'!$B$8)^('Havi számolás konzervatív'!B454-33)</f>
        <v>1984290.4141516876</v>
      </c>
      <c r="E454" s="7">
        <f t="shared" si="45"/>
        <v>67952997.295002416</v>
      </c>
      <c r="F454" s="7">
        <f>'Eredmények konzervatív'!$B$9*D454</f>
        <v>119057.42484910125</v>
      </c>
      <c r="G454" s="7">
        <f>SUM(E454:F454)*((1+'Eredmények konzervatív'!$B$10)^(1/12)-1)</f>
        <v>195427.97470013684</v>
      </c>
      <c r="H454" s="7">
        <f t="shared" si="44"/>
        <v>68267482.694551662</v>
      </c>
    </row>
    <row r="455" spans="1:8">
      <c r="A455">
        <f t="shared" si="42"/>
        <v>2065</v>
      </c>
      <c r="B455">
        <f t="shared" si="43"/>
        <v>61</v>
      </c>
      <c r="C455">
        <f t="shared" si="41"/>
        <v>10</v>
      </c>
      <c r="D455" s="7">
        <f>'Eredmények konzervatív'!$B$6/12*(1+'Eredmények konzervatív'!$B$8)^('Havi számolás konzervatív'!B455-33)</f>
        <v>1984290.4141516876</v>
      </c>
      <c r="E455" s="7">
        <f t="shared" si="45"/>
        <v>68267482.694551662</v>
      </c>
      <c r="F455" s="7">
        <f>'Eredmények konzervatív'!$B$9*D455</f>
        <v>119057.42484910125</v>
      </c>
      <c r="G455" s="7">
        <f>SUM(E455:F455)*((1+'Eredmények konzervatív'!$B$10)^(1/12)-1)</f>
        <v>196330.83043087108</v>
      </c>
      <c r="H455" s="7">
        <f t="shared" si="44"/>
        <v>68582870.949831635</v>
      </c>
    </row>
    <row r="456" spans="1:8">
      <c r="A456">
        <f t="shared" si="42"/>
        <v>2065</v>
      </c>
      <c r="B456">
        <f t="shared" si="43"/>
        <v>61</v>
      </c>
      <c r="C456">
        <f t="shared" si="41"/>
        <v>11</v>
      </c>
      <c r="D456" s="7">
        <f>'Eredmények konzervatív'!$B$6/12*(1+'Eredmények konzervatív'!$B$8)^('Havi számolás konzervatív'!B456-33)</f>
        <v>1984290.4141516876</v>
      </c>
      <c r="E456" s="7">
        <f t="shared" si="45"/>
        <v>68582870.949831635</v>
      </c>
      <c r="F456" s="7">
        <f>'Eredmények konzervatív'!$B$9*D456</f>
        <v>119057.42484910125</v>
      </c>
      <c r="G456" s="7">
        <f>SUM(E456:F456)*((1+'Eredmények konzervatív'!$B$10)^(1/12)-1)</f>
        <v>197236.27816896615</v>
      </c>
      <c r="H456" s="7">
        <f t="shared" si="44"/>
        <v>68899164.652849704</v>
      </c>
    </row>
    <row r="457" spans="1:8">
      <c r="A457">
        <f t="shared" si="42"/>
        <v>2065</v>
      </c>
      <c r="B457">
        <f t="shared" si="43"/>
        <v>61</v>
      </c>
      <c r="C457">
        <f t="shared" si="41"/>
        <v>12</v>
      </c>
      <c r="D457" s="7">
        <f>'Eredmények konzervatív'!$B$6/12*(1+'Eredmények konzervatív'!$B$8)^('Havi számolás konzervatív'!B457-33)</f>
        <v>1984290.4141516876</v>
      </c>
      <c r="E457" s="7">
        <f t="shared" si="45"/>
        <v>68899164.652849704</v>
      </c>
      <c r="F457" s="7">
        <f>'Eredmények konzervatív'!$B$9*D457</f>
        <v>119057.42484910125</v>
      </c>
      <c r="G457" s="7">
        <f>SUM(E457:F457)*((1+'Eredmények konzervatív'!$B$10)^(1/12)-1)</f>
        <v>198144.32535581273</v>
      </c>
      <c r="H457" s="7">
        <f t="shared" si="44"/>
        <v>69216366.403054625</v>
      </c>
    </row>
    <row r="458" spans="1:8">
      <c r="A458">
        <f t="shared" si="42"/>
        <v>2066</v>
      </c>
      <c r="B458">
        <f t="shared" si="43"/>
        <v>62</v>
      </c>
      <c r="C458">
        <f t="shared" si="41"/>
        <v>1</v>
      </c>
      <c r="D458" s="7">
        <f>'Eredmények konzervatív'!$B$6/12*(1+'Eredmények konzervatív'!$B$8)^('Havi számolás konzervatív'!B458-33)</f>
        <v>2023976.222434721</v>
      </c>
      <c r="E458" s="7">
        <f t="shared" si="45"/>
        <v>69216366.403054625</v>
      </c>
      <c r="F458" s="7">
        <f>'Eredmények konzervatív'!$B$9*D458</f>
        <v>121438.57334608326</v>
      </c>
      <c r="G458" s="7">
        <f>SUM(E458:F458)*((1+'Eredmények konzervatív'!$B$10)^(1/12)-1)</f>
        <v>199061.81549033482</v>
      </c>
      <c r="H458" s="7">
        <f t="shared" si="44"/>
        <v>69536866.791891038</v>
      </c>
    </row>
    <row r="459" spans="1:8">
      <c r="A459">
        <f t="shared" si="42"/>
        <v>2066</v>
      </c>
      <c r="B459">
        <f t="shared" si="43"/>
        <v>62</v>
      </c>
      <c r="C459">
        <f t="shared" si="41"/>
        <v>2</v>
      </c>
      <c r="D459" s="7">
        <f>'Eredmények konzervatív'!$B$6/12*(1+'Eredmények konzervatív'!$B$8)^('Havi számolás konzervatív'!B459-33)</f>
        <v>2023976.222434721</v>
      </c>
      <c r="E459" s="7">
        <f t="shared" si="45"/>
        <v>69536866.791891038</v>
      </c>
      <c r="F459" s="7">
        <f>'Eredmények konzervatív'!$B$9*D459</f>
        <v>121438.57334608326</v>
      </c>
      <c r="G459" s="7">
        <f>SUM(E459:F459)*((1+'Eredmények konzervatív'!$B$10)^(1/12)-1)</f>
        <v>199981.93964610883</v>
      </c>
      <c r="H459" s="7">
        <f t="shared" si="44"/>
        <v>69858287.304883227</v>
      </c>
    </row>
    <row r="460" spans="1:8">
      <c r="A460">
        <f t="shared" si="42"/>
        <v>2066</v>
      </c>
      <c r="B460">
        <f t="shared" si="43"/>
        <v>62</v>
      </c>
      <c r="C460">
        <f t="shared" si="41"/>
        <v>3</v>
      </c>
      <c r="D460" s="7">
        <f>'Eredmények konzervatív'!$B$6/12*(1+'Eredmények konzervatív'!$B$8)^('Havi számolás konzervatív'!B460-33)</f>
        <v>2023976.222434721</v>
      </c>
      <c r="E460" s="7">
        <f t="shared" si="45"/>
        <v>69858287.304883227</v>
      </c>
      <c r="F460" s="7">
        <f>'Eredmények konzervatív'!$B$9*D460</f>
        <v>121438.57334608326</v>
      </c>
      <c r="G460" s="7">
        <f>SUM(E460:F460)*((1+'Eredmények konzervatív'!$B$10)^(1/12)-1)</f>
        <v>200904.70538514305</v>
      </c>
      <c r="H460" s="7">
        <f t="shared" si="44"/>
        <v>70180630.583614454</v>
      </c>
    </row>
    <row r="461" spans="1:8">
      <c r="A461">
        <f t="shared" si="42"/>
        <v>2066</v>
      </c>
      <c r="B461">
        <f t="shared" si="43"/>
        <v>62</v>
      </c>
      <c r="C461">
        <f t="shared" si="41"/>
        <v>4</v>
      </c>
      <c r="D461" s="7">
        <f>'Eredmények konzervatív'!$B$6/12*(1+'Eredmények konzervatív'!$B$8)^('Havi számolás konzervatív'!B461-33)</f>
        <v>2023976.222434721</v>
      </c>
      <c r="E461" s="7">
        <f t="shared" si="45"/>
        <v>70180630.583614454</v>
      </c>
      <c r="F461" s="7">
        <f>'Eredmények konzervatív'!$B$9*D461</f>
        <v>121438.57334608326</v>
      </c>
      <c r="G461" s="7">
        <f>SUM(E461:F461)*((1+'Eredmények konzervatív'!$B$10)^(1/12)-1)</f>
        <v>201830.1202911555</v>
      </c>
      <c r="H461" s="7">
        <f t="shared" si="44"/>
        <v>70503899.277251691</v>
      </c>
    </row>
    <row r="462" spans="1:8">
      <c r="A462">
        <f t="shared" si="42"/>
        <v>2066</v>
      </c>
      <c r="B462">
        <f t="shared" si="43"/>
        <v>62</v>
      </c>
      <c r="C462">
        <f t="shared" si="41"/>
        <v>5</v>
      </c>
      <c r="D462" s="7">
        <f>'Eredmények konzervatív'!$B$6/12*(1+'Eredmények konzervatív'!$B$8)^('Havi számolás konzervatív'!B462-33)</f>
        <v>2023976.222434721</v>
      </c>
      <c r="E462" s="7">
        <f t="shared" si="45"/>
        <v>70503899.277251691</v>
      </c>
      <c r="F462" s="7">
        <f>'Eredmények konzervatív'!$B$9*D462</f>
        <v>121438.57334608326</v>
      </c>
      <c r="G462" s="7">
        <f>SUM(E462:F462)*((1+'Eredmények konzervatív'!$B$10)^(1/12)-1)</f>
        <v>202758.19196963622</v>
      </c>
      <c r="H462" s="7">
        <f t="shared" si="44"/>
        <v>70828096.042567402</v>
      </c>
    </row>
    <row r="463" spans="1:8">
      <c r="A463">
        <f t="shared" si="42"/>
        <v>2066</v>
      </c>
      <c r="B463">
        <f t="shared" si="43"/>
        <v>62</v>
      </c>
      <c r="C463">
        <f t="shared" si="41"/>
        <v>6</v>
      </c>
      <c r="D463" s="7">
        <f>'Eredmények konzervatív'!$B$6/12*(1+'Eredmények konzervatív'!$B$8)^('Havi számolás konzervatív'!B463-33)</f>
        <v>2023976.222434721</v>
      </c>
      <c r="E463" s="7">
        <f t="shared" si="45"/>
        <v>70828096.042567402</v>
      </c>
      <c r="F463" s="7">
        <f>'Eredmények konzervatív'!$B$9*D463</f>
        <v>121438.57334608326</v>
      </c>
      <c r="G463" s="7">
        <f>SUM(E463:F463)*((1+'Eredmények konzervatív'!$B$10)^(1/12)-1)</f>
        <v>203688.9280479099</v>
      </c>
      <c r="H463" s="7">
        <f t="shared" si="44"/>
        <v>71153223.543961391</v>
      </c>
    </row>
    <row r="464" spans="1:8">
      <c r="A464">
        <f t="shared" si="42"/>
        <v>2066</v>
      </c>
      <c r="B464">
        <f t="shared" si="43"/>
        <v>62</v>
      </c>
      <c r="C464">
        <f t="shared" si="41"/>
        <v>7</v>
      </c>
      <c r="D464" s="7">
        <f>'Eredmények konzervatív'!$B$6/12*(1+'Eredmények konzervatív'!$B$8)^('Havi számolás konzervatív'!B464-33)</f>
        <v>2023976.222434721</v>
      </c>
      <c r="E464" s="7">
        <f t="shared" si="45"/>
        <v>71153223.543961391</v>
      </c>
      <c r="F464" s="7">
        <f>'Eredmények konzervatív'!$B$9*D464</f>
        <v>121438.57334608326</v>
      </c>
      <c r="G464" s="7">
        <f>SUM(E464:F464)*((1+'Eredmények konzervatív'!$B$10)^(1/12)-1)</f>
        <v>204622.33617519849</v>
      </c>
      <c r="H464" s="7">
        <f t="shared" si="44"/>
        <v>71479284.453482673</v>
      </c>
    </row>
    <row r="465" spans="1:8">
      <c r="A465">
        <f t="shared" si="42"/>
        <v>2066</v>
      </c>
      <c r="B465">
        <f t="shared" si="43"/>
        <v>62</v>
      </c>
      <c r="C465">
        <f t="shared" si="41"/>
        <v>8</v>
      </c>
      <c r="D465" s="7">
        <f>'Eredmények konzervatív'!$B$6/12*(1+'Eredmények konzervatív'!$B$8)^('Havi számolás konzervatív'!B465-33)</f>
        <v>2023976.222434721</v>
      </c>
      <c r="E465" s="7">
        <f t="shared" si="45"/>
        <v>71479284.453482673</v>
      </c>
      <c r="F465" s="7">
        <f>'Eredmények konzervatív'!$B$9*D465</f>
        <v>121438.57334608326</v>
      </c>
      <c r="G465" s="7">
        <f>SUM(E465:F465)*((1+'Eredmények konzervatív'!$B$10)^(1/12)-1)</f>
        <v>205558.42402268411</v>
      </c>
      <c r="H465" s="7">
        <f t="shared" si="44"/>
        <v>71806281.45085144</v>
      </c>
    </row>
    <row r="466" spans="1:8">
      <c r="A466">
        <f t="shared" si="42"/>
        <v>2066</v>
      </c>
      <c r="B466">
        <f t="shared" si="43"/>
        <v>62</v>
      </c>
      <c r="C466">
        <f t="shared" si="41"/>
        <v>9</v>
      </c>
      <c r="D466" s="7">
        <f>'Eredmények konzervatív'!$B$6/12*(1+'Eredmények konzervatív'!$B$8)^('Havi számolás konzervatív'!B466-33)</f>
        <v>2023976.222434721</v>
      </c>
      <c r="E466" s="7">
        <f t="shared" si="45"/>
        <v>71806281.45085144</v>
      </c>
      <c r="F466" s="7">
        <f>'Eredmények konzervatív'!$B$9*D466</f>
        <v>121438.57334608326</v>
      </c>
      <c r="G466" s="7">
        <f>SUM(E466:F466)*((1+'Eredmények konzervatív'!$B$10)^(1/12)-1)</f>
        <v>206497.199283572</v>
      </c>
      <c r="H466" s="7">
        <f t="shared" si="44"/>
        <v>72134217.223481089</v>
      </c>
    </row>
    <row r="467" spans="1:8">
      <c r="A467">
        <f t="shared" si="42"/>
        <v>2066</v>
      </c>
      <c r="B467">
        <f t="shared" si="43"/>
        <v>62</v>
      </c>
      <c r="C467">
        <f t="shared" si="41"/>
        <v>10</v>
      </c>
      <c r="D467" s="7">
        <f>'Eredmények konzervatív'!$B$6/12*(1+'Eredmények konzervatív'!$B$8)^('Havi számolás konzervatív'!B467-33)</f>
        <v>2023976.222434721</v>
      </c>
      <c r="E467" s="7">
        <f t="shared" si="45"/>
        <v>72134217.223481089</v>
      </c>
      <c r="F467" s="7">
        <f>'Eredmények konzervatív'!$B$9*D467</f>
        <v>121438.57334608326</v>
      </c>
      <c r="G467" s="7">
        <f>SUM(E467:F467)*((1+'Eredmények konzervatív'!$B$10)^(1/12)-1)</f>
        <v>207438.66967315387</v>
      </c>
      <c r="H467" s="7">
        <f t="shared" si="44"/>
        <v>72463094.466500327</v>
      </c>
    </row>
    <row r="468" spans="1:8">
      <c r="A468">
        <f t="shared" si="42"/>
        <v>2066</v>
      </c>
      <c r="B468">
        <f t="shared" si="43"/>
        <v>62</v>
      </c>
      <c r="C468">
        <f t="shared" si="41"/>
        <v>11</v>
      </c>
      <c r="D468" s="7">
        <f>'Eredmények konzervatív'!$B$6/12*(1+'Eredmények konzervatív'!$B$8)^('Havi számolás konzervatív'!B468-33)</f>
        <v>2023976.222434721</v>
      </c>
      <c r="E468" s="7">
        <f t="shared" si="45"/>
        <v>72463094.466500327</v>
      </c>
      <c r="F468" s="7">
        <f>'Eredmények konzervatív'!$B$9*D468</f>
        <v>121438.57334608326</v>
      </c>
      <c r="G468" s="7">
        <f>SUM(E468:F468)*((1+'Eredmények konzervatív'!$B$10)^(1/12)-1)</f>
        <v>208382.84292887125</v>
      </c>
      <c r="H468" s="7">
        <f t="shared" si="44"/>
        <v>72792915.882775277</v>
      </c>
    </row>
    <row r="469" spans="1:8">
      <c r="A469">
        <f t="shared" si="42"/>
        <v>2066</v>
      </c>
      <c r="B469">
        <f t="shared" si="43"/>
        <v>62</v>
      </c>
      <c r="C469">
        <f t="shared" si="41"/>
        <v>12</v>
      </c>
      <c r="D469" s="7">
        <f>'Eredmények konzervatív'!$B$6/12*(1+'Eredmények konzervatív'!$B$8)^('Havi számolás konzervatív'!B469-33)</f>
        <v>2023976.222434721</v>
      </c>
      <c r="E469" s="7">
        <f t="shared" si="45"/>
        <v>72792915.882775277</v>
      </c>
      <c r="F469" s="7">
        <f>'Eredmények konzervatív'!$B$9*D469</f>
        <v>121438.57334608326</v>
      </c>
      <c r="G469" s="7">
        <f>SUM(E469:F469)*((1+'Eredmények konzervatív'!$B$10)^(1/12)-1)</f>
        <v>209329.72681037907</v>
      </c>
      <c r="H469" s="7">
        <f t="shared" si="44"/>
        <v>73123684.182931736</v>
      </c>
    </row>
    <row r="470" spans="1:8">
      <c r="A470">
        <f t="shared" si="42"/>
        <v>2067</v>
      </c>
      <c r="B470">
        <f t="shared" si="43"/>
        <v>63</v>
      </c>
      <c r="C470">
        <f t="shared" si="41"/>
        <v>1</v>
      </c>
      <c r="D470" s="7">
        <f>'Eredmények konzervatív'!$B$6/12*(1+'Eredmények konzervatív'!$B$8)^('Havi számolás konzervatív'!B470-33)</f>
        <v>2064455.7468834156</v>
      </c>
      <c r="E470" s="7">
        <f t="shared" si="45"/>
        <v>73123684.182931736</v>
      </c>
      <c r="F470" s="7">
        <f>'Eredmények konzervatív'!$B$9*D470</f>
        <v>123867.34481300494</v>
      </c>
      <c r="G470" s="7">
        <f>SUM(E470:F470)*((1+'Eredmények konzervatív'!$B$10)^(1/12)-1)</f>
        <v>210286.30185650272</v>
      </c>
      <c r="H470" s="7">
        <f t="shared" si="44"/>
        <v>73457837.829601243</v>
      </c>
    </row>
    <row r="471" spans="1:8">
      <c r="A471">
        <f t="shared" si="42"/>
        <v>2067</v>
      </c>
      <c r="B471">
        <f t="shared" si="43"/>
        <v>63</v>
      </c>
      <c r="C471">
        <f t="shared" si="41"/>
        <v>2</v>
      </c>
      <c r="D471" s="7">
        <f>'Eredmények konzervatív'!$B$6/12*(1+'Eredmények konzervatív'!$B$8)^('Havi számolás konzervatív'!B471-33)</f>
        <v>2064455.7468834156</v>
      </c>
      <c r="E471" s="7">
        <f t="shared" si="45"/>
        <v>73457837.829601243</v>
      </c>
      <c r="F471" s="7">
        <f>'Eredmények konzervatív'!$B$9*D471</f>
        <v>123867.34481300494</v>
      </c>
      <c r="G471" s="7">
        <f>SUM(E471:F471)*((1+'Eredmények konzervatív'!$B$10)^(1/12)-1)</f>
        <v>211245.623132701</v>
      </c>
      <c r="H471" s="7">
        <f t="shared" si="44"/>
        <v>73792950.797546953</v>
      </c>
    </row>
    <row r="472" spans="1:8">
      <c r="A472">
        <f t="shared" si="42"/>
        <v>2067</v>
      </c>
      <c r="B472">
        <f t="shared" si="43"/>
        <v>63</v>
      </c>
      <c r="C472">
        <f t="shared" si="41"/>
        <v>3</v>
      </c>
      <c r="D472" s="7">
        <f>'Eredmények konzervatív'!$B$6/12*(1+'Eredmények konzervatív'!$B$8)^('Havi számolás konzervatív'!B472-33)</f>
        <v>2064455.7468834156</v>
      </c>
      <c r="E472" s="7">
        <f t="shared" si="45"/>
        <v>73792950.797546953</v>
      </c>
      <c r="F472" s="7">
        <f>'Eredmények konzervatív'!$B$9*D472</f>
        <v>123867.34481300494</v>
      </c>
      <c r="G472" s="7">
        <f>SUM(E472:F472)*((1+'Eredmények konzervatív'!$B$10)^(1/12)-1)</f>
        <v>212207.69852312229</v>
      </c>
      <c r="H472" s="7">
        <f t="shared" si="44"/>
        <v>74129025.840883076</v>
      </c>
    </row>
    <row r="473" spans="1:8">
      <c r="A473">
        <f t="shared" si="42"/>
        <v>2067</v>
      </c>
      <c r="B473">
        <f t="shared" si="43"/>
        <v>63</v>
      </c>
      <c r="C473">
        <f t="shared" si="41"/>
        <v>4</v>
      </c>
      <c r="D473" s="7">
        <f>'Eredmények konzervatív'!$B$6/12*(1+'Eredmények konzervatív'!$B$8)^('Havi számolás konzervatív'!B473-33)</f>
        <v>2064455.7468834156</v>
      </c>
      <c r="E473" s="7">
        <f t="shared" si="45"/>
        <v>74129025.840883076</v>
      </c>
      <c r="F473" s="7">
        <f>'Eredmények konzervatív'!$B$9*D473</f>
        <v>123867.34481300494</v>
      </c>
      <c r="G473" s="7">
        <f>SUM(E473:F473)*((1+'Eredmények konzervatív'!$B$10)^(1/12)-1)</f>
        <v>213172.53593454961</v>
      </c>
      <c r="H473" s="7">
        <f t="shared" si="44"/>
        <v>74466065.721630633</v>
      </c>
    </row>
    <row r="474" spans="1:8">
      <c r="A474">
        <f t="shared" si="42"/>
        <v>2067</v>
      </c>
      <c r="B474">
        <f t="shared" si="43"/>
        <v>63</v>
      </c>
      <c r="C474">
        <f t="shared" si="41"/>
        <v>5</v>
      </c>
      <c r="D474" s="7">
        <f>'Eredmények konzervatív'!$B$6/12*(1+'Eredmények konzervatív'!$B$8)^('Havi számolás konzervatív'!B474-33)</f>
        <v>2064455.7468834156</v>
      </c>
      <c r="E474" s="7">
        <f t="shared" si="45"/>
        <v>74466065.721630633</v>
      </c>
      <c r="F474" s="7">
        <f>'Eredmények konzervatív'!$B$9*D474</f>
        <v>123867.34481300494</v>
      </c>
      <c r="G474" s="7">
        <f>SUM(E474:F474)*((1+'Eredmények konzervatív'!$B$10)^(1/12)-1)</f>
        <v>214140.14329646551</v>
      </c>
      <c r="H474" s="7">
        <f t="shared" si="44"/>
        <v>74804073.209740102</v>
      </c>
    </row>
    <row r="475" spans="1:8">
      <c r="A475">
        <f t="shared" si="42"/>
        <v>2067</v>
      </c>
      <c r="B475">
        <f t="shared" si="43"/>
        <v>63</v>
      </c>
      <c r="C475">
        <f t="shared" si="41"/>
        <v>6</v>
      </c>
      <c r="D475" s="7">
        <f>'Eredmények konzervatív'!$B$6/12*(1+'Eredmények konzervatív'!$B$8)^('Havi számolás konzervatív'!B475-33)</f>
        <v>2064455.7468834156</v>
      </c>
      <c r="E475" s="7">
        <f t="shared" si="45"/>
        <v>74804073.209740102</v>
      </c>
      <c r="F475" s="7">
        <f>'Eredmények konzervatív'!$B$9*D475</f>
        <v>123867.34481300494</v>
      </c>
      <c r="G475" s="7">
        <f>SUM(E475:F475)*((1+'Eredmények konzervatív'!$B$10)^(1/12)-1)</f>
        <v>215110.5285611173</v>
      </c>
      <c r="H475" s="7">
        <f t="shared" si="44"/>
        <v>75143051.083114222</v>
      </c>
    </row>
    <row r="476" spans="1:8">
      <c r="A476">
        <f t="shared" si="42"/>
        <v>2067</v>
      </c>
      <c r="B476">
        <f t="shared" si="43"/>
        <v>63</v>
      </c>
      <c r="C476">
        <f t="shared" si="41"/>
        <v>7</v>
      </c>
      <c r="D476" s="7">
        <f>'Eredmények konzervatív'!$B$6/12*(1+'Eredmények konzervatív'!$B$8)^('Havi számolás konzervatív'!B476-33)</f>
        <v>2064455.7468834156</v>
      </c>
      <c r="E476" s="7">
        <f t="shared" si="45"/>
        <v>75143051.083114222</v>
      </c>
      <c r="F476" s="7">
        <f>'Eredmények konzervatív'!$B$9*D476</f>
        <v>123867.34481300494</v>
      </c>
      <c r="G476" s="7">
        <f>SUM(E476:F476)*((1+'Eredmények konzervatív'!$B$10)^(1/12)-1)</f>
        <v>216083.69970358239</v>
      </c>
      <c r="H476" s="7">
        <f t="shared" si="44"/>
        <v>75483002.127630815</v>
      </c>
    </row>
    <row r="477" spans="1:8">
      <c r="A477">
        <f t="shared" si="42"/>
        <v>2067</v>
      </c>
      <c r="B477">
        <f t="shared" si="43"/>
        <v>63</v>
      </c>
      <c r="C477">
        <f t="shared" si="41"/>
        <v>8</v>
      </c>
      <c r="D477" s="7">
        <f>'Eredmények konzervatív'!$B$6/12*(1+'Eredmények konzervatív'!$B$8)^('Havi számolás konzervatív'!B477-33)</f>
        <v>2064455.7468834156</v>
      </c>
      <c r="E477" s="7">
        <f t="shared" si="45"/>
        <v>75483002.127630815</v>
      </c>
      <c r="F477" s="7">
        <f>'Eredmények konzervatív'!$B$9*D477</f>
        <v>123867.34481300494</v>
      </c>
      <c r="G477" s="7">
        <f>SUM(E477:F477)*((1+'Eredmények konzervatív'!$B$10)^(1/12)-1)</f>
        <v>217059.66472183383</v>
      </c>
      <c r="H477" s="7">
        <f t="shared" si="44"/>
        <v>75823929.137165651</v>
      </c>
    </row>
    <row r="478" spans="1:8">
      <c r="A478">
        <f t="shared" si="42"/>
        <v>2067</v>
      </c>
      <c r="B478">
        <f t="shared" si="43"/>
        <v>63</v>
      </c>
      <c r="C478">
        <f t="shared" si="41"/>
        <v>9</v>
      </c>
      <c r="D478" s="7">
        <f>'Eredmények konzervatív'!$B$6/12*(1+'Eredmények konzervatív'!$B$8)^('Havi számolás konzervatív'!B478-33)</f>
        <v>2064455.7468834156</v>
      </c>
      <c r="E478" s="7">
        <f t="shared" si="45"/>
        <v>75823929.137165651</v>
      </c>
      <c r="F478" s="7">
        <f>'Eredmények konzervatív'!$B$9*D478</f>
        <v>123867.34481300494</v>
      </c>
      <c r="G478" s="7">
        <f>SUM(E478:F478)*((1+'Eredmények konzervatív'!$B$10)^(1/12)-1)</f>
        <v>218038.43163680602</v>
      </c>
      <c r="H478" s="7">
        <f t="shared" si="44"/>
        <v>76165834.913615465</v>
      </c>
    </row>
    <row r="479" spans="1:8">
      <c r="A479">
        <f t="shared" si="42"/>
        <v>2067</v>
      </c>
      <c r="B479">
        <f t="shared" si="43"/>
        <v>63</v>
      </c>
      <c r="C479">
        <f t="shared" si="41"/>
        <v>10</v>
      </c>
      <c r="D479" s="7">
        <f>'Eredmények konzervatív'!$B$6/12*(1+'Eredmények konzervatív'!$B$8)^('Havi számolás konzervatív'!B479-33)</f>
        <v>2064455.7468834156</v>
      </c>
      <c r="E479" s="7">
        <f t="shared" si="45"/>
        <v>76165834.913615465</v>
      </c>
      <c r="F479" s="7">
        <f>'Eredmények konzervatív'!$B$9*D479</f>
        <v>123867.34481300494</v>
      </c>
      <c r="G479" s="7">
        <f>SUM(E479:F479)*((1+'Eredmények konzervatív'!$B$10)^(1/12)-1)</f>
        <v>219020.00849246071</v>
      </c>
      <c r="H479" s="7">
        <f t="shared" si="44"/>
        <v>76508722.266920924</v>
      </c>
    </row>
    <row r="480" spans="1:8">
      <c r="A480">
        <f t="shared" si="42"/>
        <v>2067</v>
      </c>
      <c r="B480">
        <f t="shared" si="43"/>
        <v>63</v>
      </c>
      <c r="C480">
        <f t="shared" si="41"/>
        <v>11</v>
      </c>
      <c r="D480" s="7">
        <f>'Eredmények konzervatív'!$B$6/12*(1+'Eredmények konzervatív'!$B$8)^('Havi számolás konzervatív'!B480-33)</f>
        <v>2064455.7468834156</v>
      </c>
      <c r="E480" s="7">
        <f t="shared" si="45"/>
        <v>76508722.266920924</v>
      </c>
      <c r="F480" s="7">
        <f>'Eredmények konzervatív'!$B$9*D480</f>
        <v>123867.34481300494</v>
      </c>
      <c r="G480" s="7">
        <f>SUM(E480:F480)*((1+'Eredmények konzervatív'!$B$10)^(1/12)-1)</f>
        <v>220004.40335585293</v>
      </c>
      <c r="H480" s="7">
        <f t="shared" si="44"/>
        <v>76852594.01508978</v>
      </c>
    </row>
    <row r="481" spans="1:8">
      <c r="A481">
        <f t="shared" si="42"/>
        <v>2067</v>
      </c>
      <c r="B481">
        <f t="shared" si="43"/>
        <v>63</v>
      </c>
      <c r="C481">
        <f t="shared" si="41"/>
        <v>12</v>
      </c>
      <c r="D481" s="7">
        <f>'Eredmények konzervatív'!$B$6/12*(1+'Eredmények konzervatív'!$B$8)^('Havi számolás konzervatív'!B481-33)</f>
        <v>2064455.7468834156</v>
      </c>
      <c r="E481" s="7">
        <f t="shared" si="45"/>
        <v>76852594.01508978</v>
      </c>
      <c r="F481" s="7">
        <f>'Eredmények konzervatív'!$B$9*D481</f>
        <v>123867.34481300494</v>
      </c>
      <c r="G481" s="7">
        <f>SUM(E481:F481)*((1+'Eredmények konzervatív'!$B$10)^(1/12)-1)</f>
        <v>220991.62431719754</v>
      </c>
      <c r="H481" s="7">
        <f t="shared" si="44"/>
        <v>77197452.984219983</v>
      </c>
    </row>
    <row r="482" spans="1:8">
      <c r="A482">
        <f t="shared" si="42"/>
        <v>2068</v>
      </c>
      <c r="B482">
        <f t="shared" si="43"/>
        <v>64</v>
      </c>
      <c r="C482">
        <f t="shared" si="41"/>
        <v>1</v>
      </c>
      <c r="D482" s="7">
        <f>'Eredmények konzervatív'!$B$6/12*(1+'Eredmények konzervatív'!$B$8)^('Havi számolás konzervatív'!B482-33)</f>
        <v>2105744.8618210834</v>
      </c>
      <c r="E482" s="7">
        <f t="shared" si="45"/>
        <v>77197452.984219983</v>
      </c>
      <c r="F482" s="7">
        <f>'Eredmények konzervatív'!$B$9*D482</f>
        <v>126344.691709265</v>
      </c>
      <c r="G482" s="7">
        <f>SUM(E482:F482)*((1+'Eredmények konzervatív'!$B$10)^(1/12)-1)</f>
        <v>221988.79170196672</v>
      </c>
      <c r="H482" s="7">
        <f t="shared" si="44"/>
        <v>77545786.467631221</v>
      </c>
    </row>
    <row r="483" spans="1:8">
      <c r="A483">
        <f t="shared" si="42"/>
        <v>2068</v>
      </c>
      <c r="B483">
        <f t="shared" si="43"/>
        <v>64</v>
      </c>
      <c r="C483">
        <f t="shared" si="41"/>
        <v>2</v>
      </c>
      <c r="D483" s="7">
        <f>'Eredmények konzervatív'!$B$6/12*(1+'Eredmények konzervatív'!$B$8)^('Havi számolás konzervatív'!B483-33)</f>
        <v>2105744.8618210834</v>
      </c>
      <c r="E483" s="7">
        <f t="shared" si="45"/>
        <v>77545786.467631221</v>
      </c>
      <c r="F483" s="7">
        <f>'Eredmények konzervatív'!$B$9*D483</f>
        <v>126344.691709265</v>
      </c>
      <c r="G483" s="7">
        <f>SUM(E483:F483)*((1+'Eredmények konzervatív'!$B$10)^(1/12)-1)</f>
        <v>222988.82185330355</v>
      </c>
      <c r="H483" s="7">
        <f t="shared" si="44"/>
        <v>77895119.981193796</v>
      </c>
    </row>
    <row r="484" spans="1:8">
      <c r="A484">
        <f t="shared" si="42"/>
        <v>2068</v>
      </c>
      <c r="B484">
        <f t="shared" si="43"/>
        <v>64</v>
      </c>
      <c r="C484">
        <f t="shared" si="41"/>
        <v>3</v>
      </c>
      <c r="D484" s="7">
        <f>'Eredmények konzervatív'!$B$6/12*(1+'Eredmények konzervatív'!$B$8)^('Havi számolás konzervatív'!B484-33)</f>
        <v>2105744.8618210834</v>
      </c>
      <c r="E484" s="7">
        <f t="shared" si="45"/>
        <v>77895119.981193796</v>
      </c>
      <c r="F484" s="7">
        <f>'Eredmények konzervatív'!$B$9*D484</f>
        <v>126344.691709265</v>
      </c>
      <c r="G484" s="7">
        <f>SUM(E484:F484)*((1+'Eredmények konzervatív'!$B$10)^(1/12)-1)</f>
        <v>223991.72298992088</v>
      </c>
      <c r="H484" s="7">
        <f t="shared" si="44"/>
        <v>78245456.395892978</v>
      </c>
    </row>
    <row r="485" spans="1:8">
      <c r="A485">
        <f t="shared" si="42"/>
        <v>2068</v>
      </c>
      <c r="B485">
        <f t="shared" si="43"/>
        <v>64</v>
      </c>
      <c r="C485">
        <f t="shared" si="41"/>
        <v>4</v>
      </c>
      <c r="D485" s="7">
        <f>'Eredmények konzervatív'!$B$6/12*(1+'Eredmények konzervatív'!$B$8)^('Havi számolás konzervatív'!B485-33)</f>
        <v>2105744.8618210834</v>
      </c>
      <c r="E485" s="7">
        <f t="shared" si="45"/>
        <v>78245456.395892978</v>
      </c>
      <c r="F485" s="7">
        <f>'Eredmények konzervatív'!$B$9*D485</f>
        <v>126344.691709265</v>
      </c>
      <c r="G485" s="7">
        <f>SUM(E485:F485)*((1+'Eredmények konzervatív'!$B$10)^(1/12)-1)</f>
        <v>224997.50335412667</v>
      </c>
      <c r="H485" s="7">
        <f t="shared" si="44"/>
        <v>78596798.590956375</v>
      </c>
    </row>
    <row r="486" spans="1:8">
      <c r="A486">
        <f t="shared" si="42"/>
        <v>2068</v>
      </c>
      <c r="B486">
        <f t="shared" si="43"/>
        <v>64</v>
      </c>
      <c r="C486">
        <f t="shared" si="41"/>
        <v>5</v>
      </c>
      <c r="D486" s="7">
        <f>'Eredmények konzervatív'!$B$6/12*(1+'Eredmények konzervatív'!$B$8)^('Havi számolás konzervatív'!B486-33)</f>
        <v>2105744.8618210834</v>
      </c>
      <c r="E486" s="7">
        <f t="shared" si="45"/>
        <v>78596798.590956375</v>
      </c>
      <c r="F486" s="7">
        <f>'Eredmények konzervatív'!$B$9*D486</f>
        <v>126344.691709265</v>
      </c>
      <c r="G486" s="7">
        <f>SUM(E486:F486)*((1+'Eredmények konzervatív'!$B$10)^(1/12)-1)</f>
        <v>226006.17121189175</v>
      </c>
      <c r="H486" s="7">
        <f t="shared" si="44"/>
        <v>78949149.453877538</v>
      </c>
    </row>
    <row r="487" spans="1:8">
      <c r="A487">
        <f t="shared" si="42"/>
        <v>2068</v>
      </c>
      <c r="B487">
        <f t="shared" si="43"/>
        <v>64</v>
      </c>
      <c r="C487">
        <f t="shared" si="41"/>
        <v>6</v>
      </c>
      <c r="D487" s="7">
        <f>'Eredmények konzervatív'!$B$6/12*(1+'Eredmények konzervatív'!$B$8)^('Havi számolás konzervatív'!B487-33)</f>
        <v>2105744.8618210834</v>
      </c>
      <c r="E487" s="7">
        <f t="shared" si="45"/>
        <v>78949149.453877538</v>
      </c>
      <c r="F487" s="7">
        <f>'Eredmények konzervatív'!$B$9*D487</f>
        <v>126344.691709265</v>
      </c>
      <c r="G487" s="7">
        <f>SUM(E487:F487)*((1+'Eredmények konzervatív'!$B$10)^(1/12)-1)</f>
        <v>227017.73485291767</v>
      </c>
      <c r="H487" s="7">
        <f t="shared" si="44"/>
        <v>79302511.880439728</v>
      </c>
    </row>
    <row r="488" spans="1:8">
      <c r="A488">
        <f t="shared" si="42"/>
        <v>2068</v>
      </c>
      <c r="B488">
        <f t="shared" si="43"/>
        <v>64</v>
      </c>
      <c r="C488">
        <f t="shared" si="41"/>
        <v>7</v>
      </c>
      <c r="D488" s="7">
        <f>'Eredmények konzervatív'!$B$6/12*(1+'Eredmények konzervatív'!$B$8)^('Havi számolás konzervatív'!B488-33)</f>
        <v>2105744.8618210834</v>
      </c>
      <c r="E488" s="7">
        <f t="shared" si="45"/>
        <v>79302511.880439728</v>
      </c>
      <c r="F488" s="7">
        <f>'Eredmények konzervatív'!$B$9*D488</f>
        <v>126344.691709265</v>
      </c>
      <c r="G488" s="7">
        <f>SUM(E488:F488)*((1+'Eredmények konzervatív'!$B$10)^(1/12)-1)</f>
        <v>228032.20259070487</v>
      </c>
      <c r="H488" s="7">
        <f t="shared" si="44"/>
        <v>79656888.774739698</v>
      </c>
    </row>
    <row r="489" spans="1:8">
      <c r="A489">
        <f t="shared" si="42"/>
        <v>2068</v>
      </c>
      <c r="B489">
        <f t="shared" si="43"/>
        <v>64</v>
      </c>
      <c r="C489">
        <f t="shared" si="41"/>
        <v>8</v>
      </c>
      <c r="D489" s="7">
        <f>'Eredmények konzervatív'!$B$6/12*(1+'Eredmények konzervatív'!$B$8)^('Havi számolás konzervatív'!B489-33)</f>
        <v>2105744.8618210834</v>
      </c>
      <c r="E489" s="7">
        <f t="shared" si="45"/>
        <v>79656888.774739698</v>
      </c>
      <c r="F489" s="7">
        <f>'Eredmények konzervatív'!$B$9*D489</f>
        <v>126344.691709265</v>
      </c>
      <c r="G489" s="7">
        <f>SUM(E489:F489)*((1+'Eredmények konzervatív'!$B$10)^(1/12)-1)</f>
        <v>229049.58276262102</v>
      </c>
      <c r="H489" s="7">
        <f t="shared" si="44"/>
        <v>80012283.049211577</v>
      </c>
    </row>
    <row r="490" spans="1:8">
      <c r="A490">
        <f t="shared" si="42"/>
        <v>2068</v>
      </c>
      <c r="B490">
        <f t="shared" si="43"/>
        <v>64</v>
      </c>
      <c r="C490">
        <f t="shared" si="41"/>
        <v>9</v>
      </c>
      <c r="D490" s="7">
        <f>'Eredmények konzervatív'!$B$6/12*(1+'Eredmények konzervatív'!$B$8)^('Havi számolás konzervatív'!B490-33)</f>
        <v>2105744.8618210834</v>
      </c>
      <c r="E490" s="7">
        <f t="shared" si="45"/>
        <v>80012283.049211577</v>
      </c>
      <c r="F490" s="7">
        <f>'Eredmények konzervatív'!$B$9*D490</f>
        <v>126344.691709265</v>
      </c>
      <c r="G490" s="7">
        <f>SUM(E490:F490)*((1+'Eredmények konzervatív'!$B$10)^(1/12)-1)</f>
        <v>230069.8837299695</v>
      </c>
      <c r="H490" s="7">
        <f t="shared" si="44"/>
        <v>80368697.624650806</v>
      </c>
    </row>
    <row r="491" spans="1:8">
      <c r="A491">
        <f t="shared" si="42"/>
        <v>2068</v>
      </c>
      <c r="B491">
        <f t="shared" si="43"/>
        <v>64</v>
      </c>
      <c r="C491">
        <f t="shared" si="41"/>
        <v>10</v>
      </c>
      <c r="D491" s="7">
        <f>'Eredmények konzervatív'!$B$6/12*(1+'Eredmények konzervatív'!$B$8)^('Havi számolás konzervatív'!B491-33)</f>
        <v>2105744.8618210834</v>
      </c>
      <c r="E491" s="7">
        <f t="shared" si="45"/>
        <v>80368697.624650806</v>
      </c>
      <c r="F491" s="7">
        <f>'Eredmények konzervatív'!$B$9*D491</f>
        <v>126344.691709265</v>
      </c>
      <c r="G491" s="7">
        <f>SUM(E491:F491)*((1+'Eredmények konzervatív'!$B$10)^(1/12)-1)</f>
        <v>231093.11387805824</v>
      </c>
      <c r="H491" s="7">
        <f t="shared" si="44"/>
        <v>80726135.430238128</v>
      </c>
    </row>
    <row r="492" spans="1:8">
      <c r="A492">
        <f t="shared" si="42"/>
        <v>2068</v>
      </c>
      <c r="B492">
        <f t="shared" si="43"/>
        <v>64</v>
      </c>
      <c r="C492">
        <f t="shared" ref="C492:C517" si="46">C480</f>
        <v>11</v>
      </c>
      <c r="D492" s="7">
        <f>'Eredmények konzervatív'!$B$6/12*(1+'Eredmények konzervatív'!$B$8)^('Havi számolás konzervatív'!B492-33)</f>
        <v>2105744.8618210834</v>
      </c>
      <c r="E492" s="7">
        <f t="shared" si="45"/>
        <v>80726135.430238128</v>
      </c>
      <c r="F492" s="7">
        <f>'Eredmények konzervatív'!$B$9*D492</f>
        <v>126344.691709265</v>
      </c>
      <c r="G492" s="7">
        <f>SUM(E492:F492)*((1+'Eredmények konzervatív'!$B$10)^(1/12)-1)</f>
        <v>232119.28161626845</v>
      </c>
      <c r="H492" s="7">
        <f t="shared" si="44"/>
        <v>81084599.403563663</v>
      </c>
    </row>
    <row r="493" spans="1:8">
      <c r="A493">
        <f t="shared" si="42"/>
        <v>2068</v>
      </c>
      <c r="B493">
        <f t="shared" si="43"/>
        <v>64</v>
      </c>
      <c r="C493">
        <f t="shared" si="46"/>
        <v>12</v>
      </c>
      <c r="D493" s="7">
        <f>'Eredmények konzervatív'!$B$6/12*(1+'Eredmények konzervatív'!$B$8)^('Havi számolás konzervatív'!B493-33)</f>
        <v>2105744.8618210834</v>
      </c>
      <c r="E493" s="7">
        <f t="shared" si="45"/>
        <v>81084599.403563663</v>
      </c>
      <c r="F493" s="7">
        <f>'Eredmények konzervatív'!$B$9*D493</f>
        <v>126344.691709265</v>
      </c>
      <c r="G493" s="7">
        <f>SUM(E493:F493)*((1+'Eredmények konzervatív'!$B$10)^(1/12)-1)</f>
        <v>233148.39537812385</v>
      </c>
      <c r="H493" s="7">
        <f t="shared" si="44"/>
        <v>81444092.490651056</v>
      </c>
    </row>
    <row r="494" spans="1:8">
      <c r="A494">
        <f t="shared" si="42"/>
        <v>2069</v>
      </c>
      <c r="B494">
        <f t="shared" si="43"/>
        <v>65</v>
      </c>
      <c r="C494">
        <f t="shared" si="46"/>
        <v>1</v>
      </c>
      <c r="D494" s="7">
        <f>'Eredmények konzervatív'!$B$6/12*(1+'Eredmények konzervatív'!$B$8)^('Havi számolás konzervatív'!B494-33)</f>
        <v>2147859.7590575055</v>
      </c>
      <c r="E494" s="7">
        <f t="shared" si="45"/>
        <v>81444092.490651056</v>
      </c>
      <c r="F494" s="7">
        <f>'Eredmények konzervatív'!$B$9*D494</f>
        <v>128871.58554345033</v>
      </c>
      <c r="G494" s="7">
        <f>SUM(E494:F494)*((1+'Eredmények konzervatív'!$B$10)^(1/12)-1)</f>
        <v>234187.71807763175</v>
      </c>
      <c r="H494" s="7">
        <f t="shared" si="44"/>
        <v>81807151.79427214</v>
      </c>
    </row>
    <row r="495" spans="1:8">
      <c r="A495">
        <f t="shared" si="42"/>
        <v>2069</v>
      </c>
      <c r="B495">
        <f t="shared" si="43"/>
        <v>65</v>
      </c>
      <c r="C495">
        <f t="shared" si="46"/>
        <v>2</v>
      </c>
      <c r="D495" s="7">
        <f>'Eredmények konzervatív'!$B$6/12*(1+'Eredmények konzervatív'!$B$8)^('Havi számolás konzervatív'!B495-33)</f>
        <v>2147859.7590575055</v>
      </c>
      <c r="E495" s="7">
        <f t="shared" si="45"/>
        <v>81807151.79427214</v>
      </c>
      <c r="F495" s="7">
        <f>'Eredmények konzervatív'!$B$9*D495</f>
        <v>128871.58554345033</v>
      </c>
      <c r="G495" s="7">
        <f>SUM(E495:F495)*((1+'Eredmények konzervatív'!$B$10)^(1/12)-1)</f>
        <v>235230.02456734638</v>
      </c>
      <c r="H495" s="7">
        <f t="shared" si="44"/>
        <v>82171253.404382944</v>
      </c>
    </row>
    <row r="496" spans="1:8">
      <c r="A496">
        <f t="shared" si="42"/>
        <v>2069</v>
      </c>
      <c r="B496">
        <f t="shared" si="43"/>
        <v>65</v>
      </c>
      <c r="C496">
        <f t="shared" si="46"/>
        <v>3</v>
      </c>
      <c r="D496" s="7">
        <f>'Eredmények konzervatív'!$B$6/12*(1+'Eredmények konzervatív'!$B$8)^('Havi számolás konzervatív'!B496-33)</f>
        <v>2147859.7590575055</v>
      </c>
      <c r="E496" s="7">
        <f t="shared" si="45"/>
        <v>82171253.404382944</v>
      </c>
      <c r="F496" s="7">
        <f>'Eredmények konzervatív'!$B$9*D496</f>
        <v>128871.58554345033</v>
      </c>
      <c r="G496" s="7">
        <f>SUM(E496:F496)*((1+'Eredmények konzervatív'!$B$10)^(1/12)-1)</f>
        <v>236275.32341342725</v>
      </c>
      <c r="H496" s="7">
        <f t="shared" si="44"/>
        <v>82536400.313339829</v>
      </c>
    </row>
    <row r="497" spans="1:8">
      <c r="A497">
        <f t="shared" si="42"/>
        <v>2069</v>
      </c>
      <c r="B497">
        <f t="shared" si="43"/>
        <v>65</v>
      </c>
      <c r="C497">
        <f t="shared" si="46"/>
        <v>4</v>
      </c>
      <c r="D497" s="7">
        <f>'Eredmények konzervatív'!$B$6/12*(1+'Eredmények konzervatív'!$B$8)^('Havi számolás konzervatív'!B497-33)</f>
        <v>2147859.7590575055</v>
      </c>
      <c r="E497" s="7">
        <f t="shared" si="45"/>
        <v>82536400.313339829</v>
      </c>
      <c r="F497" s="7">
        <f>'Eredmények konzervatív'!$B$9*D497</f>
        <v>128871.58554345033</v>
      </c>
      <c r="G497" s="7">
        <f>SUM(E497:F497)*((1+'Eredmények konzervatív'!$B$10)^(1/12)-1)</f>
        <v>237323.62320662636</v>
      </c>
      <c r="H497" s="7">
        <f t="shared" si="44"/>
        <v>82902595.522089913</v>
      </c>
    </row>
    <row r="498" spans="1:8">
      <c r="A498">
        <f t="shared" si="42"/>
        <v>2069</v>
      </c>
      <c r="B498">
        <f t="shared" si="43"/>
        <v>65</v>
      </c>
      <c r="C498">
        <f t="shared" si="46"/>
        <v>5</v>
      </c>
      <c r="D498" s="7">
        <f>'Eredmények konzervatív'!$B$6/12*(1+'Eredmények konzervatív'!$B$8)^('Havi számolás konzervatív'!B498-33)</f>
        <v>2147859.7590575055</v>
      </c>
      <c r="E498" s="7">
        <f t="shared" si="45"/>
        <v>82902595.522089913</v>
      </c>
      <c r="F498" s="7">
        <f>'Eredmények konzervatív'!$B$9*D498</f>
        <v>128871.58554345033</v>
      </c>
      <c r="G498" s="7">
        <f>SUM(E498:F498)*((1+'Eredmények konzervatív'!$B$10)^(1/12)-1)</f>
        <v>238374.93256235897</v>
      </c>
      <c r="H498" s="7">
        <f t="shared" si="44"/>
        <v>83269842.040195733</v>
      </c>
    </row>
    <row r="499" spans="1:8">
      <c r="A499">
        <f t="shared" si="42"/>
        <v>2069</v>
      </c>
      <c r="B499">
        <f t="shared" si="43"/>
        <v>65</v>
      </c>
      <c r="C499">
        <f t="shared" si="46"/>
        <v>6</v>
      </c>
      <c r="D499" s="7">
        <f>'Eredmények konzervatív'!$B$6/12*(1+'Eredmények konzervatív'!$B$8)^('Havi számolás konzervatív'!B499-33)</f>
        <v>2147859.7590575055</v>
      </c>
      <c r="E499" s="7">
        <f t="shared" si="45"/>
        <v>83269842.040195733</v>
      </c>
      <c r="F499" s="7">
        <f>'Eredmények konzervatív'!$B$9*D499</f>
        <v>128871.58554345033</v>
      </c>
      <c r="G499" s="7">
        <f>SUM(E499:F499)*((1+'Eredmények konzervatív'!$B$10)^(1/12)-1)</f>
        <v>239429.26012077433</v>
      </c>
      <c r="H499" s="7">
        <f t="shared" si="44"/>
        <v>83638142.885859966</v>
      </c>
    </row>
    <row r="500" spans="1:8">
      <c r="A500">
        <f t="shared" si="42"/>
        <v>2069</v>
      </c>
      <c r="B500">
        <f t="shared" si="43"/>
        <v>65</v>
      </c>
      <c r="C500">
        <f t="shared" si="46"/>
        <v>7</v>
      </c>
      <c r="D500" s="7">
        <f>'Eredmények konzervatív'!$B$6/12*(1+'Eredmények konzervatív'!$B$8)^('Havi számolás konzervatív'!B500-33)</f>
        <v>2147859.7590575055</v>
      </c>
      <c r="E500" s="7">
        <f t="shared" si="45"/>
        <v>83638142.885859966</v>
      </c>
      <c r="F500" s="7">
        <f>'Eredmények konzervatív'!$B$9*D500</f>
        <v>128871.58554345033</v>
      </c>
      <c r="G500" s="7">
        <f>SUM(E500:F500)*((1+'Eredmények konzervatív'!$B$10)^(1/12)-1)</f>
        <v>240486.61454682663</v>
      </c>
      <c r="H500" s="7">
        <f t="shared" si="44"/>
        <v>84007501.08595024</v>
      </c>
    </row>
    <row r="501" spans="1:8">
      <c r="A501">
        <f t="shared" si="42"/>
        <v>2069</v>
      </c>
      <c r="B501">
        <f t="shared" si="43"/>
        <v>65</v>
      </c>
      <c r="C501">
        <f t="shared" si="46"/>
        <v>8</v>
      </c>
      <c r="D501" s="7">
        <f>'Eredmények konzervatív'!$B$6/12*(1+'Eredmények konzervatív'!$B$8)^('Havi számolás konzervatív'!B501-33)</f>
        <v>2147859.7590575055</v>
      </c>
      <c r="E501" s="7">
        <f t="shared" si="45"/>
        <v>84007501.08595024</v>
      </c>
      <c r="F501" s="7">
        <f>'Eredmények konzervatív'!$B$9*D501</f>
        <v>128871.58554345033</v>
      </c>
      <c r="G501" s="7">
        <f>SUM(E501:F501)*((1+'Eredmények konzervatív'!$B$10)^(1/12)-1)</f>
        <v>241547.00453034625</v>
      </c>
      <c r="H501" s="7">
        <f t="shared" si="44"/>
        <v>84377919.676024035</v>
      </c>
    </row>
    <row r="502" spans="1:8">
      <c r="A502">
        <f t="shared" si="42"/>
        <v>2069</v>
      </c>
      <c r="B502">
        <f t="shared" si="43"/>
        <v>65</v>
      </c>
      <c r="C502">
        <f t="shared" si="46"/>
        <v>9</v>
      </c>
      <c r="D502" s="7">
        <f>'Eredmények konzervatív'!$B$6/12*(1+'Eredmények konzervatív'!$B$8)^('Havi számolás konzervatív'!B502-33)</f>
        <v>2147859.7590575055</v>
      </c>
      <c r="E502" s="7">
        <f t="shared" si="45"/>
        <v>84377919.676024035</v>
      </c>
      <c r="F502" s="7">
        <f>'Eredmények konzervatív'!$B$9*D502</f>
        <v>128871.58554345033</v>
      </c>
      <c r="G502" s="7">
        <f>SUM(E502:F502)*((1+'Eredmények konzervatív'!$B$10)^(1/12)-1)</f>
        <v>242610.43878611128</v>
      </c>
      <c r="H502" s="7">
        <f t="shared" si="44"/>
        <v>84749401.700353593</v>
      </c>
    </row>
    <row r="503" spans="1:8">
      <c r="A503">
        <f t="shared" si="42"/>
        <v>2069</v>
      </c>
      <c r="B503">
        <f t="shared" si="43"/>
        <v>65</v>
      </c>
      <c r="C503">
        <f t="shared" si="46"/>
        <v>10</v>
      </c>
      <c r="D503" s="7">
        <f>'Eredmények konzervatív'!$B$6/12*(1+'Eredmények konzervatív'!$B$8)^('Havi számolás konzervatív'!B503-33)</f>
        <v>2147859.7590575055</v>
      </c>
      <c r="E503" s="7">
        <f t="shared" si="45"/>
        <v>84749401.700353593</v>
      </c>
      <c r="F503" s="7">
        <f>'Eredmények konzervatív'!$B$9*D503</f>
        <v>128871.58554345033</v>
      </c>
      <c r="G503" s="7">
        <f>SUM(E503:F503)*((1+'Eredmények konzervatív'!$B$10)^(1/12)-1)</f>
        <v>243676.92605391901</v>
      </c>
      <c r="H503" s="7">
        <f t="shared" si="44"/>
        <v>85121950.211950973</v>
      </c>
    </row>
    <row r="504" spans="1:8">
      <c r="A504">
        <f t="shared" si="42"/>
        <v>2069</v>
      </c>
      <c r="B504">
        <f t="shared" si="43"/>
        <v>65</v>
      </c>
      <c r="C504">
        <f t="shared" si="46"/>
        <v>11</v>
      </c>
      <c r="D504" s="7">
        <f>'Eredmények konzervatív'!$B$6/12*(1+'Eredmények konzervatív'!$B$8)^('Havi számolás konzervatív'!B504-33)</f>
        <v>2147859.7590575055</v>
      </c>
      <c r="E504" s="7">
        <f t="shared" si="45"/>
        <v>85121950.211950973</v>
      </c>
      <c r="F504" s="7">
        <f>'Eredmények konzervatív'!$B$9*D504</f>
        <v>128871.58554345033</v>
      </c>
      <c r="G504" s="7">
        <f>SUM(E504:F504)*((1+'Eredmények konzervatív'!$B$10)^(1/12)-1)</f>
        <v>244746.47509865783</v>
      </c>
      <c r="H504" s="7">
        <f t="shared" si="44"/>
        <v>85495568.272593081</v>
      </c>
    </row>
    <row r="505" spans="1:8">
      <c r="A505">
        <f t="shared" si="42"/>
        <v>2069</v>
      </c>
      <c r="B505">
        <f t="shared" si="43"/>
        <v>65</v>
      </c>
      <c r="C505">
        <f t="shared" si="46"/>
        <v>12</v>
      </c>
      <c r="D505" s="7">
        <f>'Eredmények konzervatív'!$B$6/12*(1+'Eredmények konzervatív'!$B$8)^('Havi számolás konzervatív'!B505-33)</f>
        <v>2147859.7590575055</v>
      </c>
      <c r="E505" s="7">
        <f t="shared" si="45"/>
        <v>85495568.272593081</v>
      </c>
      <c r="F505" s="7">
        <f>'Eredmények konzervatív'!$B$9*D505</f>
        <v>128871.58554345033</v>
      </c>
      <c r="G505" s="7">
        <f>SUM(E505:F505)*((1+'Eredmények konzervatív'!$B$10)^(1/12)-1)</f>
        <v>245819.09471037917</v>
      </c>
      <c r="H505" s="7">
        <f t="shared" si="44"/>
        <v>85870258.952846915</v>
      </c>
    </row>
    <row r="506" spans="1:8">
      <c r="A506">
        <f t="shared" si="42"/>
        <v>2070</v>
      </c>
      <c r="B506">
        <f t="shared" si="43"/>
        <v>66</v>
      </c>
      <c r="C506">
        <f t="shared" si="46"/>
        <v>1</v>
      </c>
      <c r="D506" s="7">
        <f>'Eredmények konzervatív'!$B$6/12*(1+'Eredmények konzervatív'!$B$8)^('Havi számolás konzervatív'!B506-33)</f>
        <v>2190816.954238656</v>
      </c>
      <c r="E506" s="7">
        <f t="shared" si="45"/>
        <v>85870258.952846915</v>
      </c>
      <c r="F506" s="7">
        <f>'Eredmények konzervatív'!$B$9*D506</f>
        <v>131449.01725431936</v>
      </c>
      <c r="G506" s="7">
        <f>SUM(E506:F506)*((1+'Eredmények konzervatív'!$B$10)^(1/12)-1)</f>
        <v>246902.19324976709</v>
      </c>
      <c r="H506" s="7">
        <f t="shared" si="44"/>
        <v>86248610.163350999</v>
      </c>
    </row>
    <row r="507" spans="1:8">
      <c r="A507">
        <f t="shared" si="42"/>
        <v>2070</v>
      </c>
      <c r="B507">
        <f t="shared" si="43"/>
        <v>66</v>
      </c>
      <c r="C507">
        <f t="shared" si="46"/>
        <v>2</v>
      </c>
      <c r="D507" s="7">
        <f>'Eredmények konzervatív'!$B$6/12*(1+'Eredmények konzervatív'!$B$8)^('Havi számolás konzervatív'!B507-33)</f>
        <v>2190816.954238656</v>
      </c>
      <c r="E507" s="7">
        <f t="shared" si="45"/>
        <v>86248610.163350999</v>
      </c>
      <c r="F507" s="7">
        <f>'Eredmények konzervatív'!$B$9*D507</f>
        <v>131449.01725431936</v>
      </c>
      <c r="G507" s="7">
        <f>SUM(E507:F507)*((1+'Eredmények konzervatív'!$B$10)^(1/12)-1)</f>
        <v>247988.40125536436</v>
      </c>
      <c r="H507" s="7">
        <f t="shared" si="44"/>
        <v>86628047.581860691</v>
      </c>
    </row>
    <row r="508" spans="1:8">
      <c r="A508">
        <f t="shared" si="42"/>
        <v>2070</v>
      </c>
      <c r="B508">
        <f t="shared" si="43"/>
        <v>66</v>
      </c>
      <c r="C508">
        <f t="shared" si="46"/>
        <v>3</v>
      </c>
      <c r="D508" s="7">
        <f>'Eredmények konzervatív'!$B$6/12*(1+'Eredmények konzervatív'!$B$8)^('Havi számolás konzervatív'!B508-33)</f>
        <v>2190816.954238656</v>
      </c>
      <c r="E508" s="7">
        <f t="shared" si="45"/>
        <v>86628047.581860691</v>
      </c>
      <c r="F508" s="7">
        <f>'Eredmények konzervatív'!$B$9*D508</f>
        <v>131449.01725431936</v>
      </c>
      <c r="G508" s="7">
        <f>SUM(E508:F508)*((1+'Eredmények konzervatív'!$B$10)^(1/12)-1)</f>
        <v>249077.72765413357</v>
      </c>
      <c r="H508" s="7">
        <f t="shared" si="44"/>
        <v>87008574.326769143</v>
      </c>
    </row>
    <row r="509" spans="1:8">
      <c r="A509">
        <f t="shared" si="42"/>
        <v>2070</v>
      </c>
      <c r="B509">
        <f t="shared" si="43"/>
        <v>66</v>
      </c>
      <c r="C509">
        <f t="shared" si="46"/>
        <v>4</v>
      </c>
      <c r="D509" s="7">
        <f>'Eredmények konzervatív'!$B$6/12*(1+'Eredmények konzervatív'!$B$8)^('Havi számolás konzervatív'!B509-33)</f>
        <v>2190816.954238656</v>
      </c>
      <c r="E509" s="7">
        <f t="shared" si="45"/>
        <v>87008574.326769143</v>
      </c>
      <c r="F509" s="7">
        <f>'Eredmények konzervatív'!$B$9*D509</f>
        <v>131449.01725431936</v>
      </c>
      <c r="G509" s="7">
        <f>SUM(E509:F509)*((1+'Eredmények konzervatív'!$B$10)^(1/12)-1)</f>
        <v>250170.18139866568</v>
      </c>
      <c r="H509" s="7">
        <f t="shared" si="44"/>
        <v>87390193.525422126</v>
      </c>
    </row>
    <row r="510" spans="1:8">
      <c r="A510">
        <f t="shared" si="42"/>
        <v>2070</v>
      </c>
      <c r="B510">
        <f t="shared" si="43"/>
        <v>66</v>
      </c>
      <c r="C510">
        <f t="shared" si="46"/>
        <v>5</v>
      </c>
      <c r="D510" s="7">
        <f>'Eredmények konzervatív'!$B$6/12*(1+'Eredmények konzervatív'!$B$8)^('Havi számolás konzervatív'!B510-33)</f>
        <v>2190816.954238656</v>
      </c>
      <c r="E510" s="7">
        <f t="shared" si="45"/>
        <v>87390193.525422126</v>
      </c>
      <c r="F510" s="7">
        <f>'Eredmények konzervatív'!$B$9*D510</f>
        <v>131449.01725431936</v>
      </c>
      <c r="G510" s="7">
        <f>SUM(E510:F510)*((1+'Eredmények konzervatív'!$B$10)^(1/12)-1)</f>
        <v>251265.77146725357</v>
      </c>
      <c r="H510" s="7">
        <f t="shared" si="44"/>
        <v>87772908.314143702</v>
      </c>
    </row>
    <row r="511" spans="1:8">
      <c r="A511">
        <f t="shared" si="42"/>
        <v>2070</v>
      </c>
      <c r="B511">
        <f t="shared" si="43"/>
        <v>66</v>
      </c>
      <c r="C511">
        <f t="shared" si="46"/>
        <v>6</v>
      </c>
      <c r="D511" s="7">
        <f>'Eredmények konzervatív'!$B$6/12*(1+'Eredmények konzervatív'!$B$8)^('Havi számolás konzervatív'!B511-33)</f>
        <v>2190816.954238656</v>
      </c>
      <c r="E511" s="7">
        <f t="shared" si="45"/>
        <v>87772908.314143702</v>
      </c>
      <c r="F511" s="7">
        <f>'Eredmények konzervatív'!$B$9*D511</f>
        <v>131449.01725431936</v>
      </c>
      <c r="G511" s="7">
        <f>SUM(E511:F511)*((1+'Eredmények konzervatív'!$B$10)^(1/12)-1)</f>
        <v>252364.50686396603</v>
      </c>
      <c r="H511" s="7">
        <f t="shared" si="44"/>
        <v>88156721.838261992</v>
      </c>
    </row>
    <row r="512" spans="1:8">
      <c r="A512">
        <f t="shared" si="42"/>
        <v>2070</v>
      </c>
      <c r="B512">
        <f t="shared" si="43"/>
        <v>66</v>
      </c>
      <c r="C512">
        <f t="shared" si="46"/>
        <v>7</v>
      </c>
      <c r="D512" s="7">
        <f>'Eredmények konzervatív'!$B$6/12*(1+'Eredmények konzervatív'!$B$8)^('Havi számolás konzervatív'!B512-33)</f>
        <v>2190816.954238656</v>
      </c>
      <c r="E512" s="7">
        <f t="shared" si="45"/>
        <v>88156721.838261992</v>
      </c>
      <c r="F512" s="7">
        <f>'Eredmények konzervatív'!$B$9*D512</f>
        <v>131449.01725431936</v>
      </c>
      <c r="G512" s="7">
        <f>SUM(E512:F512)*((1+'Eredmények konzervatív'!$B$10)^(1/12)-1)</f>
        <v>253466.39661872151</v>
      </c>
      <c r="H512" s="7">
        <f t="shared" si="44"/>
        <v>88541637.252135038</v>
      </c>
    </row>
    <row r="513" spans="1:8">
      <c r="A513">
        <f t="shared" si="42"/>
        <v>2070</v>
      </c>
      <c r="B513">
        <f t="shared" si="43"/>
        <v>66</v>
      </c>
      <c r="C513">
        <f t="shared" si="46"/>
        <v>8</v>
      </c>
      <c r="D513" s="7">
        <f>'Eredmények konzervatív'!$B$6/12*(1+'Eredmények konzervatív'!$B$8)^('Havi számolás konzervatív'!B513-33)</f>
        <v>2190816.954238656</v>
      </c>
      <c r="E513" s="7">
        <f t="shared" si="45"/>
        <v>88541637.252135038</v>
      </c>
      <c r="F513" s="7">
        <f>'Eredmények konzervatív'!$B$9*D513</f>
        <v>131449.01725431936</v>
      </c>
      <c r="G513" s="7">
        <f>SUM(E513:F513)*((1+'Eredmények konzervatív'!$B$10)^(1/12)-1)</f>
        <v>254571.44978736251</v>
      </c>
      <c r="H513" s="7">
        <f t="shared" si="44"/>
        <v>88927657.719176725</v>
      </c>
    </row>
    <row r="514" spans="1:8">
      <c r="A514">
        <f t="shared" si="42"/>
        <v>2070</v>
      </c>
      <c r="B514">
        <f t="shared" si="43"/>
        <v>66</v>
      </c>
      <c r="C514">
        <f t="shared" si="46"/>
        <v>9</v>
      </c>
      <c r="D514" s="7">
        <f>'Eredmények konzervatív'!$B$6/12*(1+'Eredmények konzervatív'!$B$8)^('Havi számolás konzervatív'!B514-33)</f>
        <v>2190816.954238656</v>
      </c>
      <c r="E514" s="7">
        <f t="shared" si="45"/>
        <v>88927657.719176725</v>
      </c>
      <c r="F514" s="7">
        <f>'Eredmények konzervatív'!$B$9*D514</f>
        <v>131449.01725431936</v>
      </c>
      <c r="G514" s="7">
        <f>SUM(E514:F514)*((1+'Eredmények konzervatív'!$B$10)^(1/12)-1)</f>
        <v>255679.67545172985</v>
      </c>
      <c r="H514" s="7">
        <f t="shared" si="44"/>
        <v>89314786.411882773</v>
      </c>
    </row>
    <row r="515" spans="1:8">
      <c r="A515">
        <f t="shared" ref="A515:A528" si="47">INT((ROW(A514)-1)/12+2028)</f>
        <v>2070</v>
      </c>
      <c r="B515">
        <f t="shared" ref="B515:B517" si="48">INT((A515-2004)+(C515-1)/12)</f>
        <v>66</v>
      </c>
      <c r="C515">
        <f t="shared" si="46"/>
        <v>10</v>
      </c>
      <c r="D515" s="7">
        <f>'Eredmények konzervatív'!$B$6/12*(1+'Eredmények konzervatív'!$B$8)^('Havi számolás konzervatív'!B515-33)</f>
        <v>2190816.954238656</v>
      </c>
      <c r="E515" s="7">
        <f t="shared" si="45"/>
        <v>89314786.411882773</v>
      </c>
      <c r="F515" s="7">
        <f>'Eredmények konzervatív'!$B$9*D515</f>
        <v>131449.01725431936</v>
      </c>
      <c r="G515" s="7">
        <f>SUM(E515:F515)*((1+'Eredmények konzervatív'!$B$10)^(1/12)-1)</f>
        <v>256791.08271973746</v>
      </c>
      <c r="H515" s="7">
        <f t="shared" ref="H515:H517" si="49">E515+F515+G515</f>
        <v>89703026.511856839</v>
      </c>
    </row>
    <row r="516" spans="1:8">
      <c r="A516">
        <f t="shared" si="47"/>
        <v>2070</v>
      </c>
      <c r="B516">
        <f t="shared" si="48"/>
        <v>66</v>
      </c>
      <c r="C516">
        <f t="shared" si="46"/>
        <v>11</v>
      </c>
      <c r="D516" s="7">
        <f>'Eredmények konzervatív'!$B$6/12*(1+'Eredmények konzervatív'!$B$8)^('Havi számolás konzervatív'!B516-33)</f>
        <v>2190816.954238656</v>
      </c>
      <c r="E516" s="7">
        <f t="shared" si="45"/>
        <v>89703026.511856839</v>
      </c>
      <c r="F516" s="7">
        <f>'Eredmények konzervatív'!$B$9*D516</f>
        <v>131449.01725431936</v>
      </c>
      <c r="G516" s="7">
        <f>SUM(E516:F516)*((1+'Eredmények konzervatív'!$B$10)^(1/12)-1)</f>
        <v>257905.68072544719</v>
      </c>
      <c r="H516" s="7">
        <f t="shared" si="49"/>
        <v>90092381.209836602</v>
      </c>
    </row>
    <row r="517" spans="1:8">
      <c r="A517">
        <f t="shared" si="47"/>
        <v>2070</v>
      </c>
      <c r="B517">
        <f t="shared" si="48"/>
        <v>66</v>
      </c>
      <c r="C517">
        <f t="shared" si="46"/>
        <v>12</v>
      </c>
      <c r="D517" s="7">
        <f>'Eredmények konzervatív'!$B$6/12*(1+'Eredmények konzervatív'!$B$8)^('Havi számolás konzervatív'!B517-33)</f>
        <v>2190816.954238656</v>
      </c>
      <c r="E517" s="7">
        <f t="shared" ref="E517:E530" si="50">H516</f>
        <v>90092381.209836602</v>
      </c>
      <c r="F517" s="7">
        <f>'Eredmények konzervatív'!$B$9*D517</f>
        <v>131449.01725431936</v>
      </c>
      <c r="G517" s="7">
        <f>SUM(E517:F517)*((1+'Eredmények konzervatív'!$B$10)^(1/12)-1)</f>
        <v>259023.47862914376</v>
      </c>
      <c r="H517" s="7">
        <f t="shared" si="49"/>
        <v>90482853.705720067</v>
      </c>
    </row>
    <row r="518" spans="1:8">
      <c r="D518" s="7"/>
      <c r="E518" s="7"/>
      <c r="F518" s="7"/>
      <c r="G518" s="7"/>
      <c r="H518" s="7"/>
    </row>
    <row r="519" spans="1:8">
      <c r="D519" s="7"/>
      <c r="E519" s="7"/>
      <c r="F519" s="7"/>
      <c r="G519" s="7"/>
      <c r="H519" s="7"/>
    </row>
    <row r="520" spans="1:8">
      <c r="D520" s="7"/>
      <c r="E520" s="7"/>
      <c r="F520" s="7"/>
      <c r="G520" s="7"/>
      <c r="H520" s="7"/>
    </row>
    <row r="521" spans="1:8">
      <c r="D521" s="7"/>
      <c r="E521" s="7"/>
      <c r="F521" s="7"/>
      <c r="G521" s="7"/>
      <c r="H521" s="7"/>
    </row>
    <row r="522" spans="1:8">
      <c r="D522" s="7"/>
      <c r="E522" s="7"/>
      <c r="F522" s="7"/>
      <c r="G522" s="7"/>
      <c r="H522" s="7"/>
    </row>
    <row r="523" spans="1:8">
      <c r="D523" s="7"/>
      <c r="E523" s="7"/>
      <c r="F523" s="7"/>
      <c r="G523" s="7"/>
      <c r="H523" s="7"/>
    </row>
    <row r="524" spans="1:8">
      <c r="D524" s="7"/>
      <c r="E524" s="7"/>
      <c r="F524" s="7"/>
      <c r="G524" s="7"/>
      <c r="H524" s="7"/>
    </row>
    <row r="525" spans="1:8">
      <c r="D525" s="7"/>
      <c r="E525" s="7"/>
      <c r="F525" s="7"/>
      <c r="G525" s="7"/>
      <c r="H52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623B-782F-40E5-85C2-52457FA1EE5C}">
  <dimension ref="A1:AC112"/>
  <sheetViews>
    <sheetView showGridLines="0" zoomScale="60" workbookViewId="0">
      <pane ySplit="1" topLeftCell="A2" activePane="bottomLeft" state="frozen"/>
      <selection pane="bottomLeft" activeCell="Q24" sqref="Q24"/>
    </sheetView>
  </sheetViews>
  <sheetFormatPr defaultRowHeight="14.4"/>
  <cols>
    <col min="4" max="6" width="15.6640625" customWidth="1"/>
    <col min="17" max="17" width="14.21875" customWidth="1"/>
    <col min="22" max="22" width="13.33203125" customWidth="1"/>
    <col min="23" max="23" width="11.88671875" customWidth="1"/>
  </cols>
  <sheetData>
    <row r="1" spans="1:29" ht="15" thickBot="1">
      <c r="A1" s="4" t="s">
        <v>17</v>
      </c>
      <c r="B1" s="5" t="s">
        <v>18</v>
      </c>
      <c r="C1" s="5" t="s">
        <v>22</v>
      </c>
      <c r="D1" s="5" t="s">
        <v>20</v>
      </c>
      <c r="E1" s="5" t="s">
        <v>45</v>
      </c>
      <c r="F1" s="5" t="s">
        <v>88</v>
      </c>
      <c r="G1" s="5" t="s">
        <v>89</v>
      </c>
      <c r="H1" s="5" t="s">
        <v>90</v>
      </c>
      <c r="I1" s="5" t="s">
        <v>44</v>
      </c>
      <c r="J1" s="5" t="s">
        <v>46</v>
      </c>
      <c r="K1" s="5" t="s">
        <v>47</v>
      </c>
      <c r="L1" s="5" t="s">
        <v>91</v>
      </c>
      <c r="M1" s="5" t="s">
        <v>92</v>
      </c>
      <c r="N1" s="5" t="s">
        <v>93</v>
      </c>
    </row>
    <row r="2" spans="1:29" ht="15.6" thickTop="1" thickBot="1">
      <c r="A2" s="2">
        <v>2020</v>
      </c>
      <c r="B2">
        <v>0</v>
      </c>
      <c r="C2">
        <v>100000</v>
      </c>
      <c r="D2">
        <f>1-C3/C2</f>
        <v>4.0400000000000436E-3</v>
      </c>
      <c r="E2">
        <f>C3/C2</f>
        <v>0.99595999999999996</v>
      </c>
      <c r="Q2" s="5" t="s">
        <v>4</v>
      </c>
      <c r="R2" s="5" t="s">
        <v>48</v>
      </c>
    </row>
    <row r="3" spans="1:29" ht="15" thickTop="1">
      <c r="A3" s="2">
        <v>2020</v>
      </c>
      <c r="B3">
        <v>1</v>
      </c>
      <c r="C3">
        <v>99596</v>
      </c>
      <c r="D3">
        <f>1-C4/C3</f>
        <v>1.4056789429295335E-4</v>
      </c>
      <c r="E3">
        <f>C4/C3</f>
        <v>0.99985943210570705</v>
      </c>
      <c r="Q3" t="s">
        <v>94</v>
      </c>
      <c r="R3">
        <f>SUM(K:K)</f>
        <v>10.170451516222514</v>
      </c>
      <c r="V3" s="49" t="s">
        <v>120</v>
      </c>
      <c r="W3" s="50"/>
      <c r="X3" s="50"/>
      <c r="Y3" s="50"/>
      <c r="Z3" s="50"/>
      <c r="AA3" s="50"/>
      <c r="AB3" s="50"/>
      <c r="AC3" s="51"/>
    </row>
    <row r="4" spans="1:29">
      <c r="A4" s="2">
        <v>2020</v>
      </c>
      <c r="B4">
        <v>2</v>
      </c>
      <c r="C4">
        <v>99582</v>
      </c>
      <c r="D4">
        <f>1-C5/C4</f>
        <v>1.305456809463923E-4</v>
      </c>
      <c r="E4">
        <f>C5/C4</f>
        <v>0.99986945431905361</v>
      </c>
      <c r="Q4" t="s">
        <v>96</v>
      </c>
      <c r="R4">
        <f>SUM(H:H)</f>
        <v>9.6420212742881084</v>
      </c>
      <c r="U4" s="13"/>
      <c r="V4" s="24" t="s">
        <v>108</v>
      </c>
      <c r="W4" s="13"/>
      <c r="X4" s="13"/>
      <c r="Y4" s="13"/>
      <c r="Z4" s="13"/>
      <c r="AA4" s="13"/>
      <c r="AB4" s="13"/>
      <c r="AC4" s="22"/>
    </row>
    <row r="5" spans="1:29">
      <c r="A5" s="2">
        <v>2020</v>
      </c>
      <c r="B5">
        <v>3</v>
      </c>
      <c r="C5">
        <v>99569</v>
      </c>
      <c r="D5">
        <f>1-C6/C5</f>
        <v>6.025971939060959E-5</v>
      </c>
      <c r="E5">
        <f>C6/C5</f>
        <v>0.99993974028060939</v>
      </c>
      <c r="Q5" t="s">
        <v>95</v>
      </c>
      <c r="R5">
        <f>SUM(N:N)</f>
        <v>9.0950848174515926</v>
      </c>
      <c r="U5" s="13"/>
      <c r="V5" s="24" t="s">
        <v>121</v>
      </c>
      <c r="W5" s="13" t="s">
        <v>18</v>
      </c>
      <c r="X5" s="13" t="s">
        <v>10</v>
      </c>
      <c r="Y5" s="13"/>
      <c r="Z5" s="13"/>
      <c r="AA5" s="13"/>
      <c r="AB5" s="13"/>
      <c r="AC5" s="22"/>
    </row>
    <row r="6" spans="1:29">
      <c r="A6" s="2">
        <v>2020</v>
      </c>
      <c r="B6">
        <v>4</v>
      </c>
      <c r="C6">
        <v>99563</v>
      </c>
      <c r="D6">
        <f>1-C7/C6</f>
        <v>1.0043891807198779E-4</v>
      </c>
      <c r="E6">
        <f>C7/C6</f>
        <v>0.99989956108192801</v>
      </c>
      <c r="U6" s="13"/>
      <c r="V6" s="24"/>
      <c r="W6" s="13" t="s">
        <v>22</v>
      </c>
      <c r="X6" s="13" t="s">
        <v>111</v>
      </c>
      <c r="Y6" s="13"/>
      <c r="Z6" s="13"/>
      <c r="AA6" s="13"/>
      <c r="AB6" s="13"/>
      <c r="AC6" s="22"/>
    </row>
    <row r="7" spans="1:29">
      <c r="A7" s="2">
        <v>2020</v>
      </c>
      <c r="B7">
        <v>5</v>
      </c>
      <c r="C7">
        <v>99553</v>
      </c>
      <c r="D7">
        <f>1-C8/C7</f>
        <v>1.2053880847384679E-4</v>
      </c>
      <c r="E7">
        <f>C8/C7</f>
        <v>0.99987946119152615</v>
      </c>
      <c r="U7" s="13"/>
      <c r="V7" s="24"/>
      <c r="W7" s="13" t="s">
        <v>20</v>
      </c>
      <c r="X7" s="13" t="s">
        <v>110</v>
      </c>
      <c r="Y7" s="13"/>
      <c r="Z7" s="13"/>
      <c r="AA7" s="13"/>
      <c r="AB7" s="13"/>
      <c r="AC7" s="22"/>
    </row>
    <row r="8" spans="1:29">
      <c r="A8" s="2">
        <v>2020</v>
      </c>
      <c r="B8">
        <v>6</v>
      </c>
      <c r="C8">
        <v>99541</v>
      </c>
      <c r="D8">
        <f>1-C9/C8</f>
        <v>1.105072281772923E-4</v>
      </c>
      <c r="E8">
        <f>C9/C8</f>
        <v>0.99988949277182271</v>
      </c>
      <c r="U8" s="13"/>
      <c r="V8" s="24"/>
      <c r="W8" s="13" t="s">
        <v>113</v>
      </c>
      <c r="X8" s="13" t="s">
        <v>112</v>
      </c>
      <c r="Y8" s="13"/>
      <c r="Z8" s="13"/>
      <c r="AA8" s="13"/>
      <c r="AB8" s="13"/>
      <c r="AC8" s="22"/>
    </row>
    <row r="9" spans="1:29">
      <c r="A9" s="2">
        <v>2020</v>
      </c>
      <c r="B9">
        <v>7</v>
      </c>
      <c r="C9">
        <v>99530</v>
      </c>
      <c r="D9">
        <f>1-C10/C9</f>
        <v>8.0377775545037444E-5</v>
      </c>
      <c r="E9">
        <f>C10/C9</f>
        <v>0.99991962222445496</v>
      </c>
      <c r="U9" s="13"/>
      <c r="V9" s="24"/>
      <c r="W9" s="13" t="s">
        <v>109</v>
      </c>
      <c r="X9" s="13" t="s">
        <v>114</v>
      </c>
      <c r="Y9" s="13"/>
      <c r="Z9" s="13"/>
      <c r="AA9" s="13"/>
      <c r="AB9" s="13"/>
      <c r="AC9" s="22"/>
    </row>
    <row r="10" spans="1:29">
      <c r="A10" s="2">
        <v>2020</v>
      </c>
      <c r="B10">
        <v>8</v>
      </c>
      <c r="C10">
        <v>99522</v>
      </c>
      <c r="D10">
        <f>1-C11/C10</f>
        <v>2.0096059162799662E-4</v>
      </c>
      <c r="E10">
        <f>C11/C10</f>
        <v>0.999799039408372</v>
      </c>
      <c r="U10" s="13"/>
      <c r="V10" s="24"/>
      <c r="W10" s="13" t="s">
        <v>89</v>
      </c>
      <c r="X10" s="13" t="s">
        <v>115</v>
      </c>
      <c r="Y10" s="13"/>
      <c r="Z10" s="13"/>
      <c r="AA10" s="13"/>
      <c r="AB10" s="13"/>
      <c r="AC10" s="22"/>
    </row>
    <row r="11" spans="1:29">
      <c r="A11" s="2">
        <v>2020</v>
      </c>
      <c r="B11">
        <v>9</v>
      </c>
      <c r="C11">
        <v>99502</v>
      </c>
      <c r="D11">
        <f>1-C12/C11</f>
        <v>6.0300295471438226E-5</v>
      </c>
      <c r="E11">
        <f>C12/C11</f>
        <v>0.99993969970452856</v>
      </c>
      <c r="U11" s="13"/>
      <c r="V11" s="24"/>
      <c r="W11" s="13" t="s">
        <v>90</v>
      </c>
      <c r="X11" s="13" t="s">
        <v>116</v>
      </c>
      <c r="Y11" s="13"/>
      <c r="Z11" s="13"/>
      <c r="AA11" s="13"/>
      <c r="AB11" s="13"/>
      <c r="AC11" s="22"/>
    </row>
    <row r="12" spans="1:29">
      <c r="A12" s="2">
        <v>2020</v>
      </c>
      <c r="B12">
        <v>10</v>
      </c>
      <c r="C12">
        <v>99496</v>
      </c>
      <c r="D12">
        <f>1-C13/C12</f>
        <v>4.0202621210849721E-5</v>
      </c>
      <c r="E12">
        <f>C13/C12</f>
        <v>0.99995979737878915</v>
      </c>
      <c r="U12" s="13"/>
      <c r="V12" s="24"/>
      <c r="W12" s="13"/>
      <c r="X12" s="13"/>
      <c r="Y12" s="13"/>
      <c r="Z12" s="13"/>
      <c r="AA12" s="13"/>
      <c r="AB12" s="13"/>
      <c r="AC12" s="22"/>
    </row>
    <row r="13" spans="1:29" ht="14.4" customHeight="1">
      <c r="A13" s="2">
        <v>2020</v>
      </c>
      <c r="B13">
        <v>11</v>
      </c>
      <c r="C13">
        <v>99492</v>
      </c>
      <c r="D13">
        <f>1-C14/C13</f>
        <v>6.0306356289951957E-5</v>
      </c>
      <c r="E13">
        <f>C14/C13</f>
        <v>0.99993969364371005</v>
      </c>
      <c r="U13" s="13"/>
      <c r="V13" s="52" t="s">
        <v>117</v>
      </c>
      <c r="W13" s="48"/>
      <c r="X13" s="48"/>
      <c r="Y13" s="48"/>
      <c r="Z13" s="48"/>
      <c r="AA13" s="48"/>
      <c r="AB13" s="48"/>
      <c r="AC13" s="53"/>
    </row>
    <row r="14" spans="1:29">
      <c r="A14" s="2">
        <v>2020</v>
      </c>
      <c r="B14">
        <v>12</v>
      </c>
      <c r="C14">
        <v>99486</v>
      </c>
      <c r="D14">
        <f>1-C15/C14</f>
        <v>1.0051665560983913E-4</v>
      </c>
      <c r="E14">
        <f>C15/C14</f>
        <v>0.99989948334439016</v>
      </c>
      <c r="U14" s="13"/>
      <c r="V14" s="52"/>
      <c r="W14" s="48"/>
      <c r="X14" s="48"/>
      <c r="Y14" s="48"/>
      <c r="Z14" s="48"/>
      <c r="AA14" s="48"/>
      <c r="AB14" s="48"/>
      <c r="AC14" s="53"/>
    </row>
    <row r="15" spans="1:29">
      <c r="A15" s="2">
        <v>2020</v>
      </c>
      <c r="B15">
        <v>13</v>
      </c>
      <c r="C15">
        <v>99476</v>
      </c>
      <c r="D15">
        <f>1-C16/C15</f>
        <v>1.2063211226831516E-4</v>
      </c>
      <c r="E15">
        <f>C16/C15</f>
        <v>0.99987936788773168</v>
      </c>
      <c r="U15" s="13"/>
      <c r="V15" s="52"/>
      <c r="W15" s="48"/>
      <c r="X15" s="48"/>
      <c r="Y15" s="48"/>
      <c r="Z15" s="48"/>
      <c r="AA15" s="48"/>
      <c r="AB15" s="48"/>
      <c r="AC15" s="53"/>
    </row>
    <row r="16" spans="1:29">
      <c r="A16" s="2">
        <v>2020</v>
      </c>
      <c r="B16">
        <v>14</v>
      </c>
      <c r="C16">
        <v>99464</v>
      </c>
      <c r="D16">
        <f>1-C17/C16</f>
        <v>1.5080833266312155E-4</v>
      </c>
      <c r="E16">
        <f>C17/C16</f>
        <v>0.99984919166733688</v>
      </c>
      <c r="U16" s="13"/>
      <c r="V16" s="24"/>
      <c r="W16" s="13"/>
      <c r="X16" s="13"/>
      <c r="Y16" s="13"/>
      <c r="Z16" s="13"/>
      <c r="AA16" s="13"/>
      <c r="AB16" s="13"/>
      <c r="AC16" s="22"/>
    </row>
    <row r="17" spans="1:29">
      <c r="A17" s="2">
        <v>2020</v>
      </c>
      <c r="B17">
        <v>15</v>
      </c>
      <c r="C17">
        <v>99449</v>
      </c>
      <c r="D17">
        <f>1-C18/C17</f>
        <v>1.8099729509601925E-4</v>
      </c>
      <c r="E17">
        <f>C18/C17</f>
        <v>0.99981900270490398</v>
      </c>
      <c r="U17" s="13"/>
      <c r="V17" s="54" t="s">
        <v>118</v>
      </c>
      <c r="W17" s="47"/>
      <c r="X17" s="47"/>
      <c r="Y17" s="47"/>
      <c r="Z17" s="47"/>
      <c r="AA17" s="47"/>
      <c r="AB17" s="47"/>
      <c r="AC17" s="55"/>
    </row>
    <row r="18" spans="1:29">
      <c r="A18" s="2">
        <v>2020</v>
      </c>
      <c r="B18">
        <v>16</v>
      </c>
      <c r="C18">
        <v>99431</v>
      </c>
      <c r="D18">
        <f>1-C19/C18</f>
        <v>2.8160231718477036E-4</v>
      </c>
      <c r="E18">
        <f>C19/C18</f>
        <v>0.99971839768281523</v>
      </c>
      <c r="U18" s="13"/>
      <c r="V18" s="54"/>
      <c r="W18" s="47"/>
      <c r="X18" s="47"/>
      <c r="Y18" s="47"/>
      <c r="Z18" s="47"/>
      <c r="AA18" s="47"/>
      <c r="AB18" s="47"/>
      <c r="AC18" s="55"/>
    </row>
    <row r="19" spans="1:29">
      <c r="A19" s="2">
        <v>2020</v>
      </c>
      <c r="B19">
        <v>17</v>
      </c>
      <c r="C19">
        <v>99403</v>
      </c>
      <c r="D19">
        <f>1-C20/C19</f>
        <v>4.3258251763023114E-4</v>
      </c>
      <c r="E19">
        <f>C20/C19</f>
        <v>0.99956741748236977</v>
      </c>
      <c r="U19" s="13"/>
      <c r="V19" s="24"/>
      <c r="W19" s="13"/>
      <c r="X19" s="13"/>
      <c r="Y19" s="13"/>
      <c r="Z19" s="13"/>
      <c r="AA19" s="13"/>
      <c r="AB19" s="13"/>
      <c r="AC19" s="22"/>
    </row>
    <row r="20" spans="1:29">
      <c r="A20" s="2">
        <v>2020</v>
      </c>
      <c r="B20">
        <v>18</v>
      </c>
      <c r="C20">
        <v>99360</v>
      </c>
      <c r="D20">
        <f>1-C21/C20</f>
        <v>4.1264090177128843E-4</v>
      </c>
      <c r="E20">
        <f>C21/C20</f>
        <v>0.99958735909822871</v>
      </c>
      <c r="U20" s="13"/>
      <c r="V20" s="56" t="s">
        <v>119</v>
      </c>
      <c r="W20" s="57"/>
      <c r="X20" s="57"/>
      <c r="Y20" s="57"/>
      <c r="Z20" s="57"/>
      <c r="AA20" s="57"/>
      <c r="AB20" s="57"/>
      <c r="AC20" s="58"/>
    </row>
    <row r="21" spans="1:29">
      <c r="A21" s="2">
        <v>2020</v>
      </c>
      <c r="B21">
        <v>19</v>
      </c>
      <c r="C21">
        <v>99319</v>
      </c>
      <c r="D21">
        <f>1-C22/C21</f>
        <v>4.9335978010245363E-4</v>
      </c>
      <c r="E21">
        <f>C22/C21</f>
        <v>0.99950664021989755</v>
      </c>
    </row>
    <row r="22" spans="1:29">
      <c r="A22" s="2">
        <v>2020</v>
      </c>
      <c r="B22">
        <v>20</v>
      </c>
      <c r="C22">
        <v>99270</v>
      </c>
      <c r="D22">
        <f>1-C23/C22</f>
        <v>7.555152614082683E-4</v>
      </c>
      <c r="E22">
        <f>C23/C22</f>
        <v>0.99924448473859173</v>
      </c>
    </row>
    <row r="23" spans="1:29">
      <c r="A23" s="2">
        <v>2020</v>
      </c>
      <c r="B23">
        <v>21</v>
      </c>
      <c r="C23">
        <v>99195</v>
      </c>
      <c r="D23">
        <f>1-C24/C23</f>
        <v>5.4438227733255573E-4</v>
      </c>
      <c r="E23">
        <f>C24/C23</f>
        <v>0.99945561772266744</v>
      </c>
    </row>
    <row r="24" spans="1:29">
      <c r="A24" s="2">
        <v>2020</v>
      </c>
      <c r="B24">
        <v>22</v>
      </c>
      <c r="C24">
        <v>99141</v>
      </c>
      <c r="D24">
        <f>1-C25/C24</f>
        <v>4.841589251671774E-4</v>
      </c>
      <c r="E24">
        <f>C25/C24</f>
        <v>0.99951584107483282</v>
      </c>
    </row>
    <row r="25" spans="1:29">
      <c r="A25" s="2">
        <v>2020</v>
      </c>
      <c r="B25">
        <v>23</v>
      </c>
      <c r="C25">
        <v>99093</v>
      </c>
      <c r="D25">
        <f>1-C26/C25</f>
        <v>5.6512569000832791E-4</v>
      </c>
      <c r="E25">
        <f>C26/C25</f>
        <v>0.99943487430999167</v>
      </c>
    </row>
    <row r="26" spans="1:29">
      <c r="A26" s="2">
        <v>2020</v>
      </c>
      <c r="B26">
        <v>24</v>
      </c>
      <c r="C26">
        <v>99037</v>
      </c>
      <c r="D26">
        <f>1-C27/C26</f>
        <v>6.058341831840508E-4</v>
      </c>
      <c r="E26">
        <f>C27/C26</f>
        <v>0.99939416581681595</v>
      </c>
    </row>
    <row r="27" spans="1:29">
      <c r="A27" s="2">
        <v>2020</v>
      </c>
      <c r="B27">
        <v>25</v>
      </c>
      <c r="C27">
        <v>98977</v>
      </c>
      <c r="D27">
        <f>1-C28/C27</f>
        <v>5.6578801135620527E-4</v>
      </c>
      <c r="E27">
        <f>C28/C27</f>
        <v>0.99943421198864379</v>
      </c>
    </row>
    <row r="28" spans="1:29">
      <c r="A28" s="2">
        <v>2020</v>
      </c>
      <c r="B28">
        <v>26</v>
      </c>
      <c r="C28">
        <v>98921</v>
      </c>
      <c r="D28">
        <f>1-C29/C28</f>
        <v>6.9752630887276457E-4</v>
      </c>
      <c r="E28">
        <f>C29/C28</f>
        <v>0.99930247369112724</v>
      </c>
    </row>
    <row r="29" spans="1:29">
      <c r="A29" s="2">
        <v>2020</v>
      </c>
      <c r="B29">
        <v>27</v>
      </c>
      <c r="C29">
        <v>98852</v>
      </c>
      <c r="D29">
        <f>1-C30/C29</f>
        <v>6.7778092501924458E-4</v>
      </c>
      <c r="E29">
        <f>C30/C29</f>
        <v>0.99932221907498076</v>
      </c>
    </row>
    <row r="30" spans="1:29">
      <c r="A30" s="2">
        <v>2020</v>
      </c>
      <c r="B30">
        <v>28</v>
      </c>
      <c r="C30">
        <v>98785</v>
      </c>
      <c r="D30">
        <f>1-C31/C30</f>
        <v>7.5922457863031312E-4</v>
      </c>
      <c r="E30">
        <f>C31/C30</f>
        <v>0.99924077542136969</v>
      </c>
    </row>
    <row r="31" spans="1:29">
      <c r="A31" s="2">
        <v>2020</v>
      </c>
      <c r="B31">
        <v>29</v>
      </c>
      <c r="C31">
        <v>98710</v>
      </c>
      <c r="D31">
        <f>1-C32/C31</f>
        <v>1.124506129064895E-3</v>
      </c>
      <c r="E31">
        <f>C32/C31</f>
        <v>0.99887549387093511</v>
      </c>
    </row>
    <row r="32" spans="1:29">
      <c r="A32" s="2">
        <v>2020</v>
      </c>
      <c r="B32">
        <v>30</v>
      </c>
      <c r="C32">
        <v>98599</v>
      </c>
      <c r="D32">
        <f>1-C33/C32</f>
        <v>7.6065680179315809E-4</v>
      </c>
      <c r="E32">
        <f>C33/C32</f>
        <v>0.99923934319820684</v>
      </c>
    </row>
    <row r="33" spans="1:5">
      <c r="A33" s="2">
        <v>2020</v>
      </c>
      <c r="B33">
        <v>31</v>
      </c>
      <c r="C33">
        <v>98524</v>
      </c>
      <c r="D33">
        <f>1-C34/C33</f>
        <v>9.1348300921600956E-4</v>
      </c>
      <c r="E33">
        <f>C34/C33</f>
        <v>0.99908651699078399</v>
      </c>
    </row>
    <row r="34" spans="1:5">
      <c r="A34" s="2">
        <v>2020</v>
      </c>
      <c r="B34">
        <v>32</v>
      </c>
      <c r="C34">
        <v>98434</v>
      </c>
      <c r="D34">
        <f>1-C35/C34</f>
        <v>8.1272730966941431E-4</v>
      </c>
      <c r="E34">
        <f>C35/C34</f>
        <v>0.99918727269033059</v>
      </c>
    </row>
    <row r="35" spans="1:5">
      <c r="A35" s="2">
        <v>2020</v>
      </c>
      <c r="B35">
        <v>33</v>
      </c>
      <c r="C35">
        <v>98354</v>
      </c>
      <c r="D35">
        <f>1-C36/C35</f>
        <v>9.4556398316281154E-4</v>
      </c>
      <c r="E35">
        <f>C36/C35</f>
        <v>0.99905443601683719</v>
      </c>
    </row>
    <row r="36" spans="1:5">
      <c r="A36" s="2">
        <v>2020</v>
      </c>
      <c r="B36">
        <v>34</v>
      </c>
      <c r="C36">
        <v>98261</v>
      </c>
      <c r="D36">
        <f>1-C37/C36</f>
        <v>1.2517682498651705E-3</v>
      </c>
      <c r="E36">
        <f>C37/C36</f>
        <v>0.99874823175013483</v>
      </c>
    </row>
    <row r="37" spans="1:5">
      <c r="A37" s="2">
        <v>2020</v>
      </c>
      <c r="B37">
        <v>35</v>
      </c>
      <c r="C37">
        <v>98138</v>
      </c>
      <c r="D37">
        <f>1-C38/C37</f>
        <v>1.2023884733742829E-3</v>
      </c>
      <c r="E37">
        <f>C38/C37</f>
        <v>0.99879761152662572</v>
      </c>
    </row>
    <row r="38" spans="1:5">
      <c r="A38" s="2">
        <v>2020</v>
      </c>
      <c r="B38">
        <v>36</v>
      </c>
      <c r="C38">
        <v>98020</v>
      </c>
      <c r="D38">
        <f>1-C39/C38</f>
        <v>1.3772699449091652E-3</v>
      </c>
      <c r="E38">
        <f>C39/C38</f>
        <v>0.99862273005509083</v>
      </c>
    </row>
    <row r="39" spans="1:5">
      <c r="A39" s="2">
        <v>2020</v>
      </c>
      <c r="B39">
        <v>37</v>
      </c>
      <c r="C39">
        <v>97885</v>
      </c>
      <c r="D39">
        <f>1-C40/C39</f>
        <v>1.5630586913214506E-3</v>
      </c>
      <c r="E39">
        <f>C40/C39</f>
        <v>0.99843694130867855</v>
      </c>
    </row>
    <row r="40" spans="1:5">
      <c r="A40" s="2">
        <v>2020</v>
      </c>
      <c r="B40">
        <v>38</v>
      </c>
      <c r="C40">
        <v>97732</v>
      </c>
      <c r="D40">
        <f>1-C41/C40</f>
        <v>1.5962018581426873E-3</v>
      </c>
      <c r="E40">
        <f>C41/C40</f>
        <v>0.99840379814185731</v>
      </c>
    </row>
    <row r="41" spans="1:5">
      <c r="A41" s="2">
        <v>2020</v>
      </c>
      <c r="B41">
        <v>39</v>
      </c>
      <c r="C41">
        <v>97576</v>
      </c>
      <c r="D41">
        <f>1-C42/C41</f>
        <v>1.7217348528326681E-3</v>
      </c>
      <c r="E41">
        <f>C42/C41</f>
        <v>0.99827826514716733</v>
      </c>
    </row>
    <row r="42" spans="1:5">
      <c r="A42" s="2">
        <v>2020</v>
      </c>
      <c r="B42">
        <v>40</v>
      </c>
      <c r="C42">
        <v>97408</v>
      </c>
      <c r="D42">
        <f>1-C43/C42</f>
        <v>1.7144382391589552E-3</v>
      </c>
      <c r="E42">
        <f>C43/C42</f>
        <v>0.99828556176084104</v>
      </c>
    </row>
    <row r="43" spans="1:5">
      <c r="A43" s="2">
        <v>2020</v>
      </c>
      <c r="B43">
        <v>41</v>
      </c>
      <c r="C43">
        <v>97241</v>
      </c>
      <c r="D43">
        <f>1-C44/C43</f>
        <v>2.1081642517045696E-3</v>
      </c>
      <c r="E43">
        <f>C44/C43</f>
        <v>0.99789183574829543</v>
      </c>
    </row>
    <row r="44" spans="1:5">
      <c r="A44" s="2">
        <v>2020</v>
      </c>
      <c r="B44">
        <v>42</v>
      </c>
      <c r="C44">
        <v>97036</v>
      </c>
      <c r="D44">
        <f>1-C45/C44</f>
        <v>2.174450719320653E-3</v>
      </c>
      <c r="E44">
        <f>C45/C44</f>
        <v>0.99782554928067935</v>
      </c>
    </row>
    <row r="45" spans="1:5">
      <c r="A45" s="2">
        <v>2020</v>
      </c>
      <c r="B45">
        <v>43</v>
      </c>
      <c r="C45">
        <v>96825</v>
      </c>
      <c r="D45">
        <f>1-C46/C45</f>
        <v>2.6336173508907379E-3</v>
      </c>
      <c r="E45">
        <f>C46/C45</f>
        <v>0.99736638264910926</v>
      </c>
    </row>
    <row r="46" spans="1:5">
      <c r="A46" s="2">
        <v>2020</v>
      </c>
      <c r="B46">
        <v>44</v>
      </c>
      <c r="C46">
        <v>96570</v>
      </c>
      <c r="D46">
        <f>1-C47/C46</f>
        <v>2.8062545303925157E-3</v>
      </c>
      <c r="E46">
        <f>C47/C46</f>
        <v>0.99719374546960748</v>
      </c>
    </row>
    <row r="47" spans="1:5">
      <c r="A47" s="2">
        <v>2020</v>
      </c>
      <c r="B47">
        <v>45</v>
      </c>
      <c r="C47">
        <v>96299</v>
      </c>
      <c r="D47">
        <f>1-C48/C47</f>
        <v>3.6345133386639361E-3</v>
      </c>
      <c r="E47">
        <f>C48/C47</f>
        <v>0.99636548666133606</v>
      </c>
    </row>
    <row r="48" spans="1:5">
      <c r="A48" s="2">
        <v>2020</v>
      </c>
      <c r="B48">
        <v>46</v>
      </c>
      <c r="C48">
        <v>95949</v>
      </c>
      <c r="D48">
        <f>1-C49/C48</f>
        <v>3.6581934152518647E-3</v>
      </c>
      <c r="E48">
        <f>C49/C48</f>
        <v>0.99634180658474814</v>
      </c>
    </row>
    <row r="49" spans="1:5">
      <c r="A49" s="2">
        <v>2020</v>
      </c>
      <c r="B49">
        <v>47</v>
      </c>
      <c r="C49">
        <v>95598</v>
      </c>
      <c r="D49">
        <f>1-C50/C49</f>
        <v>4.8641184962028294E-3</v>
      </c>
      <c r="E49">
        <f>C50/C49</f>
        <v>0.99513588150379717</v>
      </c>
    </row>
    <row r="50" spans="1:5">
      <c r="A50" s="2">
        <v>2020</v>
      </c>
      <c r="B50">
        <v>48</v>
      </c>
      <c r="C50">
        <v>95133</v>
      </c>
      <c r="D50">
        <f>1-C51/C50</f>
        <v>4.8773821912480031E-3</v>
      </c>
      <c r="E50">
        <f>C51/C50</f>
        <v>0.995122617808752</v>
      </c>
    </row>
    <row r="51" spans="1:5">
      <c r="A51" s="2">
        <v>2020</v>
      </c>
      <c r="B51">
        <v>49</v>
      </c>
      <c r="C51">
        <v>94669</v>
      </c>
      <c r="D51">
        <f>1-C52/C51</f>
        <v>5.5139485998584314E-3</v>
      </c>
      <c r="E51">
        <f>C52/C51</f>
        <v>0.99448605140014157</v>
      </c>
    </row>
    <row r="52" spans="1:5">
      <c r="A52" s="2">
        <v>2020</v>
      </c>
      <c r="B52">
        <v>50</v>
      </c>
      <c r="C52">
        <v>94147</v>
      </c>
      <c r="D52">
        <f>1-C53/C52</f>
        <v>6.2986606052237715E-3</v>
      </c>
      <c r="E52">
        <f>C53/C52</f>
        <v>0.99370133939477623</v>
      </c>
    </row>
    <row r="53" spans="1:5">
      <c r="A53" s="2">
        <v>2020</v>
      </c>
      <c r="B53">
        <v>51</v>
      </c>
      <c r="C53">
        <v>93554</v>
      </c>
      <c r="D53">
        <f>1-C54/C53</f>
        <v>7.41817559911917E-3</v>
      </c>
      <c r="E53">
        <f>C54/C53</f>
        <v>0.99258182440088083</v>
      </c>
    </row>
    <row r="54" spans="1:5">
      <c r="A54" s="2">
        <v>2020</v>
      </c>
      <c r="B54">
        <v>52</v>
      </c>
      <c r="C54">
        <v>92860</v>
      </c>
      <c r="D54">
        <f>1-C55/C54</f>
        <v>8.8735731208270385E-3</v>
      </c>
      <c r="E54">
        <f>C55/C54</f>
        <v>0.99112642687917296</v>
      </c>
    </row>
    <row r="55" spans="1:5">
      <c r="A55" s="2">
        <v>2020</v>
      </c>
      <c r="B55">
        <v>53</v>
      </c>
      <c r="C55">
        <v>92036</v>
      </c>
      <c r="D55">
        <f>1-C56/C55</f>
        <v>1.0539354165761239E-2</v>
      </c>
      <c r="E55">
        <f>C56/C55</f>
        <v>0.98946064583423876</v>
      </c>
    </row>
    <row r="56" spans="1:5">
      <c r="A56" s="2">
        <v>2020</v>
      </c>
      <c r="B56">
        <v>54</v>
      </c>
      <c r="C56">
        <v>91066</v>
      </c>
      <c r="D56">
        <f>1-C57/C56</f>
        <v>1.1332440208200678E-2</v>
      </c>
      <c r="E56">
        <f>C57/C56</f>
        <v>0.98866755979179932</v>
      </c>
    </row>
    <row r="57" spans="1:5">
      <c r="A57" s="2">
        <v>2020</v>
      </c>
      <c r="B57">
        <v>55</v>
      </c>
      <c r="C57">
        <v>90034</v>
      </c>
      <c r="D57">
        <f>1-C58/C57</f>
        <v>1.3528222671435275E-2</v>
      </c>
      <c r="E57">
        <f>C58/C57</f>
        <v>0.98647177732856473</v>
      </c>
    </row>
    <row r="58" spans="1:5">
      <c r="A58" s="2">
        <v>2020</v>
      </c>
      <c r="B58">
        <v>56</v>
      </c>
      <c r="C58">
        <v>88816</v>
      </c>
      <c r="D58">
        <f>1-C59/C58</f>
        <v>1.3972707620248603E-2</v>
      </c>
      <c r="E58">
        <f>C59/C58</f>
        <v>0.9860272923797514</v>
      </c>
    </row>
    <row r="59" spans="1:5">
      <c r="A59" s="2">
        <v>2020</v>
      </c>
      <c r="B59">
        <v>57</v>
      </c>
      <c r="C59">
        <v>87575</v>
      </c>
      <c r="D59">
        <f>1-C60/C59</f>
        <v>1.5209820154153619E-2</v>
      </c>
      <c r="E59">
        <f>C60/C59</f>
        <v>0.98479017984584638</v>
      </c>
    </row>
    <row r="60" spans="1:5">
      <c r="A60" s="2">
        <v>2020</v>
      </c>
      <c r="B60">
        <v>58</v>
      </c>
      <c r="C60">
        <v>86243</v>
      </c>
      <c r="D60">
        <f>1-C61/C60</f>
        <v>1.820437600732816E-2</v>
      </c>
      <c r="E60">
        <f>C61/C60</f>
        <v>0.98179562399267184</v>
      </c>
    </row>
    <row r="61" spans="1:5">
      <c r="A61" s="2">
        <v>2020</v>
      </c>
      <c r="B61">
        <v>59</v>
      </c>
      <c r="C61">
        <v>84673</v>
      </c>
      <c r="D61">
        <f>1-C62/C61</f>
        <v>1.8719072195386932E-2</v>
      </c>
      <c r="E61">
        <f>C62/C61</f>
        <v>0.98128092780461307</v>
      </c>
    </row>
    <row r="62" spans="1:5">
      <c r="A62" s="2">
        <v>2020</v>
      </c>
      <c r="B62">
        <v>60</v>
      </c>
      <c r="C62">
        <v>83088</v>
      </c>
      <c r="D62">
        <f>1-C63/C62</f>
        <v>2.1435104948969719E-2</v>
      </c>
      <c r="E62">
        <f>C63/C62</f>
        <v>0.97856489505103028</v>
      </c>
    </row>
    <row r="63" spans="1:5">
      <c r="A63" s="2">
        <v>2020</v>
      </c>
      <c r="B63">
        <v>61</v>
      </c>
      <c r="C63">
        <v>81307</v>
      </c>
      <c r="D63">
        <f>1-C64/C63</f>
        <v>2.3810987983814424E-2</v>
      </c>
      <c r="E63">
        <f>C64/C63</f>
        <v>0.97618901201618558</v>
      </c>
    </row>
    <row r="64" spans="1:5">
      <c r="A64" s="2">
        <v>2020</v>
      </c>
      <c r="B64">
        <v>62</v>
      </c>
      <c r="C64">
        <v>79371</v>
      </c>
      <c r="D64">
        <f>1-C65/C64</f>
        <v>2.4908341837698855E-2</v>
      </c>
      <c r="E64">
        <f>C65/C64</f>
        <v>0.97509165816230114</v>
      </c>
    </row>
    <row r="65" spans="1:14">
      <c r="A65" s="2">
        <v>2020</v>
      </c>
      <c r="B65">
        <v>63</v>
      </c>
      <c r="C65">
        <v>77394</v>
      </c>
      <c r="D65">
        <f>1-C66/C65</f>
        <v>2.7120965449518031E-2</v>
      </c>
      <c r="E65">
        <f>C66/C65</f>
        <v>0.97287903455048197</v>
      </c>
    </row>
    <row r="66" spans="1:14" ht="15" thickBot="1">
      <c r="A66" s="2">
        <v>2020</v>
      </c>
      <c r="B66">
        <v>64</v>
      </c>
      <c r="C66">
        <v>75295</v>
      </c>
      <c r="D66">
        <f>1-C67/C66</f>
        <v>3.1409788166544939E-2</v>
      </c>
      <c r="E66">
        <f>C67/C66</f>
        <v>0.96859021183345506</v>
      </c>
      <c r="I66" s="5"/>
      <c r="J66" s="5"/>
      <c r="K66" s="5"/>
    </row>
    <row r="67" spans="1:14" ht="15" thickTop="1">
      <c r="A67" s="12">
        <v>2020</v>
      </c>
      <c r="B67" s="13">
        <v>65</v>
      </c>
      <c r="C67" s="13">
        <v>72930</v>
      </c>
      <c r="D67" s="13">
        <f>1-C68/C67</f>
        <v>3.2620320855614948E-2</v>
      </c>
      <c r="E67" s="13">
        <f>C68/C67</f>
        <v>0.96737967914438505</v>
      </c>
      <c r="F67" s="13"/>
      <c r="G67" s="13"/>
      <c r="H67" s="13"/>
      <c r="I67">
        <f>C67/$C$67</f>
        <v>1</v>
      </c>
      <c r="J67">
        <v>1</v>
      </c>
      <c r="K67">
        <f>I67*J67</f>
        <v>1</v>
      </c>
    </row>
    <row r="68" spans="1:14" ht="15" thickBot="1">
      <c r="A68" s="4">
        <v>2020</v>
      </c>
      <c r="B68" s="5">
        <v>66</v>
      </c>
      <c r="C68" s="5">
        <v>70551</v>
      </c>
      <c r="D68" s="5">
        <f>1-C69/C68</f>
        <v>3.4740825785601892E-2</v>
      </c>
      <c r="E68" s="5">
        <f>C69/C68</f>
        <v>0.96525917421439811</v>
      </c>
      <c r="F68" s="5"/>
      <c r="G68" s="5"/>
      <c r="H68" s="5"/>
      <c r="I68">
        <f>C68/$C$67</f>
        <v>0.96737967914438505</v>
      </c>
      <c r="J68">
        <f>1/(1+Eredmények!B9)</f>
        <v>0.95693779904306231</v>
      </c>
      <c r="K68">
        <f t="shared" ref="K68:K112" si="0">I68*J68</f>
        <v>0.92572218099941161</v>
      </c>
    </row>
    <row r="69" spans="1:14" ht="15" thickTop="1">
      <c r="A69" s="2">
        <v>2020</v>
      </c>
      <c r="B69">
        <v>67</v>
      </c>
      <c r="C69">
        <v>68100</v>
      </c>
      <c r="D69">
        <f>1-C70/C69</f>
        <v>3.5800293685756213E-2</v>
      </c>
      <c r="E69">
        <f>C70/C69</f>
        <v>0.96419970631424379</v>
      </c>
      <c r="F69">
        <f>C69/$C$69</f>
        <v>1</v>
      </c>
      <c r="G69">
        <v>1</v>
      </c>
      <c r="H69">
        <f t="shared" ref="H68:H112" si="1">F69*G69</f>
        <v>1</v>
      </c>
      <c r="I69">
        <f>C69/$C$67</f>
        <v>0.93377211024269846</v>
      </c>
      <c r="J69">
        <f>J68*$J$68</f>
        <v>0.91572995123738032</v>
      </c>
      <c r="K69">
        <f t="shared" si="0"/>
        <v>0.85508308897937202</v>
      </c>
    </row>
    <row r="70" spans="1:14" ht="15" thickBot="1">
      <c r="A70" s="2">
        <v>2020</v>
      </c>
      <c r="B70">
        <v>68</v>
      </c>
      <c r="C70">
        <v>65662</v>
      </c>
      <c r="D70">
        <f>1-C71/C70</f>
        <v>3.8743870122749824E-2</v>
      </c>
      <c r="E70">
        <f>C71/C70</f>
        <v>0.96125612987725018</v>
      </c>
      <c r="F70">
        <f>C70/$C$69</f>
        <v>0.96419970631424379</v>
      </c>
      <c r="G70">
        <f>1/(1+Eredmények!B9)</f>
        <v>0.95693779904306231</v>
      </c>
      <c r="H70">
        <f>F70*G70</f>
        <v>0.92267914479831947</v>
      </c>
      <c r="I70">
        <f>C70/$C$67</f>
        <v>0.90034279446044152</v>
      </c>
      <c r="J70">
        <f t="shared" ref="J70:J112" si="2">J69*$J$68</f>
        <v>0.8762966040549095</v>
      </c>
      <c r="K70">
        <f t="shared" si="0"/>
        <v>0.78896733327099233</v>
      </c>
      <c r="L70" s="5"/>
      <c r="M70" s="5"/>
      <c r="N70" s="5"/>
    </row>
    <row r="71" spans="1:14" ht="15" thickTop="1">
      <c r="A71" s="2">
        <v>2020</v>
      </c>
      <c r="B71">
        <v>69</v>
      </c>
      <c r="C71">
        <v>63118</v>
      </c>
      <c r="D71">
        <f>1-C72/C71</f>
        <v>4.0305459615323724E-2</v>
      </c>
      <c r="E71">
        <f>C72/C71</f>
        <v>0.95969454038467628</v>
      </c>
      <c r="F71">
        <f t="shared" ref="F71:F112" si="3">C71/$C$69</f>
        <v>0.92684287812041111</v>
      </c>
      <c r="G71">
        <f>G70*$G$70</f>
        <v>0.91572995123738032</v>
      </c>
      <c r="H71">
        <f t="shared" si="1"/>
        <v>0.84873778358591734</v>
      </c>
      <c r="I71">
        <f>C71/$C$67</f>
        <v>0.86546003016591255</v>
      </c>
      <c r="J71">
        <f t="shared" si="2"/>
        <v>0.83856134359321488</v>
      </c>
      <c r="K71">
        <f t="shared" si="0"/>
        <v>0.72574132572215189</v>
      </c>
      <c r="L71">
        <f>C71/$C$71</f>
        <v>1</v>
      </c>
      <c r="M71">
        <v>1</v>
      </c>
      <c r="N71">
        <f>L71*M71</f>
        <v>1</v>
      </c>
    </row>
    <row r="72" spans="1:14">
      <c r="A72" s="2">
        <v>2020</v>
      </c>
      <c r="B72">
        <v>70</v>
      </c>
      <c r="C72">
        <v>60574</v>
      </c>
      <c r="D72">
        <f>1-C73/C72</f>
        <v>4.1172780400832054E-2</v>
      </c>
      <c r="E72">
        <f>C73/C72</f>
        <v>0.95882721959916795</v>
      </c>
      <c r="F72">
        <f t="shared" si="3"/>
        <v>0.88948604992657854</v>
      </c>
      <c r="G72">
        <f t="shared" ref="G72:G112" si="4">G71*$G$70</f>
        <v>0.8762966040549095</v>
      </c>
      <c r="H72">
        <f t="shared" si="1"/>
        <v>0.77945360490487647</v>
      </c>
      <c r="I72">
        <f>C72/$C$67</f>
        <v>0.83057726587138347</v>
      </c>
      <c r="J72">
        <f t="shared" si="2"/>
        <v>0.80245104650068422</v>
      </c>
      <c r="K72">
        <f t="shared" si="0"/>
        <v>0.66649759619816873</v>
      </c>
      <c r="L72">
        <f>C72/$C$71</f>
        <v>0.95969454038467628</v>
      </c>
      <c r="M72">
        <f>1/(1+Eredmények!B9)</f>
        <v>0.95693779904306231</v>
      </c>
      <c r="N72">
        <f t="shared" ref="N72:N73" si="5">L72*M72</f>
        <v>0.91836798122935537</v>
      </c>
    </row>
    <row r="73" spans="1:14">
      <c r="A73" s="2">
        <v>2020</v>
      </c>
      <c r="B73">
        <v>71</v>
      </c>
      <c r="C73">
        <v>58080</v>
      </c>
      <c r="D73">
        <f>1-C74/C73</f>
        <v>4.4593663911845716E-2</v>
      </c>
      <c r="E73">
        <f>C74/C73</f>
        <v>0.95540633608815428</v>
      </c>
      <c r="F73">
        <f t="shared" si="3"/>
        <v>0.85286343612334803</v>
      </c>
      <c r="G73">
        <f t="shared" si="4"/>
        <v>0.83856134359321488</v>
      </c>
      <c r="H73">
        <f t="shared" si="1"/>
        <v>0.71517830889712075</v>
      </c>
      <c r="I73">
        <f>C73/$C$67</f>
        <v>0.7963800904977375</v>
      </c>
      <c r="J73">
        <f t="shared" si="2"/>
        <v>0.76789573827816682</v>
      </c>
      <c r="K73">
        <f t="shared" si="0"/>
        <v>0.6115368775427934</v>
      </c>
      <c r="L73">
        <f>C73/$C$71</f>
        <v>0.92018124782154065</v>
      </c>
      <c r="M73">
        <f>M72*$M$72</f>
        <v>0.91572995123738032</v>
      </c>
      <c r="N73">
        <f t="shared" si="5"/>
        <v>0.84263752919717116</v>
      </c>
    </row>
    <row r="74" spans="1:14">
      <c r="A74" s="2">
        <v>2020</v>
      </c>
      <c r="B74">
        <v>72</v>
      </c>
      <c r="C74">
        <v>55490</v>
      </c>
      <c r="D74">
        <f>1-C75/C74</f>
        <v>4.9990989367453609E-2</v>
      </c>
      <c r="E74">
        <f>C75/C74</f>
        <v>0.95000901063254639</v>
      </c>
      <c r="F74">
        <f t="shared" si="3"/>
        <v>0.81483113069016155</v>
      </c>
      <c r="G74">
        <f t="shared" si="4"/>
        <v>0.80245104650068422</v>
      </c>
      <c r="H74">
        <f t="shared" si="1"/>
        <v>0.65386209354365588</v>
      </c>
      <c r="I74">
        <f>C74/$C$67</f>
        <v>0.76086658439599619</v>
      </c>
      <c r="J74">
        <f t="shared" si="2"/>
        <v>0.73482845768245642</v>
      </c>
      <c r="K74">
        <f t="shared" si="0"/>
        <v>0.55910641871382849</v>
      </c>
      <c r="L74">
        <f>C74/$C$71</f>
        <v>0.87914699451820399</v>
      </c>
      <c r="M74">
        <f t="shared" ref="M74:M112" si="6">M73*$M$72</f>
        <v>0.8762966040549095</v>
      </c>
      <c r="N74">
        <f t="shared" ref="N74:N112" si="7">L74*M74</f>
        <v>0.77039352576138231</v>
      </c>
    </row>
    <row r="75" spans="1:14">
      <c r="A75" s="2">
        <v>2020</v>
      </c>
      <c r="B75">
        <v>73</v>
      </c>
      <c r="C75">
        <v>52716</v>
      </c>
      <c r="D75">
        <f>1-C76/C75</f>
        <v>5.2109416495940475E-2</v>
      </c>
      <c r="E75">
        <f>C76/C75</f>
        <v>0.94789058350405953</v>
      </c>
      <c r="F75">
        <f t="shared" si="3"/>
        <v>0.77409691629955946</v>
      </c>
      <c r="G75">
        <f t="shared" si="4"/>
        <v>0.76789573827816682</v>
      </c>
      <c r="H75">
        <f t="shared" si="1"/>
        <v>0.59442572304070251</v>
      </c>
      <c r="I75">
        <f>C75/$C$67</f>
        <v>0.72283011106540518</v>
      </c>
      <c r="J75">
        <f t="shared" si="2"/>
        <v>0.70318512696885793</v>
      </c>
      <c r="K75">
        <f t="shared" si="0"/>
        <v>0.50828338342644064</v>
      </c>
      <c r="L75">
        <f>C75/$C$71</f>
        <v>0.83519756646281573</v>
      </c>
      <c r="M75">
        <f t="shared" si="6"/>
        <v>0.83856134359321488</v>
      </c>
      <c r="N75">
        <f t="shared" si="7"/>
        <v>0.70036439349884216</v>
      </c>
    </row>
    <row r="76" spans="1:14">
      <c r="A76" s="2">
        <v>2020</v>
      </c>
      <c r="B76">
        <v>74</v>
      </c>
      <c r="C76">
        <v>49969</v>
      </c>
      <c r="D76">
        <f>1-C77/C76</f>
        <v>5.145190017811041E-2</v>
      </c>
      <c r="E76">
        <f>C77/C76</f>
        <v>0.94854809982188959</v>
      </c>
      <c r="F76">
        <f t="shared" si="3"/>
        <v>0.73375917767988252</v>
      </c>
      <c r="G76">
        <f t="shared" si="4"/>
        <v>0.73482845768245642</v>
      </c>
      <c r="H76">
        <f t="shared" si="1"/>
        <v>0.53918712484485554</v>
      </c>
      <c r="I76">
        <f>C76/$C$67</f>
        <v>0.68516385575209104</v>
      </c>
      <c r="J76">
        <f t="shared" si="2"/>
        <v>0.67290442772139525</v>
      </c>
      <c r="K76">
        <f t="shared" si="0"/>
        <v>0.46104979225024545</v>
      </c>
      <c r="L76">
        <f>C76/$C$71</f>
        <v>0.79167590861560888</v>
      </c>
      <c r="M76">
        <f t="shared" si="6"/>
        <v>0.80245104650068422</v>
      </c>
      <c r="N76">
        <f t="shared" si="7"/>
        <v>0.63528116135797541</v>
      </c>
    </row>
    <row r="77" spans="1:14">
      <c r="A77" s="2">
        <v>2020</v>
      </c>
      <c r="B77">
        <v>75</v>
      </c>
      <c r="C77">
        <v>47398</v>
      </c>
      <c r="D77">
        <f>1-C78/C77</f>
        <v>6.154268112578587E-2</v>
      </c>
      <c r="E77">
        <f>C78/C77</f>
        <v>0.93845731887421413</v>
      </c>
      <c r="F77">
        <f t="shared" si="3"/>
        <v>0.69600587371512479</v>
      </c>
      <c r="G77">
        <f t="shared" si="4"/>
        <v>0.70318512696885793</v>
      </c>
      <c r="H77">
        <f t="shared" si="1"/>
        <v>0.4894209786794409</v>
      </c>
      <c r="I77">
        <f>C77/$C$67</f>
        <v>0.6499108734402852</v>
      </c>
      <c r="J77">
        <f t="shared" si="2"/>
        <v>0.64392768203004336</v>
      </c>
      <c r="K77">
        <f t="shared" si="0"/>
        <v>0.41849560226052374</v>
      </c>
      <c r="L77">
        <f>C77/$C$71</f>
        <v>0.75094267879210364</v>
      </c>
      <c r="M77">
        <f t="shared" si="6"/>
        <v>0.76789573827816682</v>
      </c>
      <c r="N77">
        <f t="shared" si="7"/>
        <v>0.57664568273564676</v>
      </c>
    </row>
    <row r="78" spans="1:14">
      <c r="A78" s="2">
        <v>2020</v>
      </c>
      <c r="B78">
        <v>76</v>
      </c>
      <c r="C78">
        <v>44481</v>
      </c>
      <c r="D78">
        <f>1-C79/C78</f>
        <v>6.6005710303275511E-2</v>
      </c>
      <c r="E78">
        <f>C79/C78</f>
        <v>0.93399428969672449</v>
      </c>
      <c r="F78">
        <f t="shared" si="3"/>
        <v>0.65317180616740089</v>
      </c>
      <c r="G78">
        <f t="shared" si="4"/>
        <v>0.67290442772139525</v>
      </c>
      <c r="H78">
        <f t="shared" si="1"/>
        <v>0.43952220043282503</v>
      </c>
      <c r="I78">
        <f>C78/$C$67</f>
        <v>0.6099136157959687</v>
      </c>
      <c r="J78">
        <f t="shared" si="2"/>
        <v>0.61619873878473053</v>
      </c>
      <c r="K78">
        <f t="shared" si="0"/>
        <v>0.37582800082111062</v>
      </c>
      <c r="L78">
        <f>C78/$C$71</f>
        <v>0.70472765296745776</v>
      </c>
      <c r="M78">
        <f t="shared" si="6"/>
        <v>0.73482845768245642</v>
      </c>
      <c r="N78">
        <f t="shared" si="7"/>
        <v>0.51785393431625437</v>
      </c>
    </row>
    <row r="79" spans="1:14">
      <c r="A79" s="2">
        <v>2020</v>
      </c>
      <c r="B79">
        <v>77</v>
      </c>
      <c r="C79">
        <v>41545</v>
      </c>
      <c r="D79">
        <f>1-C80/C79</f>
        <v>6.819111806474909E-2</v>
      </c>
      <c r="E79">
        <f>C80/C79</f>
        <v>0.93180888193525091</v>
      </c>
      <c r="F79">
        <f t="shared" si="3"/>
        <v>0.61005873715124814</v>
      </c>
      <c r="G79">
        <f t="shared" si="4"/>
        <v>0.64392768203004336</v>
      </c>
      <c r="H79">
        <f t="shared" si="1"/>
        <v>0.39283370851597871</v>
      </c>
      <c r="I79">
        <f>C79/$C$67</f>
        <v>0.56965583436171674</v>
      </c>
      <c r="J79">
        <f t="shared" si="2"/>
        <v>0.58966386486577094</v>
      </c>
      <c r="K79">
        <f t="shared" si="0"/>
        <v>0.33590546093306534</v>
      </c>
      <c r="L79">
        <f>C79/$C$71</f>
        <v>0.65821160366298048</v>
      </c>
      <c r="M79">
        <f t="shared" si="6"/>
        <v>0.70318512696885793</v>
      </c>
      <c r="N79">
        <f t="shared" si="7"/>
        <v>0.46284461009412853</v>
      </c>
    </row>
    <row r="80" spans="1:14">
      <c r="A80" s="2">
        <v>2020</v>
      </c>
      <c r="B80">
        <v>78</v>
      </c>
      <c r="C80">
        <v>38712</v>
      </c>
      <c r="D80">
        <f>1-C81/C80</f>
        <v>7.7469518495556944E-2</v>
      </c>
      <c r="E80">
        <f>C81/C80</f>
        <v>0.92253048150444306</v>
      </c>
      <c r="F80">
        <f t="shared" si="3"/>
        <v>0.56845814977973563</v>
      </c>
      <c r="G80">
        <f t="shared" si="4"/>
        <v>0.61619873878473053</v>
      </c>
      <c r="H80">
        <f t="shared" si="1"/>
        <v>0.35028319494617455</v>
      </c>
      <c r="I80">
        <f>C80/$C$67</f>
        <v>0.53081036610448373</v>
      </c>
      <c r="J80">
        <f t="shared" si="2"/>
        <v>0.56427164101987659</v>
      </c>
      <c r="K80">
        <f t="shared" si="0"/>
        <v>0.29952123635213851</v>
      </c>
      <c r="L80">
        <f>C80/$C$71</f>
        <v>0.61332741848601036</v>
      </c>
      <c r="M80">
        <f t="shared" si="6"/>
        <v>0.67290442772139525</v>
      </c>
      <c r="N80">
        <f t="shared" si="7"/>
        <v>0.41271073554216947</v>
      </c>
    </row>
    <row r="81" spans="1:14">
      <c r="A81" s="2">
        <v>2020</v>
      </c>
      <c r="B81">
        <v>79</v>
      </c>
      <c r="C81">
        <v>35713</v>
      </c>
      <c r="D81">
        <f>1-C82/C81</f>
        <v>7.9326855766807647E-2</v>
      </c>
      <c r="E81">
        <f>C82/C81</f>
        <v>0.92067314423319235</v>
      </c>
      <c r="F81">
        <f t="shared" si="3"/>
        <v>0.52441997063142443</v>
      </c>
      <c r="G81">
        <f t="shared" si="4"/>
        <v>0.58966386486577094</v>
      </c>
      <c r="H81">
        <f t="shared" si="1"/>
        <v>0.30923150669531979</v>
      </c>
      <c r="I81">
        <f>C81/$C$67</f>
        <v>0.48968874262991913</v>
      </c>
      <c r="J81">
        <f t="shared" si="2"/>
        <v>0.53997286221997765</v>
      </c>
      <c r="K81">
        <f t="shared" si="0"/>
        <v>0.26441863195477944</v>
      </c>
      <c r="L81">
        <f>C81/$C$71</f>
        <v>0.56581323869577616</v>
      </c>
      <c r="M81">
        <f t="shared" si="6"/>
        <v>0.64392768203004336</v>
      </c>
      <c r="N81">
        <f t="shared" si="7"/>
        <v>0.36434280725528279</v>
      </c>
    </row>
    <row r="82" spans="1:14">
      <c r="A82" s="2">
        <v>2020</v>
      </c>
      <c r="B82">
        <v>80</v>
      </c>
      <c r="C82">
        <v>32880</v>
      </c>
      <c r="D82">
        <f>1-C83/C82</f>
        <v>9.2366180048661817E-2</v>
      </c>
      <c r="E82">
        <f>C83/C82</f>
        <v>0.90763381995133818</v>
      </c>
      <c r="F82">
        <f t="shared" si="3"/>
        <v>0.48281938325991192</v>
      </c>
      <c r="G82">
        <f t="shared" si="4"/>
        <v>0.56427164101987659</v>
      </c>
      <c r="H82">
        <f t="shared" si="1"/>
        <v>0.27244128570827525</v>
      </c>
      <c r="I82">
        <f>C82/$C$67</f>
        <v>0.45084327437268612</v>
      </c>
      <c r="J82">
        <f t="shared" si="2"/>
        <v>0.51672044231576819</v>
      </c>
      <c r="K82">
        <f t="shared" si="0"/>
        <v>0.23295993614894361</v>
      </c>
      <c r="L82">
        <f>C82/$C$71</f>
        <v>0.52092905351880603</v>
      </c>
      <c r="M82">
        <f t="shared" si="6"/>
        <v>0.61619873878473053</v>
      </c>
      <c r="N82">
        <f t="shared" si="7"/>
        <v>0.32099582577461166</v>
      </c>
    </row>
    <row r="83" spans="1:14">
      <c r="A83" s="2">
        <v>2020</v>
      </c>
      <c r="B83">
        <v>81</v>
      </c>
      <c r="C83">
        <v>29843</v>
      </c>
      <c r="D83">
        <f>1-C84/C83</f>
        <v>9.8046443051971965E-2</v>
      </c>
      <c r="E83">
        <f>C84/C83</f>
        <v>0.90195355694802803</v>
      </c>
      <c r="F83">
        <f t="shared" si="3"/>
        <v>0.438223201174743</v>
      </c>
      <c r="G83">
        <f t="shared" si="4"/>
        <v>0.53997286221997765</v>
      </c>
      <c r="H83">
        <f t="shared" si="1"/>
        <v>0.23662863622952704</v>
      </c>
      <c r="I83">
        <f>C83/$C$67</f>
        <v>0.40920060331825037</v>
      </c>
      <c r="J83">
        <f t="shared" si="2"/>
        <v>0.49446932279020883</v>
      </c>
      <c r="K83">
        <f t="shared" si="0"/>
        <v>0.20233714520812013</v>
      </c>
      <c r="L83">
        <f>C83/$C$71</f>
        <v>0.47281282676890901</v>
      </c>
      <c r="M83">
        <f t="shared" si="6"/>
        <v>0.58966386486577094</v>
      </c>
      <c r="N83">
        <f t="shared" si="7"/>
        <v>0.27880063879066513</v>
      </c>
    </row>
    <row r="84" spans="1:14">
      <c r="A84" s="2">
        <v>2020</v>
      </c>
      <c r="B84">
        <v>82</v>
      </c>
      <c r="C84">
        <v>26917</v>
      </c>
      <c r="D84">
        <f>1-C85/C84</f>
        <v>0.10342905970204708</v>
      </c>
      <c r="E84">
        <f>C85/C84</f>
        <v>0.89657094029795292</v>
      </c>
      <c r="F84">
        <f t="shared" si="3"/>
        <v>0.3952569750367107</v>
      </c>
      <c r="G84">
        <f t="shared" si="4"/>
        <v>0.51672044231576819</v>
      </c>
      <c r="H84">
        <f t="shared" si="1"/>
        <v>0.20423735896936171</v>
      </c>
      <c r="I84">
        <f>C84/$C$67</f>
        <v>0.36907993966817498</v>
      </c>
      <c r="J84">
        <f t="shared" si="2"/>
        <v>0.47317638544517598</v>
      </c>
      <c r="K84">
        <f t="shared" si="0"/>
        <v>0.17463991179251068</v>
      </c>
      <c r="L84">
        <f>C84/$C$71</f>
        <v>0.42645521087486932</v>
      </c>
      <c r="M84">
        <f t="shared" si="6"/>
        <v>0.56427164101987659</v>
      </c>
      <c r="N84">
        <f t="shared" si="7"/>
        <v>0.24063658166184004</v>
      </c>
    </row>
    <row r="85" spans="1:14">
      <c r="A85" s="2">
        <v>2020</v>
      </c>
      <c r="B85">
        <v>83</v>
      </c>
      <c r="C85">
        <v>24133</v>
      </c>
      <c r="D85">
        <f>1-C86/C85</f>
        <v>0.12360667965027139</v>
      </c>
      <c r="E85">
        <f>C86/C85</f>
        <v>0.87639332034972861</v>
      </c>
      <c r="F85">
        <f t="shared" si="3"/>
        <v>0.35437591776798827</v>
      </c>
      <c r="G85">
        <f t="shared" si="4"/>
        <v>0.49446932279020883</v>
      </c>
      <c r="H85">
        <f t="shared" si="1"/>
        <v>0.17522802007189589</v>
      </c>
      <c r="I85">
        <f>C85/$C$67</f>
        <v>0.33090634855340739</v>
      </c>
      <c r="J85">
        <f t="shared" si="2"/>
        <v>0.45280036884705843</v>
      </c>
      <c r="K85">
        <f t="shared" si="0"/>
        <v>0.14983451667881614</v>
      </c>
      <c r="L85">
        <f>C85/$C$71</f>
        <v>0.38234734940904336</v>
      </c>
      <c r="M85">
        <f t="shared" si="6"/>
        <v>0.53997286221997765</v>
      </c>
      <c r="N85">
        <f t="shared" si="7"/>
        <v>0.20645719262262302</v>
      </c>
    </row>
    <row r="86" spans="1:14">
      <c r="A86" s="2">
        <v>2020</v>
      </c>
      <c r="B86">
        <v>84</v>
      </c>
      <c r="C86">
        <v>21150</v>
      </c>
      <c r="D86">
        <f>1-C87/C86</f>
        <v>0.12628841607565011</v>
      </c>
      <c r="E86">
        <f>C87/C86</f>
        <v>0.87371158392434989</v>
      </c>
      <c r="F86">
        <f t="shared" si="3"/>
        <v>0.31057268722466963</v>
      </c>
      <c r="G86">
        <f t="shared" si="4"/>
        <v>0.47317638544517598</v>
      </c>
      <c r="H86">
        <f t="shared" si="1"/>
        <v>0.14695566155896436</v>
      </c>
      <c r="I86">
        <f>C86/$C$67</f>
        <v>0.29000411353352529</v>
      </c>
      <c r="J86">
        <f t="shared" si="2"/>
        <v>0.43330178837039091</v>
      </c>
      <c r="K86">
        <f t="shared" si="0"/>
        <v>0.1256593010288464</v>
      </c>
      <c r="L86">
        <f>C86/$C$71</f>
        <v>0.33508666307550938</v>
      </c>
      <c r="M86">
        <f t="shared" si="6"/>
        <v>0.51672044231576819</v>
      </c>
      <c r="N86">
        <f t="shared" si="7"/>
        <v>0.173146128758492</v>
      </c>
    </row>
    <row r="87" spans="1:14">
      <c r="A87" s="2">
        <v>2020</v>
      </c>
      <c r="B87">
        <v>85</v>
      </c>
      <c r="C87">
        <v>18479</v>
      </c>
      <c r="D87">
        <f>1-C88/C87</f>
        <v>0.14416364521889713</v>
      </c>
      <c r="E87">
        <f>C88/C87</f>
        <v>0.85583635478110287</v>
      </c>
      <c r="F87">
        <f t="shared" si="3"/>
        <v>0.27135095447870777</v>
      </c>
      <c r="G87">
        <f t="shared" si="4"/>
        <v>0.45280036884705843</v>
      </c>
      <c r="H87">
        <f t="shared" si="1"/>
        <v>0.12286781227496024</v>
      </c>
      <c r="I87">
        <f>C87/$C$67</f>
        <v>0.25337995337995339</v>
      </c>
      <c r="J87">
        <f t="shared" si="2"/>
        <v>0.41464285968458464</v>
      </c>
      <c r="K87">
        <f t="shared" si="0"/>
        <v>0.10506218845621061</v>
      </c>
      <c r="L87">
        <f>C87/$C$71</f>
        <v>0.29276909914762828</v>
      </c>
      <c r="M87">
        <f t="shared" si="6"/>
        <v>0.49446932279020883</v>
      </c>
      <c r="N87">
        <f t="shared" si="7"/>
        <v>0.14476533818942727</v>
      </c>
    </row>
    <row r="88" spans="1:14">
      <c r="A88" s="2">
        <v>2020</v>
      </c>
      <c r="B88">
        <v>86</v>
      </c>
      <c r="C88">
        <v>15815</v>
      </c>
      <c r="D88">
        <f>1-C89/C88</f>
        <v>0.16496996522288965</v>
      </c>
      <c r="E88">
        <f>C89/C88</f>
        <v>0.83503003477711035</v>
      </c>
      <c r="F88">
        <f t="shared" si="3"/>
        <v>0.23223201174743024</v>
      </c>
      <c r="G88">
        <f t="shared" si="4"/>
        <v>0.43330178837039091</v>
      </c>
      <c r="H88">
        <f t="shared" si="1"/>
        <v>0.10062654600701515</v>
      </c>
      <c r="I88">
        <f>C88/$C$67</f>
        <v>0.21685177567530509</v>
      </c>
      <c r="J88">
        <f t="shared" si="2"/>
        <v>0.39678742553548774</v>
      </c>
      <c r="K88">
        <f t="shared" si="0"/>
        <v>8.6044057793003406E-2</v>
      </c>
      <c r="L88">
        <f>C88/$C$71</f>
        <v>0.25056243860705346</v>
      </c>
      <c r="M88">
        <f t="shared" si="6"/>
        <v>0.47317638544517598</v>
      </c>
      <c r="N88">
        <f t="shared" si="7"/>
        <v>0.11856022902841437</v>
      </c>
    </row>
    <row r="89" spans="1:14">
      <c r="A89" s="2">
        <v>2020</v>
      </c>
      <c r="B89">
        <v>87</v>
      </c>
      <c r="C89">
        <v>13206</v>
      </c>
      <c r="D89">
        <f>1-C90/C89</f>
        <v>0.16219900045433888</v>
      </c>
      <c r="E89">
        <f>C90/C89</f>
        <v>0.83780099954566112</v>
      </c>
      <c r="F89">
        <f t="shared" si="3"/>
        <v>0.19392070484581497</v>
      </c>
      <c r="G89">
        <f t="shared" si="4"/>
        <v>0.41464285968458464</v>
      </c>
      <c r="H89">
        <f t="shared" si="1"/>
        <v>8.0407835609319009E-2</v>
      </c>
      <c r="I89">
        <f>C89/$C$67</f>
        <v>0.18107774578362815</v>
      </c>
      <c r="J89">
        <f t="shared" si="2"/>
        <v>0.37970088567989263</v>
      </c>
      <c r="K89">
        <f t="shared" si="0"/>
        <v>6.875538045096205E-2</v>
      </c>
      <c r="L89">
        <f>C89/$C$71</f>
        <v>0.20922716182388543</v>
      </c>
      <c r="M89">
        <f t="shared" si="6"/>
        <v>0.45280036884705843</v>
      </c>
      <c r="N89">
        <f t="shared" si="7"/>
        <v>9.4738136046678509E-2</v>
      </c>
    </row>
    <row r="90" spans="1:14">
      <c r="A90" s="2">
        <v>2020</v>
      </c>
      <c r="B90">
        <v>88</v>
      </c>
      <c r="C90">
        <v>11064</v>
      </c>
      <c r="D90">
        <f>1-C91/C90</f>
        <v>0.18564714389009396</v>
      </c>
      <c r="E90">
        <f>C91/C90</f>
        <v>0.81435285610990604</v>
      </c>
      <c r="F90">
        <f t="shared" si="3"/>
        <v>0.16246696035242292</v>
      </c>
      <c r="G90">
        <f t="shared" si="4"/>
        <v>0.39678742553548774</v>
      </c>
      <c r="H90">
        <f t="shared" si="1"/>
        <v>6.4464846932814041E-2</v>
      </c>
      <c r="I90">
        <f>C90/$C$67</f>
        <v>0.15170711641299878</v>
      </c>
      <c r="J90">
        <f t="shared" si="2"/>
        <v>0.36335012983721787</v>
      </c>
      <c r="K90">
        <f t="shared" si="0"/>
        <v>5.512280044589303E-2</v>
      </c>
      <c r="L90">
        <f>C90/$C$71</f>
        <v>0.17529072530815298</v>
      </c>
      <c r="M90">
        <f t="shared" si="6"/>
        <v>0.43330178837039091</v>
      </c>
      <c r="N90">
        <f t="shared" si="7"/>
        <v>7.5953784760765627E-2</v>
      </c>
    </row>
    <row r="91" spans="1:14">
      <c r="A91" s="2">
        <v>2020</v>
      </c>
      <c r="B91">
        <v>89</v>
      </c>
      <c r="C91">
        <v>9010</v>
      </c>
      <c r="D91">
        <f>1-C92/C91</f>
        <v>0.18490566037735845</v>
      </c>
      <c r="E91">
        <f>C92/C91</f>
        <v>0.81509433962264155</v>
      </c>
      <c r="F91">
        <f t="shared" si="3"/>
        <v>0.13230543318649046</v>
      </c>
      <c r="G91">
        <f t="shared" si="4"/>
        <v>0.37970088567989263</v>
      </c>
      <c r="H91">
        <f t="shared" si="1"/>
        <v>5.0236490161172286E-2</v>
      </c>
      <c r="I91">
        <f>C91/$C$67</f>
        <v>0.12354312354312354</v>
      </c>
      <c r="J91">
        <f t="shared" si="2"/>
        <v>0.34770347352843817</v>
      </c>
      <c r="K91">
        <f t="shared" si="0"/>
        <v>4.2956373186497018E-2</v>
      </c>
      <c r="L91">
        <f>C91/$C$71</f>
        <v>0.14274850280427137</v>
      </c>
      <c r="M91">
        <f t="shared" si="6"/>
        <v>0.41464285968458464</v>
      </c>
      <c r="N91">
        <f t="shared" si="7"/>
        <v>5.9189647418456032E-2</v>
      </c>
    </row>
    <row r="92" spans="1:14">
      <c r="A92" s="2">
        <v>2020</v>
      </c>
      <c r="B92">
        <v>90</v>
      </c>
      <c r="C92">
        <v>7344</v>
      </c>
      <c r="D92">
        <f>1-C93/C92</f>
        <v>0.17388344226579522</v>
      </c>
      <c r="E92">
        <f>C93/C92</f>
        <v>0.82611655773420478</v>
      </c>
      <c r="F92">
        <f t="shared" si="3"/>
        <v>0.10784140969162996</v>
      </c>
      <c r="G92">
        <f t="shared" si="4"/>
        <v>0.36335012983721787</v>
      </c>
      <c r="H92">
        <f t="shared" si="1"/>
        <v>3.9184190213282351E-2</v>
      </c>
      <c r="I92">
        <f>C92/$C$67</f>
        <v>0.10069930069930071</v>
      </c>
      <c r="J92">
        <f t="shared" si="2"/>
        <v>0.33273059667793131</v>
      </c>
      <c r="K92">
        <f t="shared" si="0"/>
        <v>3.3505738406728748E-2</v>
      </c>
      <c r="L92">
        <f>C92/$C$71</f>
        <v>0.11635349662536836</v>
      </c>
      <c r="M92">
        <f t="shared" si="6"/>
        <v>0.39678742553548774</v>
      </c>
      <c r="N92">
        <f t="shared" si="7"/>
        <v>4.6167604378031968E-2</v>
      </c>
    </row>
    <row r="93" spans="1:14">
      <c r="A93" s="2">
        <v>2020</v>
      </c>
      <c r="B93">
        <v>91</v>
      </c>
      <c r="C93">
        <v>6067</v>
      </c>
      <c r="D93">
        <f>1-C94/C93</f>
        <v>0.19400032965221692</v>
      </c>
      <c r="E93">
        <f>C94/C93</f>
        <v>0.80599967034778308</v>
      </c>
      <c r="F93">
        <f t="shared" si="3"/>
        <v>8.9089574155653453E-2</v>
      </c>
      <c r="G93">
        <f t="shared" si="4"/>
        <v>0.34770347352843817</v>
      </c>
      <c r="H93">
        <f t="shared" si="1"/>
        <v>3.0976754389090078E-2</v>
      </c>
      <c r="I93">
        <f>C93/$C$67</f>
        <v>8.3189359659947892E-2</v>
      </c>
      <c r="J93">
        <f t="shared" si="2"/>
        <v>0.31840248485926442</v>
      </c>
      <c r="K93">
        <f t="shared" si="0"/>
        <v>2.6487698829578462E-2</v>
      </c>
      <c r="L93">
        <f>C93/$C$71</f>
        <v>9.6121550112487728E-2</v>
      </c>
      <c r="M93">
        <f t="shared" si="6"/>
        <v>0.37970088567989263</v>
      </c>
      <c r="N93">
        <f t="shared" si="7"/>
        <v>3.6497437710635773E-2</v>
      </c>
    </row>
    <row r="94" spans="1:14">
      <c r="A94" s="2">
        <v>2020</v>
      </c>
      <c r="B94">
        <v>92</v>
      </c>
      <c r="C94">
        <v>4890</v>
      </c>
      <c r="D94">
        <f>1-C95/C94</f>
        <v>0.22535787321063394</v>
      </c>
      <c r="E94">
        <f>C95/C94</f>
        <v>0.77464212678936606</v>
      </c>
      <c r="F94">
        <f t="shared" si="3"/>
        <v>7.1806167400881055E-2</v>
      </c>
      <c r="G94">
        <f t="shared" si="4"/>
        <v>0.33273059667793131</v>
      </c>
      <c r="H94">
        <f t="shared" si="1"/>
        <v>2.3892108924450574E-2</v>
      </c>
      <c r="I94">
        <f>C94/$C$67</f>
        <v>6.7050596462361167E-2</v>
      </c>
      <c r="J94">
        <f t="shared" si="2"/>
        <v>0.30469137307106647</v>
      </c>
      <c r="K94">
        <f t="shared" si="0"/>
        <v>2.0429738301350815E-2</v>
      </c>
      <c r="L94">
        <f>C94/$C$71</f>
        <v>7.7473937703983017E-2</v>
      </c>
      <c r="M94">
        <f t="shared" si="6"/>
        <v>0.36335012983721787</v>
      </c>
      <c r="N94">
        <f t="shared" si="7"/>
        <v>2.815016532374276E-2</v>
      </c>
    </row>
    <row r="95" spans="1:14">
      <c r="A95" s="2">
        <v>2020</v>
      </c>
      <c r="B95">
        <v>93</v>
      </c>
      <c r="C95">
        <v>3788</v>
      </c>
      <c r="D95">
        <f>1-C96/C95</f>
        <v>0.2331045406546991</v>
      </c>
      <c r="E95">
        <f>C96/C95</f>
        <v>0.7668954593453009</v>
      </c>
      <c r="F95">
        <f t="shared" si="3"/>
        <v>5.5624082232011748E-2</v>
      </c>
      <c r="G95">
        <f t="shared" si="4"/>
        <v>0.31840248485926442</v>
      </c>
      <c r="H95">
        <f t="shared" si="1"/>
        <v>1.7710846000688601E-2</v>
      </c>
      <c r="I95">
        <f>C95/$C$67</f>
        <v>5.1940216646098998E-2</v>
      </c>
      <c r="J95">
        <f t="shared" si="2"/>
        <v>0.29157069193403495</v>
      </c>
      <c r="K95">
        <f t="shared" si="0"/>
        <v>1.5144244906706765E-2</v>
      </c>
      <c r="L95">
        <f>C95/$C$71</f>
        <v>6.0014575873760259E-2</v>
      </c>
      <c r="M95">
        <f t="shared" si="6"/>
        <v>0.34770347352843817</v>
      </c>
      <c r="N95">
        <f t="shared" si="7"/>
        <v>2.0867276493642443E-2</v>
      </c>
    </row>
    <row r="96" spans="1:14">
      <c r="A96" s="2">
        <v>2020</v>
      </c>
      <c r="B96">
        <v>94</v>
      </c>
      <c r="C96">
        <v>2905</v>
      </c>
      <c r="D96">
        <f>1-C97/C96</f>
        <v>0.25438898450946645</v>
      </c>
      <c r="E96">
        <f>C97/C96</f>
        <v>0.74561101549053355</v>
      </c>
      <c r="F96">
        <f t="shared" si="3"/>
        <v>4.2657856093979443E-2</v>
      </c>
      <c r="G96">
        <f t="shared" si="4"/>
        <v>0.30469137307106647</v>
      </c>
      <c r="H96">
        <f t="shared" si="1"/>
        <v>1.2997480745542557E-2</v>
      </c>
      <c r="I96">
        <f>C96/$C$67</f>
        <v>3.9832716303304538E-2</v>
      </c>
      <c r="J96">
        <f t="shared" si="2"/>
        <v>0.27901501620481817</v>
      </c>
      <c r="K96">
        <f t="shared" si="0"/>
        <v>1.1113925984848441E-2</v>
      </c>
      <c r="L96">
        <f>C96/$C$71</f>
        <v>4.6024905732120792E-2</v>
      </c>
      <c r="M96">
        <f t="shared" si="6"/>
        <v>0.33273059667793131</v>
      </c>
      <c r="N96">
        <f t="shared" si="7"/>
        <v>1.5313894346294092E-2</v>
      </c>
    </row>
    <row r="97" spans="1:14">
      <c r="A97" s="2">
        <v>2020</v>
      </c>
      <c r="B97">
        <v>95</v>
      </c>
      <c r="C97">
        <v>2166</v>
      </c>
      <c r="D97">
        <f>1-C98/C97</f>
        <v>0.26823638042474607</v>
      </c>
      <c r="E97">
        <f>C98/C97</f>
        <v>0.73176361957525393</v>
      </c>
      <c r="F97">
        <f t="shared" si="3"/>
        <v>3.1806167400881054E-2</v>
      </c>
      <c r="G97">
        <f t="shared" si="4"/>
        <v>0.29157069193403495</v>
      </c>
      <c r="H97">
        <f t="shared" si="1"/>
        <v>9.2737462368446353E-3</v>
      </c>
      <c r="I97">
        <f>C97/$C$67</f>
        <v>2.9699712052653229E-2</v>
      </c>
      <c r="J97">
        <f t="shared" si="2"/>
        <v>0.26700001550700309</v>
      </c>
      <c r="K97">
        <f t="shared" si="0"/>
        <v>7.9298235786119387E-3</v>
      </c>
      <c r="L97">
        <f>C97/$C$71</f>
        <v>3.4316676700782658E-2</v>
      </c>
      <c r="M97">
        <f t="shared" si="6"/>
        <v>0.31840248485926442</v>
      </c>
      <c r="N97">
        <f t="shared" si="7"/>
        <v>1.0926515133641223E-2</v>
      </c>
    </row>
    <row r="98" spans="1:14">
      <c r="A98" s="2">
        <v>2020</v>
      </c>
      <c r="B98">
        <v>96</v>
      </c>
      <c r="C98">
        <v>1585</v>
      </c>
      <c r="D98">
        <f>1-C99/C98</f>
        <v>0.28328075709779177</v>
      </c>
      <c r="E98">
        <f>C99/C98</f>
        <v>0.71671924290220823</v>
      </c>
      <c r="F98">
        <f t="shared" si="3"/>
        <v>2.3274596182085168E-2</v>
      </c>
      <c r="G98">
        <f t="shared" si="4"/>
        <v>0.27901501620481817</v>
      </c>
      <c r="H98">
        <f t="shared" si="1"/>
        <v>6.4939618309050925E-3</v>
      </c>
      <c r="I98">
        <f>C98/$C$67</f>
        <v>2.1733168791992323E-2</v>
      </c>
      <c r="J98">
        <f t="shared" si="2"/>
        <v>0.25550240718373501</v>
      </c>
      <c r="K98">
        <f t="shared" si="0"/>
        <v>5.5528769420844651E-3</v>
      </c>
      <c r="L98">
        <f>C98/$C$71</f>
        <v>2.5111695554358503E-2</v>
      </c>
      <c r="M98">
        <f t="shared" si="6"/>
        <v>0.30469137307106647</v>
      </c>
      <c r="N98">
        <f t="shared" si="7"/>
        <v>7.6513169986000881E-3</v>
      </c>
    </row>
    <row r="99" spans="1:14">
      <c r="A99" s="2">
        <v>2020</v>
      </c>
      <c r="B99">
        <v>97</v>
      </c>
      <c r="C99">
        <v>1136</v>
      </c>
      <c r="D99">
        <f>1-C100/C99</f>
        <v>0.2984154929577465</v>
      </c>
      <c r="E99">
        <f>C100/C99</f>
        <v>0.7015845070422535</v>
      </c>
      <c r="F99">
        <f t="shared" si="3"/>
        <v>1.6681350954478709E-2</v>
      </c>
      <c r="G99">
        <f t="shared" si="4"/>
        <v>0.26700001550700309</v>
      </c>
      <c r="H99">
        <f t="shared" si="1"/>
        <v>4.4539209635235761E-3</v>
      </c>
      <c r="I99">
        <f>C99/$C$67</f>
        <v>1.5576580282462636E-2</v>
      </c>
      <c r="J99">
        <f t="shared" si="2"/>
        <v>0.24449991118060771</v>
      </c>
      <c r="K99">
        <f t="shared" si="0"/>
        <v>3.8084724955597198E-3</v>
      </c>
      <c r="L99">
        <f>C99/$C$71</f>
        <v>1.7998035425710573E-2</v>
      </c>
      <c r="M99">
        <f t="shared" si="6"/>
        <v>0.29157069193403495</v>
      </c>
      <c r="N99">
        <f t="shared" si="7"/>
        <v>5.2476996425277053E-3</v>
      </c>
    </row>
    <row r="100" spans="1:14">
      <c r="A100" s="2">
        <v>2020</v>
      </c>
      <c r="B100">
        <v>98</v>
      </c>
      <c r="C100">
        <v>797</v>
      </c>
      <c r="D100">
        <f>1-C101/C100</f>
        <v>0.31493099121706403</v>
      </c>
      <c r="E100">
        <f>C101/C100</f>
        <v>0.68506900878293597</v>
      </c>
      <c r="F100">
        <f t="shared" si="3"/>
        <v>1.170337738619677E-2</v>
      </c>
      <c r="G100">
        <f t="shared" si="4"/>
        <v>0.25550240718373501</v>
      </c>
      <c r="H100">
        <f t="shared" si="1"/>
        <v>2.9902410943529636E-3</v>
      </c>
      <c r="I100">
        <f>C100/$C$67</f>
        <v>1.0928287398875634E-2</v>
      </c>
      <c r="J100">
        <f t="shared" si="2"/>
        <v>0.23397120687139497</v>
      </c>
      <c r="K100">
        <f t="shared" si="0"/>
        <v>2.5569045917523897E-3</v>
      </c>
      <c r="L100">
        <f>C100/$C$71</f>
        <v>1.2627142811876168E-2</v>
      </c>
      <c r="M100">
        <f t="shared" si="6"/>
        <v>0.27901501620481817</v>
      </c>
      <c r="N100">
        <f t="shared" si="7"/>
        <v>3.523162456276182E-3</v>
      </c>
    </row>
    <row r="101" spans="1:14">
      <c r="A101" s="2">
        <v>2020</v>
      </c>
      <c r="B101">
        <v>99</v>
      </c>
      <c r="C101">
        <v>546</v>
      </c>
      <c r="D101">
        <f>1-C102/C101</f>
        <v>0.32967032967032972</v>
      </c>
      <c r="E101">
        <f>C102/C101</f>
        <v>0.67032967032967028</v>
      </c>
      <c r="F101">
        <f t="shared" si="3"/>
        <v>8.0176211453744494E-3</v>
      </c>
      <c r="G101">
        <f t="shared" si="4"/>
        <v>0.24449991118060771</v>
      </c>
      <c r="H101">
        <f t="shared" si="1"/>
        <v>1.9603076579238149E-3</v>
      </c>
      <c r="I101">
        <f>C101/$C$67</f>
        <v>7.4866310160427805E-3</v>
      </c>
      <c r="J101">
        <f t="shared" si="2"/>
        <v>0.22389589174296173</v>
      </c>
      <c r="K101">
        <f t="shared" si="0"/>
        <v>1.6762259274874141E-3</v>
      </c>
      <c r="L101">
        <f>C101/$C$71</f>
        <v>8.6504642098925826E-3</v>
      </c>
      <c r="M101">
        <f t="shared" si="6"/>
        <v>0.26700001550700309</v>
      </c>
      <c r="N101">
        <f t="shared" si="7"/>
        <v>2.3096740781840949E-3</v>
      </c>
    </row>
    <row r="102" spans="1:14">
      <c r="A102" s="2">
        <v>2020</v>
      </c>
      <c r="B102">
        <v>100</v>
      </c>
      <c r="C102">
        <v>366</v>
      </c>
      <c r="D102">
        <f>1-C103/C102</f>
        <v>0.34699453551912574</v>
      </c>
      <c r="E102">
        <f>C103/C102</f>
        <v>0.65300546448087426</v>
      </c>
      <c r="F102">
        <f t="shared" si="3"/>
        <v>5.3744493392070486E-3</v>
      </c>
      <c r="G102">
        <f t="shared" si="4"/>
        <v>0.23397120687139497</v>
      </c>
      <c r="H102">
        <f t="shared" si="1"/>
        <v>1.2574663981634443E-3</v>
      </c>
      <c r="I102">
        <f>C102/$C$67</f>
        <v>5.0185109008638422E-3</v>
      </c>
      <c r="J102">
        <f t="shared" si="2"/>
        <v>0.21425444185929354</v>
      </c>
      <c r="K102">
        <f t="shared" si="0"/>
        <v>1.0752382520293629E-3</v>
      </c>
      <c r="L102">
        <f>C102/$C$71</f>
        <v>5.7986628220159063E-3</v>
      </c>
      <c r="M102">
        <f t="shared" si="6"/>
        <v>0.25550240718373501</v>
      </c>
      <c r="N102">
        <f t="shared" si="7"/>
        <v>1.4815723094718941E-3</v>
      </c>
    </row>
    <row r="103" spans="1:14">
      <c r="A103" s="2">
        <v>2020</v>
      </c>
      <c r="B103">
        <v>101</v>
      </c>
      <c r="C103">
        <v>239</v>
      </c>
      <c r="D103">
        <f>1-C104/C103</f>
        <v>0.35983263598326365</v>
      </c>
      <c r="E103">
        <f>C104/C103</f>
        <v>0.64016736401673635</v>
      </c>
      <c r="F103">
        <f t="shared" si="3"/>
        <v>3.5095447870778268E-3</v>
      </c>
      <c r="G103">
        <f t="shared" si="4"/>
        <v>0.22389589174296173</v>
      </c>
      <c r="H103">
        <f t="shared" si="1"/>
        <v>7.8577265971465282E-4</v>
      </c>
      <c r="I103">
        <f>C103/$C$67</f>
        <v>3.277115041820924E-3</v>
      </c>
      <c r="J103">
        <f t="shared" si="2"/>
        <v>0.20502817402803211</v>
      </c>
      <c r="K103">
        <f t="shared" si="0"/>
        <v>6.7190091310434215E-4</v>
      </c>
      <c r="L103">
        <f>C103/$C$71</f>
        <v>3.7865585094584747E-3</v>
      </c>
      <c r="M103">
        <f t="shared" si="6"/>
        <v>0.24449991118060771</v>
      </c>
      <c r="N103">
        <f t="shared" si="7"/>
        <v>9.2581321924277134E-4</v>
      </c>
    </row>
    <row r="104" spans="1:14">
      <c r="A104" s="2">
        <v>2020</v>
      </c>
      <c r="B104">
        <v>102</v>
      </c>
      <c r="C104">
        <v>153</v>
      </c>
      <c r="D104">
        <f>1-C105/C104</f>
        <v>0.37908496732026142</v>
      </c>
      <c r="E104">
        <f>C105/C104</f>
        <v>0.62091503267973858</v>
      </c>
      <c r="F104">
        <f t="shared" si="3"/>
        <v>2.2466960352422907E-3</v>
      </c>
      <c r="G104">
        <f t="shared" si="4"/>
        <v>0.21425444185929354</v>
      </c>
      <c r="H104">
        <f t="shared" si="1"/>
        <v>4.813646050583247E-4</v>
      </c>
      <c r="I104">
        <f>C104/$C$67</f>
        <v>2.0979020979020979E-3</v>
      </c>
      <c r="J104">
        <f t="shared" si="2"/>
        <v>0.19619920959620299</v>
      </c>
      <c r="K104">
        <f t="shared" si="0"/>
        <v>4.1160673341860765E-4</v>
      </c>
      <c r="L104">
        <f>C104/$C$71</f>
        <v>2.4240311796951742E-3</v>
      </c>
      <c r="M104">
        <f t="shared" si="6"/>
        <v>0.23397120687139497</v>
      </c>
      <c r="N104">
        <f t="shared" si="7"/>
        <v>5.671535006071712E-4</v>
      </c>
    </row>
    <row r="105" spans="1:14">
      <c r="A105" s="2">
        <v>2020</v>
      </c>
      <c r="B105">
        <v>103</v>
      </c>
      <c r="C105">
        <v>95</v>
      </c>
      <c r="D105">
        <f>1-C106/C105</f>
        <v>0.38947368421052631</v>
      </c>
      <c r="E105">
        <f>C106/C105</f>
        <v>0.61052631578947369</v>
      </c>
      <c r="F105">
        <f t="shared" si="3"/>
        <v>1.3950073421439061E-3</v>
      </c>
      <c r="G105">
        <f t="shared" si="4"/>
        <v>0.20502817402803211</v>
      </c>
      <c r="H105">
        <f t="shared" si="1"/>
        <v>2.860158081154633E-4</v>
      </c>
      <c r="I105">
        <f>C105/$C$67</f>
        <v>1.3026189496777732E-3</v>
      </c>
      <c r="J105">
        <f t="shared" si="2"/>
        <v>0.18775043980497896</v>
      </c>
      <c r="K105">
        <f t="shared" si="0"/>
        <v>2.4456728070030171E-4</v>
      </c>
      <c r="L105">
        <f>C105/$C$71</f>
        <v>1.5051173991571343E-3</v>
      </c>
      <c r="M105">
        <f t="shared" si="6"/>
        <v>0.22389589174296173</v>
      </c>
      <c r="N105">
        <f t="shared" si="7"/>
        <v>3.3698960226213388E-4</v>
      </c>
    </row>
    <row r="106" spans="1:14">
      <c r="A106" s="2">
        <v>2020</v>
      </c>
      <c r="B106">
        <v>104</v>
      </c>
      <c r="C106">
        <v>58</v>
      </c>
      <c r="D106">
        <f>1-C107/C106</f>
        <v>0.41379310344827591</v>
      </c>
      <c r="E106">
        <f>C107/C106</f>
        <v>0.58620689655172409</v>
      </c>
      <c r="F106">
        <f t="shared" si="3"/>
        <v>8.5168869309838475E-4</v>
      </c>
      <c r="G106">
        <f t="shared" si="4"/>
        <v>0.19619920959620299</v>
      </c>
      <c r="H106">
        <f t="shared" si="1"/>
        <v>1.671006484079262E-4</v>
      </c>
      <c r="I106">
        <f>C106/$C$67</f>
        <v>7.9528314822432467E-4</v>
      </c>
      <c r="J106">
        <f t="shared" si="2"/>
        <v>0.17966549263634352</v>
      </c>
      <c r="K106">
        <f t="shared" si="0"/>
        <v>1.428849386111055E-4</v>
      </c>
      <c r="L106">
        <f>C106/$C$71</f>
        <v>9.1891378053803984E-4</v>
      </c>
      <c r="M106">
        <f t="shared" si="6"/>
        <v>0.21425444185929354</v>
      </c>
      <c r="N106">
        <f t="shared" si="7"/>
        <v>1.9688135916599107E-4</v>
      </c>
    </row>
    <row r="107" spans="1:14">
      <c r="A107" s="2">
        <v>2020</v>
      </c>
      <c r="B107">
        <v>105</v>
      </c>
      <c r="C107">
        <v>34</v>
      </c>
      <c r="D107">
        <f>1-C108/C107</f>
        <v>0.41176470588235292</v>
      </c>
      <c r="E107">
        <f>C108/C107</f>
        <v>0.58823529411764708</v>
      </c>
      <c r="F107">
        <f t="shared" si="3"/>
        <v>4.9926578560939799E-4</v>
      </c>
      <c r="G107">
        <f t="shared" si="4"/>
        <v>0.18775043980497896</v>
      </c>
      <c r="H107">
        <f t="shared" si="1"/>
        <v>9.3737370827742808E-5</v>
      </c>
      <c r="I107">
        <f>C107/$C$67</f>
        <v>4.662004662004662E-4</v>
      </c>
      <c r="J107">
        <f t="shared" si="2"/>
        <v>0.17192870108741007</v>
      </c>
      <c r="K107">
        <f t="shared" si="0"/>
        <v>8.0153240600191168E-5</v>
      </c>
      <c r="L107">
        <f>C107/$C$71</f>
        <v>5.3867359548781643E-4</v>
      </c>
      <c r="M107">
        <f t="shared" si="6"/>
        <v>0.20502817402803211</v>
      </c>
      <c r="N107">
        <f t="shared" si="7"/>
        <v>1.1044326367998181E-4</v>
      </c>
    </row>
    <row r="108" spans="1:14">
      <c r="A108" s="2">
        <v>2020</v>
      </c>
      <c r="B108">
        <v>106</v>
      </c>
      <c r="C108">
        <v>20</v>
      </c>
      <c r="D108">
        <f>1-C109/C108</f>
        <v>0.44999999999999996</v>
      </c>
      <c r="E108">
        <f>C109/C108</f>
        <v>0.55000000000000004</v>
      </c>
      <c r="F108">
        <f t="shared" si="3"/>
        <v>2.9368575624082231E-4</v>
      </c>
      <c r="G108">
        <f t="shared" si="4"/>
        <v>0.17966549263634352</v>
      </c>
      <c r="H108">
        <f t="shared" si="1"/>
        <v>5.2765196075284441E-5</v>
      </c>
      <c r="I108">
        <f>C108/$C$67</f>
        <v>2.7423556835321541E-4</v>
      </c>
      <c r="J108">
        <f t="shared" si="2"/>
        <v>0.16452507281091874</v>
      </c>
      <c r="K108">
        <f t="shared" si="0"/>
        <v>4.5118626850656449E-5</v>
      </c>
      <c r="L108">
        <f>C108/$C$71</f>
        <v>3.1686682087518614E-4</v>
      </c>
      <c r="M108">
        <f t="shared" si="6"/>
        <v>0.19619920959620299</v>
      </c>
      <c r="N108">
        <f t="shared" si="7"/>
        <v>6.2169019802973152E-5</v>
      </c>
    </row>
    <row r="109" spans="1:14">
      <c r="A109" s="2">
        <v>2020</v>
      </c>
      <c r="B109">
        <v>107</v>
      </c>
      <c r="C109">
        <v>11</v>
      </c>
      <c r="D109">
        <f>1-C110/C109</f>
        <v>0.45454545454545459</v>
      </c>
      <c r="E109">
        <f>C110/C109</f>
        <v>0.54545454545454541</v>
      </c>
      <c r="F109">
        <f t="shared" si="3"/>
        <v>1.6152716593245228E-4</v>
      </c>
      <c r="G109">
        <f t="shared" si="4"/>
        <v>0.17192870108741007</v>
      </c>
      <c r="H109">
        <f t="shared" si="1"/>
        <v>2.7771155829097075E-5</v>
      </c>
      <c r="I109">
        <f>C109/$C$67</f>
        <v>1.5082956259426848E-4</v>
      </c>
      <c r="J109">
        <f t="shared" si="2"/>
        <v>0.15744026106308015</v>
      </c>
      <c r="K109">
        <f t="shared" si="0"/>
        <v>2.3746645710871819E-5</v>
      </c>
      <c r="L109">
        <f>C109/$C$71</f>
        <v>1.7427675148135239E-4</v>
      </c>
      <c r="M109">
        <f t="shared" si="6"/>
        <v>0.18775043980497896</v>
      </c>
      <c r="N109">
        <f t="shared" si="7"/>
        <v>3.2720536738406933E-5</v>
      </c>
    </row>
    <row r="110" spans="1:14">
      <c r="A110" s="2">
        <v>2020</v>
      </c>
      <c r="B110">
        <v>108</v>
      </c>
      <c r="C110">
        <v>6</v>
      </c>
      <c r="D110">
        <f>1-C111/C110</f>
        <v>0.5</v>
      </c>
      <c r="E110">
        <f>C111/C110</f>
        <v>0.5</v>
      </c>
      <c r="F110">
        <f t="shared" si="3"/>
        <v>8.8105726872246703E-5</v>
      </c>
      <c r="G110">
        <f t="shared" si="4"/>
        <v>0.16452507281091874</v>
      </c>
      <c r="H110">
        <f t="shared" si="1"/>
        <v>1.449560112871531E-5</v>
      </c>
      <c r="I110">
        <f>C110/$C$67</f>
        <v>8.2270670505964617E-5</v>
      </c>
      <c r="J110">
        <f t="shared" si="2"/>
        <v>0.15066053690246906</v>
      </c>
      <c r="K110">
        <f t="shared" si="0"/>
        <v>1.2394943389754755E-5</v>
      </c>
      <c r="L110">
        <f>C110/$C$71</f>
        <v>9.5060046262555853E-5</v>
      </c>
      <c r="M110">
        <f t="shared" si="6"/>
        <v>0.17966549263634352</v>
      </c>
      <c r="N110">
        <f t="shared" si="7"/>
        <v>1.7079010041795703E-5</v>
      </c>
    </row>
    <row r="111" spans="1:14">
      <c r="A111" s="2">
        <v>2020</v>
      </c>
      <c r="B111">
        <v>109</v>
      </c>
      <c r="C111">
        <v>3</v>
      </c>
      <c r="D111">
        <f>1-C112/C111</f>
        <v>0.33333333333333337</v>
      </c>
      <c r="E111">
        <f>C112/C111</f>
        <v>0.66666666666666663</v>
      </c>
      <c r="F111">
        <f t="shared" si="3"/>
        <v>4.4052863436123351E-5</v>
      </c>
      <c r="G111">
        <f t="shared" si="4"/>
        <v>0.15744026106308015</v>
      </c>
      <c r="H111">
        <f t="shared" si="1"/>
        <v>6.9356943199594789E-6</v>
      </c>
      <c r="I111">
        <f>C111/$C$67</f>
        <v>4.1135335252982309E-5</v>
      </c>
      <c r="J111">
        <f t="shared" si="2"/>
        <v>0.14417276258609479</v>
      </c>
      <c r="K111">
        <f t="shared" si="0"/>
        <v>5.930594923327634E-6</v>
      </c>
      <c r="L111">
        <f>C111/$C$71</f>
        <v>4.7530023131277927E-5</v>
      </c>
      <c r="M111">
        <f t="shared" si="6"/>
        <v>0.17192870108741007</v>
      </c>
      <c r="N111">
        <f t="shared" si="7"/>
        <v>8.1717751396151687E-6</v>
      </c>
    </row>
    <row r="112" spans="1:14">
      <c r="A112" s="2">
        <v>2020</v>
      </c>
      <c r="B112" t="s">
        <v>26</v>
      </c>
      <c r="C112">
        <v>2</v>
      </c>
      <c r="D112">
        <f>1-C113/C112</f>
        <v>1</v>
      </c>
      <c r="E112">
        <f>C113/C112</f>
        <v>0</v>
      </c>
      <c r="F112">
        <f t="shared" si="3"/>
        <v>2.9368575624082231E-5</v>
      </c>
      <c r="G112">
        <f t="shared" si="4"/>
        <v>0.15066053690246906</v>
      </c>
      <c r="H112">
        <f t="shared" si="1"/>
        <v>4.4246853715849937E-6</v>
      </c>
      <c r="I112">
        <f>C112/$C$67</f>
        <v>2.742355683532154E-5</v>
      </c>
      <c r="J112">
        <f t="shared" si="2"/>
        <v>0.1379643661110955</v>
      </c>
      <c r="K112">
        <f t="shared" si="0"/>
        <v>3.7834736352967364E-6</v>
      </c>
      <c r="L112">
        <f>C112/$C$71</f>
        <v>3.1686682087518616E-5</v>
      </c>
      <c r="M112">
        <f t="shared" si="6"/>
        <v>0.16452507281091874</v>
      </c>
      <c r="N112">
        <f t="shared" si="7"/>
        <v>5.2132536775854346E-6</v>
      </c>
    </row>
  </sheetData>
  <mergeCells count="3">
    <mergeCell ref="V13:AC15"/>
    <mergeCell ref="V17:AC18"/>
    <mergeCell ref="V20:AC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B383-6434-42A6-B722-F72FCF30316B}">
  <dimension ref="A1:O7884"/>
  <sheetViews>
    <sheetView tabSelected="1" workbookViewId="0">
      <selection activeCell="M16" sqref="M16"/>
    </sheetView>
  </sheetViews>
  <sheetFormatPr defaultRowHeight="14.4"/>
  <sheetData>
    <row r="1" spans="1:15">
      <c r="A1" s="45" t="s">
        <v>104</v>
      </c>
      <c r="B1" s="45"/>
      <c r="C1" s="45"/>
      <c r="D1" s="45"/>
      <c r="E1" s="45"/>
      <c r="F1" s="45"/>
      <c r="G1" s="45"/>
      <c r="H1" s="45"/>
      <c r="I1" s="45"/>
      <c r="N1" s="2" t="s">
        <v>105</v>
      </c>
      <c r="O1" s="2" t="s">
        <v>107</v>
      </c>
    </row>
    <row r="2" spans="1:15">
      <c r="A2" s="1"/>
      <c r="O2" s="46" t="s">
        <v>106</v>
      </c>
    </row>
    <row r="3" spans="1:15">
      <c r="A3" s="2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5">
      <c r="A4" s="2">
        <v>1950</v>
      </c>
      <c r="B4">
        <v>0</v>
      </c>
      <c r="C4">
        <v>9.9709999999999993E-2</v>
      </c>
      <c r="D4">
        <v>9.3200000000000005E-2</v>
      </c>
      <c r="E4">
        <v>0.3</v>
      </c>
      <c r="F4">
        <v>100000</v>
      </c>
      <c r="G4">
        <v>9320</v>
      </c>
      <c r="H4">
        <v>93468</v>
      </c>
      <c r="I4">
        <v>5993031</v>
      </c>
    </row>
    <row r="5" spans="1:15">
      <c r="A5" s="2">
        <v>1950</v>
      </c>
      <c r="B5">
        <v>1</v>
      </c>
      <c r="C5">
        <v>7.5599999999999999E-3</v>
      </c>
      <c r="D5">
        <v>7.5300000000000002E-3</v>
      </c>
      <c r="E5">
        <v>0.5</v>
      </c>
      <c r="F5">
        <v>90680</v>
      </c>
      <c r="G5">
        <v>683</v>
      </c>
      <c r="H5">
        <v>90339</v>
      </c>
      <c r="I5">
        <v>5899563</v>
      </c>
    </row>
    <row r="6" spans="1:15">
      <c r="A6" s="2">
        <v>1950</v>
      </c>
      <c r="B6">
        <v>2</v>
      </c>
      <c r="C6">
        <v>3.48E-3</v>
      </c>
      <c r="D6">
        <v>3.47E-3</v>
      </c>
      <c r="E6">
        <v>0.5</v>
      </c>
      <c r="F6">
        <v>89997</v>
      </c>
      <c r="G6">
        <v>313</v>
      </c>
      <c r="H6">
        <v>89841</v>
      </c>
      <c r="I6">
        <v>5809224</v>
      </c>
    </row>
    <row r="7" spans="1:15">
      <c r="A7" s="2">
        <v>1950</v>
      </c>
      <c r="B7">
        <v>3</v>
      </c>
      <c r="C7">
        <v>2.7799999999999999E-3</v>
      </c>
      <c r="D7">
        <v>2.7699999999999999E-3</v>
      </c>
      <c r="E7">
        <v>0.5</v>
      </c>
      <c r="F7">
        <v>89685</v>
      </c>
      <c r="G7">
        <v>249</v>
      </c>
      <c r="H7">
        <v>89560</v>
      </c>
      <c r="I7">
        <v>5719383</v>
      </c>
    </row>
    <row r="8" spans="1:15">
      <c r="A8" s="2">
        <v>1950</v>
      </c>
      <c r="B8">
        <v>4</v>
      </c>
      <c r="C8">
        <v>1.98E-3</v>
      </c>
      <c r="D8">
        <v>1.98E-3</v>
      </c>
      <c r="E8">
        <v>0.5</v>
      </c>
      <c r="F8">
        <v>89436</v>
      </c>
      <c r="G8">
        <v>177</v>
      </c>
      <c r="H8">
        <v>89348</v>
      </c>
      <c r="I8">
        <v>5629823</v>
      </c>
    </row>
    <row r="9" spans="1:15">
      <c r="A9" s="2">
        <v>1950</v>
      </c>
      <c r="B9">
        <v>5</v>
      </c>
      <c r="C9">
        <v>1.49E-3</v>
      </c>
      <c r="D9">
        <v>1.49E-3</v>
      </c>
      <c r="E9">
        <v>0.5</v>
      </c>
      <c r="F9">
        <v>89259</v>
      </c>
      <c r="G9">
        <v>133</v>
      </c>
      <c r="H9">
        <v>89193</v>
      </c>
      <c r="I9">
        <v>5540475</v>
      </c>
    </row>
    <row r="10" spans="1:15">
      <c r="A10" s="2">
        <v>1950</v>
      </c>
      <c r="B10">
        <v>6</v>
      </c>
      <c r="C10">
        <v>1.72E-3</v>
      </c>
      <c r="D10">
        <v>1.72E-3</v>
      </c>
      <c r="E10">
        <v>0.5</v>
      </c>
      <c r="F10">
        <v>89126</v>
      </c>
      <c r="G10">
        <v>153</v>
      </c>
      <c r="H10">
        <v>89050</v>
      </c>
      <c r="I10">
        <v>5451283</v>
      </c>
    </row>
    <row r="11" spans="1:15">
      <c r="A11" s="2">
        <v>1950</v>
      </c>
      <c r="B11">
        <v>7</v>
      </c>
      <c r="C11">
        <v>1.1800000000000001E-3</v>
      </c>
      <c r="D11">
        <v>1.1800000000000001E-3</v>
      </c>
      <c r="E11">
        <v>0.5</v>
      </c>
      <c r="F11">
        <v>88973</v>
      </c>
      <c r="G11">
        <v>105</v>
      </c>
      <c r="H11">
        <v>88921</v>
      </c>
      <c r="I11">
        <v>5362233</v>
      </c>
    </row>
    <row r="12" spans="1:15">
      <c r="A12" s="2">
        <v>1950</v>
      </c>
      <c r="B12">
        <v>8</v>
      </c>
      <c r="C12">
        <v>1.33E-3</v>
      </c>
      <c r="D12">
        <v>1.32E-3</v>
      </c>
      <c r="E12">
        <v>0.5</v>
      </c>
      <c r="F12">
        <v>88868</v>
      </c>
      <c r="G12">
        <v>118</v>
      </c>
      <c r="H12">
        <v>88810</v>
      </c>
      <c r="I12">
        <v>5273312</v>
      </c>
    </row>
    <row r="13" spans="1:15">
      <c r="A13" s="2">
        <v>1950</v>
      </c>
      <c r="B13">
        <v>9</v>
      </c>
      <c r="C13">
        <v>1.1800000000000001E-3</v>
      </c>
      <c r="D13">
        <v>1.1800000000000001E-3</v>
      </c>
      <c r="E13">
        <v>0.5</v>
      </c>
      <c r="F13">
        <v>88751</v>
      </c>
      <c r="G13">
        <v>105</v>
      </c>
      <c r="H13">
        <v>88698</v>
      </c>
      <c r="I13">
        <v>5184503</v>
      </c>
    </row>
    <row r="14" spans="1:15">
      <c r="A14" s="2">
        <v>1950</v>
      </c>
      <c r="B14">
        <v>10</v>
      </c>
      <c r="C14">
        <v>1.15E-3</v>
      </c>
      <c r="D14">
        <v>1.15E-3</v>
      </c>
      <c r="E14">
        <v>0.5</v>
      </c>
      <c r="F14">
        <v>88646</v>
      </c>
      <c r="G14">
        <v>102</v>
      </c>
      <c r="H14">
        <v>88595</v>
      </c>
      <c r="I14">
        <v>5095804</v>
      </c>
    </row>
    <row r="15" spans="1:15">
      <c r="A15" s="2">
        <v>1950</v>
      </c>
      <c r="B15">
        <v>11</v>
      </c>
      <c r="C15">
        <v>1.16E-3</v>
      </c>
      <c r="D15">
        <v>1.16E-3</v>
      </c>
      <c r="E15">
        <v>0.5</v>
      </c>
      <c r="F15">
        <v>88544</v>
      </c>
      <c r="G15">
        <v>103</v>
      </c>
      <c r="H15">
        <v>88493</v>
      </c>
      <c r="I15">
        <v>5007209</v>
      </c>
    </row>
    <row r="16" spans="1:15">
      <c r="A16" s="2">
        <v>1950</v>
      </c>
      <c r="B16">
        <v>12</v>
      </c>
      <c r="C16">
        <v>1.2800000000000001E-3</v>
      </c>
      <c r="D16">
        <v>1.2700000000000001E-3</v>
      </c>
      <c r="E16">
        <v>0.5</v>
      </c>
      <c r="F16">
        <v>88441</v>
      </c>
      <c r="G16">
        <v>113</v>
      </c>
      <c r="H16">
        <v>88385</v>
      </c>
      <c r="I16">
        <v>4918717</v>
      </c>
    </row>
    <row r="17" spans="1:9">
      <c r="A17" s="2">
        <v>1950</v>
      </c>
      <c r="B17">
        <v>13</v>
      </c>
      <c r="C17">
        <v>1.32E-3</v>
      </c>
      <c r="D17">
        <v>1.32E-3</v>
      </c>
      <c r="E17">
        <v>0.5</v>
      </c>
      <c r="F17">
        <v>88328</v>
      </c>
      <c r="G17">
        <v>116</v>
      </c>
      <c r="H17">
        <v>88270</v>
      </c>
      <c r="I17">
        <v>4830332</v>
      </c>
    </row>
    <row r="18" spans="1:9">
      <c r="A18" s="2">
        <v>1950</v>
      </c>
      <c r="B18">
        <v>14</v>
      </c>
      <c r="C18">
        <v>1.14E-3</v>
      </c>
      <c r="D18">
        <v>1.14E-3</v>
      </c>
      <c r="E18">
        <v>0.5</v>
      </c>
      <c r="F18">
        <v>88212</v>
      </c>
      <c r="G18">
        <v>100</v>
      </c>
      <c r="H18">
        <v>88162</v>
      </c>
      <c r="I18">
        <v>4742062</v>
      </c>
    </row>
    <row r="19" spans="1:9">
      <c r="A19" s="2">
        <v>1950</v>
      </c>
      <c r="B19">
        <v>15</v>
      </c>
      <c r="C19">
        <v>1.4499999999999999E-3</v>
      </c>
      <c r="D19">
        <v>1.4400000000000001E-3</v>
      </c>
      <c r="E19">
        <v>0.5</v>
      </c>
      <c r="F19">
        <v>88112</v>
      </c>
      <c r="G19">
        <v>127</v>
      </c>
      <c r="H19">
        <v>88048</v>
      </c>
      <c r="I19">
        <v>4653900</v>
      </c>
    </row>
    <row r="20" spans="1:9">
      <c r="A20" s="2">
        <v>1950</v>
      </c>
      <c r="B20">
        <v>16</v>
      </c>
      <c r="C20">
        <v>1.6000000000000001E-3</v>
      </c>
      <c r="D20">
        <v>1.6000000000000001E-3</v>
      </c>
      <c r="E20">
        <v>0.5</v>
      </c>
      <c r="F20">
        <v>87984</v>
      </c>
      <c r="G20">
        <v>140</v>
      </c>
      <c r="H20">
        <v>87914</v>
      </c>
      <c r="I20">
        <v>4565852</v>
      </c>
    </row>
    <row r="21" spans="1:9">
      <c r="A21" s="2">
        <v>1950</v>
      </c>
      <c r="B21">
        <v>17</v>
      </c>
      <c r="C21">
        <v>1.7600000000000001E-3</v>
      </c>
      <c r="D21">
        <v>1.7600000000000001E-3</v>
      </c>
      <c r="E21">
        <v>0.5</v>
      </c>
      <c r="F21">
        <v>87844</v>
      </c>
      <c r="G21">
        <v>155</v>
      </c>
      <c r="H21">
        <v>87767</v>
      </c>
      <c r="I21">
        <v>4477938</v>
      </c>
    </row>
    <row r="22" spans="1:9">
      <c r="A22" s="2">
        <v>1950</v>
      </c>
      <c r="B22">
        <v>18</v>
      </c>
      <c r="C22">
        <v>2.3700000000000001E-3</v>
      </c>
      <c r="D22">
        <v>2.3700000000000001E-3</v>
      </c>
      <c r="E22">
        <v>0.5</v>
      </c>
      <c r="F22">
        <v>87689</v>
      </c>
      <c r="G22">
        <v>208</v>
      </c>
      <c r="H22">
        <v>87585</v>
      </c>
      <c r="I22">
        <v>4390171</v>
      </c>
    </row>
    <row r="23" spans="1:9">
      <c r="A23" s="2">
        <v>1950</v>
      </c>
      <c r="B23">
        <v>19</v>
      </c>
      <c r="C23">
        <v>2.65E-3</v>
      </c>
      <c r="D23">
        <v>2.65E-3</v>
      </c>
      <c r="E23">
        <v>0.5</v>
      </c>
      <c r="F23">
        <v>87482</v>
      </c>
      <c r="G23">
        <v>232</v>
      </c>
      <c r="H23">
        <v>87366</v>
      </c>
      <c r="I23">
        <v>4302586</v>
      </c>
    </row>
    <row r="24" spans="1:9">
      <c r="A24" s="2">
        <v>1950</v>
      </c>
      <c r="B24">
        <v>20</v>
      </c>
      <c r="C24">
        <v>3.2000000000000002E-3</v>
      </c>
      <c r="D24">
        <v>3.2000000000000002E-3</v>
      </c>
      <c r="E24">
        <v>0.5</v>
      </c>
      <c r="F24">
        <v>87250</v>
      </c>
      <c r="G24">
        <v>279</v>
      </c>
      <c r="H24">
        <v>87110</v>
      </c>
      <c r="I24">
        <v>4215220</v>
      </c>
    </row>
    <row r="25" spans="1:9">
      <c r="A25" s="2">
        <v>1950</v>
      </c>
      <c r="B25">
        <v>21</v>
      </c>
      <c r="C25">
        <v>3.2000000000000002E-3</v>
      </c>
      <c r="D25">
        <v>3.2000000000000002E-3</v>
      </c>
      <c r="E25">
        <v>0.5</v>
      </c>
      <c r="F25">
        <v>86971</v>
      </c>
      <c r="G25">
        <v>278</v>
      </c>
      <c r="H25">
        <v>86832</v>
      </c>
      <c r="I25">
        <v>4128110</v>
      </c>
    </row>
    <row r="26" spans="1:9">
      <c r="A26" s="2">
        <v>1950</v>
      </c>
      <c r="B26">
        <v>22</v>
      </c>
      <c r="C26">
        <v>3.29E-3</v>
      </c>
      <c r="D26">
        <v>3.2799999999999999E-3</v>
      </c>
      <c r="E26">
        <v>0.5</v>
      </c>
      <c r="F26">
        <v>86693</v>
      </c>
      <c r="G26">
        <v>285</v>
      </c>
      <c r="H26">
        <v>86551</v>
      </c>
      <c r="I26">
        <v>4041278</v>
      </c>
    </row>
    <row r="27" spans="1:9">
      <c r="A27" s="2">
        <v>1950</v>
      </c>
      <c r="B27">
        <v>23</v>
      </c>
      <c r="C27">
        <v>3.2000000000000002E-3</v>
      </c>
      <c r="D27">
        <v>3.1900000000000001E-3</v>
      </c>
      <c r="E27">
        <v>0.5</v>
      </c>
      <c r="F27">
        <v>86408</v>
      </c>
      <c r="G27">
        <v>276</v>
      </c>
      <c r="H27">
        <v>86270</v>
      </c>
      <c r="I27">
        <v>3954727</v>
      </c>
    </row>
    <row r="28" spans="1:9">
      <c r="A28" s="2">
        <v>1950</v>
      </c>
      <c r="B28">
        <v>24</v>
      </c>
      <c r="C28">
        <v>3.0699999999999998E-3</v>
      </c>
      <c r="D28">
        <v>3.0699999999999998E-3</v>
      </c>
      <c r="E28">
        <v>0.5</v>
      </c>
      <c r="F28">
        <v>86132</v>
      </c>
      <c r="G28">
        <v>264</v>
      </c>
      <c r="H28">
        <v>86000</v>
      </c>
      <c r="I28">
        <v>3868457</v>
      </c>
    </row>
    <row r="29" spans="1:9">
      <c r="A29" s="2">
        <v>1950</v>
      </c>
      <c r="B29">
        <v>25</v>
      </c>
      <c r="C29">
        <v>3.2599999999999999E-3</v>
      </c>
      <c r="D29">
        <v>3.2599999999999999E-3</v>
      </c>
      <c r="E29">
        <v>0.5</v>
      </c>
      <c r="F29">
        <v>85868</v>
      </c>
      <c r="G29">
        <v>280</v>
      </c>
      <c r="H29">
        <v>85728</v>
      </c>
      <c r="I29">
        <v>3782457</v>
      </c>
    </row>
    <row r="30" spans="1:9">
      <c r="A30" s="2">
        <v>1950</v>
      </c>
      <c r="B30">
        <v>26</v>
      </c>
      <c r="C30">
        <v>3.0400000000000002E-3</v>
      </c>
      <c r="D30">
        <v>3.0400000000000002E-3</v>
      </c>
      <c r="E30">
        <v>0.5</v>
      </c>
      <c r="F30">
        <v>85588</v>
      </c>
      <c r="G30">
        <v>260</v>
      </c>
      <c r="H30">
        <v>85459</v>
      </c>
      <c r="I30">
        <v>3696729</v>
      </c>
    </row>
    <row r="31" spans="1:9">
      <c r="A31" s="2">
        <v>1950</v>
      </c>
      <c r="B31">
        <v>27</v>
      </c>
      <c r="C31">
        <v>3.2299999999999998E-3</v>
      </c>
      <c r="D31">
        <v>3.2200000000000002E-3</v>
      </c>
      <c r="E31">
        <v>0.5</v>
      </c>
      <c r="F31">
        <v>85329</v>
      </c>
      <c r="G31">
        <v>275</v>
      </c>
      <c r="H31">
        <v>85191</v>
      </c>
      <c r="I31">
        <v>3611270</v>
      </c>
    </row>
    <row r="32" spans="1:9">
      <c r="A32" s="2">
        <v>1950</v>
      </c>
      <c r="B32">
        <v>28</v>
      </c>
      <c r="C32">
        <v>3.4099999999999998E-3</v>
      </c>
      <c r="D32">
        <v>3.4099999999999998E-3</v>
      </c>
      <c r="E32">
        <v>0.5</v>
      </c>
      <c r="F32">
        <v>85054</v>
      </c>
      <c r="G32">
        <v>290</v>
      </c>
      <c r="H32">
        <v>84909</v>
      </c>
      <c r="I32">
        <v>3526079</v>
      </c>
    </row>
    <row r="33" spans="1:9">
      <c r="A33" s="2">
        <v>1950</v>
      </c>
      <c r="B33">
        <v>29</v>
      </c>
      <c r="C33">
        <v>3.3500000000000001E-3</v>
      </c>
      <c r="D33">
        <v>3.3500000000000001E-3</v>
      </c>
      <c r="E33">
        <v>0.5</v>
      </c>
      <c r="F33">
        <v>84764</v>
      </c>
      <c r="G33">
        <v>284</v>
      </c>
      <c r="H33">
        <v>84622</v>
      </c>
      <c r="I33">
        <v>3441170</v>
      </c>
    </row>
    <row r="34" spans="1:9">
      <c r="A34" s="2">
        <v>1950</v>
      </c>
      <c r="B34">
        <v>30</v>
      </c>
      <c r="C34">
        <v>3.7399999999999998E-3</v>
      </c>
      <c r="D34">
        <v>3.7399999999999998E-3</v>
      </c>
      <c r="E34">
        <v>0.5</v>
      </c>
      <c r="F34">
        <v>84480</v>
      </c>
      <c r="G34">
        <v>316</v>
      </c>
      <c r="H34">
        <v>84322</v>
      </c>
      <c r="I34">
        <v>3356548</v>
      </c>
    </row>
    <row r="35" spans="1:9">
      <c r="A35" s="2">
        <v>1950</v>
      </c>
      <c r="B35">
        <v>31</v>
      </c>
      <c r="C35">
        <v>2.8999999999999998E-3</v>
      </c>
      <c r="D35">
        <v>2.8900000000000002E-3</v>
      </c>
      <c r="E35">
        <v>0.5</v>
      </c>
      <c r="F35">
        <v>84165</v>
      </c>
      <c r="G35">
        <v>244</v>
      </c>
      <c r="H35">
        <v>84043</v>
      </c>
      <c r="I35">
        <v>3272226</v>
      </c>
    </row>
    <row r="36" spans="1:9">
      <c r="A36" s="2">
        <v>1950</v>
      </c>
      <c r="B36">
        <v>32</v>
      </c>
      <c r="C36">
        <v>3.14E-3</v>
      </c>
      <c r="D36">
        <v>3.14E-3</v>
      </c>
      <c r="E36">
        <v>0.5</v>
      </c>
      <c r="F36">
        <v>83921</v>
      </c>
      <c r="G36">
        <v>263</v>
      </c>
      <c r="H36">
        <v>83789</v>
      </c>
      <c r="I36">
        <v>3188183</v>
      </c>
    </row>
    <row r="37" spans="1:9">
      <c r="A37" s="2">
        <v>1950</v>
      </c>
      <c r="B37">
        <v>33</v>
      </c>
      <c r="C37">
        <v>3.96E-3</v>
      </c>
      <c r="D37">
        <v>3.9500000000000004E-3</v>
      </c>
      <c r="E37">
        <v>0.5</v>
      </c>
      <c r="F37">
        <v>83658</v>
      </c>
      <c r="G37">
        <v>330</v>
      </c>
      <c r="H37">
        <v>83493</v>
      </c>
      <c r="I37">
        <v>3104393</v>
      </c>
    </row>
    <row r="38" spans="1:9">
      <c r="A38" s="2">
        <v>1950</v>
      </c>
      <c r="B38">
        <v>34</v>
      </c>
      <c r="C38">
        <v>3.32E-3</v>
      </c>
      <c r="D38">
        <v>3.31E-3</v>
      </c>
      <c r="E38">
        <v>0.5</v>
      </c>
      <c r="F38">
        <v>83328</v>
      </c>
      <c r="G38">
        <v>276</v>
      </c>
      <c r="H38">
        <v>83190</v>
      </c>
      <c r="I38">
        <v>3020901</v>
      </c>
    </row>
    <row r="39" spans="1:9">
      <c r="A39" s="2">
        <v>1950</v>
      </c>
      <c r="B39">
        <v>35</v>
      </c>
      <c r="C39">
        <v>3.7599999999999999E-3</v>
      </c>
      <c r="D39">
        <v>3.7599999999999999E-3</v>
      </c>
      <c r="E39">
        <v>0.5</v>
      </c>
      <c r="F39">
        <v>83052</v>
      </c>
      <c r="G39">
        <v>312</v>
      </c>
      <c r="H39">
        <v>82896</v>
      </c>
      <c r="I39">
        <v>2937711</v>
      </c>
    </row>
    <row r="40" spans="1:9">
      <c r="A40" s="2">
        <v>1950</v>
      </c>
      <c r="B40">
        <v>36</v>
      </c>
      <c r="C40">
        <v>3.4099999999999998E-3</v>
      </c>
      <c r="D40">
        <v>3.3999999999999998E-3</v>
      </c>
      <c r="E40">
        <v>0.5</v>
      </c>
      <c r="F40">
        <v>82740</v>
      </c>
      <c r="G40">
        <v>282</v>
      </c>
      <c r="H40">
        <v>82599</v>
      </c>
      <c r="I40">
        <v>2854816</v>
      </c>
    </row>
    <row r="41" spans="1:9">
      <c r="A41" s="2">
        <v>1950</v>
      </c>
      <c r="B41">
        <v>37</v>
      </c>
      <c r="C41">
        <v>3.8600000000000001E-3</v>
      </c>
      <c r="D41">
        <v>3.8600000000000001E-3</v>
      </c>
      <c r="E41">
        <v>0.5</v>
      </c>
      <c r="F41">
        <v>82458</v>
      </c>
      <c r="G41">
        <v>318</v>
      </c>
      <c r="H41">
        <v>82299</v>
      </c>
      <c r="I41">
        <v>2772217</v>
      </c>
    </row>
    <row r="42" spans="1:9">
      <c r="A42" s="2">
        <v>1950</v>
      </c>
      <c r="B42">
        <v>38</v>
      </c>
      <c r="C42">
        <v>4.1099999999999999E-3</v>
      </c>
      <c r="D42">
        <v>4.1000000000000003E-3</v>
      </c>
      <c r="E42">
        <v>0.5</v>
      </c>
      <c r="F42">
        <v>82140</v>
      </c>
      <c r="G42">
        <v>337</v>
      </c>
      <c r="H42">
        <v>81971</v>
      </c>
      <c r="I42">
        <v>2689918</v>
      </c>
    </row>
    <row r="43" spans="1:9">
      <c r="A43" s="2">
        <v>1950</v>
      </c>
      <c r="B43">
        <v>39</v>
      </c>
      <c r="C43">
        <v>4.6600000000000001E-3</v>
      </c>
      <c r="D43">
        <v>4.6499999999999996E-3</v>
      </c>
      <c r="E43">
        <v>0.5</v>
      </c>
      <c r="F43">
        <v>81803</v>
      </c>
      <c r="G43">
        <v>380</v>
      </c>
      <c r="H43">
        <v>81613</v>
      </c>
      <c r="I43">
        <v>2607947</v>
      </c>
    </row>
    <row r="44" spans="1:9">
      <c r="A44" s="2">
        <v>1950</v>
      </c>
      <c r="B44">
        <v>40</v>
      </c>
      <c r="C44">
        <v>4.9100000000000003E-3</v>
      </c>
      <c r="D44">
        <v>4.8900000000000002E-3</v>
      </c>
      <c r="E44">
        <v>0.5</v>
      </c>
      <c r="F44">
        <v>81423</v>
      </c>
      <c r="G44">
        <v>398</v>
      </c>
      <c r="H44">
        <v>81223</v>
      </c>
      <c r="I44">
        <v>2526334</v>
      </c>
    </row>
    <row r="45" spans="1:9">
      <c r="A45" s="2">
        <v>1950</v>
      </c>
      <c r="B45">
        <v>41</v>
      </c>
      <c r="C45">
        <v>5.4900000000000001E-3</v>
      </c>
      <c r="D45">
        <v>5.4799999999999996E-3</v>
      </c>
      <c r="E45">
        <v>0.5</v>
      </c>
      <c r="F45">
        <v>81024</v>
      </c>
      <c r="G45">
        <v>444</v>
      </c>
      <c r="H45">
        <v>80802</v>
      </c>
      <c r="I45">
        <v>2445111</v>
      </c>
    </row>
    <row r="46" spans="1:9">
      <c r="A46" s="2">
        <v>1950</v>
      </c>
      <c r="B46">
        <v>42</v>
      </c>
      <c r="C46">
        <v>5.5900000000000004E-3</v>
      </c>
      <c r="D46">
        <v>5.5700000000000003E-3</v>
      </c>
      <c r="E46">
        <v>0.5</v>
      </c>
      <c r="F46">
        <v>80580</v>
      </c>
      <c r="G46">
        <v>449</v>
      </c>
      <c r="H46">
        <v>80356</v>
      </c>
      <c r="I46">
        <v>2364308</v>
      </c>
    </row>
    <row r="47" spans="1:9">
      <c r="A47" s="2">
        <v>1950</v>
      </c>
      <c r="B47">
        <v>43</v>
      </c>
      <c r="C47">
        <v>6.1500000000000001E-3</v>
      </c>
      <c r="D47">
        <v>6.13E-3</v>
      </c>
      <c r="E47">
        <v>0.5</v>
      </c>
      <c r="F47">
        <v>80131</v>
      </c>
      <c r="G47">
        <v>491</v>
      </c>
      <c r="H47">
        <v>79886</v>
      </c>
      <c r="I47">
        <v>2283953</v>
      </c>
    </row>
    <row r="48" spans="1:9">
      <c r="A48" s="2">
        <v>1950</v>
      </c>
      <c r="B48">
        <v>44</v>
      </c>
      <c r="C48">
        <v>6.5399999999999998E-3</v>
      </c>
      <c r="D48">
        <v>6.5199999999999998E-3</v>
      </c>
      <c r="E48">
        <v>0.5</v>
      </c>
      <c r="F48">
        <v>79640</v>
      </c>
      <c r="G48">
        <v>520</v>
      </c>
      <c r="H48">
        <v>79380</v>
      </c>
      <c r="I48">
        <v>2204067</v>
      </c>
    </row>
    <row r="49" spans="1:9">
      <c r="A49" s="2">
        <v>1950</v>
      </c>
      <c r="B49">
        <v>45</v>
      </c>
      <c r="C49">
        <v>6.9499999999999996E-3</v>
      </c>
      <c r="D49">
        <v>6.9199999999999999E-3</v>
      </c>
      <c r="E49">
        <v>0.5</v>
      </c>
      <c r="F49">
        <v>79121</v>
      </c>
      <c r="G49">
        <v>548</v>
      </c>
      <c r="H49">
        <v>78847</v>
      </c>
      <c r="I49">
        <v>2124687</v>
      </c>
    </row>
    <row r="50" spans="1:9">
      <c r="A50" s="2">
        <v>1950</v>
      </c>
      <c r="B50">
        <v>46</v>
      </c>
      <c r="C50">
        <v>6.8300000000000001E-3</v>
      </c>
      <c r="D50">
        <v>6.8100000000000001E-3</v>
      </c>
      <c r="E50">
        <v>0.5</v>
      </c>
      <c r="F50">
        <v>78573</v>
      </c>
      <c r="G50">
        <v>535</v>
      </c>
      <c r="H50">
        <v>78305</v>
      </c>
      <c r="I50">
        <v>2045840</v>
      </c>
    </row>
    <row r="51" spans="1:9">
      <c r="A51" s="2">
        <v>1950</v>
      </c>
      <c r="B51">
        <v>47</v>
      </c>
      <c r="C51">
        <v>7.8399999999999997E-3</v>
      </c>
      <c r="D51">
        <v>7.8100000000000001E-3</v>
      </c>
      <c r="E51">
        <v>0.5</v>
      </c>
      <c r="F51">
        <v>78038</v>
      </c>
      <c r="G51">
        <v>609</v>
      </c>
      <c r="H51">
        <v>77733</v>
      </c>
      <c r="I51">
        <v>1967535</v>
      </c>
    </row>
    <row r="52" spans="1:9">
      <c r="A52" s="2">
        <v>1950</v>
      </c>
      <c r="B52">
        <v>48</v>
      </c>
      <c r="C52">
        <v>8.7100000000000007E-3</v>
      </c>
      <c r="D52">
        <v>8.6700000000000006E-3</v>
      </c>
      <c r="E52">
        <v>0.5</v>
      </c>
      <c r="F52">
        <v>77428</v>
      </c>
      <c r="G52">
        <v>671</v>
      </c>
      <c r="H52">
        <v>77093</v>
      </c>
      <c r="I52">
        <v>1889802</v>
      </c>
    </row>
    <row r="53" spans="1:9">
      <c r="A53" s="2">
        <v>1950</v>
      </c>
      <c r="B53">
        <v>49</v>
      </c>
      <c r="C53">
        <v>9.2399999999999999E-3</v>
      </c>
      <c r="D53">
        <v>9.1999999999999998E-3</v>
      </c>
      <c r="E53">
        <v>0.5</v>
      </c>
      <c r="F53">
        <v>76757</v>
      </c>
      <c r="G53">
        <v>706</v>
      </c>
      <c r="H53">
        <v>76404</v>
      </c>
      <c r="I53">
        <v>1812709</v>
      </c>
    </row>
    <row r="54" spans="1:9">
      <c r="A54" s="2">
        <v>1950</v>
      </c>
      <c r="B54">
        <v>50</v>
      </c>
      <c r="C54">
        <v>1.018E-2</v>
      </c>
      <c r="D54">
        <v>1.013E-2</v>
      </c>
      <c r="E54">
        <v>0.5</v>
      </c>
      <c r="F54">
        <v>76051</v>
      </c>
      <c r="G54">
        <v>770</v>
      </c>
      <c r="H54">
        <v>75666</v>
      </c>
      <c r="I54">
        <v>1736305</v>
      </c>
    </row>
    <row r="55" spans="1:9">
      <c r="A55" s="2">
        <v>1950</v>
      </c>
      <c r="B55">
        <v>51</v>
      </c>
      <c r="C55">
        <v>1.0619999999999999E-2</v>
      </c>
      <c r="D55">
        <v>1.057E-2</v>
      </c>
      <c r="E55">
        <v>0.5</v>
      </c>
      <c r="F55">
        <v>75281</v>
      </c>
      <c r="G55">
        <v>796</v>
      </c>
      <c r="H55">
        <v>74883</v>
      </c>
      <c r="I55">
        <v>1660639</v>
      </c>
    </row>
    <row r="56" spans="1:9">
      <c r="A56" s="2">
        <v>1950</v>
      </c>
      <c r="B56">
        <v>52</v>
      </c>
      <c r="C56">
        <v>1.192E-2</v>
      </c>
      <c r="D56">
        <v>1.1849999999999999E-2</v>
      </c>
      <c r="E56">
        <v>0.5</v>
      </c>
      <c r="F56">
        <v>74485</v>
      </c>
      <c r="G56">
        <v>883</v>
      </c>
      <c r="H56">
        <v>74044</v>
      </c>
      <c r="I56">
        <v>1585755</v>
      </c>
    </row>
    <row r="57" spans="1:9">
      <c r="A57" s="2">
        <v>1950</v>
      </c>
      <c r="B57">
        <v>53</v>
      </c>
      <c r="C57">
        <v>1.306E-2</v>
      </c>
      <c r="D57">
        <v>1.2970000000000001E-2</v>
      </c>
      <c r="E57">
        <v>0.5</v>
      </c>
      <c r="F57">
        <v>73603</v>
      </c>
      <c r="G57">
        <v>955</v>
      </c>
      <c r="H57">
        <v>73125</v>
      </c>
      <c r="I57">
        <v>1511711</v>
      </c>
    </row>
    <row r="58" spans="1:9">
      <c r="A58" s="2">
        <v>1950</v>
      </c>
      <c r="B58">
        <v>54</v>
      </c>
      <c r="C58">
        <v>1.465E-2</v>
      </c>
      <c r="D58">
        <v>1.4540000000000001E-2</v>
      </c>
      <c r="E58">
        <v>0.5</v>
      </c>
      <c r="F58">
        <v>72648</v>
      </c>
      <c r="G58">
        <v>1057</v>
      </c>
      <c r="H58">
        <v>72120</v>
      </c>
      <c r="I58">
        <v>1438586</v>
      </c>
    </row>
    <row r="59" spans="1:9">
      <c r="A59" s="2">
        <v>1950</v>
      </c>
      <c r="B59">
        <v>55</v>
      </c>
      <c r="C59">
        <v>1.477E-2</v>
      </c>
      <c r="D59">
        <v>1.4659999999999999E-2</v>
      </c>
      <c r="E59">
        <v>0.5</v>
      </c>
      <c r="F59">
        <v>71591</v>
      </c>
      <c r="G59">
        <v>1050</v>
      </c>
      <c r="H59">
        <v>71066</v>
      </c>
      <c r="I59">
        <v>1366467</v>
      </c>
    </row>
    <row r="60" spans="1:9">
      <c r="A60" s="2">
        <v>1950</v>
      </c>
      <c r="B60">
        <v>56</v>
      </c>
      <c r="C60">
        <v>1.5010000000000001E-2</v>
      </c>
      <c r="D60">
        <v>1.49E-2</v>
      </c>
      <c r="E60">
        <v>0.5</v>
      </c>
      <c r="F60">
        <v>70542</v>
      </c>
      <c r="G60">
        <v>1051</v>
      </c>
      <c r="H60">
        <v>70016</v>
      </c>
      <c r="I60">
        <v>1295400</v>
      </c>
    </row>
    <row r="61" spans="1:9">
      <c r="A61" s="2">
        <v>1950</v>
      </c>
      <c r="B61">
        <v>57</v>
      </c>
      <c r="C61">
        <v>1.7170000000000001E-2</v>
      </c>
      <c r="D61">
        <v>1.703E-2</v>
      </c>
      <c r="E61">
        <v>0.5</v>
      </c>
      <c r="F61">
        <v>69491</v>
      </c>
      <c r="G61">
        <v>1183</v>
      </c>
      <c r="H61">
        <v>68899</v>
      </c>
      <c r="I61">
        <v>1225384</v>
      </c>
    </row>
    <row r="62" spans="1:9">
      <c r="A62" s="2">
        <v>1950</v>
      </c>
      <c r="B62">
        <v>58</v>
      </c>
      <c r="C62">
        <v>2.0459999999999999E-2</v>
      </c>
      <c r="D62">
        <v>2.0250000000000001E-2</v>
      </c>
      <c r="E62">
        <v>0.5</v>
      </c>
      <c r="F62">
        <v>68308</v>
      </c>
      <c r="G62">
        <v>1383</v>
      </c>
      <c r="H62">
        <v>67616</v>
      </c>
      <c r="I62">
        <v>1156485</v>
      </c>
    </row>
    <row r="63" spans="1:9">
      <c r="A63" s="2">
        <v>1950</v>
      </c>
      <c r="B63">
        <v>59</v>
      </c>
      <c r="C63">
        <v>2.1899999999999999E-2</v>
      </c>
      <c r="D63">
        <v>2.1659999999999999E-2</v>
      </c>
      <c r="E63">
        <v>0.5</v>
      </c>
      <c r="F63">
        <v>66924</v>
      </c>
      <c r="G63">
        <v>1450</v>
      </c>
      <c r="H63">
        <v>66199</v>
      </c>
      <c r="I63">
        <v>1088869</v>
      </c>
    </row>
    <row r="64" spans="1:9">
      <c r="A64" s="2">
        <v>1950</v>
      </c>
      <c r="B64">
        <v>60</v>
      </c>
      <c r="C64">
        <v>2.316E-2</v>
      </c>
      <c r="D64">
        <v>2.2890000000000001E-2</v>
      </c>
      <c r="E64">
        <v>0.5</v>
      </c>
      <c r="F64">
        <v>65475</v>
      </c>
      <c r="G64">
        <v>1499</v>
      </c>
      <c r="H64">
        <v>64725</v>
      </c>
      <c r="I64">
        <v>1022669</v>
      </c>
    </row>
    <row r="65" spans="1:9">
      <c r="A65" s="2">
        <v>1950</v>
      </c>
      <c r="B65">
        <v>61</v>
      </c>
      <c r="C65">
        <v>2.487E-2</v>
      </c>
      <c r="D65">
        <v>2.4559999999999998E-2</v>
      </c>
      <c r="E65">
        <v>0.5</v>
      </c>
      <c r="F65">
        <v>63976</v>
      </c>
      <c r="G65">
        <v>1571</v>
      </c>
      <c r="H65">
        <v>63190</v>
      </c>
      <c r="I65">
        <v>957944</v>
      </c>
    </row>
    <row r="66" spans="1:9">
      <c r="A66" s="2">
        <v>1950</v>
      </c>
      <c r="B66">
        <v>62</v>
      </c>
      <c r="C66">
        <v>2.717E-2</v>
      </c>
      <c r="D66">
        <v>2.6800000000000001E-2</v>
      </c>
      <c r="E66">
        <v>0.5</v>
      </c>
      <c r="F66">
        <v>62404</v>
      </c>
      <c r="G66">
        <v>1673</v>
      </c>
      <c r="H66">
        <v>61568</v>
      </c>
      <c r="I66">
        <v>894754</v>
      </c>
    </row>
    <row r="67" spans="1:9">
      <c r="A67" s="2">
        <v>1950</v>
      </c>
      <c r="B67">
        <v>63</v>
      </c>
      <c r="C67">
        <v>2.9100000000000001E-2</v>
      </c>
      <c r="D67">
        <v>2.8680000000000001E-2</v>
      </c>
      <c r="E67">
        <v>0.5</v>
      </c>
      <c r="F67">
        <v>60732</v>
      </c>
      <c r="G67">
        <v>1742</v>
      </c>
      <c r="H67">
        <v>59861</v>
      </c>
      <c r="I67">
        <v>833186</v>
      </c>
    </row>
    <row r="68" spans="1:9">
      <c r="A68" s="2">
        <v>1950</v>
      </c>
      <c r="B68">
        <v>64</v>
      </c>
      <c r="C68">
        <v>3.0630000000000001E-2</v>
      </c>
      <c r="D68">
        <v>3.0169999999999999E-2</v>
      </c>
      <c r="E68">
        <v>0.5</v>
      </c>
      <c r="F68">
        <v>58990</v>
      </c>
      <c r="G68">
        <v>1780</v>
      </c>
      <c r="H68">
        <v>58100</v>
      </c>
      <c r="I68">
        <v>773326</v>
      </c>
    </row>
    <row r="69" spans="1:9">
      <c r="A69" s="2">
        <v>1950</v>
      </c>
      <c r="B69">
        <v>65</v>
      </c>
      <c r="C69">
        <v>3.5979999999999998E-2</v>
      </c>
      <c r="D69">
        <v>3.5349999999999999E-2</v>
      </c>
      <c r="E69">
        <v>0.5</v>
      </c>
      <c r="F69">
        <v>57210</v>
      </c>
      <c r="G69">
        <v>2022</v>
      </c>
      <c r="H69">
        <v>56199</v>
      </c>
      <c r="I69">
        <v>715226</v>
      </c>
    </row>
    <row r="70" spans="1:9">
      <c r="A70" s="2">
        <v>1950</v>
      </c>
      <c r="B70">
        <v>66</v>
      </c>
      <c r="C70">
        <v>3.431E-2</v>
      </c>
      <c r="D70">
        <v>3.3730000000000003E-2</v>
      </c>
      <c r="E70">
        <v>0.5</v>
      </c>
      <c r="F70">
        <v>55188</v>
      </c>
      <c r="G70">
        <v>1861</v>
      </c>
      <c r="H70">
        <v>54257</v>
      </c>
      <c r="I70">
        <v>659027</v>
      </c>
    </row>
    <row r="71" spans="1:9">
      <c r="A71" s="2">
        <v>1950</v>
      </c>
      <c r="B71">
        <v>67</v>
      </c>
      <c r="C71">
        <v>3.8190000000000002E-2</v>
      </c>
      <c r="D71">
        <v>3.7479999999999999E-2</v>
      </c>
      <c r="E71">
        <v>0.5</v>
      </c>
      <c r="F71">
        <v>53327</v>
      </c>
      <c r="G71">
        <v>1998</v>
      </c>
      <c r="H71">
        <v>52327</v>
      </c>
      <c r="I71">
        <v>604769</v>
      </c>
    </row>
    <row r="72" spans="1:9">
      <c r="A72" s="2">
        <v>1950</v>
      </c>
      <c r="B72">
        <v>68</v>
      </c>
      <c r="C72">
        <v>4.4130000000000003E-2</v>
      </c>
      <c r="D72">
        <v>4.317E-2</v>
      </c>
      <c r="E72">
        <v>0.5</v>
      </c>
      <c r="F72">
        <v>51328</v>
      </c>
      <c r="G72">
        <v>2216</v>
      </c>
      <c r="H72">
        <v>50220</v>
      </c>
      <c r="I72">
        <v>552442</v>
      </c>
    </row>
    <row r="73" spans="1:9">
      <c r="A73" s="2">
        <v>1950</v>
      </c>
      <c r="B73">
        <v>69</v>
      </c>
      <c r="C73">
        <v>4.6050000000000001E-2</v>
      </c>
      <c r="D73">
        <v>4.5010000000000001E-2</v>
      </c>
      <c r="E73">
        <v>0.5</v>
      </c>
      <c r="F73">
        <v>49112</v>
      </c>
      <c r="G73">
        <v>2211</v>
      </c>
      <c r="H73">
        <v>48007</v>
      </c>
      <c r="I73">
        <v>502222</v>
      </c>
    </row>
    <row r="74" spans="1:9">
      <c r="A74" s="2">
        <v>1950</v>
      </c>
      <c r="B74">
        <v>70</v>
      </c>
      <c r="C74">
        <v>5.058E-2</v>
      </c>
      <c r="D74">
        <v>4.9329999999999999E-2</v>
      </c>
      <c r="E74">
        <v>0.5</v>
      </c>
      <c r="F74">
        <v>46901</v>
      </c>
      <c r="G74">
        <v>2314</v>
      </c>
      <c r="H74">
        <v>45744</v>
      </c>
      <c r="I74">
        <v>454215</v>
      </c>
    </row>
    <row r="75" spans="1:9">
      <c r="A75" s="2">
        <v>1950</v>
      </c>
      <c r="B75">
        <v>71</v>
      </c>
      <c r="C75">
        <v>5.4879999999999998E-2</v>
      </c>
      <c r="D75">
        <v>5.3409999999999999E-2</v>
      </c>
      <c r="E75">
        <v>0.5</v>
      </c>
      <c r="F75">
        <v>44588</v>
      </c>
      <c r="G75">
        <v>2381</v>
      </c>
      <c r="H75">
        <v>43397</v>
      </c>
      <c r="I75">
        <v>408471</v>
      </c>
    </row>
    <row r="76" spans="1:9">
      <c r="A76" s="2">
        <v>1950</v>
      </c>
      <c r="B76">
        <v>72</v>
      </c>
      <c r="C76">
        <v>5.8740000000000001E-2</v>
      </c>
      <c r="D76">
        <v>5.706E-2</v>
      </c>
      <c r="E76">
        <v>0.5</v>
      </c>
      <c r="F76">
        <v>42206</v>
      </c>
      <c r="G76">
        <v>2408</v>
      </c>
      <c r="H76">
        <v>41002</v>
      </c>
      <c r="I76">
        <v>365074</v>
      </c>
    </row>
    <row r="77" spans="1:9">
      <c r="A77" s="2">
        <v>1950</v>
      </c>
      <c r="B77">
        <v>73</v>
      </c>
      <c r="C77">
        <v>6.3740000000000005E-2</v>
      </c>
      <c r="D77">
        <v>6.1780000000000002E-2</v>
      </c>
      <c r="E77">
        <v>0.5</v>
      </c>
      <c r="F77">
        <v>39798</v>
      </c>
      <c r="G77">
        <v>2459</v>
      </c>
      <c r="H77">
        <v>38569</v>
      </c>
      <c r="I77">
        <v>324072</v>
      </c>
    </row>
    <row r="78" spans="1:9">
      <c r="A78" s="2">
        <v>1950</v>
      </c>
      <c r="B78">
        <v>74</v>
      </c>
      <c r="C78">
        <v>7.6090000000000005E-2</v>
      </c>
      <c r="D78">
        <v>7.3300000000000004E-2</v>
      </c>
      <c r="E78">
        <v>0.5</v>
      </c>
      <c r="F78">
        <v>37339</v>
      </c>
      <c r="G78">
        <v>2737</v>
      </c>
      <c r="H78">
        <v>35971</v>
      </c>
      <c r="I78">
        <v>285503</v>
      </c>
    </row>
    <row r="79" spans="1:9">
      <c r="A79" s="2">
        <v>1950</v>
      </c>
      <c r="B79">
        <v>75</v>
      </c>
      <c r="C79">
        <v>8.6309999999999998E-2</v>
      </c>
      <c r="D79">
        <v>8.2739999999999994E-2</v>
      </c>
      <c r="E79">
        <v>0.5</v>
      </c>
      <c r="F79">
        <v>34602</v>
      </c>
      <c r="G79">
        <v>2863</v>
      </c>
      <c r="H79">
        <v>33171</v>
      </c>
      <c r="I79">
        <v>249532</v>
      </c>
    </row>
    <row r="80" spans="1:9">
      <c r="A80" s="2">
        <v>1950</v>
      </c>
      <c r="B80">
        <v>76</v>
      </c>
      <c r="C80">
        <v>9.4009999999999996E-2</v>
      </c>
      <c r="D80">
        <v>8.9789999999999995E-2</v>
      </c>
      <c r="E80">
        <v>0.5</v>
      </c>
      <c r="F80">
        <v>31739</v>
      </c>
      <c r="G80">
        <v>2850</v>
      </c>
      <c r="H80">
        <v>30314</v>
      </c>
      <c r="I80">
        <v>216362</v>
      </c>
    </row>
    <row r="81" spans="1:9">
      <c r="A81" s="2">
        <v>1950</v>
      </c>
      <c r="B81">
        <v>77</v>
      </c>
      <c r="C81">
        <v>8.8709999999999997E-2</v>
      </c>
      <c r="D81">
        <v>8.4940000000000002E-2</v>
      </c>
      <c r="E81">
        <v>0.5</v>
      </c>
      <c r="F81">
        <v>28889</v>
      </c>
      <c r="G81">
        <v>2454</v>
      </c>
      <c r="H81">
        <v>27662</v>
      </c>
      <c r="I81">
        <v>186047</v>
      </c>
    </row>
    <row r="82" spans="1:9">
      <c r="A82" s="2">
        <v>1950</v>
      </c>
      <c r="B82">
        <v>78</v>
      </c>
      <c r="C82">
        <v>0.11871</v>
      </c>
      <c r="D82">
        <v>0.11206000000000001</v>
      </c>
      <c r="E82">
        <v>0.5</v>
      </c>
      <c r="F82">
        <v>26436</v>
      </c>
      <c r="G82">
        <v>2962</v>
      </c>
      <c r="H82">
        <v>24954</v>
      </c>
      <c r="I82">
        <v>158385</v>
      </c>
    </row>
    <row r="83" spans="1:9">
      <c r="A83" s="2">
        <v>1950</v>
      </c>
      <c r="B83">
        <v>79</v>
      </c>
      <c r="C83">
        <v>0.11801</v>
      </c>
      <c r="D83">
        <v>0.11143</v>
      </c>
      <c r="E83">
        <v>0.5</v>
      </c>
      <c r="F83">
        <v>23473</v>
      </c>
      <c r="G83">
        <v>2616</v>
      </c>
      <c r="H83">
        <v>22165</v>
      </c>
      <c r="I83">
        <v>133430</v>
      </c>
    </row>
    <row r="84" spans="1:9">
      <c r="A84" s="2">
        <v>1950</v>
      </c>
      <c r="B84">
        <v>80</v>
      </c>
      <c r="C84">
        <v>0.13042000000000001</v>
      </c>
      <c r="D84">
        <v>0.12243</v>
      </c>
      <c r="E84">
        <v>0.5</v>
      </c>
      <c r="F84">
        <v>20858</v>
      </c>
      <c r="G84">
        <v>2554</v>
      </c>
      <c r="H84">
        <v>19581</v>
      </c>
      <c r="I84">
        <v>111265</v>
      </c>
    </row>
    <row r="85" spans="1:9">
      <c r="A85" s="2">
        <v>1950</v>
      </c>
      <c r="B85">
        <v>81</v>
      </c>
      <c r="C85">
        <v>0.13328999999999999</v>
      </c>
      <c r="D85">
        <v>0.12496</v>
      </c>
      <c r="E85">
        <v>0.5</v>
      </c>
      <c r="F85">
        <v>18304</v>
      </c>
      <c r="G85">
        <v>2287</v>
      </c>
      <c r="H85">
        <v>17160</v>
      </c>
      <c r="I85">
        <v>91684</v>
      </c>
    </row>
    <row r="86" spans="1:9">
      <c r="A86" s="2">
        <v>1950</v>
      </c>
      <c r="B86">
        <v>82</v>
      </c>
      <c r="C86">
        <v>0.15057999999999999</v>
      </c>
      <c r="D86">
        <v>0.14004</v>
      </c>
      <c r="E86">
        <v>0.5</v>
      </c>
      <c r="F86">
        <v>16017</v>
      </c>
      <c r="G86">
        <v>2243</v>
      </c>
      <c r="H86">
        <v>14895</v>
      </c>
      <c r="I86">
        <v>74524</v>
      </c>
    </row>
    <row r="87" spans="1:9">
      <c r="A87" s="2">
        <v>1950</v>
      </c>
      <c r="B87">
        <v>83</v>
      </c>
      <c r="C87">
        <v>0.16699</v>
      </c>
      <c r="D87">
        <v>0.15412000000000001</v>
      </c>
      <c r="E87">
        <v>0.5</v>
      </c>
      <c r="F87">
        <v>13774</v>
      </c>
      <c r="G87">
        <v>2123</v>
      </c>
      <c r="H87">
        <v>12712</v>
      </c>
      <c r="I87">
        <v>59629</v>
      </c>
    </row>
    <row r="88" spans="1:9">
      <c r="A88" s="2">
        <v>1950</v>
      </c>
      <c r="B88">
        <v>84</v>
      </c>
      <c r="C88">
        <v>0.19403999999999999</v>
      </c>
      <c r="D88">
        <v>0.17688000000000001</v>
      </c>
      <c r="E88">
        <v>0.5</v>
      </c>
      <c r="F88">
        <v>11651</v>
      </c>
      <c r="G88">
        <v>2061</v>
      </c>
      <c r="H88">
        <v>10620</v>
      </c>
      <c r="I88">
        <v>46917</v>
      </c>
    </row>
    <row r="89" spans="1:9">
      <c r="A89" s="2">
        <v>1950</v>
      </c>
      <c r="B89">
        <v>85</v>
      </c>
      <c r="C89">
        <v>0.21189</v>
      </c>
      <c r="D89">
        <v>0.19159000000000001</v>
      </c>
      <c r="E89">
        <v>0.5</v>
      </c>
      <c r="F89">
        <v>9590</v>
      </c>
      <c r="G89">
        <v>1837</v>
      </c>
      <c r="H89">
        <v>8671</v>
      </c>
      <c r="I89">
        <v>36296</v>
      </c>
    </row>
    <row r="90" spans="1:9">
      <c r="A90" s="2">
        <v>1950</v>
      </c>
      <c r="B90">
        <v>86</v>
      </c>
      <c r="C90">
        <v>0.2382</v>
      </c>
      <c r="D90">
        <v>0.21285000000000001</v>
      </c>
      <c r="E90">
        <v>0.5</v>
      </c>
      <c r="F90">
        <v>7753</v>
      </c>
      <c r="G90">
        <v>1650</v>
      </c>
      <c r="H90">
        <v>6928</v>
      </c>
      <c r="I90">
        <v>27625</v>
      </c>
    </row>
    <row r="91" spans="1:9">
      <c r="A91" s="2">
        <v>1950</v>
      </c>
      <c r="B91">
        <v>87</v>
      </c>
      <c r="C91">
        <v>0.22681999999999999</v>
      </c>
      <c r="D91">
        <v>0.20372000000000001</v>
      </c>
      <c r="E91">
        <v>0.5</v>
      </c>
      <c r="F91">
        <v>6102</v>
      </c>
      <c r="G91">
        <v>1243</v>
      </c>
      <c r="H91">
        <v>5481</v>
      </c>
      <c r="I91">
        <v>20697</v>
      </c>
    </row>
    <row r="92" spans="1:9">
      <c r="A92" s="2">
        <v>1950</v>
      </c>
      <c r="B92">
        <v>88</v>
      </c>
      <c r="C92">
        <v>0.26699000000000001</v>
      </c>
      <c r="D92">
        <v>0.23554</v>
      </c>
      <c r="E92">
        <v>0.5</v>
      </c>
      <c r="F92">
        <v>4859</v>
      </c>
      <c r="G92">
        <v>1145</v>
      </c>
      <c r="H92">
        <v>4287</v>
      </c>
      <c r="I92">
        <v>15216</v>
      </c>
    </row>
    <row r="93" spans="1:9">
      <c r="A93" s="2">
        <v>1950</v>
      </c>
      <c r="B93">
        <v>89</v>
      </c>
      <c r="C93">
        <v>0.28986000000000001</v>
      </c>
      <c r="D93">
        <v>0.25317000000000001</v>
      </c>
      <c r="E93">
        <v>0.5</v>
      </c>
      <c r="F93">
        <v>3715</v>
      </c>
      <c r="G93">
        <v>940</v>
      </c>
      <c r="H93">
        <v>3245</v>
      </c>
      <c r="I93">
        <v>10929</v>
      </c>
    </row>
    <row r="94" spans="1:9">
      <c r="A94" s="2">
        <v>1950</v>
      </c>
      <c r="B94">
        <v>90</v>
      </c>
      <c r="C94">
        <v>0.30326999999999998</v>
      </c>
      <c r="D94">
        <v>0.26334000000000002</v>
      </c>
      <c r="E94">
        <v>0.5</v>
      </c>
      <c r="F94">
        <v>2774</v>
      </c>
      <c r="G94">
        <v>731</v>
      </c>
      <c r="H94">
        <v>2409</v>
      </c>
      <c r="I94">
        <v>7685</v>
      </c>
    </row>
    <row r="95" spans="1:9">
      <c r="A95" s="2">
        <v>1950</v>
      </c>
      <c r="B95">
        <v>91</v>
      </c>
      <c r="C95">
        <v>0.33888000000000001</v>
      </c>
      <c r="D95">
        <v>0.28977999999999998</v>
      </c>
      <c r="E95">
        <v>0.5</v>
      </c>
      <c r="F95">
        <v>2044</v>
      </c>
      <c r="G95">
        <v>592</v>
      </c>
      <c r="H95">
        <v>1748</v>
      </c>
      <c r="I95">
        <v>5276</v>
      </c>
    </row>
    <row r="96" spans="1:9">
      <c r="A96" s="2">
        <v>1950</v>
      </c>
      <c r="B96">
        <v>92</v>
      </c>
      <c r="C96">
        <v>0.36492999999999998</v>
      </c>
      <c r="D96">
        <v>0.30862000000000001</v>
      </c>
      <c r="E96">
        <v>0.5</v>
      </c>
      <c r="F96">
        <v>1451</v>
      </c>
      <c r="G96">
        <v>448</v>
      </c>
      <c r="H96">
        <v>1228</v>
      </c>
      <c r="I96">
        <v>3528</v>
      </c>
    </row>
    <row r="97" spans="1:9">
      <c r="A97" s="2">
        <v>1950</v>
      </c>
      <c r="B97">
        <v>93</v>
      </c>
      <c r="C97">
        <v>0.39195999999999998</v>
      </c>
      <c r="D97">
        <v>0.32773000000000002</v>
      </c>
      <c r="E97">
        <v>0.5</v>
      </c>
      <c r="F97">
        <v>1004</v>
      </c>
      <c r="G97">
        <v>329</v>
      </c>
      <c r="H97">
        <v>839</v>
      </c>
      <c r="I97">
        <v>2301</v>
      </c>
    </row>
    <row r="98" spans="1:9">
      <c r="A98" s="2">
        <v>1950</v>
      </c>
      <c r="B98">
        <v>94</v>
      </c>
      <c r="C98">
        <v>0.41965999999999998</v>
      </c>
      <c r="D98">
        <v>0.34688000000000002</v>
      </c>
      <c r="E98">
        <v>0.5</v>
      </c>
      <c r="F98">
        <v>675</v>
      </c>
      <c r="G98">
        <v>234</v>
      </c>
      <c r="H98">
        <v>558</v>
      </c>
      <c r="I98">
        <v>1462</v>
      </c>
    </row>
    <row r="99" spans="1:9">
      <c r="A99" s="2">
        <v>1950</v>
      </c>
      <c r="B99">
        <v>95</v>
      </c>
      <c r="C99">
        <v>0.44788</v>
      </c>
      <c r="D99">
        <v>0.36592999999999998</v>
      </c>
      <c r="E99">
        <v>0.5</v>
      </c>
      <c r="F99">
        <v>441</v>
      </c>
      <c r="G99">
        <v>161</v>
      </c>
      <c r="H99">
        <v>360</v>
      </c>
      <c r="I99">
        <v>904</v>
      </c>
    </row>
    <row r="100" spans="1:9">
      <c r="A100" s="2">
        <v>1950</v>
      </c>
      <c r="B100">
        <v>96</v>
      </c>
      <c r="C100">
        <v>0.47643999999999997</v>
      </c>
      <c r="D100">
        <v>0.38478000000000001</v>
      </c>
      <c r="E100">
        <v>0.5</v>
      </c>
      <c r="F100">
        <v>279</v>
      </c>
      <c r="G100">
        <v>108</v>
      </c>
      <c r="H100">
        <v>226</v>
      </c>
      <c r="I100">
        <v>544</v>
      </c>
    </row>
    <row r="101" spans="1:9">
      <c r="A101" s="2">
        <v>1950</v>
      </c>
      <c r="B101">
        <v>97</v>
      </c>
      <c r="C101">
        <v>0.50516000000000005</v>
      </c>
      <c r="D101">
        <v>0.40328999999999998</v>
      </c>
      <c r="E101">
        <v>0.5</v>
      </c>
      <c r="F101">
        <v>172</v>
      </c>
      <c r="G101">
        <v>69</v>
      </c>
      <c r="H101">
        <v>137</v>
      </c>
      <c r="I101">
        <v>318</v>
      </c>
    </row>
    <row r="102" spans="1:9">
      <c r="A102" s="2">
        <v>1950</v>
      </c>
      <c r="B102">
        <v>98</v>
      </c>
      <c r="C102">
        <v>0.53383999999999998</v>
      </c>
      <c r="D102">
        <v>0.42137000000000002</v>
      </c>
      <c r="E102">
        <v>0.5</v>
      </c>
      <c r="F102">
        <v>103</v>
      </c>
      <c r="G102">
        <v>43</v>
      </c>
      <c r="H102">
        <v>81</v>
      </c>
      <c r="I102">
        <v>181</v>
      </c>
    </row>
    <row r="103" spans="1:9">
      <c r="A103" s="2">
        <v>1950</v>
      </c>
      <c r="B103">
        <v>99</v>
      </c>
      <c r="C103">
        <v>0.56230000000000002</v>
      </c>
      <c r="D103">
        <v>0.43890000000000001</v>
      </c>
      <c r="E103">
        <v>0.5</v>
      </c>
      <c r="F103">
        <v>59</v>
      </c>
      <c r="G103">
        <v>26</v>
      </c>
      <c r="H103">
        <v>46</v>
      </c>
      <c r="I103">
        <v>100</v>
      </c>
    </row>
    <row r="104" spans="1:9">
      <c r="A104" s="2">
        <v>1950</v>
      </c>
      <c r="B104">
        <v>100</v>
      </c>
      <c r="C104">
        <v>0.59035000000000004</v>
      </c>
      <c r="D104">
        <v>0.45580999999999999</v>
      </c>
      <c r="E104">
        <v>0.5</v>
      </c>
      <c r="F104">
        <v>33</v>
      </c>
      <c r="G104">
        <v>15</v>
      </c>
      <c r="H104">
        <v>26</v>
      </c>
      <c r="I104">
        <v>54</v>
      </c>
    </row>
    <row r="105" spans="1:9">
      <c r="A105" s="2">
        <v>1950</v>
      </c>
      <c r="B105">
        <v>101</v>
      </c>
      <c r="C105">
        <v>0.61782999999999999</v>
      </c>
      <c r="D105">
        <v>0.47202</v>
      </c>
      <c r="E105">
        <v>0.5</v>
      </c>
      <c r="F105">
        <v>18</v>
      </c>
      <c r="G105">
        <v>9</v>
      </c>
      <c r="H105">
        <v>14</v>
      </c>
      <c r="I105">
        <v>28</v>
      </c>
    </row>
    <row r="106" spans="1:9">
      <c r="A106" s="2">
        <v>1950</v>
      </c>
      <c r="B106">
        <v>102</v>
      </c>
      <c r="C106">
        <v>0.64456999999999998</v>
      </c>
      <c r="D106">
        <v>0.48747000000000001</v>
      </c>
      <c r="E106">
        <v>0.5</v>
      </c>
      <c r="F106">
        <v>10</v>
      </c>
      <c r="G106">
        <v>5</v>
      </c>
      <c r="H106">
        <v>7</v>
      </c>
      <c r="I106">
        <v>14</v>
      </c>
    </row>
    <row r="107" spans="1:9">
      <c r="A107" s="2">
        <v>1950</v>
      </c>
      <c r="B107">
        <v>103</v>
      </c>
      <c r="C107">
        <v>0.67044000000000004</v>
      </c>
      <c r="D107">
        <v>0.50212000000000001</v>
      </c>
      <c r="E107">
        <v>0.5</v>
      </c>
      <c r="F107">
        <v>5</v>
      </c>
      <c r="G107">
        <v>2</v>
      </c>
      <c r="H107">
        <v>4</v>
      </c>
      <c r="I107">
        <v>7</v>
      </c>
    </row>
    <row r="108" spans="1:9">
      <c r="A108" s="2">
        <v>1950</v>
      </c>
      <c r="B108">
        <v>104</v>
      </c>
      <c r="C108">
        <v>0.69532000000000005</v>
      </c>
      <c r="D108">
        <v>0.51595000000000002</v>
      </c>
      <c r="E108">
        <v>0.5</v>
      </c>
      <c r="F108">
        <v>2</v>
      </c>
      <c r="G108">
        <v>1</v>
      </c>
      <c r="H108">
        <v>2</v>
      </c>
      <c r="I108">
        <v>3</v>
      </c>
    </row>
    <row r="109" spans="1:9">
      <c r="A109" s="2">
        <v>1950</v>
      </c>
      <c r="B109">
        <v>105</v>
      </c>
      <c r="C109">
        <v>0.71911000000000003</v>
      </c>
      <c r="D109">
        <v>0.52893000000000001</v>
      </c>
      <c r="E109">
        <v>0.5</v>
      </c>
      <c r="F109">
        <v>1</v>
      </c>
      <c r="G109">
        <v>1</v>
      </c>
      <c r="H109">
        <v>1</v>
      </c>
      <c r="I109">
        <v>2</v>
      </c>
    </row>
    <row r="110" spans="1:9">
      <c r="A110" s="2">
        <v>1950</v>
      </c>
      <c r="B110">
        <v>106</v>
      </c>
      <c r="C110">
        <v>0.74173</v>
      </c>
      <c r="D110">
        <v>0.54107000000000005</v>
      </c>
      <c r="E110">
        <v>0.5</v>
      </c>
      <c r="F110">
        <v>1</v>
      </c>
      <c r="G110">
        <v>0</v>
      </c>
      <c r="H110">
        <v>0</v>
      </c>
      <c r="I110">
        <v>1</v>
      </c>
    </row>
    <row r="111" spans="1:9">
      <c r="A111" s="2">
        <v>1950</v>
      </c>
      <c r="B111">
        <v>107</v>
      </c>
      <c r="C111">
        <v>0.76312999999999998</v>
      </c>
      <c r="D111">
        <v>0.55237000000000003</v>
      </c>
      <c r="E111">
        <v>0.5</v>
      </c>
      <c r="F111">
        <v>0</v>
      </c>
      <c r="G111">
        <v>0</v>
      </c>
      <c r="H111">
        <v>0</v>
      </c>
      <c r="I111">
        <v>0</v>
      </c>
    </row>
    <row r="112" spans="1:9">
      <c r="A112" s="2">
        <v>1950</v>
      </c>
      <c r="B112">
        <v>108</v>
      </c>
      <c r="C112">
        <v>0.78327000000000002</v>
      </c>
      <c r="D112">
        <v>0.56284000000000001</v>
      </c>
      <c r="E112">
        <v>0.5</v>
      </c>
      <c r="F112">
        <v>0</v>
      </c>
      <c r="G112">
        <v>0</v>
      </c>
      <c r="H112">
        <v>0</v>
      </c>
      <c r="I112">
        <v>0</v>
      </c>
    </row>
    <row r="113" spans="1:9">
      <c r="A113" s="2">
        <v>1950</v>
      </c>
      <c r="B113">
        <v>109</v>
      </c>
      <c r="C113">
        <v>0.80215000000000003</v>
      </c>
      <c r="D113">
        <v>0.57252000000000003</v>
      </c>
      <c r="E113">
        <v>0.5</v>
      </c>
      <c r="F113">
        <v>0</v>
      </c>
      <c r="G113">
        <v>0</v>
      </c>
      <c r="H113">
        <v>0</v>
      </c>
      <c r="I113">
        <v>0</v>
      </c>
    </row>
    <row r="114" spans="1:9">
      <c r="A114" s="2">
        <v>1950</v>
      </c>
      <c r="B114" t="s">
        <v>26</v>
      </c>
      <c r="C114">
        <v>0.81976000000000004</v>
      </c>
      <c r="D114">
        <v>1</v>
      </c>
      <c r="E114" s="3" t="s">
        <v>27</v>
      </c>
      <c r="F114">
        <v>0</v>
      </c>
      <c r="G114">
        <v>0</v>
      </c>
      <c r="H114">
        <v>0</v>
      </c>
      <c r="I114">
        <v>0</v>
      </c>
    </row>
    <row r="115" spans="1:9">
      <c r="A115" s="2">
        <v>1951</v>
      </c>
      <c r="B115">
        <v>0</v>
      </c>
      <c r="C115">
        <v>9.6079999999999999E-2</v>
      </c>
      <c r="D115">
        <v>9.0020000000000003E-2</v>
      </c>
      <c r="E115">
        <v>0.3</v>
      </c>
      <c r="F115">
        <v>100000</v>
      </c>
      <c r="G115">
        <v>9002</v>
      </c>
      <c r="H115">
        <v>93691</v>
      </c>
      <c r="I115">
        <v>6016098</v>
      </c>
    </row>
    <row r="116" spans="1:9">
      <c r="A116" s="2">
        <v>1951</v>
      </c>
      <c r="B116">
        <v>1</v>
      </c>
      <c r="C116">
        <v>8.3499999999999998E-3</v>
      </c>
      <c r="D116">
        <v>8.3199999999999993E-3</v>
      </c>
      <c r="E116">
        <v>0.5</v>
      </c>
      <c r="F116">
        <v>90998</v>
      </c>
      <c r="G116">
        <v>757</v>
      </c>
      <c r="H116">
        <v>90619</v>
      </c>
      <c r="I116">
        <v>5922407</v>
      </c>
    </row>
    <row r="117" spans="1:9">
      <c r="A117" s="2">
        <v>1951</v>
      </c>
      <c r="B117">
        <v>2</v>
      </c>
      <c r="C117">
        <v>3.46E-3</v>
      </c>
      <c r="D117">
        <v>3.4499999999999999E-3</v>
      </c>
      <c r="E117">
        <v>0.5</v>
      </c>
      <c r="F117">
        <v>90241</v>
      </c>
      <c r="G117">
        <v>312</v>
      </c>
      <c r="H117">
        <v>90085</v>
      </c>
      <c r="I117">
        <v>5831787</v>
      </c>
    </row>
    <row r="118" spans="1:9">
      <c r="A118" s="2">
        <v>1951</v>
      </c>
      <c r="B118">
        <v>3</v>
      </c>
      <c r="C118">
        <v>2.0899999999999998E-3</v>
      </c>
      <c r="D118">
        <v>2.0899999999999998E-3</v>
      </c>
      <c r="E118">
        <v>0.5</v>
      </c>
      <c r="F118">
        <v>89929</v>
      </c>
      <c r="G118">
        <v>188</v>
      </c>
      <c r="H118">
        <v>89835</v>
      </c>
      <c r="I118">
        <v>5741702</v>
      </c>
    </row>
    <row r="119" spans="1:9">
      <c r="A119" s="2">
        <v>1951</v>
      </c>
      <c r="B119">
        <v>4</v>
      </c>
      <c r="C119">
        <v>1.7600000000000001E-3</v>
      </c>
      <c r="D119">
        <v>1.75E-3</v>
      </c>
      <c r="E119">
        <v>0.5</v>
      </c>
      <c r="F119">
        <v>89742</v>
      </c>
      <c r="G119">
        <v>157</v>
      </c>
      <c r="H119">
        <v>89663</v>
      </c>
      <c r="I119">
        <v>5651867</v>
      </c>
    </row>
    <row r="120" spans="1:9">
      <c r="A120" s="2">
        <v>1951</v>
      </c>
      <c r="B120">
        <v>5</v>
      </c>
      <c r="C120">
        <v>1.4E-3</v>
      </c>
      <c r="D120">
        <v>1.4E-3</v>
      </c>
      <c r="E120">
        <v>0.5</v>
      </c>
      <c r="F120">
        <v>89584</v>
      </c>
      <c r="G120">
        <v>125</v>
      </c>
      <c r="H120">
        <v>89522</v>
      </c>
      <c r="I120">
        <v>5562204</v>
      </c>
    </row>
    <row r="121" spans="1:9">
      <c r="A121" s="2">
        <v>1951</v>
      </c>
      <c r="B121">
        <v>6</v>
      </c>
      <c r="C121">
        <v>1.2099999999999999E-3</v>
      </c>
      <c r="D121">
        <v>1.2099999999999999E-3</v>
      </c>
      <c r="E121">
        <v>0.5</v>
      </c>
      <c r="F121">
        <v>89459</v>
      </c>
      <c r="G121">
        <v>108</v>
      </c>
      <c r="H121">
        <v>89405</v>
      </c>
      <c r="I121">
        <v>5472682</v>
      </c>
    </row>
    <row r="122" spans="1:9">
      <c r="A122" s="2">
        <v>1951</v>
      </c>
      <c r="B122">
        <v>7</v>
      </c>
      <c r="C122">
        <v>1.15E-3</v>
      </c>
      <c r="D122">
        <v>1.15E-3</v>
      </c>
      <c r="E122">
        <v>0.5</v>
      </c>
      <c r="F122">
        <v>89351</v>
      </c>
      <c r="G122">
        <v>102</v>
      </c>
      <c r="H122">
        <v>89300</v>
      </c>
      <c r="I122">
        <v>5383277</v>
      </c>
    </row>
    <row r="123" spans="1:9">
      <c r="A123" s="2">
        <v>1951</v>
      </c>
      <c r="B123">
        <v>8</v>
      </c>
      <c r="C123">
        <v>1E-3</v>
      </c>
      <c r="D123">
        <v>1E-3</v>
      </c>
      <c r="E123">
        <v>0.5</v>
      </c>
      <c r="F123">
        <v>89248</v>
      </c>
      <c r="G123">
        <v>89</v>
      </c>
      <c r="H123">
        <v>89204</v>
      </c>
      <c r="I123">
        <v>5293978</v>
      </c>
    </row>
    <row r="124" spans="1:9">
      <c r="A124" s="2">
        <v>1951</v>
      </c>
      <c r="B124">
        <v>9</v>
      </c>
      <c r="C124">
        <v>9.5E-4</v>
      </c>
      <c r="D124">
        <v>9.5E-4</v>
      </c>
      <c r="E124">
        <v>0.5</v>
      </c>
      <c r="F124">
        <v>89159</v>
      </c>
      <c r="G124">
        <v>85</v>
      </c>
      <c r="H124">
        <v>89117</v>
      </c>
      <c r="I124">
        <v>5204774</v>
      </c>
    </row>
    <row r="125" spans="1:9">
      <c r="A125" s="2">
        <v>1951</v>
      </c>
      <c r="B125">
        <v>10</v>
      </c>
      <c r="C125">
        <v>1.0200000000000001E-3</v>
      </c>
      <c r="D125">
        <v>1.0200000000000001E-3</v>
      </c>
      <c r="E125">
        <v>0.5</v>
      </c>
      <c r="F125">
        <v>89075</v>
      </c>
      <c r="G125">
        <v>91</v>
      </c>
      <c r="H125">
        <v>89029</v>
      </c>
      <c r="I125">
        <v>5115657</v>
      </c>
    </row>
    <row r="126" spans="1:9">
      <c r="A126" s="2">
        <v>1951</v>
      </c>
      <c r="B126">
        <v>11</v>
      </c>
      <c r="C126">
        <v>9.3000000000000005E-4</v>
      </c>
      <c r="D126">
        <v>9.3000000000000005E-4</v>
      </c>
      <c r="E126">
        <v>0.5</v>
      </c>
      <c r="F126">
        <v>88984</v>
      </c>
      <c r="G126">
        <v>82</v>
      </c>
      <c r="H126">
        <v>88942</v>
      </c>
      <c r="I126">
        <v>5026628</v>
      </c>
    </row>
    <row r="127" spans="1:9">
      <c r="A127" s="2">
        <v>1951</v>
      </c>
      <c r="B127">
        <v>12</v>
      </c>
      <c r="C127">
        <v>1.0300000000000001E-3</v>
      </c>
      <c r="D127">
        <v>1.0300000000000001E-3</v>
      </c>
      <c r="E127">
        <v>0.5</v>
      </c>
      <c r="F127">
        <v>88901</v>
      </c>
      <c r="G127">
        <v>91</v>
      </c>
      <c r="H127">
        <v>88855</v>
      </c>
      <c r="I127">
        <v>4937685</v>
      </c>
    </row>
    <row r="128" spans="1:9">
      <c r="A128" s="2">
        <v>1951</v>
      </c>
      <c r="B128">
        <v>13</v>
      </c>
      <c r="C128">
        <v>1.2099999999999999E-3</v>
      </c>
      <c r="D128">
        <v>1.2099999999999999E-3</v>
      </c>
      <c r="E128">
        <v>0.5</v>
      </c>
      <c r="F128">
        <v>88810</v>
      </c>
      <c r="G128">
        <v>108</v>
      </c>
      <c r="H128">
        <v>88756</v>
      </c>
      <c r="I128">
        <v>4848830</v>
      </c>
    </row>
    <row r="129" spans="1:9">
      <c r="A129" s="2">
        <v>1951</v>
      </c>
      <c r="B129">
        <v>14</v>
      </c>
      <c r="C129">
        <v>9.7999999999999997E-4</v>
      </c>
      <c r="D129">
        <v>9.7999999999999997E-4</v>
      </c>
      <c r="E129">
        <v>0.5</v>
      </c>
      <c r="F129">
        <v>88702</v>
      </c>
      <c r="G129">
        <v>87</v>
      </c>
      <c r="H129">
        <v>88659</v>
      </c>
      <c r="I129">
        <v>4760074</v>
      </c>
    </row>
    <row r="130" spans="1:9">
      <c r="A130" s="2">
        <v>1951</v>
      </c>
      <c r="B130">
        <v>15</v>
      </c>
      <c r="C130">
        <v>1.2600000000000001E-3</v>
      </c>
      <c r="D130">
        <v>1.2600000000000001E-3</v>
      </c>
      <c r="E130">
        <v>0.5</v>
      </c>
      <c r="F130">
        <v>88616</v>
      </c>
      <c r="G130">
        <v>112</v>
      </c>
      <c r="H130">
        <v>88560</v>
      </c>
      <c r="I130">
        <v>4671415</v>
      </c>
    </row>
    <row r="131" spans="1:9">
      <c r="A131" s="2">
        <v>1951</v>
      </c>
      <c r="B131">
        <v>16</v>
      </c>
      <c r="C131">
        <v>1.7700000000000001E-3</v>
      </c>
      <c r="D131">
        <v>1.7700000000000001E-3</v>
      </c>
      <c r="E131">
        <v>0.5</v>
      </c>
      <c r="F131">
        <v>88504</v>
      </c>
      <c r="G131">
        <v>157</v>
      </c>
      <c r="H131">
        <v>88425</v>
      </c>
      <c r="I131">
        <v>4582855</v>
      </c>
    </row>
    <row r="132" spans="1:9">
      <c r="A132" s="2">
        <v>1951</v>
      </c>
      <c r="B132">
        <v>17</v>
      </c>
      <c r="C132">
        <v>2.0799999999999998E-3</v>
      </c>
      <c r="D132">
        <v>2.0799999999999998E-3</v>
      </c>
      <c r="E132">
        <v>0.5</v>
      </c>
      <c r="F132">
        <v>88347</v>
      </c>
      <c r="G132">
        <v>184</v>
      </c>
      <c r="H132">
        <v>88255</v>
      </c>
      <c r="I132">
        <v>4494430</v>
      </c>
    </row>
    <row r="133" spans="1:9">
      <c r="A133" s="2">
        <v>1951</v>
      </c>
      <c r="B133">
        <v>18</v>
      </c>
      <c r="C133">
        <v>2.33E-3</v>
      </c>
      <c r="D133">
        <v>2.33E-3</v>
      </c>
      <c r="E133">
        <v>0.5</v>
      </c>
      <c r="F133">
        <v>88163</v>
      </c>
      <c r="G133">
        <v>205</v>
      </c>
      <c r="H133">
        <v>88060</v>
      </c>
      <c r="I133">
        <v>4406175</v>
      </c>
    </row>
    <row r="134" spans="1:9">
      <c r="A134" s="2">
        <v>1951</v>
      </c>
      <c r="B134">
        <v>19</v>
      </c>
      <c r="C134">
        <v>2.47E-3</v>
      </c>
      <c r="D134">
        <v>2.47E-3</v>
      </c>
      <c r="E134">
        <v>0.5</v>
      </c>
      <c r="F134">
        <v>87958</v>
      </c>
      <c r="G134">
        <v>217</v>
      </c>
      <c r="H134">
        <v>87849</v>
      </c>
      <c r="I134">
        <v>4318114</v>
      </c>
    </row>
    <row r="135" spans="1:9">
      <c r="A135" s="2">
        <v>1951</v>
      </c>
      <c r="B135">
        <v>20</v>
      </c>
      <c r="C135">
        <v>2.8400000000000001E-3</v>
      </c>
      <c r="D135">
        <v>2.8400000000000001E-3</v>
      </c>
      <c r="E135">
        <v>0.5</v>
      </c>
      <c r="F135">
        <v>87741</v>
      </c>
      <c r="G135">
        <v>249</v>
      </c>
      <c r="H135">
        <v>87616</v>
      </c>
      <c r="I135">
        <v>4230265</v>
      </c>
    </row>
    <row r="136" spans="1:9">
      <c r="A136" s="2">
        <v>1951</v>
      </c>
      <c r="B136">
        <v>21</v>
      </c>
      <c r="C136">
        <v>3.0300000000000001E-3</v>
      </c>
      <c r="D136">
        <v>3.0300000000000001E-3</v>
      </c>
      <c r="E136">
        <v>0.5</v>
      </c>
      <c r="F136">
        <v>87492</v>
      </c>
      <c r="G136">
        <v>265</v>
      </c>
      <c r="H136">
        <v>87359</v>
      </c>
      <c r="I136">
        <v>4142649</v>
      </c>
    </row>
    <row r="137" spans="1:9">
      <c r="A137" s="2">
        <v>1951</v>
      </c>
      <c r="B137">
        <v>22</v>
      </c>
      <c r="C137">
        <v>2.7899999999999999E-3</v>
      </c>
      <c r="D137">
        <v>2.7899999999999999E-3</v>
      </c>
      <c r="E137">
        <v>0.5</v>
      </c>
      <c r="F137">
        <v>87226</v>
      </c>
      <c r="G137">
        <v>243</v>
      </c>
      <c r="H137">
        <v>87105</v>
      </c>
      <c r="I137">
        <v>4055290</v>
      </c>
    </row>
    <row r="138" spans="1:9">
      <c r="A138" s="2">
        <v>1951</v>
      </c>
      <c r="B138">
        <v>23</v>
      </c>
      <c r="C138">
        <v>3.3999999999999998E-3</v>
      </c>
      <c r="D138">
        <v>3.3999999999999998E-3</v>
      </c>
      <c r="E138">
        <v>0.5</v>
      </c>
      <c r="F138">
        <v>86983</v>
      </c>
      <c r="G138">
        <v>295</v>
      </c>
      <c r="H138">
        <v>86835</v>
      </c>
      <c r="I138">
        <v>3968185</v>
      </c>
    </row>
    <row r="139" spans="1:9">
      <c r="A139" s="2">
        <v>1951</v>
      </c>
      <c r="B139">
        <v>24</v>
      </c>
      <c r="C139">
        <v>2.7000000000000001E-3</v>
      </c>
      <c r="D139">
        <v>2.7000000000000001E-3</v>
      </c>
      <c r="E139">
        <v>0.5</v>
      </c>
      <c r="F139">
        <v>86687</v>
      </c>
      <c r="G139">
        <v>234</v>
      </c>
      <c r="H139">
        <v>86571</v>
      </c>
      <c r="I139">
        <v>3881350</v>
      </c>
    </row>
    <row r="140" spans="1:9">
      <c r="A140" s="2">
        <v>1951</v>
      </c>
      <c r="B140">
        <v>25</v>
      </c>
      <c r="C140">
        <v>3.1099999999999999E-3</v>
      </c>
      <c r="D140">
        <v>3.0999999999999999E-3</v>
      </c>
      <c r="E140">
        <v>0.5</v>
      </c>
      <c r="F140">
        <v>86454</v>
      </c>
      <c r="G140">
        <v>268</v>
      </c>
      <c r="H140">
        <v>86320</v>
      </c>
      <c r="I140">
        <v>3794780</v>
      </c>
    </row>
    <row r="141" spans="1:9">
      <c r="A141" s="2">
        <v>1951</v>
      </c>
      <c r="B141">
        <v>26</v>
      </c>
      <c r="C141">
        <v>2.7699999999999999E-3</v>
      </c>
      <c r="D141">
        <v>2.7599999999999999E-3</v>
      </c>
      <c r="E141">
        <v>0.5</v>
      </c>
      <c r="F141">
        <v>86186</v>
      </c>
      <c r="G141">
        <v>238</v>
      </c>
      <c r="H141">
        <v>86066</v>
      </c>
      <c r="I141">
        <v>3708460</v>
      </c>
    </row>
    <row r="142" spans="1:9">
      <c r="A142" s="2">
        <v>1951</v>
      </c>
      <c r="B142">
        <v>27</v>
      </c>
      <c r="C142">
        <v>3.1800000000000001E-3</v>
      </c>
      <c r="D142">
        <v>3.1800000000000001E-3</v>
      </c>
      <c r="E142">
        <v>0.5</v>
      </c>
      <c r="F142">
        <v>85947</v>
      </c>
      <c r="G142">
        <v>273</v>
      </c>
      <c r="H142">
        <v>85811</v>
      </c>
      <c r="I142">
        <v>3622394</v>
      </c>
    </row>
    <row r="143" spans="1:9">
      <c r="A143" s="2">
        <v>1951</v>
      </c>
      <c r="B143">
        <v>28</v>
      </c>
      <c r="C143">
        <v>2.96E-3</v>
      </c>
      <c r="D143">
        <v>2.9499999999999999E-3</v>
      </c>
      <c r="E143">
        <v>0.5</v>
      </c>
      <c r="F143">
        <v>85674</v>
      </c>
      <c r="G143">
        <v>253</v>
      </c>
      <c r="H143">
        <v>85548</v>
      </c>
      <c r="I143">
        <v>3536583</v>
      </c>
    </row>
    <row r="144" spans="1:9">
      <c r="A144" s="2">
        <v>1951</v>
      </c>
      <c r="B144">
        <v>29</v>
      </c>
      <c r="C144">
        <v>2.98E-3</v>
      </c>
      <c r="D144">
        <v>2.98E-3</v>
      </c>
      <c r="E144">
        <v>0.5</v>
      </c>
      <c r="F144">
        <v>85421</v>
      </c>
      <c r="G144">
        <v>254</v>
      </c>
      <c r="H144">
        <v>85294</v>
      </c>
      <c r="I144">
        <v>3451035</v>
      </c>
    </row>
    <row r="145" spans="1:9">
      <c r="A145" s="2">
        <v>1951</v>
      </c>
      <c r="B145">
        <v>30</v>
      </c>
      <c r="C145">
        <v>2.98E-3</v>
      </c>
      <c r="D145">
        <v>2.97E-3</v>
      </c>
      <c r="E145">
        <v>0.5</v>
      </c>
      <c r="F145">
        <v>85167</v>
      </c>
      <c r="G145">
        <v>253</v>
      </c>
      <c r="H145">
        <v>85040</v>
      </c>
      <c r="I145">
        <v>3365741</v>
      </c>
    </row>
    <row r="146" spans="1:9">
      <c r="A146" s="2">
        <v>1951</v>
      </c>
      <c r="B146">
        <v>31</v>
      </c>
      <c r="C146">
        <v>3.5200000000000001E-3</v>
      </c>
      <c r="D146">
        <v>3.5100000000000001E-3</v>
      </c>
      <c r="E146">
        <v>0.5</v>
      </c>
      <c r="F146">
        <v>84914</v>
      </c>
      <c r="G146">
        <v>298</v>
      </c>
      <c r="H146">
        <v>84765</v>
      </c>
      <c r="I146">
        <v>3280700</v>
      </c>
    </row>
    <row r="147" spans="1:9">
      <c r="A147" s="2">
        <v>1951</v>
      </c>
      <c r="B147">
        <v>32</v>
      </c>
      <c r="C147">
        <v>2.7399999999999998E-3</v>
      </c>
      <c r="D147">
        <v>2.7399999999999998E-3</v>
      </c>
      <c r="E147">
        <v>0.5</v>
      </c>
      <c r="F147">
        <v>84616</v>
      </c>
      <c r="G147">
        <v>232</v>
      </c>
      <c r="H147">
        <v>84500</v>
      </c>
      <c r="I147">
        <v>3195935</v>
      </c>
    </row>
    <row r="148" spans="1:9">
      <c r="A148" s="2">
        <v>1951</v>
      </c>
      <c r="B148">
        <v>33</v>
      </c>
      <c r="C148">
        <v>3.2299999999999998E-3</v>
      </c>
      <c r="D148">
        <v>3.2299999999999998E-3</v>
      </c>
      <c r="E148">
        <v>0.5</v>
      </c>
      <c r="F148">
        <v>84384</v>
      </c>
      <c r="G148">
        <v>272</v>
      </c>
      <c r="H148">
        <v>84248</v>
      </c>
      <c r="I148">
        <v>3111436</v>
      </c>
    </row>
    <row r="149" spans="1:9">
      <c r="A149" s="2">
        <v>1951</v>
      </c>
      <c r="B149">
        <v>34</v>
      </c>
      <c r="C149">
        <v>3.2799999999999999E-3</v>
      </c>
      <c r="D149">
        <v>3.2699999999999999E-3</v>
      </c>
      <c r="E149">
        <v>0.5</v>
      </c>
      <c r="F149">
        <v>84112</v>
      </c>
      <c r="G149">
        <v>275</v>
      </c>
      <c r="H149">
        <v>83974</v>
      </c>
      <c r="I149">
        <v>3027188</v>
      </c>
    </row>
    <row r="150" spans="1:9">
      <c r="A150" s="2">
        <v>1951</v>
      </c>
      <c r="B150">
        <v>35</v>
      </c>
      <c r="C150">
        <v>3.14E-3</v>
      </c>
      <c r="D150">
        <v>3.13E-3</v>
      </c>
      <c r="E150">
        <v>0.5</v>
      </c>
      <c r="F150">
        <v>83836</v>
      </c>
      <c r="G150">
        <v>263</v>
      </c>
      <c r="H150">
        <v>83705</v>
      </c>
      <c r="I150">
        <v>2943214</v>
      </c>
    </row>
    <row r="151" spans="1:9">
      <c r="A151" s="2">
        <v>1951</v>
      </c>
      <c r="B151">
        <v>36</v>
      </c>
      <c r="C151">
        <v>3.81E-3</v>
      </c>
      <c r="D151">
        <v>3.8E-3</v>
      </c>
      <c r="E151">
        <v>0.5</v>
      </c>
      <c r="F151">
        <v>83574</v>
      </c>
      <c r="G151">
        <v>318</v>
      </c>
      <c r="H151">
        <v>83415</v>
      </c>
      <c r="I151">
        <v>2859509</v>
      </c>
    </row>
    <row r="152" spans="1:9">
      <c r="A152" s="2">
        <v>1951</v>
      </c>
      <c r="B152">
        <v>37</v>
      </c>
      <c r="C152">
        <v>3.96E-3</v>
      </c>
      <c r="D152">
        <v>3.96E-3</v>
      </c>
      <c r="E152">
        <v>0.5</v>
      </c>
      <c r="F152">
        <v>83256</v>
      </c>
      <c r="G152">
        <v>329</v>
      </c>
      <c r="H152">
        <v>83092</v>
      </c>
      <c r="I152">
        <v>2776094</v>
      </c>
    </row>
    <row r="153" spans="1:9">
      <c r="A153" s="2">
        <v>1951</v>
      </c>
      <c r="B153">
        <v>38</v>
      </c>
      <c r="C153">
        <v>3.79E-3</v>
      </c>
      <c r="D153">
        <v>3.7799999999999999E-3</v>
      </c>
      <c r="E153">
        <v>0.5</v>
      </c>
      <c r="F153">
        <v>82927</v>
      </c>
      <c r="G153">
        <v>314</v>
      </c>
      <c r="H153">
        <v>82770</v>
      </c>
      <c r="I153">
        <v>2693002</v>
      </c>
    </row>
    <row r="154" spans="1:9">
      <c r="A154" s="2">
        <v>1951</v>
      </c>
      <c r="B154">
        <v>39</v>
      </c>
      <c r="C154">
        <v>4.0699999999999998E-3</v>
      </c>
      <c r="D154">
        <v>4.0600000000000002E-3</v>
      </c>
      <c r="E154">
        <v>0.5</v>
      </c>
      <c r="F154">
        <v>82613</v>
      </c>
      <c r="G154">
        <v>335</v>
      </c>
      <c r="H154">
        <v>82445</v>
      </c>
      <c r="I154">
        <v>2610232</v>
      </c>
    </row>
    <row r="155" spans="1:9">
      <c r="A155" s="2">
        <v>1951</v>
      </c>
      <c r="B155">
        <v>40</v>
      </c>
      <c r="C155">
        <v>4.0499999999999998E-3</v>
      </c>
      <c r="D155">
        <v>4.0400000000000002E-3</v>
      </c>
      <c r="E155">
        <v>0.5</v>
      </c>
      <c r="F155">
        <v>82278</v>
      </c>
      <c r="G155">
        <v>333</v>
      </c>
      <c r="H155">
        <v>82111</v>
      </c>
      <c r="I155">
        <v>2527786</v>
      </c>
    </row>
    <row r="156" spans="1:9">
      <c r="A156" s="2">
        <v>1951</v>
      </c>
      <c r="B156">
        <v>41</v>
      </c>
      <c r="C156">
        <v>4.7699999999999999E-3</v>
      </c>
      <c r="D156">
        <v>4.7600000000000003E-3</v>
      </c>
      <c r="E156">
        <v>0.5</v>
      </c>
      <c r="F156">
        <v>81945</v>
      </c>
      <c r="G156">
        <v>390</v>
      </c>
      <c r="H156">
        <v>81750</v>
      </c>
      <c r="I156">
        <v>2445675</v>
      </c>
    </row>
    <row r="157" spans="1:9">
      <c r="A157" s="2">
        <v>1951</v>
      </c>
      <c r="B157">
        <v>42</v>
      </c>
      <c r="C157">
        <v>5.7099999999999998E-3</v>
      </c>
      <c r="D157">
        <v>5.6899999999999997E-3</v>
      </c>
      <c r="E157">
        <v>0.5</v>
      </c>
      <c r="F157">
        <v>81555</v>
      </c>
      <c r="G157">
        <v>464</v>
      </c>
      <c r="H157">
        <v>81323</v>
      </c>
      <c r="I157">
        <v>2363925</v>
      </c>
    </row>
    <row r="158" spans="1:9">
      <c r="A158" s="2">
        <v>1951</v>
      </c>
      <c r="B158">
        <v>43</v>
      </c>
      <c r="C158">
        <v>5.1799999999999997E-3</v>
      </c>
      <c r="D158">
        <v>5.1700000000000001E-3</v>
      </c>
      <c r="E158">
        <v>0.5</v>
      </c>
      <c r="F158">
        <v>81091</v>
      </c>
      <c r="G158">
        <v>419</v>
      </c>
      <c r="H158">
        <v>80881</v>
      </c>
      <c r="I158">
        <v>2282602</v>
      </c>
    </row>
    <row r="159" spans="1:9">
      <c r="A159" s="2">
        <v>1951</v>
      </c>
      <c r="B159">
        <v>44</v>
      </c>
      <c r="C159">
        <v>5.8399999999999997E-3</v>
      </c>
      <c r="D159">
        <v>5.8199999999999997E-3</v>
      </c>
      <c r="E159">
        <v>0.5</v>
      </c>
      <c r="F159">
        <v>80672</v>
      </c>
      <c r="G159">
        <v>470</v>
      </c>
      <c r="H159">
        <v>80437</v>
      </c>
      <c r="I159">
        <v>2201721</v>
      </c>
    </row>
    <row r="160" spans="1:9">
      <c r="A160" s="2">
        <v>1951</v>
      </c>
      <c r="B160">
        <v>45</v>
      </c>
      <c r="C160">
        <v>6.2899999999999996E-3</v>
      </c>
      <c r="D160">
        <v>6.2700000000000004E-3</v>
      </c>
      <c r="E160">
        <v>0.5</v>
      </c>
      <c r="F160">
        <v>80202</v>
      </c>
      <c r="G160">
        <v>503</v>
      </c>
      <c r="H160">
        <v>79951</v>
      </c>
      <c r="I160">
        <v>2121284</v>
      </c>
    </row>
    <row r="161" spans="1:9">
      <c r="A161" s="2">
        <v>1951</v>
      </c>
      <c r="B161">
        <v>46</v>
      </c>
      <c r="C161">
        <v>7.1399999999999996E-3</v>
      </c>
      <c r="D161">
        <v>7.11E-3</v>
      </c>
      <c r="E161">
        <v>0.5</v>
      </c>
      <c r="F161">
        <v>79699</v>
      </c>
      <c r="G161">
        <v>567</v>
      </c>
      <c r="H161">
        <v>79416</v>
      </c>
      <c r="I161">
        <v>2041333</v>
      </c>
    </row>
    <row r="162" spans="1:9">
      <c r="A162" s="2">
        <v>1951</v>
      </c>
      <c r="B162">
        <v>47</v>
      </c>
      <c r="C162">
        <v>7.6099999999999996E-3</v>
      </c>
      <c r="D162">
        <v>7.5799999999999999E-3</v>
      </c>
      <c r="E162">
        <v>0.5</v>
      </c>
      <c r="F162">
        <v>79132</v>
      </c>
      <c r="G162">
        <v>600</v>
      </c>
      <c r="H162">
        <v>78832</v>
      </c>
      <c r="I162">
        <v>1961917</v>
      </c>
    </row>
    <row r="163" spans="1:9">
      <c r="A163" s="2">
        <v>1951</v>
      </c>
      <c r="B163">
        <v>48</v>
      </c>
      <c r="C163">
        <v>8.0099999999999998E-3</v>
      </c>
      <c r="D163">
        <v>7.9799999999999992E-3</v>
      </c>
      <c r="E163">
        <v>0.5</v>
      </c>
      <c r="F163">
        <v>78532</v>
      </c>
      <c r="G163">
        <v>627</v>
      </c>
      <c r="H163">
        <v>78219</v>
      </c>
      <c r="I163">
        <v>1883085</v>
      </c>
    </row>
    <row r="164" spans="1:9">
      <c r="A164" s="2">
        <v>1951</v>
      </c>
      <c r="B164">
        <v>49</v>
      </c>
      <c r="C164">
        <v>9.7800000000000005E-3</v>
      </c>
      <c r="D164">
        <v>9.7300000000000008E-3</v>
      </c>
      <c r="E164">
        <v>0.5</v>
      </c>
      <c r="F164">
        <v>77905</v>
      </c>
      <c r="G164">
        <v>758</v>
      </c>
      <c r="H164">
        <v>77526</v>
      </c>
      <c r="I164">
        <v>1804867</v>
      </c>
    </row>
    <row r="165" spans="1:9">
      <c r="A165" s="2">
        <v>1951</v>
      </c>
      <c r="B165">
        <v>50</v>
      </c>
      <c r="C165">
        <v>1.0160000000000001E-2</v>
      </c>
      <c r="D165">
        <v>1.01E-2</v>
      </c>
      <c r="E165">
        <v>0.5</v>
      </c>
      <c r="F165">
        <v>77147</v>
      </c>
      <c r="G165">
        <v>780</v>
      </c>
      <c r="H165">
        <v>76758</v>
      </c>
      <c r="I165">
        <v>1727340</v>
      </c>
    </row>
    <row r="166" spans="1:9">
      <c r="A166" s="2">
        <v>1951</v>
      </c>
      <c r="B166">
        <v>51</v>
      </c>
      <c r="C166">
        <v>1.197E-2</v>
      </c>
      <c r="D166">
        <v>1.1900000000000001E-2</v>
      </c>
      <c r="E166">
        <v>0.5</v>
      </c>
      <c r="F166">
        <v>76368</v>
      </c>
      <c r="G166">
        <v>909</v>
      </c>
      <c r="H166">
        <v>75913</v>
      </c>
      <c r="I166">
        <v>1650583</v>
      </c>
    </row>
    <row r="167" spans="1:9">
      <c r="A167" s="2">
        <v>1951</v>
      </c>
      <c r="B167">
        <v>52</v>
      </c>
      <c r="C167">
        <v>1.166E-2</v>
      </c>
      <c r="D167">
        <v>1.159E-2</v>
      </c>
      <c r="E167">
        <v>0.5</v>
      </c>
      <c r="F167">
        <v>75459</v>
      </c>
      <c r="G167">
        <v>875</v>
      </c>
      <c r="H167">
        <v>75021</v>
      </c>
      <c r="I167">
        <v>1574669</v>
      </c>
    </row>
    <row r="168" spans="1:9">
      <c r="A168" s="2">
        <v>1951</v>
      </c>
      <c r="B168">
        <v>53</v>
      </c>
      <c r="C168">
        <v>1.223E-2</v>
      </c>
      <c r="D168">
        <v>1.2160000000000001E-2</v>
      </c>
      <c r="E168">
        <v>0.5</v>
      </c>
      <c r="F168">
        <v>74584</v>
      </c>
      <c r="G168">
        <v>907</v>
      </c>
      <c r="H168">
        <v>74131</v>
      </c>
      <c r="I168">
        <v>1499648</v>
      </c>
    </row>
    <row r="169" spans="1:9">
      <c r="A169" s="2">
        <v>1951</v>
      </c>
      <c r="B169">
        <v>54</v>
      </c>
      <c r="C169">
        <v>1.431E-2</v>
      </c>
      <c r="D169">
        <v>1.421E-2</v>
      </c>
      <c r="E169">
        <v>0.5</v>
      </c>
      <c r="F169">
        <v>73677</v>
      </c>
      <c r="G169">
        <v>1047</v>
      </c>
      <c r="H169">
        <v>73154</v>
      </c>
      <c r="I169">
        <v>1425517</v>
      </c>
    </row>
    <row r="170" spans="1:9">
      <c r="A170" s="2">
        <v>1951</v>
      </c>
      <c r="B170">
        <v>55</v>
      </c>
      <c r="C170">
        <v>1.4460000000000001E-2</v>
      </c>
      <c r="D170">
        <v>1.436E-2</v>
      </c>
      <c r="E170">
        <v>0.5</v>
      </c>
      <c r="F170">
        <v>72630</v>
      </c>
      <c r="G170">
        <v>1043</v>
      </c>
      <c r="H170">
        <v>72109</v>
      </c>
      <c r="I170">
        <v>1352364</v>
      </c>
    </row>
    <row r="171" spans="1:9">
      <c r="A171" s="2">
        <v>1951</v>
      </c>
      <c r="B171">
        <v>56</v>
      </c>
      <c r="C171">
        <v>1.5869999999999999E-2</v>
      </c>
      <c r="D171">
        <v>1.5740000000000001E-2</v>
      </c>
      <c r="E171">
        <v>0.5</v>
      </c>
      <c r="F171">
        <v>71587</v>
      </c>
      <c r="G171">
        <v>1127</v>
      </c>
      <c r="H171">
        <v>71024</v>
      </c>
      <c r="I171">
        <v>1280255</v>
      </c>
    </row>
    <row r="172" spans="1:9">
      <c r="A172" s="2">
        <v>1951</v>
      </c>
      <c r="B172">
        <v>57</v>
      </c>
      <c r="C172">
        <v>1.7229999999999999E-2</v>
      </c>
      <c r="D172">
        <v>1.7090000000000001E-2</v>
      </c>
      <c r="E172">
        <v>0.5</v>
      </c>
      <c r="F172">
        <v>70461</v>
      </c>
      <c r="G172">
        <v>1204</v>
      </c>
      <c r="H172">
        <v>69859</v>
      </c>
      <c r="I172">
        <v>1209231</v>
      </c>
    </row>
    <row r="173" spans="1:9">
      <c r="A173" s="2">
        <v>1951</v>
      </c>
      <c r="B173">
        <v>58</v>
      </c>
      <c r="C173">
        <v>1.9029999999999998E-2</v>
      </c>
      <c r="D173">
        <v>1.8849999999999999E-2</v>
      </c>
      <c r="E173">
        <v>0.5</v>
      </c>
      <c r="F173">
        <v>69257</v>
      </c>
      <c r="G173">
        <v>1306</v>
      </c>
      <c r="H173">
        <v>68604</v>
      </c>
      <c r="I173">
        <v>1139372</v>
      </c>
    </row>
    <row r="174" spans="1:9">
      <c r="A174" s="2">
        <v>1951</v>
      </c>
      <c r="B174">
        <v>59</v>
      </c>
      <c r="C174">
        <v>1.8939999999999999E-2</v>
      </c>
      <c r="D174">
        <v>1.8769999999999998E-2</v>
      </c>
      <c r="E174">
        <v>0.5</v>
      </c>
      <c r="F174">
        <v>67951</v>
      </c>
      <c r="G174">
        <v>1275</v>
      </c>
      <c r="H174">
        <v>67313</v>
      </c>
      <c r="I174">
        <v>1070768</v>
      </c>
    </row>
    <row r="175" spans="1:9">
      <c r="A175" s="2">
        <v>1951</v>
      </c>
      <c r="B175">
        <v>60</v>
      </c>
      <c r="C175">
        <v>2.3029999999999998E-2</v>
      </c>
      <c r="D175">
        <v>2.2769999999999999E-2</v>
      </c>
      <c r="E175">
        <v>0.5</v>
      </c>
      <c r="F175">
        <v>66676</v>
      </c>
      <c r="G175">
        <v>1518</v>
      </c>
      <c r="H175">
        <v>65917</v>
      </c>
      <c r="I175">
        <v>1003455</v>
      </c>
    </row>
    <row r="176" spans="1:9">
      <c r="A176" s="2">
        <v>1951</v>
      </c>
      <c r="B176">
        <v>61</v>
      </c>
      <c r="C176">
        <v>2.648E-2</v>
      </c>
      <c r="D176">
        <v>2.614E-2</v>
      </c>
      <c r="E176">
        <v>0.5</v>
      </c>
      <c r="F176">
        <v>65157</v>
      </c>
      <c r="G176">
        <v>1703</v>
      </c>
      <c r="H176">
        <v>64306</v>
      </c>
      <c r="I176">
        <v>937538</v>
      </c>
    </row>
    <row r="177" spans="1:9">
      <c r="A177" s="2">
        <v>1951</v>
      </c>
      <c r="B177">
        <v>62</v>
      </c>
      <c r="C177">
        <v>2.8080000000000001E-2</v>
      </c>
      <c r="D177">
        <v>2.7689999999999999E-2</v>
      </c>
      <c r="E177">
        <v>0.5</v>
      </c>
      <c r="F177">
        <v>63455</v>
      </c>
      <c r="G177">
        <v>1757</v>
      </c>
      <c r="H177">
        <v>62576</v>
      </c>
      <c r="I177">
        <v>873232</v>
      </c>
    </row>
    <row r="178" spans="1:9">
      <c r="A178" s="2">
        <v>1951</v>
      </c>
      <c r="B178">
        <v>63</v>
      </c>
      <c r="C178">
        <v>3.0439999999999998E-2</v>
      </c>
      <c r="D178">
        <v>2.9989999999999999E-2</v>
      </c>
      <c r="E178">
        <v>0.5</v>
      </c>
      <c r="F178">
        <v>61698</v>
      </c>
      <c r="G178">
        <v>1850</v>
      </c>
      <c r="H178">
        <v>60773</v>
      </c>
      <c r="I178">
        <v>810656</v>
      </c>
    </row>
    <row r="179" spans="1:9">
      <c r="A179" s="2">
        <v>1951</v>
      </c>
      <c r="B179">
        <v>64</v>
      </c>
      <c r="C179">
        <v>3.0269999999999998E-2</v>
      </c>
      <c r="D179">
        <v>2.9819999999999999E-2</v>
      </c>
      <c r="E179">
        <v>0.5</v>
      </c>
      <c r="F179">
        <v>59847</v>
      </c>
      <c r="G179">
        <v>1785</v>
      </c>
      <c r="H179">
        <v>58955</v>
      </c>
      <c r="I179">
        <v>749884</v>
      </c>
    </row>
    <row r="180" spans="1:9">
      <c r="A180" s="2">
        <v>1951</v>
      </c>
      <c r="B180">
        <v>65</v>
      </c>
      <c r="C180">
        <v>3.7289999999999997E-2</v>
      </c>
      <c r="D180">
        <v>3.6609999999999997E-2</v>
      </c>
      <c r="E180">
        <v>0.5</v>
      </c>
      <c r="F180">
        <v>58063</v>
      </c>
      <c r="G180">
        <v>2126</v>
      </c>
      <c r="H180">
        <v>57000</v>
      </c>
      <c r="I180">
        <v>690928</v>
      </c>
    </row>
    <row r="181" spans="1:9">
      <c r="A181" s="2">
        <v>1951</v>
      </c>
      <c r="B181">
        <v>66</v>
      </c>
      <c r="C181">
        <v>3.7659999999999999E-2</v>
      </c>
      <c r="D181">
        <v>3.6970000000000003E-2</v>
      </c>
      <c r="E181">
        <v>0.5</v>
      </c>
      <c r="F181">
        <v>55937</v>
      </c>
      <c r="G181">
        <v>2068</v>
      </c>
      <c r="H181">
        <v>54903</v>
      </c>
      <c r="I181">
        <v>633928</v>
      </c>
    </row>
    <row r="182" spans="1:9">
      <c r="A182" s="2">
        <v>1951</v>
      </c>
      <c r="B182">
        <v>67</v>
      </c>
      <c r="C182">
        <v>4.2750000000000003E-2</v>
      </c>
      <c r="D182">
        <v>4.1849999999999998E-2</v>
      </c>
      <c r="E182">
        <v>0.5</v>
      </c>
      <c r="F182">
        <v>53869</v>
      </c>
      <c r="G182">
        <v>2255</v>
      </c>
      <c r="H182">
        <v>52742</v>
      </c>
      <c r="I182">
        <v>579025</v>
      </c>
    </row>
    <row r="183" spans="1:9">
      <c r="A183" s="2">
        <v>1951</v>
      </c>
      <c r="B183">
        <v>68</v>
      </c>
      <c r="C183">
        <v>4.8489999999999998E-2</v>
      </c>
      <c r="D183">
        <v>4.734E-2</v>
      </c>
      <c r="E183">
        <v>0.5</v>
      </c>
      <c r="F183">
        <v>51615</v>
      </c>
      <c r="G183">
        <v>2444</v>
      </c>
      <c r="H183">
        <v>50393</v>
      </c>
      <c r="I183">
        <v>526283</v>
      </c>
    </row>
    <row r="184" spans="1:9">
      <c r="A184" s="2">
        <v>1951</v>
      </c>
      <c r="B184">
        <v>69</v>
      </c>
      <c r="C184">
        <v>4.8140000000000002E-2</v>
      </c>
      <c r="D184">
        <v>4.7010000000000003E-2</v>
      </c>
      <c r="E184">
        <v>0.5</v>
      </c>
      <c r="F184">
        <v>49171</v>
      </c>
      <c r="G184">
        <v>2312</v>
      </c>
      <c r="H184">
        <v>48015</v>
      </c>
      <c r="I184">
        <v>475890</v>
      </c>
    </row>
    <row r="185" spans="1:9">
      <c r="A185" s="2">
        <v>1951</v>
      </c>
      <c r="B185">
        <v>70</v>
      </c>
      <c r="C185">
        <v>5.4190000000000002E-2</v>
      </c>
      <c r="D185">
        <v>5.2760000000000001E-2</v>
      </c>
      <c r="E185">
        <v>0.5</v>
      </c>
      <c r="F185">
        <v>46859</v>
      </c>
      <c r="G185">
        <v>2472</v>
      </c>
      <c r="H185">
        <v>45623</v>
      </c>
      <c r="I185">
        <v>427875</v>
      </c>
    </row>
    <row r="186" spans="1:9">
      <c r="A186" s="2">
        <v>1951</v>
      </c>
      <c r="B186">
        <v>71</v>
      </c>
      <c r="C186">
        <v>6.0819999999999999E-2</v>
      </c>
      <c r="D186">
        <v>5.9020000000000003E-2</v>
      </c>
      <c r="E186">
        <v>0.5</v>
      </c>
      <c r="F186">
        <v>44387</v>
      </c>
      <c r="G186">
        <v>2620</v>
      </c>
      <c r="H186">
        <v>43077</v>
      </c>
      <c r="I186">
        <v>382252</v>
      </c>
    </row>
    <row r="187" spans="1:9">
      <c r="A187" s="2">
        <v>1951</v>
      </c>
      <c r="B187">
        <v>72</v>
      </c>
      <c r="C187">
        <v>6.6449999999999995E-2</v>
      </c>
      <c r="D187">
        <v>6.4310000000000006E-2</v>
      </c>
      <c r="E187">
        <v>0.5</v>
      </c>
      <c r="F187">
        <v>41767</v>
      </c>
      <c r="G187">
        <v>2686</v>
      </c>
      <c r="H187">
        <v>40424</v>
      </c>
      <c r="I187">
        <v>339175</v>
      </c>
    </row>
    <row r="188" spans="1:9">
      <c r="A188" s="2">
        <v>1951</v>
      </c>
      <c r="B188">
        <v>73</v>
      </c>
      <c r="C188">
        <v>6.9459999999999994E-2</v>
      </c>
      <c r="D188">
        <v>6.7129999999999995E-2</v>
      </c>
      <c r="E188">
        <v>0.5</v>
      </c>
      <c r="F188">
        <v>39081</v>
      </c>
      <c r="G188">
        <v>2624</v>
      </c>
      <c r="H188">
        <v>37769</v>
      </c>
      <c r="I188">
        <v>298750</v>
      </c>
    </row>
    <row r="189" spans="1:9">
      <c r="A189" s="2">
        <v>1951</v>
      </c>
      <c r="B189">
        <v>74</v>
      </c>
      <c r="C189">
        <v>8.4029999999999994E-2</v>
      </c>
      <c r="D189">
        <v>8.0640000000000003E-2</v>
      </c>
      <c r="E189">
        <v>0.5</v>
      </c>
      <c r="F189">
        <v>36457</v>
      </c>
      <c r="G189">
        <v>2940</v>
      </c>
      <c r="H189">
        <v>34987</v>
      </c>
      <c r="I189">
        <v>260981</v>
      </c>
    </row>
    <row r="190" spans="1:9">
      <c r="A190" s="2">
        <v>1951</v>
      </c>
      <c r="B190">
        <v>75</v>
      </c>
      <c r="C190">
        <v>8.6620000000000003E-2</v>
      </c>
      <c r="D190">
        <v>8.3019999999999997E-2</v>
      </c>
      <c r="E190">
        <v>0.5</v>
      </c>
      <c r="F190">
        <v>33517</v>
      </c>
      <c r="G190">
        <v>2783</v>
      </c>
      <c r="H190">
        <v>32126</v>
      </c>
      <c r="I190">
        <v>225994</v>
      </c>
    </row>
    <row r="191" spans="1:9">
      <c r="A191" s="2">
        <v>1951</v>
      </c>
      <c r="B191">
        <v>76</v>
      </c>
      <c r="C191">
        <v>9.9019999999999997E-2</v>
      </c>
      <c r="D191">
        <v>9.4350000000000003E-2</v>
      </c>
      <c r="E191">
        <v>0.5</v>
      </c>
      <c r="F191">
        <v>30735</v>
      </c>
      <c r="G191">
        <v>2900</v>
      </c>
      <c r="H191">
        <v>29285</v>
      </c>
      <c r="I191">
        <v>193868</v>
      </c>
    </row>
    <row r="192" spans="1:9">
      <c r="A192" s="2">
        <v>1951</v>
      </c>
      <c r="B192">
        <v>77</v>
      </c>
      <c r="C192">
        <v>0.10525</v>
      </c>
      <c r="D192">
        <v>9.9989999999999996E-2</v>
      </c>
      <c r="E192">
        <v>0.5</v>
      </c>
      <c r="F192">
        <v>27835</v>
      </c>
      <c r="G192">
        <v>2783</v>
      </c>
      <c r="H192">
        <v>26443</v>
      </c>
      <c r="I192">
        <v>164583</v>
      </c>
    </row>
    <row r="193" spans="1:9">
      <c r="A193" s="2">
        <v>1951</v>
      </c>
      <c r="B193">
        <v>78</v>
      </c>
      <c r="C193">
        <v>0.11839</v>
      </c>
      <c r="D193">
        <v>0.11176999999999999</v>
      </c>
      <c r="E193">
        <v>0.5</v>
      </c>
      <c r="F193">
        <v>25052</v>
      </c>
      <c r="G193">
        <v>2800</v>
      </c>
      <c r="H193">
        <v>23652</v>
      </c>
      <c r="I193">
        <v>138140</v>
      </c>
    </row>
    <row r="194" spans="1:9">
      <c r="A194" s="2">
        <v>1951</v>
      </c>
      <c r="B194">
        <v>79</v>
      </c>
      <c r="C194">
        <v>0.12942999999999999</v>
      </c>
      <c r="D194">
        <v>0.12156</v>
      </c>
      <c r="E194">
        <v>0.5</v>
      </c>
      <c r="F194">
        <v>22251</v>
      </c>
      <c r="G194">
        <v>2705</v>
      </c>
      <c r="H194">
        <v>20899</v>
      </c>
      <c r="I194">
        <v>114488</v>
      </c>
    </row>
    <row r="195" spans="1:9">
      <c r="A195" s="2">
        <v>1951</v>
      </c>
      <c r="B195">
        <v>80</v>
      </c>
      <c r="C195">
        <v>0.14391000000000001</v>
      </c>
      <c r="D195">
        <v>0.13425000000000001</v>
      </c>
      <c r="E195">
        <v>0.5</v>
      </c>
      <c r="F195">
        <v>19547</v>
      </c>
      <c r="G195">
        <v>2624</v>
      </c>
      <c r="H195">
        <v>18235</v>
      </c>
      <c r="I195">
        <v>93589</v>
      </c>
    </row>
    <row r="196" spans="1:9">
      <c r="A196" s="2">
        <v>1951</v>
      </c>
      <c r="B196">
        <v>81</v>
      </c>
      <c r="C196">
        <v>0.16272</v>
      </c>
      <c r="D196">
        <v>0.15046999999999999</v>
      </c>
      <c r="E196">
        <v>0.5</v>
      </c>
      <c r="F196">
        <v>16923</v>
      </c>
      <c r="G196">
        <v>2546</v>
      </c>
      <c r="H196">
        <v>15649</v>
      </c>
      <c r="I196">
        <v>75355</v>
      </c>
    </row>
    <row r="197" spans="1:9">
      <c r="A197" s="2">
        <v>1951</v>
      </c>
      <c r="B197">
        <v>82</v>
      </c>
      <c r="C197">
        <v>0.17791999999999999</v>
      </c>
      <c r="D197">
        <v>0.16338</v>
      </c>
      <c r="E197">
        <v>0.5</v>
      </c>
      <c r="F197">
        <v>14376</v>
      </c>
      <c r="G197">
        <v>2349</v>
      </c>
      <c r="H197">
        <v>13202</v>
      </c>
      <c r="I197">
        <v>59705</v>
      </c>
    </row>
    <row r="198" spans="1:9">
      <c r="A198" s="2">
        <v>1951</v>
      </c>
      <c r="B198">
        <v>83</v>
      </c>
      <c r="C198">
        <v>0.19270000000000001</v>
      </c>
      <c r="D198">
        <v>0.17577000000000001</v>
      </c>
      <c r="E198">
        <v>0.5</v>
      </c>
      <c r="F198">
        <v>12027</v>
      </c>
      <c r="G198">
        <v>2114</v>
      </c>
      <c r="H198">
        <v>10970</v>
      </c>
      <c r="I198">
        <v>46504</v>
      </c>
    </row>
    <row r="199" spans="1:9">
      <c r="A199" s="2">
        <v>1951</v>
      </c>
      <c r="B199">
        <v>84</v>
      </c>
      <c r="C199">
        <v>0.21840000000000001</v>
      </c>
      <c r="D199">
        <v>0.19689999999999999</v>
      </c>
      <c r="E199">
        <v>0.5</v>
      </c>
      <c r="F199">
        <v>9913</v>
      </c>
      <c r="G199">
        <v>1952</v>
      </c>
      <c r="H199">
        <v>8937</v>
      </c>
      <c r="I199">
        <v>35533</v>
      </c>
    </row>
    <row r="200" spans="1:9">
      <c r="A200" s="2">
        <v>1951</v>
      </c>
      <c r="B200">
        <v>85</v>
      </c>
      <c r="C200">
        <v>0.22842000000000001</v>
      </c>
      <c r="D200">
        <v>0.20501</v>
      </c>
      <c r="E200">
        <v>0.5</v>
      </c>
      <c r="F200">
        <v>7961</v>
      </c>
      <c r="G200">
        <v>1632</v>
      </c>
      <c r="H200">
        <v>7145</v>
      </c>
      <c r="I200">
        <v>26596</v>
      </c>
    </row>
    <row r="201" spans="1:9">
      <c r="A201" s="2">
        <v>1951</v>
      </c>
      <c r="B201">
        <v>86</v>
      </c>
      <c r="C201">
        <v>0.26003999999999999</v>
      </c>
      <c r="D201">
        <v>0.23011999999999999</v>
      </c>
      <c r="E201">
        <v>0.5</v>
      </c>
      <c r="F201">
        <v>6329</v>
      </c>
      <c r="G201">
        <v>1456</v>
      </c>
      <c r="H201">
        <v>5601</v>
      </c>
      <c r="I201">
        <v>19451</v>
      </c>
    </row>
    <row r="202" spans="1:9">
      <c r="A202" s="2">
        <v>1951</v>
      </c>
      <c r="B202">
        <v>87</v>
      </c>
      <c r="C202">
        <v>0.30564999999999998</v>
      </c>
      <c r="D202">
        <v>0.26512999999999998</v>
      </c>
      <c r="E202">
        <v>0.5</v>
      </c>
      <c r="F202">
        <v>4873</v>
      </c>
      <c r="G202">
        <v>1292</v>
      </c>
      <c r="H202">
        <v>4227</v>
      </c>
      <c r="I202">
        <v>13850</v>
      </c>
    </row>
    <row r="203" spans="1:9">
      <c r="A203" s="2">
        <v>1951</v>
      </c>
      <c r="B203">
        <v>88</v>
      </c>
      <c r="C203">
        <v>0.31230000000000002</v>
      </c>
      <c r="D203">
        <v>0.27012000000000003</v>
      </c>
      <c r="E203">
        <v>0.5</v>
      </c>
      <c r="F203">
        <v>3581</v>
      </c>
      <c r="G203">
        <v>967</v>
      </c>
      <c r="H203">
        <v>3097</v>
      </c>
      <c r="I203">
        <v>9623</v>
      </c>
    </row>
    <row r="204" spans="1:9">
      <c r="A204" s="2">
        <v>1951</v>
      </c>
      <c r="B204">
        <v>89</v>
      </c>
      <c r="C204">
        <v>0.33454</v>
      </c>
      <c r="D204">
        <v>0.28660000000000002</v>
      </c>
      <c r="E204">
        <v>0.5</v>
      </c>
      <c r="F204">
        <v>2614</v>
      </c>
      <c r="G204">
        <v>749</v>
      </c>
      <c r="H204">
        <v>2239</v>
      </c>
      <c r="I204">
        <v>6526</v>
      </c>
    </row>
    <row r="205" spans="1:9">
      <c r="A205" s="2">
        <v>1951</v>
      </c>
      <c r="B205">
        <v>90</v>
      </c>
      <c r="C205">
        <v>0.41378999999999999</v>
      </c>
      <c r="D205">
        <v>0.34286</v>
      </c>
      <c r="E205">
        <v>0.5</v>
      </c>
      <c r="F205">
        <v>1865</v>
      </c>
      <c r="G205">
        <v>639</v>
      </c>
      <c r="H205">
        <v>1545</v>
      </c>
      <c r="I205">
        <v>4287</v>
      </c>
    </row>
    <row r="206" spans="1:9">
      <c r="A206" s="2">
        <v>1951</v>
      </c>
      <c r="B206">
        <v>91</v>
      </c>
      <c r="C206">
        <v>0.38177</v>
      </c>
      <c r="D206">
        <v>0.32057999999999998</v>
      </c>
      <c r="E206">
        <v>0.5</v>
      </c>
      <c r="F206">
        <v>1225</v>
      </c>
      <c r="G206">
        <v>393</v>
      </c>
      <c r="H206">
        <v>1029</v>
      </c>
      <c r="I206">
        <v>2742</v>
      </c>
    </row>
    <row r="207" spans="1:9">
      <c r="A207" s="2">
        <v>1951</v>
      </c>
      <c r="B207">
        <v>92</v>
      </c>
      <c r="C207">
        <v>0.44430999999999998</v>
      </c>
      <c r="D207">
        <v>0.36354999999999998</v>
      </c>
      <c r="E207">
        <v>0.5</v>
      </c>
      <c r="F207">
        <v>832</v>
      </c>
      <c r="G207">
        <v>303</v>
      </c>
      <c r="H207">
        <v>681</v>
      </c>
      <c r="I207">
        <v>1713</v>
      </c>
    </row>
    <row r="208" spans="1:9">
      <c r="A208" s="2">
        <v>1951</v>
      </c>
      <c r="B208">
        <v>93</v>
      </c>
      <c r="C208">
        <v>0.47212999999999999</v>
      </c>
      <c r="D208">
        <v>0.38196000000000002</v>
      </c>
      <c r="E208">
        <v>0.5</v>
      </c>
      <c r="F208">
        <v>530</v>
      </c>
      <c r="G208">
        <v>202</v>
      </c>
      <c r="H208">
        <v>429</v>
      </c>
      <c r="I208">
        <v>1032</v>
      </c>
    </row>
    <row r="209" spans="1:9">
      <c r="A209" s="2">
        <v>1951</v>
      </c>
      <c r="B209">
        <v>94</v>
      </c>
      <c r="C209">
        <v>0.50443000000000005</v>
      </c>
      <c r="D209">
        <v>0.40283000000000002</v>
      </c>
      <c r="E209">
        <v>0.5</v>
      </c>
      <c r="F209">
        <v>327</v>
      </c>
      <c r="G209">
        <v>132</v>
      </c>
      <c r="H209">
        <v>261</v>
      </c>
      <c r="I209">
        <v>603</v>
      </c>
    </row>
    <row r="210" spans="1:9">
      <c r="A210" s="2">
        <v>1951</v>
      </c>
      <c r="B210">
        <v>95</v>
      </c>
      <c r="C210">
        <v>0.53669999999999995</v>
      </c>
      <c r="D210">
        <v>0.42315000000000003</v>
      </c>
      <c r="E210">
        <v>0.5</v>
      </c>
      <c r="F210">
        <v>196</v>
      </c>
      <c r="G210">
        <v>83</v>
      </c>
      <c r="H210">
        <v>154</v>
      </c>
      <c r="I210">
        <v>342</v>
      </c>
    </row>
    <row r="211" spans="1:9">
      <c r="A211" s="2">
        <v>1951</v>
      </c>
      <c r="B211">
        <v>96</v>
      </c>
      <c r="C211">
        <v>0.56866000000000005</v>
      </c>
      <c r="D211">
        <v>0.44277</v>
      </c>
      <c r="E211">
        <v>0.5</v>
      </c>
      <c r="F211">
        <v>113</v>
      </c>
      <c r="G211">
        <v>50</v>
      </c>
      <c r="H211">
        <v>88</v>
      </c>
      <c r="I211">
        <v>188</v>
      </c>
    </row>
    <row r="212" spans="1:9">
      <c r="A212" s="2">
        <v>1951</v>
      </c>
      <c r="B212">
        <v>97</v>
      </c>
      <c r="C212">
        <v>0.60006000000000004</v>
      </c>
      <c r="D212">
        <v>0.46157999999999999</v>
      </c>
      <c r="E212">
        <v>0.5</v>
      </c>
      <c r="F212">
        <v>63</v>
      </c>
      <c r="G212">
        <v>29</v>
      </c>
      <c r="H212">
        <v>48</v>
      </c>
      <c r="I212">
        <v>100</v>
      </c>
    </row>
    <row r="213" spans="1:9">
      <c r="A213" s="2">
        <v>1951</v>
      </c>
      <c r="B213">
        <v>98</v>
      </c>
      <c r="C213">
        <v>0.63066</v>
      </c>
      <c r="D213">
        <v>0.47947000000000001</v>
      </c>
      <c r="E213">
        <v>0.5</v>
      </c>
      <c r="F213">
        <v>34</v>
      </c>
      <c r="G213">
        <v>16</v>
      </c>
      <c r="H213">
        <v>26</v>
      </c>
      <c r="I213">
        <v>51</v>
      </c>
    </row>
    <row r="214" spans="1:9">
      <c r="A214" s="2">
        <v>1951</v>
      </c>
      <c r="B214">
        <v>99</v>
      </c>
      <c r="C214">
        <v>0.66025</v>
      </c>
      <c r="D214">
        <v>0.49637999999999999</v>
      </c>
      <c r="E214">
        <v>0.5</v>
      </c>
      <c r="F214">
        <v>18</v>
      </c>
      <c r="G214">
        <v>9</v>
      </c>
      <c r="H214">
        <v>13</v>
      </c>
      <c r="I214">
        <v>26</v>
      </c>
    </row>
    <row r="215" spans="1:9">
      <c r="A215" s="2">
        <v>1951</v>
      </c>
      <c r="B215">
        <v>100</v>
      </c>
      <c r="C215">
        <v>0.68862999999999996</v>
      </c>
      <c r="D215">
        <v>0.51224999999999998</v>
      </c>
      <c r="E215">
        <v>0.5</v>
      </c>
      <c r="F215">
        <v>9</v>
      </c>
      <c r="G215">
        <v>5</v>
      </c>
      <c r="H215">
        <v>7</v>
      </c>
      <c r="I215">
        <v>12</v>
      </c>
    </row>
    <row r="216" spans="1:9">
      <c r="A216" s="2">
        <v>1951</v>
      </c>
      <c r="B216">
        <v>101</v>
      </c>
      <c r="C216">
        <v>0.71565999999999996</v>
      </c>
      <c r="D216">
        <v>0.52705999999999997</v>
      </c>
      <c r="E216">
        <v>0.5</v>
      </c>
      <c r="F216">
        <v>4</v>
      </c>
      <c r="G216">
        <v>2</v>
      </c>
      <c r="H216">
        <v>3</v>
      </c>
      <c r="I216">
        <v>6</v>
      </c>
    </row>
    <row r="217" spans="1:9">
      <c r="A217" s="2">
        <v>1951</v>
      </c>
      <c r="B217">
        <v>102</v>
      </c>
      <c r="C217">
        <v>0.74123000000000006</v>
      </c>
      <c r="D217">
        <v>0.54079999999999995</v>
      </c>
      <c r="E217">
        <v>0.5</v>
      </c>
      <c r="F217">
        <v>2</v>
      </c>
      <c r="G217">
        <v>1</v>
      </c>
      <c r="H217">
        <v>1</v>
      </c>
      <c r="I217">
        <v>3</v>
      </c>
    </row>
    <row r="218" spans="1:9">
      <c r="A218" s="2">
        <v>1951</v>
      </c>
      <c r="B218">
        <v>103</v>
      </c>
      <c r="C218">
        <v>0.76526000000000005</v>
      </c>
      <c r="D218">
        <v>0.55347999999999997</v>
      </c>
      <c r="E218">
        <v>0.5</v>
      </c>
      <c r="F218">
        <v>1</v>
      </c>
      <c r="G218">
        <v>1</v>
      </c>
      <c r="H218">
        <v>1</v>
      </c>
      <c r="I218">
        <v>1</v>
      </c>
    </row>
    <row r="219" spans="1:9">
      <c r="A219" s="2">
        <v>1951</v>
      </c>
      <c r="B219">
        <v>104</v>
      </c>
      <c r="C219">
        <v>0.78769</v>
      </c>
      <c r="D219">
        <v>0.56511999999999996</v>
      </c>
      <c r="E219">
        <v>0.5</v>
      </c>
      <c r="F219">
        <v>0</v>
      </c>
      <c r="G219">
        <v>0</v>
      </c>
      <c r="H219">
        <v>0</v>
      </c>
      <c r="I219">
        <v>1</v>
      </c>
    </row>
    <row r="220" spans="1:9">
      <c r="A220" s="2">
        <v>1951</v>
      </c>
      <c r="B220">
        <v>105</v>
      </c>
      <c r="C220">
        <v>0.80850999999999995</v>
      </c>
      <c r="D220">
        <v>0.57576000000000005</v>
      </c>
      <c r="E220">
        <v>0.5</v>
      </c>
      <c r="F220">
        <v>0</v>
      </c>
      <c r="G220">
        <v>0</v>
      </c>
      <c r="H220">
        <v>0</v>
      </c>
      <c r="I220">
        <v>0</v>
      </c>
    </row>
    <row r="221" spans="1:9">
      <c r="A221" s="2">
        <v>1951</v>
      </c>
      <c r="B221">
        <v>106</v>
      </c>
      <c r="C221">
        <v>0.82774000000000003</v>
      </c>
      <c r="D221">
        <v>0.58543999999999996</v>
      </c>
      <c r="E221">
        <v>0.5</v>
      </c>
      <c r="F221">
        <v>0</v>
      </c>
      <c r="G221">
        <v>0</v>
      </c>
      <c r="H221">
        <v>0</v>
      </c>
      <c r="I221">
        <v>0</v>
      </c>
    </row>
    <row r="222" spans="1:9">
      <c r="A222" s="2">
        <v>1951</v>
      </c>
      <c r="B222">
        <v>107</v>
      </c>
      <c r="C222">
        <v>0.84540999999999999</v>
      </c>
      <c r="D222">
        <v>0.59423000000000004</v>
      </c>
      <c r="E222">
        <v>0.5</v>
      </c>
      <c r="F222">
        <v>0</v>
      </c>
      <c r="G222">
        <v>0</v>
      </c>
      <c r="H222">
        <v>0</v>
      </c>
      <c r="I222">
        <v>0</v>
      </c>
    </row>
    <row r="223" spans="1:9">
      <c r="A223" s="2">
        <v>1951</v>
      </c>
      <c r="B223">
        <v>108</v>
      </c>
      <c r="C223">
        <v>0.86156999999999995</v>
      </c>
      <c r="D223">
        <v>0.60216999999999998</v>
      </c>
      <c r="E223">
        <v>0.5</v>
      </c>
      <c r="F223">
        <v>0</v>
      </c>
      <c r="G223">
        <v>0</v>
      </c>
      <c r="H223">
        <v>0</v>
      </c>
      <c r="I223">
        <v>0</v>
      </c>
    </row>
    <row r="224" spans="1:9">
      <c r="A224" s="2">
        <v>1951</v>
      </c>
      <c r="B224">
        <v>109</v>
      </c>
      <c r="C224">
        <v>0.87629000000000001</v>
      </c>
      <c r="D224">
        <v>0.60931999999999997</v>
      </c>
      <c r="E224">
        <v>0.5</v>
      </c>
      <c r="F224">
        <v>0</v>
      </c>
      <c r="G224">
        <v>0</v>
      </c>
      <c r="H224">
        <v>0</v>
      </c>
      <c r="I224">
        <v>0</v>
      </c>
    </row>
    <row r="225" spans="1:9">
      <c r="A225" s="2">
        <v>1951</v>
      </c>
      <c r="B225" t="s">
        <v>26</v>
      </c>
      <c r="C225">
        <v>0.88963999999999999</v>
      </c>
      <c r="D225">
        <v>1</v>
      </c>
      <c r="E225" s="3" t="s">
        <v>28</v>
      </c>
      <c r="F225">
        <v>0</v>
      </c>
      <c r="G225">
        <v>0</v>
      </c>
      <c r="H225">
        <v>0</v>
      </c>
      <c r="I225">
        <v>0</v>
      </c>
    </row>
    <row r="226" spans="1:9">
      <c r="A226" s="2">
        <v>1952</v>
      </c>
      <c r="B226">
        <v>0</v>
      </c>
      <c r="C226">
        <v>8.2419999999999993E-2</v>
      </c>
      <c r="D226">
        <v>7.7909999999999993E-2</v>
      </c>
      <c r="E226">
        <v>0.3</v>
      </c>
      <c r="F226">
        <v>100000</v>
      </c>
      <c r="G226">
        <v>7791</v>
      </c>
      <c r="H226">
        <v>94523</v>
      </c>
      <c r="I226">
        <v>6164681</v>
      </c>
    </row>
    <row r="227" spans="1:9">
      <c r="A227" s="2">
        <v>1952</v>
      </c>
      <c r="B227">
        <v>1</v>
      </c>
      <c r="C227">
        <v>5.4000000000000003E-3</v>
      </c>
      <c r="D227">
        <v>5.3800000000000002E-3</v>
      </c>
      <c r="E227">
        <v>0.5</v>
      </c>
      <c r="F227">
        <v>92209</v>
      </c>
      <c r="G227">
        <v>496</v>
      </c>
      <c r="H227">
        <v>91961</v>
      </c>
      <c r="I227">
        <v>6070157</v>
      </c>
    </row>
    <row r="228" spans="1:9">
      <c r="A228" s="2">
        <v>1952</v>
      </c>
      <c r="B228">
        <v>2</v>
      </c>
      <c r="C228">
        <v>2.0200000000000001E-3</v>
      </c>
      <c r="D228">
        <v>2.0200000000000001E-3</v>
      </c>
      <c r="E228">
        <v>0.5</v>
      </c>
      <c r="F228">
        <v>91713</v>
      </c>
      <c r="G228">
        <v>185</v>
      </c>
      <c r="H228">
        <v>91620</v>
      </c>
      <c r="I228">
        <v>5978196</v>
      </c>
    </row>
    <row r="229" spans="1:9">
      <c r="A229" s="2">
        <v>1952</v>
      </c>
      <c r="B229">
        <v>3</v>
      </c>
      <c r="C229">
        <v>1.66E-3</v>
      </c>
      <c r="D229">
        <v>1.66E-3</v>
      </c>
      <c r="E229">
        <v>0.5</v>
      </c>
      <c r="F229">
        <v>91527</v>
      </c>
      <c r="G229">
        <v>152</v>
      </c>
      <c r="H229">
        <v>91452</v>
      </c>
      <c r="I229">
        <v>5886576</v>
      </c>
    </row>
    <row r="230" spans="1:9">
      <c r="A230" s="2">
        <v>1952</v>
      </c>
      <c r="B230">
        <v>4</v>
      </c>
      <c r="C230">
        <v>1.1999999999999999E-3</v>
      </c>
      <c r="D230">
        <v>1.1999999999999999E-3</v>
      </c>
      <c r="E230">
        <v>0.5</v>
      </c>
      <c r="F230">
        <v>91376</v>
      </c>
      <c r="G230">
        <v>110</v>
      </c>
      <c r="H230">
        <v>91321</v>
      </c>
      <c r="I230">
        <v>5795125</v>
      </c>
    </row>
    <row r="231" spans="1:9">
      <c r="A231" s="2">
        <v>1952</v>
      </c>
      <c r="B231">
        <v>5</v>
      </c>
      <c r="C231">
        <v>1.06E-3</v>
      </c>
      <c r="D231">
        <v>1.06E-3</v>
      </c>
      <c r="E231">
        <v>0.5</v>
      </c>
      <c r="F231">
        <v>91266</v>
      </c>
      <c r="G231">
        <v>97</v>
      </c>
      <c r="H231">
        <v>91217</v>
      </c>
      <c r="I231">
        <v>5703804</v>
      </c>
    </row>
    <row r="232" spans="1:9">
      <c r="A232" s="2">
        <v>1952</v>
      </c>
      <c r="B232">
        <v>6</v>
      </c>
      <c r="C232">
        <v>8.3000000000000001E-4</v>
      </c>
      <c r="D232">
        <v>8.3000000000000001E-4</v>
      </c>
      <c r="E232">
        <v>0.5</v>
      </c>
      <c r="F232">
        <v>91169</v>
      </c>
      <c r="G232">
        <v>75</v>
      </c>
      <c r="H232">
        <v>91131</v>
      </c>
      <c r="I232">
        <v>5612586</v>
      </c>
    </row>
    <row r="233" spans="1:9">
      <c r="A233" s="2">
        <v>1952</v>
      </c>
      <c r="B233">
        <v>7</v>
      </c>
      <c r="C233">
        <v>1.06E-3</v>
      </c>
      <c r="D233">
        <v>1.06E-3</v>
      </c>
      <c r="E233">
        <v>0.5</v>
      </c>
      <c r="F233">
        <v>91094</v>
      </c>
      <c r="G233">
        <v>96</v>
      </c>
      <c r="H233">
        <v>91045</v>
      </c>
      <c r="I233">
        <v>5521455</v>
      </c>
    </row>
    <row r="234" spans="1:9">
      <c r="A234" s="2">
        <v>1952</v>
      </c>
      <c r="B234">
        <v>8</v>
      </c>
      <c r="C234">
        <v>9.7000000000000005E-4</v>
      </c>
      <c r="D234">
        <v>9.7000000000000005E-4</v>
      </c>
      <c r="E234">
        <v>0.5</v>
      </c>
      <c r="F234">
        <v>90997</v>
      </c>
      <c r="G234">
        <v>88</v>
      </c>
      <c r="H234">
        <v>90953</v>
      </c>
      <c r="I234">
        <v>5430410</v>
      </c>
    </row>
    <row r="235" spans="1:9">
      <c r="A235" s="2">
        <v>1952</v>
      </c>
      <c r="B235">
        <v>9</v>
      </c>
      <c r="C235">
        <v>8.3000000000000001E-4</v>
      </c>
      <c r="D235">
        <v>8.3000000000000001E-4</v>
      </c>
      <c r="E235">
        <v>0.5</v>
      </c>
      <c r="F235">
        <v>90909</v>
      </c>
      <c r="G235">
        <v>76</v>
      </c>
      <c r="H235">
        <v>90871</v>
      </c>
      <c r="I235">
        <v>5339457</v>
      </c>
    </row>
    <row r="236" spans="1:9">
      <c r="A236" s="2">
        <v>1952</v>
      </c>
      <c r="B236">
        <v>10</v>
      </c>
      <c r="C236">
        <v>1.0300000000000001E-3</v>
      </c>
      <c r="D236">
        <v>1.0300000000000001E-3</v>
      </c>
      <c r="E236">
        <v>0.5</v>
      </c>
      <c r="F236">
        <v>90833</v>
      </c>
      <c r="G236">
        <v>93</v>
      </c>
      <c r="H236">
        <v>90787</v>
      </c>
      <c r="I236">
        <v>5248586</v>
      </c>
    </row>
    <row r="237" spans="1:9">
      <c r="A237" s="2">
        <v>1952</v>
      </c>
      <c r="B237">
        <v>11</v>
      </c>
      <c r="C237">
        <v>7.6999999999999996E-4</v>
      </c>
      <c r="D237">
        <v>7.6999999999999996E-4</v>
      </c>
      <c r="E237">
        <v>0.5</v>
      </c>
      <c r="F237">
        <v>90740</v>
      </c>
      <c r="G237">
        <v>70</v>
      </c>
      <c r="H237">
        <v>90705</v>
      </c>
      <c r="I237">
        <v>5157799</v>
      </c>
    </row>
    <row r="238" spans="1:9">
      <c r="A238" s="2">
        <v>1952</v>
      </c>
      <c r="B238">
        <v>12</v>
      </c>
      <c r="C238">
        <v>8.8999999999999995E-4</v>
      </c>
      <c r="D238">
        <v>8.8999999999999995E-4</v>
      </c>
      <c r="E238">
        <v>0.5</v>
      </c>
      <c r="F238">
        <v>90670</v>
      </c>
      <c r="G238">
        <v>80</v>
      </c>
      <c r="H238">
        <v>90630</v>
      </c>
      <c r="I238">
        <v>5067094</v>
      </c>
    </row>
    <row r="239" spans="1:9">
      <c r="A239" s="2">
        <v>1952</v>
      </c>
      <c r="B239">
        <v>13</v>
      </c>
      <c r="C239">
        <v>8.0000000000000004E-4</v>
      </c>
      <c r="D239">
        <v>8.0000000000000004E-4</v>
      </c>
      <c r="E239">
        <v>0.5</v>
      </c>
      <c r="F239">
        <v>90589</v>
      </c>
      <c r="G239">
        <v>72</v>
      </c>
      <c r="H239">
        <v>90553</v>
      </c>
      <c r="I239">
        <v>4976464</v>
      </c>
    </row>
    <row r="240" spans="1:9">
      <c r="A240" s="2">
        <v>1952</v>
      </c>
      <c r="B240">
        <v>14</v>
      </c>
      <c r="C240">
        <v>1.2999999999999999E-3</v>
      </c>
      <c r="D240">
        <v>1.2999999999999999E-3</v>
      </c>
      <c r="E240">
        <v>0.5</v>
      </c>
      <c r="F240">
        <v>90517</v>
      </c>
      <c r="G240">
        <v>117</v>
      </c>
      <c r="H240">
        <v>90458</v>
      </c>
      <c r="I240">
        <v>4885911</v>
      </c>
    </row>
    <row r="241" spans="1:9">
      <c r="A241" s="2">
        <v>1952</v>
      </c>
      <c r="B241">
        <v>15</v>
      </c>
      <c r="C241">
        <v>1.31E-3</v>
      </c>
      <c r="D241">
        <v>1.31E-3</v>
      </c>
      <c r="E241">
        <v>0.5</v>
      </c>
      <c r="F241">
        <v>90400</v>
      </c>
      <c r="G241">
        <v>118</v>
      </c>
      <c r="H241">
        <v>90340</v>
      </c>
      <c r="I241">
        <v>4795453</v>
      </c>
    </row>
    <row r="242" spans="1:9">
      <c r="A242" s="2">
        <v>1952</v>
      </c>
      <c r="B242">
        <v>16</v>
      </c>
      <c r="C242">
        <v>1.3500000000000001E-3</v>
      </c>
      <c r="D242">
        <v>1.3500000000000001E-3</v>
      </c>
      <c r="E242">
        <v>0.5</v>
      </c>
      <c r="F242">
        <v>90281</v>
      </c>
      <c r="G242">
        <v>122</v>
      </c>
      <c r="H242">
        <v>90220</v>
      </c>
      <c r="I242">
        <v>4705112</v>
      </c>
    </row>
    <row r="243" spans="1:9">
      <c r="A243" s="2">
        <v>1952</v>
      </c>
      <c r="B243">
        <v>17</v>
      </c>
      <c r="C243">
        <v>1.82E-3</v>
      </c>
      <c r="D243">
        <v>1.82E-3</v>
      </c>
      <c r="E243">
        <v>0.5</v>
      </c>
      <c r="F243">
        <v>90160</v>
      </c>
      <c r="G243">
        <v>164</v>
      </c>
      <c r="H243">
        <v>90078</v>
      </c>
      <c r="I243">
        <v>4614892</v>
      </c>
    </row>
    <row r="244" spans="1:9">
      <c r="A244" s="2">
        <v>1952</v>
      </c>
      <c r="B244">
        <v>18</v>
      </c>
      <c r="C244">
        <v>1.82E-3</v>
      </c>
      <c r="D244">
        <v>1.82E-3</v>
      </c>
      <c r="E244">
        <v>0.5</v>
      </c>
      <c r="F244">
        <v>89996</v>
      </c>
      <c r="G244">
        <v>164</v>
      </c>
      <c r="H244">
        <v>89914</v>
      </c>
      <c r="I244">
        <v>4524814</v>
      </c>
    </row>
    <row r="245" spans="1:9">
      <c r="A245" s="2">
        <v>1952</v>
      </c>
      <c r="B245">
        <v>19</v>
      </c>
      <c r="C245">
        <v>2.0799999999999998E-3</v>
      </c>
      <c r="D245">
        <v>2.0799999999999998E-3</v>
      </c>
      <c r="E245">
        <v>0.5</v>
      </c>
      <c r="F245">
        <v>89832</v>
      </c>
      <c r="G245">
        <v>187</v>
      </c>
      <c r="H245">
        <v>89739</v>
      </c>
      <c r="I245">
        <v>4434900</v>
      </c>
    </row>
    <row r="246" spans="1:9">
      <c r="A246" s="2">
        <v>1952</v>
      </c>
      <c r="B246">
        <v>20</v>
      </c>
      <c r="C246">
        <v>2.4499999999999999E-3</v>
      </c>
      <c r="D246">
        <v>2.4499999999999999E-3</v>
      </c>
      <c r="E246">
        <v>0.5</v>
      </c>
      <c r="F246">
        <v>89646</v>
      </c>
      <c r="G246">
        <v>220</v>
      </c>
      <c r="H246">
        <v>89536</v>
      </c>
      <c r="I246">
        <v>4345162</v>
      </c>
    </row>
    <row r="247" spans="1:9">
      <c r="A247" s="2">
        <v>1952</v>
      </c>
      <c r="B247">
        <v>21</v>
      </c>
      <c r="C247">
        <v>2.7100000000000002E-3</v>
      </c>
      <c r="D247">
        <v>2.7100000000000002E-3</v>
      </c>
      <c r="E247">
        <v>0.5</v>
      </c>
      <c r="F247">
        <v>89426</v>
      </c>
      <c r="G247">
        <v>242</v>
      </c>
      <c r="H247">
        <v>89305</v>
      </c>
      <c r="I247">
        <v>4255626</v>
      </c>
    </row>
    <row r="248" spans="1:9">
      <c r="A248" s="2">
        <v>1952</v>
      </c>
      <c r="B248">
        <v>22</v>
      </c>
      <c r="C248">
        <v>2.66E-3</v>
      </c>
      <c r="D248">
        <v>2.66E-3</v>
      </c>
      <c r="E248">
        <v>0.5</v>
      </c>
      <c r="F248">
        <v>89184</v>
      </c>
      <c r="G248">
        <v>237</v>
      </c>
      <c r="H248">
        <v>89065</v>
      </c>
      <c r="I248">
        <v>4166321</v>
      </c>
    </row>
    <row r="249" spans="1:9">
      <c r="A249" s="2">
        <v>1952</v>
      </c>
      <c r="B249">
        <v>23</v>
      </c>
      <c r="C249">
        <v>2.66E-3</v>
      </c>
      <c r="D249">
        <v>2.66E-3</v>
      </c>
      <c r="E249">
        <v>0.5</v>
      </c>
      <c r="F249">
        <v>88947</v>
      </c>
      <c r="G249">
        <v>236</v>
      </c>
      <c r="H249">
        <v>88828</v>
      </c>
      <c r="I249">
        <v>4077256</v>
      </c>
    </row>
    <row r="250" spans="1:9">
      <c r="A250" s="2">
        <v>1952</v>
      </c>
      <c r="B250">
        <v>24</v>
      </c>
      <c r="C250">
        <v>2.8300000000000001E-3</v>
      </c>
      <c r="D250">
        <v>2.8300000000000001E-3</v>
      </c>
      <c r="E250">
        <v>0.5</v>
      </c>
      <c r="F250">
        <v>88710</v>
      </c>
      <c r="G250">
        <v>251</v>
      </c>
      <c r="H250">
        <v>88585</v>
      </c>
      <c r="I250">
        <v>3988428</v>
      </c>
    </row>
    <row r="251" spans="1:9">
      <c r="A251" s="2">
        <v>1952</v>
      </c>
      <c r="B251">
        <v>25</v>
      </c>
      <c r="C251">
        <v>2.7699999999999999E-3</v>
      </c>
      <c r="D251">
        <v>2.7699999999999999E-3</v>
      </c>
      <c r="E251">
        <v>0.5</v>
      </c>
      <c r="F251">
        <v>88460</v>
      </c>
      <c r="G251">
        <v>245</v>
      </c>
      <c r="H251">
        <v>88337</v>
      </c>
      <c r="I251">
        <v>3899843</v>
      </c>
    </row>
    <row r="252" spans="1:9">
      <c r="A252" s="2">
        <v>1952</v>
      </c>
      <c r="B252">
        <v>26</v>
      </c>
      <c r="C252">
        <v>2.47E-3</v>
      </c>
      <c r="D252">
        <v>2.4599999999999999E-3</v>
      </c>
      <c r="E252">
        <v>0.5</v>
      </c>
      <c r="F252">
        <v>88215</v>
      </c>
      <c r="G252">
        <v>217</v>
      </c>
      <c r="H252">
        <v>88106</v>
      </c>
      <c r="I252">
        <v>3811506</v>
      </c>
    </row>
    <row r="253" spans="1:9">
      <c r="A253" s="2">
        <v>1952</v>
      </c>
      <c r="B253">
        <v>27</v>
      </c>
      <c r="C253">
        <v>2.2399999999999998E-3</v>
      </c>
      <c r="D253">
        <v>2.2399999999999998E-3</v>
      </c>
      <c r="E253">
        <v>0.5</v>
      </c>
      <c r="F253">
        <v>87998</v>
      </c>
      <c r="G253">
        <v>197</v>
      </c>
      <c r="H253">
        <v>87899</v>
      </c>
      <c r="I253">
        <v>3723399</v>
      </c>
    </row>
    <row r="254" spans="1:9">
      <c r="A254" s="2">
        <v>1952</v>
      </c>
      <c r="B254">
        <v>28</v>
      </c>
      <c r="C254">
        <v>2.4499999999999999E-3</v>
      </c>
      <c r="D254">
        <v>2.4499999999999999E-3</v>
      </c>
      <c r="E254">
        <v>0.5</v>
      </c>
      <c r="F254">
        <v>87800</v>
      </c>
      <c r="G254">
        <v>215</v>
      </c>
      <c r="H254">
        <v>87693</v>
      </c>
      <c r="I254">
        <v>3635500</v>
      </c>
    </row>
    <row r="255" spans="1:9">
      <c r="A255" s="2">
        <v>1952</v>
      </c>
      <c r="B255">
        <v>29</v>
      </c>
      <c r="C255">
        <v>2.7499999999999998E-3</v>
      </c>
      <c r="D255">
        <v>2.7499999999999998E-3</v>
      </c>
      <c r="E255">
        <v>0.5</v>
      </c>
      <c r="F255">
        <v>87585</v>
      </c>
      <c r="G255">
        <v>241</v>
      </c>
      <c r="H255">
        <v>87465</v>
      </c>
      <c r="I255">
        <v>3547807</v>
      </c>
    </row>
    <row r="256" spans="1:9">
      <c r="A256" s="2">
        <v>1952</v>
      </c>
      <c r="B256">
        <v>30</v>
      </c>
      <c r="C256">
        <v>2.7499999999999998E-3</v>
      </c>
      <c r="D256">
        <v>2.7399999999999998E-3</v>
      </c>
      <c r="E256">
        <v>0.5</v>
      </c>
      <c r="F256">
        <v>87345</v>
      </c>
      <c r="G256">
        <v>240</v>
      </c>
      <c r="H256">
        <v>87225</v>
      </c>
      <c r="I256">
        <v>3460343</v>
      </c>
    </row>
    <row r="257" spans="1:9">
      <c r="A257" s="2">
        <v>1952</v>
      </c>
      <c r="B257">
        <v>31</v>
      </c>
      <c r="C257">
        <v>2.6800000000000001E-3</v>
      </c>
      <c r="D257">
        <v>2.6800000000000001E-3</v>
      </c>
      <c r="E257">
        <v>0.5</v>
      </c>
      <c r="F257">
        <v>87105</v>
      </c>
      <c r="G257">
        <v>234</v>
      </c>
      <c r="H257">
        <v>86988</v>
      </c>
      <c r="I257">
        <v>3373118</v>
      </c>
    </row>
    <row r="258" spans="1:9">
      <c r="A258" s="2">
        <v>1952</v>
      </c>
      <c r="B258">
        <v>32</v>
      </c>
      <c r="C258">
        <v>3.1199999999999999E-3</v>
      </c>
      <c r="D258">
        <v>3.1199999999999999E-3</v>
      </c>
      <c r="E258">
        <v>0.5</v>
      </c>
      <c r="F258">
        <v>86871</v>
      </c>
      <c r="G258">
        <v>271</v>
      </c>
      <c r="H258">
        <v>86736</v>
      </c>
      <c r="I258">
        <v>3286129</v>
      </c>
    </row>
    <row r="259" spans="1:9">
      <c r="A259" s="2">
        <v>1952</v>
      </c>
      <c r="B259">
        <v>33</v>
      </c>
      <c r="C259">
        <v>2.5400000000000002E-3</v>
      </c>
      <c r="D259">
        <v>2.5400000000000002E-3</v>
      </c>
      <c r="E259">
        <v>0.5</v>
      </c>
      <c r="F259">
        <v>86600</v>
      </c>
      <c r="G259">
        <v>220</v>
      </c>
      <c r="H259">
        <v>86491</v>
      </c>
      <c r="I259">
        <v>3199394</v>
      </c>
    </row>
    <row r="260" spans="1:9">
      <c r="A260" s="2">
        <v>1952</v>
      </c>
      <c r="B260">
        <v>34</v>
      </c>
      <c r="C260">
        <v>3.49E-3</v>
      </c>
      <c r="D260">
        <v>3.49E-3</v>
      </c>
      <c r="E260">
        <v>0.5</v>
      </c>
      <c r="F260">
        <v>86381</v>
      </c>
      <c r="G260">
        <v>301</v>
      </c>
      <c r="H260">
        <v>86230</v>
      </c>
      <c r="I260">
        <v>3112903</v>
      </c>
    </row>
    <row r="261" spans="1:9">
      <c r="A261" s="2">
        <v>1952</v>
      </c>
      <c r="B261">
        <v>35</v>
      </c>
      <c r="C261">
        <v>2.98E-3</v>
      </c>
      <c r="D261">
        <v>2.98E-3</v>
      </c>
      <c r="E261">
        <v>0.5</v>
      </c>
      <c r="F261">
        <v>86079</v>
      </c>
      <c r="G261">
        <v>256</v>
      </c>
      <c r="H261">
        <v>85951</v>
      </c>
      <c r="I261">
        <v>3026673</v>
      </c>
    </row>
    <row r="262" spans="1:9">
      <c r="A262" s="2">
        <v>1952</v>
      </c>
      <c r="B262">
        <v>36</v>
      </c>
      <c r="C262">
        <v>2.8600000000000001E-3</v>
      </c>
      <c r="D262">
        <v>2.8600000000000001E-3</v>
      </c>
      <c r="E262">
        <v>0.5</v>
      </c>
      <c r="F262">
        <v>85823</v>
      </c>
      <c r="G262">
        <v>245</v>
      </c>
      <c r="H262">
        <v>85701</v>
      </c>
      <c r="I262">
        <v>2940722</v>
      </c>
    </row>
    <row r="263" spans="1:9">
      <c r="A263" s="2">
        <v>1952</v>
      </c>
      <c r="B263">
        <v>37</v>
      </c>
      <c r="C263">
        <v>3.48E-3</v>
      </c>
      <c r="D263">
        <v>3.47E-3</v>
      </c>
      <c r="E263">
        <v>0.5</v>
      </c>
      <c r="F263">
        <v>85578</v>
      </c>
      <c r="G263">
        <v>297</v>
      </c>
      <c r="H263">
        <v>85429</v>
      </c>
      <c r="I263">
        <v>2855021</v>
      </c>
    </row>
    <row r="264" spans="1:9">
      <c r="A264" s="2">
        <v>1952</v>
      </c>
      <c r="B264">
        <v>38</v>
      </c>
      <c r="C264">
        <v>3.9399999999999999E-3</v>
      </c>
      <c r="D264">
        <v>3.9399999999999999E-3</v>
      </c>
      <c r="E264">
        <v>0.5</v>
      </c>
      <c r="F264">
        <v>85281</v>
      </c>
      <c r="G264">
        <v>336</v>
      </c>
      <c r="H264">
        <v>85113</v>
      </c>
      <c r="I264">
        <v>2769592</v>
      </c>
    </row>
    <row r="265" spans="1:9">
      <c r="A265" s="2">
        <v>1952</v>
      </c>
      <c r="B265">
        <v>39</v>
      </c>
      <c r="C265">
        <v>3.5500000000000002E-3</v>
      </c>
      <c r="D265">
        <v>3.5400000000000002E-3</v>
      </c>
      <c r="E265">
        <v>0.5</v>
      </c>
      <c r="F265">
        <v>84945</v>
      </c>
      <c r="G265">
        <v>301</v>
      </c>
      <c r="H265">
        <v>84795</v>
      </c>
      <c r="I265">
        <v>2684479</v>
      </c>
    </row>
    <row r="266" spans="1:9">
      <c r="A266" s="2">
        <v>1952</v>
      </c>
      <c r="B266">
        <v>40</v>
      </c>
      <c r="C266">
        <v>3.6600000000000001E-3</v>
      </c>
      <c r="D266">
        <v>3.65E-3</v>
      </c>
      <c r="E266">
        <v>0.5</v>
      </c>
      <c r="F266">
        <v>84644</v>
      </c>
      <c r="G266">
        <v>309</v>
      </c>
      <c r="H266">
        <v>84490</v>
      </c>
      <c r="I266">
        <v>2599684</v>
      </c>
    </row>
    <row r="267" spans="1:9">
      <c r="A267" s="2">
        <v>1952</v>
      </c>
      <c r="B267">
        <v>41</v>
      </c>
      <c r="C267">
        <v>4.1799999999999997E-3</v>
      </c>
      <c r="D267">
        <v>4.1700000000000001E-3</v>
      </c>
      <c r="E267">
        <v>0.5</v>
      </c>
      <c r="F267">
        <v>84335</v>
      </c>
      <c r="G267">
        <v>352</v>
      </c>
      <c r="H267">
        <v>84159</v>
      </c>
      <c r="I267">
        <v>2515194</v>
      </c>
    </row>
    <row r="268" spans="1:9">
      <c r="A268" s="2">
        <v>1952</v>
      </c>
      <c r="B268">
        <v>42</v>
      </c>
      <c r="C268">
        <v>4.8599999999999997E-3</v>
      </c>
      <c r="D268">
        <v>4.8500000000000001E-3</v>
      </c>
      <c r="E268">
        <v>0.5</v>
      </c>
      <c r="F268">
        <v>83983</v>
      </c>
      <c r="G268">
        <v>407</v>
      </c>
      <c r="H268">
        <v>83780</v>
      </c>
      <c r="I268">
        <v>2431035</v>
      </c>
    </row>
    <row r="269" spans="1:9">
      <c r="A269" s="2">
        <v>1952</v>
      </c>
      <c r="B269">
        <v>43</v>
      </c>
      <c r="C269">
        <v>4.9800000000000001E-3</v>
      </c>
      <c r="D269">
        <v>4.9699999999999996E-3</v>
      </c>
      <c r="E269">
        <v>0.5</v>
      </c>
      <c r="F269">
        <v>83576</v>
      </c>
      <c r="G269">
        <v>416</v>
      </c>
      <c r="H269">
        <v>83368</v>
      </c>
      <c r="I269">
        <v>2347256</v>
      </c>
    </row>
    <row r="270" spans="1:9">
      <c r="A270" s="2">
        <v>1952</v>
      </c>
      <c r="B270">
        <v>44</v>
      </c>
      <c r="C270">
        <v>5.45E-3</v>
      </c>
      <c r="D270">
        <v>5.4299999999999999E-3</v>
      </c>
      <c r="E270">
        <v>0.5</v>
      </c>
      <c r="F270">
        <v>83161</v>
      </c>
      <c r="G270">
        <v>452</v>
      </c>
      <c r="H270">
        <v>82935</v>
      </c>
      <c r="I270">
        <v>2263887</v>
      </c>
    </row>
    <row r="271" spans="1:9">
      <c r="A271" s="2">
        <v>1952</v>
      </c>
      <c r="B271">
        <v>45</v>
      </c>
      <c r="C271">
        <v>6.1500000000000001E-3</v>
      </c>
      <c r="D271">
        <v>6.13E-3</v>
      </c>
      <c r="E271">
        <v>0.5</v>
      </c>
      <c r="F271">
        <v>82709</v>
      </c>
      <c r="G271">
        <v>507</v>
      </c>
      <c r="H271">
        <v>82455</v>
      </c>
      <c r="I271">
        <v>2180953</v>
      </c>
    </row>
    <row r="272" spans="1:9">
      <c r="A272" s="2">
        <v>1952</v>
      </c>
      <c r="B272">
        <v>46</v>
      </c>
      <c r="C272">
        <v>7.28E-3</v>
      </c>
      <c r="D272">
        <v>7.26E-3</v>
      </c>
      <c r="E272">
        <v>0.5</v>
      </c>
      <c r="F272">
        <v>82202</v>
      </c>
      <c r="G272">
        <v>597</v>
      </c>
      <c r="H272">
        <v>81903</v>
      </c>
      <c r="I272">
        <v>2098497</v>
      </c>
    </row>
    <row r="273" spans="1:9">
      <c r="A273" s="2">
        <v>1952</v>
      </c>
      <c r="B273">
        <v>47</v>
      </c>
      <c r="C273">
        <v>7.8300000000000002E-3</v>
      </c>
      <c r="D273">
        <v>7.7999999999999996E-3</v>
      </c>
      <c r="E273">
        <v>0.5</v>
      </c>
      <c r="F273">
        <v>81605</v>
      </c>
      <c r="G273">
        <v>637</v>
      </c>
      <c r="H273">
        <v>81287</v>
      </c>
      <c r="I273">
        <v>2016594</v>
      </c>
    </row>
    <row r="274" spans="1:9">
      <c r="A274" s="2">
        <v>1952</v>
      </c>
      <c r="B274">
        <v>48</v>
      </c>
      <c r="C274">
        <v>7.77E-3</v>
      </c>
      <c r="D274">
        <v>7.7400000000000004E-3</v>
      </c>
      <c r="E274">
        <v>0.5</v>
      </c>
      <c r="F274">
        <v>80968</v>
      </c>
      <c r="G274">
        <v>627</v>
      </c>
      <c r="H274">
        <v>80655</v>
      </c>
      <c r="I274">
        <v>1935307</v>
      </c>
    </row>
    <row r="275" spans="1:9">
      <c r="A275" s="2">
        <v>1952</v>
      </c>
      <c r="B275">
        <v>49</v>
      </c>
      <c r="C275">
        <v>8.3800000000000003E-3</v>
      </c>
      <c r="D275">
        <v>8.3499999999999998E-3</v>
      </c>
      <c r="E275">
        <v>0.5</v>
      </c>
      <c r="F275">
        <v>80342</v>
      </c>
      <c r="G275">
        <v>670</v>
      </c>
      <c r="H275">
        <v>80006</v>
      </c>
      <c r="I275">
        <v>1854652</v>
      </c>
    </row>
    <row r="276" spans="1:9">
      <c r="A276" s="2">
        <v>1952</v>
      </c>
      <c r="B276">
        <v>50</v>
      </c>
      <c r="C276">
        <v>9.7800000000000005E-3</v>
      </c>
      <c r="D276">
        <v>9.7400000000000004E-3</v>
      </c>
      <c r="E276">
        <v>0.5</v>
      </c>
      <c r="F276">
        <v>79671</v>
      </c>
      <c r="G276">
        <v>776</v>
      </c>
      <c r="H276">
        <v>79283</v>
      </c>
      <c r="I276">
        <v>1774646</v>
      </c>
    </row>
    <row r="277" spans="1:9">
      <c r="A277" s="2">
        <v>1952</v>
      </c>
      <c r="B277">
        <v>51</v>
      </c>
      <c r="C277">
        <v>1.042E-2</v>
      </c>
      <c r="D277">
        <v>1.0370000000000001E-2</v>
      </c>
      <c r="E277">
        <v>0.5</v>
      </c>
      <c r="F277">
        <v>78895</v>
      </c>
      <c r="G277">
        <v>818</v>
      </c>
      <c r="H277">
        <v>78486</v>
      </c>
      <c r="I277">
        <v>1695362</v>
      </c>
    </row>
    <row r="278" spans="1:9">
      <c r="A278" s="2">
        <v>1952</v>
      </c>
      <c r="B278">
        <v>52</v>
      </c>
      <c r="C278">
        <v>1.264E-2</v>
      </c>
      <c r="D278">
        <v>1.256E-2</v>
      </c>
      <c r="E278">
        <v>0.5</v>
      </c>
      <c r="F278">
        <v>78077</v>
      </c>
      <c r="G278">
        <v>981</v>
      </c>
      <c r="H278">
        <v>77587</v>
      </c>
      <c r="I278">
        <v>1616876</v>
      </c>
    </row>
    <row r="279" spans="1:9">
      <c r="A279" s="2">
        <v>1952</v>
      </c>
      <c r="B279">
        <v>53</v>
      </c>
      <c r="C279">
        <v>1.3310000000000001E-2</v>
      </c>
      <c r="D279">
        <v>1.3220000000000001E-2</v>
      </c>
      <c r="E279">
        <v>0.5</v>
      </c>
      <c r="F279">
        <v>77097</v>
      </c>
      <c r="G279">
        <v>1019</v>
      </c>
      <c r="H279">
        <v>76587</v>
      </c>
      <c r="I279">
        <v>1539289</v>
      </c>
    </row>
    <row r="280" spans="1:9">
      <c r="A280" s="2">
        <v>1952</v>
      </c>
      <c r="B280">
        <v>54</v>
      </c>
      <c r="C280">
        <v>1.359E-2</v>
      </c>
      <c r="D280">
        <v>1.35E-2</v>
      </c>
      <c r="E280">
        <v>0.5</v>
      </c>
      <c r="F280">
        <v>76077</v>
      </c>
      <c r="G280">
        <v>1027</v>
      </c>
      <c r="H280">
        <v>75564</v>
      </c>
      <c r="I280">
        <v>1462702</v>
      </c>
    </row>
    <row r="281" spans="1:9">
      <c r="A281" s="2">
        <v>1952</v>
      </c>
      <c r="B281">
        <v>55</v>
      </c>
      <c r="C281">
        <v>1.465E-2</v>
      </c>
      <c r="D281">
        <v>1.455E-2</v>
      </c>
      <c r="E281">
        <v>0.5</v>
      </c>
      <c r="F281">
        <v>75051</v>
      </c>
      <c r="G281">
        <v>1092</v>
      </c>
      <c r="H281">
        <v>74505</v>
      </c>
      <c r="I281">
        <v>1387138</v>
      </c>
    </row>
    <row r="282" spans="1:9">
      <c r="A282" s="2">
        <v>1952</v>
      </c>
      <c r="B282">
        <v>56</v>
      </c>
      <c r="C282">
        <v>1.677E-2</v>
      </c>
      <c r="D282">
        <v>1.6629999999999999E-2</v>
      </c>
      <c r="E282">
        <v>0.5</v>
      </c>
      <c r="F282">
        <v>73959</v>
      </c>
      <c r="G282">
        <v>1230</v>
      </c>
      <c r="H282">
        <v>73344</v>
      </c>
      <c r="I282">
        <v>1312633</v>
      </c>
    </row>
    <row r="283" spans="1:9">
      <c r="A283" s="2">
        <v>1952</v>
      </c>
      <c r="B283">
        <v>57</v>
      </c>
      <c r="C283">
        <v>1.7749999999999998E-2</v>
      </c>
      <c r="D283">
        <v>1.7590000000000001E-2</v>
      </c>
      <c r="E283">
        <v>0.5</v>
      </c>
      <c r="F283">
        <v>72729</v>
      </c>
      <c r="G283">
        <v>1279</v>
      </c>
      <c r="H283">
        <v>72089</v>
      </c>
      <c r="I283">
        <v>1239289</v>
      </c>
    </row>
    <row r="284" spans="1:9">
      <c r="A284" s="2">
        <v>1952</v>
      </c>
      <c r="B284">
        <v>58</v>
      </c>
      <c r="C284">
        <v>1.933E-2</v>
      </c>
      <c r="D284">
        <v>1.915E-2</v>
      </c>
      <c r="E284">
        <v>0.5</v>
      </c>
      <c r="F284">
        <v>71450</v>
      </c>
      <c r="G284">
        <v>1368</v>
      </c>
      <c r="H284">
        <v>70766</v>
      </c>
      <c r="I284">
        <v>1167199</v>
      </c>
    </row>
    <row r="285" spans="1:9">
      <c r="A285" s="2">
        <v>1952</v>
      </c>
      <c r="B285">
        <v>59</v>
      </c>
      <c r="C285">
        <v>1.9800000000000002E-2</v>
      </c>
      <c r="D285">
        <v>1.9609999999999999E-2</v>
      </c>
      <c r="E285">
        <v>0.5</v>
      </c>
      <c r="F285">
        <v>70082</v>
      </c>
      <c r="G285">
        <v>1374</v>
      </c>
      <c r="H285">
        <v>69394</v>
      </c>
      <c r="I285">
        <v>1096434</v>
      </c>
    </row>
    <row r="286" spans="1:9">
      <c r="A286" s="2">
        <v>1952</v>
      </c>
      <c r="B286">
        <v>60</v>
      </c>
      <c r="C286">
        <v>2.2169999999999999E-2</v>
      </c>
      <c r="D286">
        <v>2.1919999999999999E-2</v>
      </c>
      <c r="E286">
        <v>0.5</v>
      </c>
      <c r="F286">
        <v>68707</v>
      </c>
      <c r="G286">
        <v>1506</v>
      </c>
      <c r="H286">
        <v>67954</v>
      </c>
      <c r="I286">
        <v>1027039</v>
      </c>
    </row>
    <row r="287" spans="1:9">
      <c r="A287" s="2">
        <v>1952</v>
      </c>
      <c r="B287">
        <v>61</v>
      </c>
      <c r="C287">
        <v>2.486E-2</v>
      </c>
      <c r="D287">
        <v>2.4549999999999999E-2</v>
      </c>
      <c r="E287">
        <v>0.5</v>
      </c>
      <c r="F287">
        <v>67201</v>
      </c>
      <c r="G287">
        <v>1650</v>
      </c>
      <c r="H287">
        <v>66376</v>
      </c>
      <c r="I287">
        <v>959085</v>
      </c>
    </row>
    <row r="288" spans="1:9">
      <c r="A288" s="2">
        <v>1952</v>
      </c>
      <c r="B288">
        <v>62</v>
      </c>
      <c r="C288">
        <v>2.7380000000000002E-2</v>
      </c>
      <c r="D288">
        <v>2.7009999999999999E-2</v>
      </c>
      <c r="E288">
        <v>0.5</v>
      </c>
      <c r="F288">
        <v>65551</v>
      </c>
      <c r="G288">
        <v>1771</v>
      </c>
      <c r="H288">
        <v>64666</v>
      </c>
      <c r="I288">
        <v>892709</v>
      </c>
    </row>
    <row r="289" spans="1:9">
      <c r="A289" s="2">
        <v>1952</v>
      </c>
      <c r="B289">
        <v>63</v>
      </c>
      <c r="C289">
        <v>2.9610000000000001E-2</v>
      </c>
      <c r="D289">
        <v>2.9180000000000001E-2</v>
      </c>
      <c r="E289">
        <v>0.5</v>
      </c>
      <c r="F289">
        <v>63780</v>
      </c>
      <c r="G289">
        <v>1861</v>
      </c>
      <c r="H289">
        <v>62850</v>
      </c>
      <c r="I289">
        <v>828043</v>
      </c>
    </row>
    <row r="290" spans="1:9">
      <c r="A290" s="2">
        <v>1952</v>
      </c>
      <c r="B290">
        <v>64</v>
      </c>
      <c r="C290">
        <v>3.4389999999999997E-2</v>
      </c>
      <c r="D290">
        <v>3.381E-2</v>
      </c>
      <c r="E290">
        <v>0.5</v>
      </c>
      <c r="F290">
        <v>61920</v>
      </c>
      <c r="G290">
        <v>2093</v>
      </c>
      <c r="H290">
        <v>60873</v>
      </c>
      <c r="I290">
        <v>765193</v>
      </c>
    </row>
    <row r="291" spans="1:9">
      <c r="A291" s="2">
        <v>1952</v>
      </c>
      <c r="B291">
        <v>65</v>
      </c>
      <c r="C291">
        <v>3.6020000000000003E-2</v>
      </c>
      <c r="D291">
        <v>3.5380000000000002E-2</v>
      </c>
      <c r="E291">
        <v>0.5</v>
      </c>
      <c r="F291">
        <v>59826</v>
      </c>
      <c r="G291">
        <v>2117</v>
      </c>
      <c r="H291">
        <v>58768</v>
      </c>
      <c r="I291">
        <v>704321</v>
      </c>
    </row>
    <row r="292" spans="1:9">
      <c r="A292" s="2">
        <v>1952</v>
      </c>
      <c r="B292">
        <v>66</v>
      </c>
      <c r="C292">
        <v>3.9660000000000001E-2</v>
      </c>
      <c r="D292">
        <v>3.8890000000000001E-2</v>
      </c>
      <c r="E292">
        <v>0.5</v>
      </c>
      <c r="F292">
        <v>57709</v>
      </c>
      <c r="G292">
        <v>2244</v>
      </c>
      <c r="H292">
        <v>56587</v>
      </c>
      <c r="I292">
        <v>645553</v>
      </c>
    </row>
    <row r="293" spans="1:9">
      <c r="A293" s="2">
        <v>1952</v>
      </c>
      <c r="B293">
        <v>67</v>
      </c>
      <c r="C293">
        <v>4.2369999999999998E-2</v>
      </c>
      <c r="D293">
        <v>4.1489999999999999E-2</v>
      </c>
      <c r="E293">
        <v>0.5</v>
      </c>
      <c r="F293">
        <v>55465</v>
      </c>
      <c r="G293">
        <v>2301</v>
      </c>
      <c r="H293">
        <v>54314</v>
      </c>
      <c r="I293">
        <v>588966</v>
      </c>
    </row>
    <row r="294" spans="1:9">
      <c r="A294" s="2">
        <v>1952</v>
      </c>
      <c r="B294">
        <v>68</v>
      </c>
      <c r="C294">
        <v>4.5289999999999997E-2</v>
      </c>
      <c r="D294">
        <v>4.4290000000000003E-2</v>
      </c>
      <c r="E294">
        <v>0.5</v>
      </c>
      <c r="F294">
        <v>53164</v>
      </c>
      <c r="G294">
        <v>2355</v>
      </c>
      <c r="H294">
        <v>51986</v>
      </c>
      <c r="I294">
        <v>534651</v>
      </c>
    </row>
    <row r="295" spans="1:9">
      <c r="A295" s="2">
        <v>1952</v>
      </c>
      <c r="B295">
        <v>69</v>
      </c>
      <c r="C295">
        <v>5.0070000000000003E-2</v>
      </c>
      <c r="D295">
        <v>4.8840000000000001E-2</v>
      </c>
      <c r="E295">
        <v>0.5</v>
      </c>
      <c r="F295">
        <v>50809</v>
      </c>
      <c r="G295">
        <v>2482</v>
      </c>
      <c r="H295">
        <v>49568</v>
      </c>
      <c r="I295">
        <v>482665</v>
      </c>
    </row>
    <row r="296" spans="1:9">
      <c r="A296" s="2">
        <v>1952</v>
      </c>
      <c r="B296">
        <v>70</v>
      </c>
      <c r="C296">
        <v>5.7119999999999997E-2</v>
      </c>
      <c r="D296">
        <v>5.5539999999999999E-2</v>
      </c>
      <c r="E296">
        <v>0.5</v>
      </c>
      <c r="F296">
        <v>48327</v>
      </c>
      <c r="G296">
        <v>2684</v>
      </c>
      <c r="H296">
        <v>46985</v>
      </c>
      <c r="I296">
        <v>433096</v>
      </c>
    </row>
    <row r="297" spans="1:9">
      <c r="A297" s="2">
        <v>1952</v>
      </c>
      <c r="B297">
        <v>71</v>
      </c>
      <c r="C297">
        <v>6.0179999999999997E-2</v>
      </c>
      <c r="D297">
        <v>5.8430000000000003E-2</v>
      </c>
      <c r="E297">
        <v>0.5</v>
      </c>
      <c r="F297">
        <v>45643</v>
      </c>
      <c r="G297">
        <v>2667</v>
      </c>
      <c r="H297">
        <v>44310</v>
      </c>
      <c r="I297">
        <v>386111</v>
      </c>
    </row>
    <row r="298" spans="1:9">
      <c r="A298" s="2">
        <v>1952</v>
      </c>
      <c r="B298">
        <v>72</v>
      </c>
      <c r="C298">
        <v>6.991E-2</v>
      </c>
      <c r="D298">
        <v>6.7540000000000003E-2</v>
      </c>
      <c r="E298">
        <v>0.5</v>
      </c>
      <c r="F298">
        <v>42977</v>
      </c>
      <c r="G298">
        <v>2903</v>
      </c>
      <c r="H298">
        <v>41525</v>
      </c>
      <c r="I298">
        <v>341801</v>
      </c>
    </row>
    <row r="299" spans="1:9">
      <c r="A299" s="2">
        <v>1952</v>
      </c>
      <c r="B299">
        <v>73</v>
      </c>
      <c r="C299">
        <v>7.2300000000000003E-2</v>
      </c>
      <c r="D299">
        <v>6.9779999999999995E-2</v>
      </c>
      <c r="E299">
        <v>0.5</v>
      </c>
      <c r="F299">
        <v>40074</v>
      </c>
      <c r="G299">
        <v>2796</v>
      </c>
      <c r="H299">
        <v>38676</v>
      </c>
      <c r="I299">
        <v>300276</v>
      </c>
    </row>
    <row r="300" spans="1:9">
      <c r="A300" s="2">
        <v>1952</v>
      </c>
      <c r="B300">
        <v>74</v>
      </c>
      <c r="C300">
        <v>8.1589999999999996E-2</v>
      </c>
      <c r="D300">
        <v>7.8390000000000001E-2</v>
      </c>
      <c r="E300">
        <v>0.5</v>
      </c>
      <c r="F300">
        <v>37278</v>
      </c>
      <c r="G300">
        <v>2922</v>
      </c>
      <c r="H300">
        <v>35816</v>
      </c>
      <c r="I300">
        <v>261600</v>
      </c>
    </row>
    <row r="301" spans="1:9">
      <c r="A301" s="2">
        <v>1952</v>
      </c>
      <c r="B301">
        <v>75</v>
      </c>
      <c r="C301">
        <v>9.4969999999999999E-2</v>
      </c>
      <c r="D301">
        <v>9.0670000000000001E-2</v>
      </c>
      <c r="E301">
        <v>0.5</v>
      </c>
      <c r="F301">
        <v>34355</v>
      </c>
      <c r="G301">
        <v>3115</v>
      </c>
      <c r="H301">
        <v>32798</v>
      </c>
      <c r="I301">
        <v>225784</v>
      </c>
    </row>
    <row r="302" spans="1:9">
      <c r="A302" s="2">
        <v>1952</v>
      </c>
      <c r="B302">
        <v>76</v>
      </c>
      <c r="C302">
        <v>0.10431</v>
      </c>
      <c r="D302">
        <v>9.9140000000000006E-2</v>
      </c>
      <c r="E302">
        <v>0.5</v>
      </c>
      <c r="F302">
        <v>31240</v>
      </c>
      <c r="G302">
        <v>3097</v>
      </c>
      <c r="H302">
        <v>29692</v>
      </c>
      <c r="I302">
        <v>192986</v>
      </c>
    </row>
    <row r="303" spans="1:9">
      <c r="A303" s="2">
        <v>1952</v>
      </c>
      <c r="B303">
        <v>77</v>
      </c>
      <c r="C303">
        <v>0.11191</v>
      </c>
      <c r="D303">
        <v>0.10598</v>
      </c>
      <c r="E303">
        <v>0.5</v>
      </c>
      <c r="F303">
        <v>28143</v>
      </c>
      <c r="G303">
        <v>2983</v>
      </c>
      <c r="H303">
        <v>26652</v>
      </c>
      <c r="I303">
        <v>163294</v>
      </c>
    </row>
    <row r="304" spans="1:9">
      <c r="A304" s="2">
        <v>1952</v>
      </c>
      <c r="B304">
        <v>78</v>
      </c>
      <c r="C304">
        <v>0.12159</v>
      </c>
      <c r="D304">
        <v>0.11462</v>
      </c>
      <c r="E304">
        <v>0.5</v>
      </c>
      <c r="F304">
        <v>25161</v>
      </c>
      <c r="G304">
        <v>2884</v>
      </c>
      <c r="H304">
        <v>23719</v>
      </c>
      <c r="I304">
        <v>136642</v>
      </c>
    </row>
    <row r="305" spans="1:9">
      <c r="A305" s="2">
        <v>1952</v>
      </c>
      <c r="B305">
        <v>79</v>
      </c>
      <c r="C305">
        <v>0.13184000000000001</v>
      </c>
      <c r="D305">
        <v>0.12368999999999999</v>
      </c>
      <c r="E305">
        <v>0.5</v>
      </c>
      <c r="F305">
        <v>22277</v>
      </c>
      <c r="G305">
        <v>2755</v>
      </c>
      <c r="H305">
        <v>20899</v>
      </c>
      <c r="I305">
        <v>112924</v>
      </c>
    </row>
    <row r="306" spans="1:9">
      <c r="A306" s="2">
        <v>1952</v>
      </c>
      <c r="B306">
        <v>80</v>
      </c>
      <c r="C306">
        <v>0.14538000000000001</v>
      </c>
      <c r="D306">
        <v>0.13553000000000001</v>
      </c>
      <c r="E306">
        <v>0.5</v>
      </c>
      <c r="F306">
        <v>19521</v>
      </c>
      <c r="G306">
        <v>2646</v>
      </c>
      <c r="H306">
        <v>18198</v>
      </c>
      <c r="I306">
        <v>92025</v>
      </c>
    </row>
    <row r="307" spans="1:9">
      <c r="A307" s="2">
        <v>1952</v>
      </c>
      <c r="B307">
        <v>81</v>
      </c>
      <c r="C307">
        <v>0.16519</v>
      </c>
      <c r="D307">
        <v>0.15259</v>
      </c>
      <c r="E307">
        <v>0.5</v>
      </c>
      <c r="F307">
        <v>16876</v>
      </c>
      <c r="G307">
        <v>2575</v>
      </c>
      <c r="H307">
        <v>15588</v>
      </c>
      <c r="I307">
        <v>73826</v>
      </c>
    </row>
    <row r="308" spans="1:9">
      <c r="A308" s="2">
        <v>1952</v>
      </c>
      <c r="B308">
        <v>82</v>
      </c>
      <c r="C308">
        <v>0.18965000000000001</v>
      </c>
      <c r="D308">
        <v>0.17322000000000001</v>
      </c>
      <c r="E308">
        <v>0.5</v>
      </c>
      <c r="F308">
        <v>14301</v>
      </c>
      <c r="G308">
        <v>2477</v>
      </c>
      <c r="H308">
        <v>13062</v>
      </c>
      <c r="I308">
        <v>58238</v>
      </c>
    </row>
    <row r="309" spans="1:9">
      <c r="A309" s="2">
        <v>1952</v>
      </c>
      <c r="B309">
        <v>83</v>
      </c>
      <c r="C309">
        <v>0.20038</v>
      </c>
      <c r="D309">
        <v>0.18212999999999999</v>
      </c>
      <c r="E309">
        <v>0.5</v>
      </c>
      <c r="F309">
        <v>11823</v>
      </c>
      <c r="G309">
        <v>2153</v>
      </c>
      <c r="H309">
        <v>10747</v>
      </c>
      <c r="I309">
        <v>45176</v>
      </c>
    </row>
    <row r="310" spans="1:9">
      <c r="A310" s="2">
        <v>1952</v>
      </c>
      <c r="B310">
        <v>84</v>
      </c>
      <c r="C310">
        <v>0.21110999999999999</v>
      </c>
      <c r="D310">
        <v>0.19095000000000001</v>
      </c>
      <c r="E310">
        <v>0.5</v>
      </c>
      <c r="F310">
        <v>9670</v>
      </c>
      <c r="G310">
        <v>1847</v>
      </c>
      <c r="H310">
        <v>8747</v>
      </c>
      <c r="I310">
        <v>34429</v>
      </c>
    </row>
    <row r="311" spans="1:9">
      <c r="A311" s="2">
        <v>1952</v>
      </c>
      <c r="B311">
        <v>85</v>
      </c>
      <c r="C311">
        <v>0.23719999999999999</v>
      </c>
      <c r="D311">
        <v>0.21204999999999999</v>
      </c>
      <c r="E311">
        <v>0.5</v>
      </c>
      <c r="F311">
        <v>7823</v>
      </c>
      <c r="G311">
        <v>1659</v>
      </c>
      <c r="H311">
        <v>6994</v>
      </c>
      <c r="I311">
        <v>25683</v>
      </c>
    </row>
    <row r="312" spans="1:9">
      <c r="A312" s="2">
        <v>1952</v>
      </c>
      <c r="B312">
        <v>86</v>
      </c>
      <c r="C312">
        <v>0.27594999999999997</v>
      </c>
      <c r="D312">
        <v>0.24249000000000001</v>
      </c>
      <c r="E312">
        <v>0.5</v>
      </c>
      <c r="F312">
        <v>6164</v>
      </c>
      <c r="G312">
        <v>1495</v>
      </c>
      <c r="H312">
        <v>5417</v>
      </c>
      <c r="I312">
        <v>18689</v>
      </c>
    </row>
    <row r="313" spans="1:9">
      <c r="A313" s="2">
        <v>1952</v>
      </c>
      <c r="B313">
        <v>87</v>
      </c>
      <c r="C313">
        <v>0.29515000000000002</v>
      </c>
      <c r="D313">
        <v>0.25718999999999997</v>
      </c>
      <c r="E313">
        <v>0.5</v>
      </c>
      <c r="F313">
        <v>4670</v>
      </c>
      <c r="G313">
        <v>1201</v>
      </c>
      <c r="H313">
        <v>4069</v>
      </c>
      <c r="I313">
        <v>13272</v>
      </c>
    </row>
    <row r="314" spans="1:9">
      <c r="A314" s="2">
        <v>1952</v>
      </c>
      <c r="B314">
        <v>88</v>
      </c>
      <c r="C314">
        <v>0.31666</v>
      </c>
      <c r="D314">
        <v>0.27338000000000001</v>
      </c>
      <c r="E314">
        <v>0.5</v>
      </c>
      <c r="F314">
        <v>3469</v>
      </c>
      <c r="G314">
        <v>948</v>
      </c>
      <c r="H314">
        <v>2995</v>
      </c>
      <c r="I314">
        <v>9203</v>
      </c>
    </row>
    <row r="315" spans="1:9">
      <c r="A315" s="2">
        <v>1952</v>
      </c>
      <c r="B315">
        <v>89</v>
      </c>
      <c r="C315">
        <v>0.34422999999999998</v>
      </c>
      <c r="D315">
        <v>0.29368</v>
      </c>
      <c r="E315">
        <v>0.5</v>
      </c>
      <c r="F315">
        <v>2520</v>
      </c>
      <c r="G315">
        <v>740</v>
      </c>
      <c r="H315">
        <v>2150</v>
      </c>
      <c r="I315">
        <v>6208</v>
      </c>
    </row>
    <row r="316" spans="1:9">
      <c r="A316" s="2">
        <v>1952</v>
      </c>
      <c r="B316">
        <v>90</v>
      </c>
      <c r="C316">
        <v>0.38932</v>
      </c>
      <c r="D316">
        <v>0.32588</v>
      </c>
      <c r="E316">
        <v>0.5</v>
      </c>
      <c r="F316">
        <v>1780</v>
      </c>
      <c r="G316">
        <v>580</v>
      </c>
      <c r="H316">
        <v>1490</v>
      </c>
      <c r="I316">
        <v>4058</v>
      </c>
    </row>
    <row r="317" spans="1:9">
      <c r="A317" s="2">
        <v>1952</v>
      </c>
      <c r="B317">
        <v>91</v>
      </c>
      <c r="C317">
        <v>0.41320000000000001</v>
      </c>
      <c r="D317">
        <v>0.34244999999999998</v>
      </c>
      <c r="E317">
        <v>0.5</v>
      </c>
      <c r="F317">
        <v>1200</v>
      </c>
      <c r="G317">
        <v>411</v>
      </c>
      <c r="H317">
        <v>995</v>
      </c>
      <c r="I317">
        <v>2568</v>
      </c>
    </row>
    <row r="318" spans="1:9">
      <c r="A318" s="2">
        <v>1952</v>
      </c>
      <c r="B318">
        <v>92</v>
      </c>
      <c r="C318">
        <v>0.47986000000000001</v>
      </c>
      <c r="D318">
        <v>0.38701000000000002</v>
      </c>
      <c r="E318">
        <v>0.5</v>
      </c>
      <c r="F318">
        <v>789</v>
      </c>
      <c r="G318">
        <v>305</v>
      </c>
      <c r="H318">
        <v>636</v>
      </c>
      <c r="I318">
        <v>1573</v>
      </c>
    </row>
    <row r="319" spans="1:9">
      <c r="A319" s="2">
        <v>1952</v>
      </c>
      <c r="B319">
        <v>93</v>
      </c>
      <c r="C319">
        <v>0.47581000000000001</v>
      </c>
      <c r="D319">
        <v>0.38436999999999999</v>
      </c>
      <c r="E319">
        <v>0.5</v>
      </c>
      <c r="F319">
        <v>484</v>
      </c>
      <c r="G319">
        <v>186</v>
      </c>
      <c r="H319">
        <v>391</v>
      </c>
      <c r="I319">
        <v>937</v>
      </c>
    </row>
    <row r="320" spans="1:9">
      <c r="A320" s="2">
        <v>1952</v>
      </c>
      <c r="B320">
        <v>94</v>
      </c>
      <c r="C320">
        <v>0.50782000000000005</v>
      </c>
      <c r="D320">
        <v>0.40499000000000002</v>
      </c>
      <c r="E320">
        <v>0.5</v>
      </c>
      <c r="F320">
        <v>298</v>
      </c>
      <c r="G320">
        <v>121</v>
      </c>
      <c r="H320">
        <v>237</v>
      </c>
      <c r="I320">
        <v>546</v>
      </c>
    </row>
    <row r="321" spans="1:9">
      <c r="A321" s="2">
        <v>1952</v>
      </c>
      <c r="B321">
        <v>95</v>
      </c>
      <c r="C321">
        <v>0.53976999999999997</v>
      </c>
      <c r="D321">
        <v>0.42504999999999998</v>
      </c>
      <c r="E321">
        <v>0.5</v>
      </c>
      <c r="F321">
        <v>177</v>
      </c>
      <c r="G321">
        <v>75</v>
      </c>
      <c r="H321">
        <v>140</v>
      </c>
      <c r="I321">
        <v>308</v>
      </c>
    </row>
    <row r="322" spans="1:9">
      <c r="A322" s="2">
        <v>1952</v>
      </c>
      <c r="B322">
        <v>96</v>
      </c>
      <c r="C322">
        <v>0.57138999999999995</v>
      </c>
      <c r="D322">
        <v>0.44441999999999998</v>
      </c>
      <c r="E322">
        <v>0.5</v>
      </c>
      <c r="F322">
        <v>102</v>
      </c>
      <c r="G322">
        <v>45</v>
      </c>
      <c r="H322">
        <v>79</v>
      </c>
      <c r="I322">
        <v>169</v>
      </c>
    </row>
    <row r="323" spans="1:9">
      <c r="A323" s="2">
        <v>1952</v>
      </c>
      <c r="B323">
        <v>97</v>
      </c>
      <c r="C323">
        <v>0.60243999999999998</v>
      </c>
      <c r="D323">
        <v>0.46298</v>
      </c>
      <c r="E323">
        <v>0.5</v>
      </c>
      <c r="F323">
        <v>57</v>
      </c>
      <c r="G323">
        <v>26</v>
      </c>
      <c r="H323">
        <v>43</v>
      </c>
      <c r="I323">
        <v>90</v>
      </c>
    </row>
    <row r="324" spans="1:9">
      <c r="A324" s="2">
        <v>1952</v>
      </c>
      <c r="B324">
        <v>98</v>
      </c>
      <c r="C324">
        <v>0.63268000000000002</v>
      </c>
      <c r="D324">
        <v>0.48064000000000001</v>
      </c>
      <c r="E324">
        <v>0.5</v>
      </c>
      <c r="F324">
        <v>30</v>
      </c>
      <c r="G324">
        <v>15</v>
      </c>
      <c r="H324">
        <v>23</v>
      </c>
      <c r="I324">
        <v>46</v>
      </c>
    </row>
    <row r="325" spans="1:9">
      <c r="A325" s="2">
        <v>1952</v>
      </c>
      <c r="B325">
        <v>99</v>
      </c>
      <c r="C325">
        <v>0.66191999999999995</v>
      </c>
      <c r="D325">
        <v>0.49731999999999998</v>
      </c>
      <c r="E325">
        <v>0.5</v>
      </c>
      <c r="F325">
        <v>16</v>
      </c>
      <c r="G325">
        <v>8</v>
      </c>
      <c r="H325">
        <v>12</v>
      </c>
      <c r="I325">
        <v>23</v>
      </c>
    </row>
    <row r="326" spans="1:9">
      <c r="A326" s="2">
        <v>1952</v>
      </c>
      <c r="B326">
        <v>100</v>
      </c>
      <c r="C326">
        <v>0.68996999999999997</v>
      </c>
      <c r="D326">
        <v>0.51298999999999995</v>
      </c>
      <c r="E326">
        <v>0.5</v>
      </c>
      <c r="F326">
        <v>8</v>
      </c>
      <c r="G326">
        <v>4</v>
      </c>
      <c r="H326">
        <v>6</v>
      </c>
      <c r="I326">
        <v>11</v>
      </c>
    </row>
    <row r="327" spans="1:9">
      <c r="A327" s="2">
        <v>1952</v>
      </c>
      <c r="B327">
        <v>101</v>
      </c>
      <c r="C327">
        <v>0.71667999999999998</v>
      </c>
      <c r="D327">
        <v>0.52761999999999998</v>
      </c>
      <c r="E327">
        <v>0.5</v>
      </c>
      <c r="F327">
        <v>4</v>
      </c>
      <c r="G327">
        <v>2</v>
      </c>
      <c r="H327">
        <v>3</v>
      </c>
      <c r="I327">
        <v>5</v>
      </c>
    </row>
    <row r="328" spans="1:9">
      <c r="A328" s="2">
        <v>1952</v>
      </c>
      <c r="B328">
        <v>102</v>
      </c>
      <c r="C328">
        <v>0.74195999999999995</v>
      </c>
      <c r="D328">
        <v>0.54118999999999995</v>
      </c>
      <c r="E328">
        <v>0.5</v>
      </c>
      <c r="F328">
        <v>2</v>
      </c>
      <c r="G328">
        <v>1</v>
      </c>
      <c r="H328">
        <v>1</v>
      </c>
      <c r="I328">
        <v>2</v>
      </c>
    </row>
    <row r="329" spans="1:9">
      <c r="A329" s="2">
        <v>1952</v>
      </c>
      <c r="B329">
        <v>103</v>
      </c>
      <c r="C329">
        <v>0.76571999999999996</v>
      </c>
      <c r="D329">
        <v>0.55371999999999999</v>
      </c>
      <c r="E329">
        <v>0.5</v>
      </c>
      <c r="F329">
        <v>1</v>
      </c>
      <c r="G329">
        <v>0</v>
      </c>
      <c r="H329">
        <v>1</v>
      </c>
      <c r="I329">
        <v>1</v>
      </c>
    </row>
    <row r="330" spans="1:9">
      <c r="A330" s="2">
        <v>1952</v>
      </c>
      <c r="B330">
        <v>104</v>
      </c>
      <c r="C330">
        <v>0.78791999999999995</v>
      </c>
      <c r="D330">
        <v>0.56523999999999996</v>
      </c>
      <c r="E330">
        <v>0.5</v>
      </c>
      <c r="F330">
        <v>0</v>
      </c>
      <c r="G330">
        <v>0</v>
      </c>
      <c r="H330">
        <v>0</v>
      </c>
      <c r="I330">
        <v>0</v>
      </c>
    </row>
    <row r="331" spans="1:9">
      <c r="A331" s="2">
        <v>1952</v>
      </c>
      <c r="B331">
        <v>105</v>
      </c>
      <c r="C331">
        <v>0.80852999999999997</v>
      </c>
      <c r="D331">
        <v>0.57577</v>
      </c>
      <c r="E331">
        <v>0.5</v>
      </c>
      <c r="F331">
        <v>0</v>
      </c>
      <c r="G331">
        <v>0</v>
      </c>
      <c r="H331">
        <v>0</v>
      </c>
      <c r="I331">
        <v>0</v>
      </c>
    </row>
    <row r="332" spans="1:9">
      <c r="A332" s="2">
        <v>1952</v>
      </c>
      <c r="B332">
        <v>106</v>
      </c>
      <c r="C332">
        <v>0.82759000000000005</v>
      </c>
      <c r="D332">
        <v>0.58536999999999995</v>
      </c>
      <c r="E332">
        <v>0.5</v>
      </c>
      <c r="F332">
        <v>0</v>
      </c>
      <c r="G332">
        <v>0</v>
      </c>
      <c r="H332">
        <v>0</v>
      </c>
      <c r="I332">
        <v>0</v>
      </c>
    </row>
    <row r="333" spans="1:9">
      <c r="A333" s="2">
        <v>1952</v>
      </c>
      <c r="B333">
        <v>107</v>
      </c>
      <c r="C333">
        <v>0.84511000000000003</v>
      </c>
      <c r="D333">
        <v>0.59408000000000005</v>
      </c>
      <c r="E333">
        <v>0.5</v>
      </c>
      <c r="F333">
        <v>0</v>
      </c>
      <c r="G333">
        <v>0</v>
      </c>
      <c r="H333">
        <v>0</v>
      </c>
      <c r="I333">
        <v>0</v>
      </c>
    </row>
    <row r="334" spans="1:9">
      <c r="A334" s="2">
        <v>1952</v>
      </c>
      <c r="B334">
        <v>108</v>
      </c>
      <c r="C334">
        <v>0.86114999999999997</v>
      </c>
      <c r="D334">
        <v>0.60196000000000005</v>
      </c>
      <c r="E334">
        <v>0.5</v>
      </c>
      <c r="F334">
        <v>0</v>
      </c>
      <c r="G334">
        <v>0</v>
      </c>
      <c r="H334">
        <v>0</v>
      </c>
      <c r="I334">
        <v>0</v>
      </c>
    </row>
    <row r="335" spans="1:9">
      <c r="A335" s="2">
        <v>1952</v>
      </c>
      <c r="B335">
        <v>109</v>
      </c>
      <c r="C335">
        <v>0.87577000000000005</v>
      </c>
      <c r="D335">
        <v>0.60907</v>
      </c>
      <c r="E335">
        <v>0.5</v>
      </c>
      <c r="F335">
        <v>0</v>
      </c>
      <c r="G335">
        <v>0</v>
      </c>
      <c r="H335">
        <v>0</v>
      </c>
      <c r="I335">
        <v>0</v>
      </c>
    </row>
    <row r="336" spans="1:9">
      <c r="A336" s="2">
        <v>1952</v>
      </c>
      <c r="B336" t="s">
        <v>26</v>
      </c>
      <c r="C336">
        <v>0.88905000000000001</v>
      </c>
      <c r="D336">
        <v>1</v>
      </c>
      <c r="E336" s="3" t="s">
        <v>28</v>
      </c>
      <c r="F336">
        <v>0</v>
      </c>
      <c r="G336">
        <v>0</v>
      </c>
      <c r="H336">
        <v>0</v>
      </c>
      <c r="I336">
        <v>0</v>
      </c>
    </row>
    <row r="337" spans="1:9">
      <c r="A337" s="2">
        <v>1953</v>
      </c>
      <c r="B337">
        <v>0</v>
      </c>
      <c r="C337">
        <v>8.6650000000000005E-2</v>
      </c>
      <c r="D337">
        <v>8.1689999999999999E-2</v>
      </c>
      <c r="E337">
        <v>0.3</v>
      </c>
      <c r="F337">
        <v>100000</v>
      </c>
      <c r="G337">
        <v>8169</v>
      </c>
      <c r="H337">
        <v>94275</v>
      </c>
      <c r="I337">
        <v>6177691</v>
      </c>
    </row>
    <row r="338" spans="1:9">
      <c r="A338" s="2">
        <v>1953</v>
      </c>
      <c r="B338">
        <v>1</v>
      </c>
      <c r="C338">
        <v>7.1999999999999998E-3</v>
      </c>
      <c r="D338">
        <v>7.1700000000000002E-3</v>
      </c>
      <c r="E338">
        <v>0.5</v>
      </c>
      <c r="F338">
        <v>91831</v>
      </c>
      <c r="G338">
        <v>659</v>
      </c>
      <c r="H338">
        <v>91502</v>
      </c>
      <c r="I338">
        <v>6083416</v>
      </c>
    </row>
    <row r="339" spans="1:9">
      <c r="A339" s="2">
        <v>1953</v>
      </c>
      <c r="B339">
        <v>2</v>
      </c>
      <c r="C339">
        <v>2.64E-3</v>
      </c>
      <c r="D339">
        <v>2.63E-3</v>
      </c>
      <c r="E339">
        <v>0.5</v>
      </c>
      <c r="F339">
        <v>91172</v>
      </c>
      <c r="G339">
        <v>240</v>
      </c>
      <c r="H339">
        <v>91052</v>
      </c>
      <c r="I339">
        <v>5991915</v>
      </c>
    </row>
    <row r="340" spans="1:9">
      <c r="A340" s="2">
        <v>1953</v>
      </c>
      <c r="B340">
        <v>3</v>
      </c>
      <c r="C340">
        <v>1.5399999999999999E-3</v>
      </c>
      <c r="D340">
        <v>1.5399999999999999E-3</v>
      </c>
      <c r="E340">
        <v>0.5</v>
      </c>
      <c r="F340">
        <v>90932</v>
      </c>
      <c r="G340">
        <v>140</v>
      </c>
      <c r="H340">
        <v>90862</v>
      </c>
      <c r="I340">
        <v>5900862</v>
      </c>
    </row>
    <row r="341" spans="1:9">
      <c r="A341" s="2">
        <v>1953</v>
      </c>
      <c r="B341">
        <v>4</v>
      </c>
      <c r="C341">
        <v>1.3500000000000001E-3</v>
      </c>
      <c r="D341">
        <v>1.3500000000000001E-3</v>
      </c>
      <c r="E341">
        <v>0.5</v>
      </c>
      <c r="F341">
        <v>90792</v>
      </c>
      <c r="G341">
        <v>123</v>
      </c>
      <c r="H341">
        <v>90730</v>
      </c>
      <c r="I341">
        <v>5810000</v>
      </c>
    </row>
    <row r="342" spans="1:9">
      <c r="A342" s="2">
        <v>1953</v>
      </c>
      <c r="B342">
        <v>5</v>
      </c>
      <c r="C342">
        <v>1.09E-3</v>
      </c>
      <c r="D342">
        <v>1.09E-3</v>
      </c>
      <c r="E342">
        <v>0.5</v>
      </c>
      <c r="F342">
        <v>90669</v>
      </c>
      <c r="G342">
        <v>98</v>
      </c>
      <c r="H342">
        <v>90620</v>
      </c>
      <c r="I342">
        <v>5719270</v>
      </c>
    </row>
    <row r="343" spans="1:9">
      <c r="A343" s="2">
        <v>1953</v>
      </c>
      <c r="B343">
        <v>6</v>
      </c>
      <c r="C343">
        <v>1.1100000000000001E-3</v>
      </c>
      <c r="D343">
        <v>1.1100000000000001E-3</v>
      </c>
      <c r="E343">
        <v>0.5</v>
      </c>
      <c r="F343">
        <v>90571</v>
      </c>
      <c r="G343">
        <v>101</v>
      </c>
      <c r="H343">
        <v>90520</v>
      </c>
      <c r="I343">
        <v>5628650</v>
      </c>
    </row>
    <row r="344" spans="1:9">
      <c r="A344" s="2">
        <v>1953</v>
      </c>
      <c r="B344">
        <v>7</v>
      </c>
      <c r="C344">
        <v>9.6000000000000002E-4</v>
      </c>
      <c r="D344">
        <v>9.6000000000000002E-4</v>
      </c>
      <c r="E344">
        <v>0.5</v>
      </c>
      <c r="F344">
        <v>90470</v>
      </c>
      <c r="G344">
        <v>87</v>
      </c>
      <c r="H344">
        <v>90426</v>
      </c>
      <c r="I344">
        <v>5538130</v>
      </c>
    </row>
    <row r="345" spans="1:9">
      <c r="A345" s="2">
        <v>1953</v>
      </c>
      <c r="B345">
        <v>8</v>
      </c>
      <c r="C345">
        <v>8.3000000000000001E-4</v>
      </c>
      <c r="D345">
        <v>8.3000000000000001E-4</v>
      </c>
      <c r="E345">
        <v>0.5</v>
      </c>
      <c r="F345">
        <v>90383</v>
      </c>
      <c r="G345">
        <v>75</v>
      </c>
      <c r="H345">
        <v>90346</v>
      </c>
      <c r="I345">
        <v>5447704</v>
      </c>
    </row>
    <row r="346" spans="1:9">
      <c r="A346" s="2">
        <v>1953</v>
      </c>
      <c r="B346">
        <v>9</v>
      </c>
      <c r="C346">
        <v>7.6999999999999996E-4</v>
      </c>
      <c r="D346">
        <v>7.6999999999999996E-4</v>
      </c>
      <c r="E346">
        <v>0.5</v>
      </c>
      <c r="F346">
        <v>90308</v>
      </c>
      <c r="G346">
        <v>70</v>
      </c>
      <c r="H346">
        <v>90273</v>
      </c>
      <c r="I346">
        <v>5357358</v>
      </c>
    </row>
    <row r="347" spans="1:9">
      <c r="A347" s="2">
        <v>1953</v>
      </c>
      <c r="B347">
        <v>10</v>
      </c>
      <c r="C347">
        <v>8.9999999999999998E-4</v>
      </c>
      <c r="D347">
        <v>8.8999999999999995E-4</v>
      </c>
      <c r="E347">
        <v>0.5</v>
      </c>
      <c r="F347">
        <v>90239</v>
      </c>
      <c r="G347">
        <v>81</v>
      </c>
      <c r="H347">
        <v>90198</v>
      </c>
      <c r="I347">
        <v>5267085</v>
      </c>
    </row>
    <row r="348" spans="1:9">
      <c r="A348" s="2">
        <v>1953</v>
      </c>
      <c r="B348">
        <v>11</v>
      </c>
      <c r="C348">
        <v>6.8999999999999997E-4</v>
      </c>
      <c r="D348">
        <v>6.8999999999999997E-4</v>
      </c>
      <c r="E348">
        <v>0.5</v>
      </c>
      <c r="F348">
        <v>90158</v>
      </c>
      <c r="G348">
        <v>62</v>
      </c>
      <c r="H348">
        <v>90127</v>
      </c>
      <c r="I348">
        <v>5176886</v>
      </c>
    </row>
    <row r="349" spans="1:9">
      <c r="A349" s="2">
        <v>1953</v>
      </c>
      <c r="B349">
        <v>12</v>
      </c>
      <c r="C349">
        <v>7.9000000000000001E-4</v>
      </c>
      <c r="D349">
        <v>7.7999999999999999E-4</v>
      </c>
      <c r="E349">
        <v>0.5</v>
      </c>
      <c r="F349">
        <v>90096</v>
      </c>
      <c r="G349">
        <v>71</v>
      </c>
      <c r="H349">
        <v>90060</v>
      </c>
      <c r="I349">
        <v>5086760</v>
      </c>
    </row>
    <row r="350" spans="1:9">
      <c r="A350" s="2">
        <v>1953</v>
      </c>
      <c r="B350">
        <v>13</v>
      </c>
      <c r="C350">
        <v>8.4999999999999995E-4</v>
      </c>
      <c r="D350">
        <v>8.4999999999999995E-4</v>
      </c>
      <c r="E350">
        <v>0.5</v>
      </c>
      <c r="F350">
        <v>90025</v>
      </c>
      <c r="G350">
        <v>76</v>
      </c>
      <c r="H350">
        <v>89987</v>
      </c>
      <c r="I350">
        <v>4996699</v>
      </c>
    </row>
    <row r="351" spans="1:9">
      <c r="A351" s="2">
        <v>1953</v>
      </c>
      <c r="B351">
        <v>14</v>
      </c>
      <c r="C351">
        <v>8.5999999999999998E-4</v>
      </c>
      <c r="D351">
        <v>8.4999999999999995E-4</v>
      </c>
      <c r="E351">
        <v>0.5</v>
      </c>
      <c r="F351">
        <v>89949</v>
      </c>
      <c r="G351">
        <v>77</v>
      </c>
      <c r="H351">
        <v>89910</v>
      </c>
      <c r="I351">
        <v>4906712</v>
      </c>
    </row>
    <row r="352" spans="1:9">
      <c r="A352" s="2">
        <v>1953</v>
      </c>
      <c r="B352">
        <v>15</v>
      </c>
      <c r="C352">
        <v>1.0499999999999999E-3</v>
      </c>
      <c r="D352">
        <v>1.0499999999999999E-3</v>
      </c>
      <c r="E352">
        <v>0.5</v>
      </c>
      <c r="F352">
        <v>89872</v>
      </c>
      <c r="G352">
        <v>95</v>
      </c>
      <c r="H352">
        <v>89825</v>
      </c>
      <c r="I352">
        <v>4816802</v>
      </c>
    </row>
    <row r="353" spans="1:9">
      <c r="A353" s="2">
        <v>1953</v>
      </c>
      <c r="B353">
        <v>16</v>
      </c>
      <c r="C353">
        <v>1.1199999999999999E-3</v>
      </c>
      <c r="D353">
        <v>1.1199999999999999E-3</v>
      </c>
      <c r="E353">
        <v>0.5</v>
      </c>
      <c r="F353">
        <v>89777</v>
      </c>
      <c r="G353">
        <v>100</v>
      </c>
      <c r="H353">
        <v>89727</v>
      </c>
      <c r="I353">
        <v>4726977</v>
      </c>
    </row>
    <row r="354" spans="1:9">
      <c r="A354" s="2">
        <v>1953</v>
      </c>
      <c r="B354">
        <v>17</v>
      </c>
      <c r="C354">
        <v>1.4499999999999999E-3</v>
      </c>
      <c r="D354">
        <v>1.4499999999999999E-3</v>
      </c>
      <c r="E354">
        <v>0.5</v>
      </c>
      <c r="F354">
        <v>89677</v>
      </c>
      <c r="G354">
        <v>130</v>
      </c>
      <c r="H354">
        <v>89612</v>
      </c>
      <c r="I354">
        <v>4637250</v>
      </c>
    </row>
    <row r="355" spans="1:9">
      <c r="A355" s="2">
        <v>1953</v>
      </c>
      <c r="B355">
        <v>18</v>
      </c>
      <c r="C355">
        <v>1.8699999999999999E-3</v>
      </c>
      <c r="D355">
        <v>1.8600000000000001E-3</v>
      </c>
      <c r="E355">
        <v>0.5</v>
      </c>
      <c r="F355">
        <v>89547</v>
      </c>
      <c r="G355">
        <v>167</v>
      </c>
      <c r="H355">
        <v>89464</v>
      </c>
      <c r="I355">
        <v>4547638</v>
      </c>
    </row>
    <row r="356" spans="1:9">
      <c r="A356" s="2">
        <v>1953</v>
      </c>
      <c r="B356">
        <v>19</v>
      </c>
      <c r="C356">
        <v>1.6800000000000001E-3</v>
      </c>
      <c r="D356">
        <v>1.67E-3</v>
      </c>
      <c r="E356">
        <v>0.5</v>
      </c>
      <c r="F356">
        <v>89380</v>
      </c>
      <c r="G356">
        <v>150</v>
      </c>
      <c r="H356">
        <v>89305</v>
      </c>
      <c r="I356">
        <v>4458175</v>
      </c>
    </row>
    <row r="357" spans="1:9">
      <c r="A357" s="2">
        <v>1953</v>
      </c>
      <c r="B357">
        <v>20</v>
      </c>
      <c r="C357">
        <v>2.0500000000000002E-3</v>
      </c>
      <c r="D357">
        <v>2.0400000000000001E-3</v>
      </c>
      <c r="E357">
        <v>0.5</v>
      </c>
      <c r="F357">
        <v>89230</v>
      </c>
      <c r="G357">
        <v>182</v>
      </c>
      <c r="H357">
        <v>89139</v>
      </c>
      <c r="I357">
        <v>4368870</v>
      </c>
    </row>
    <row r="358" spans="1:9">
      <c r="A358" s="2">
        <v>1953</v>
      </c>
      <c r="B358">
        <v>21</v>
      </c>
      <c r="C358">
        <v>1.89E-3</v>
      </c>
      <c r="D358">
        <v>1.89E-3</v>
      </c>
      <c r="E358">
        <v>0.5</v>
      </c>
      <c r="F358">
        <v>89048</v>
      </c>
      <c r="G358">
        <v>168</v>
      </c>
      <c r="H358">
        <v>88964</v>
      </c>
      <c r="I358">
        <v>4279730</v>
      </c>
    </row>
    <row r="359" spans="1:9">
      <c r="A359" s="2">
        <v>1953</v>
      </c>
      <c r="B359">
        <v>22</v>
      </c>
      <c r="C359">
        <v>2.1299999999999999E-3</v>
      </c>
      <c r="D359">
        <v>2.1199999999999999E-3</v>
      </c>
      <c r="E359">
        <v>0.5</v>
      </c>
      <c r="F359">
        <v>88880</v>
      </c>
      <c r="G359">
        <v>189</v>
      </c>
      <c r="H359">
        <v>88785</v>
      </c>
      <c r="I359">
        <v>4190766</v>
      </c>
    </row>
    <row r="360" spans="1:9">
      <c r="A360" s="2">
        <v>1953</v>
      </c>
      <c r="B360">
        <v>23</v>
      </c>
      <c r="C360">
        <v>2.31E-3</v>
      </c>
      <c r="D360">
        <v>2.31E-3</v>
      </c>
      <c r="E360">
        <v>0.5</v>
      </c>
      <c r="F360">
        <v>88691</v>
      </c>
      <c r="G360">
        <v>205</v>
      </c>
      <c r="H360">
        <v>88589</v>
      </c>
      <c r="I360">
        <v>4101981</v>
      </c>
    </row>
    <row r="361" spans="1:9">
      <c r="A361" s="2">
        <v>1953</v>
      </c>
      <c r="B361">
        <v>24</v>
      </c>
      <c r="C361">
        <v>2.0500000000000002E-3</v>
      </c>
      <c r="D361">
        <v>2.0500000000000002E-3</v>
      </c>
      <c r="E361">
        <v>0.5</v>
      </c>
      <c r="F361">
        <v>88486</v>
      </c>
      <c r="G361">
        <v>181</v>
      </c>
      <c r="H361">
        <v>88396</v>
      </c>
      <c r="I361">
        <v>4013392</v>
      </c>
    </row>
    <row r="362" spans="1:9">
      <c r="A362" s="2">
        <v>1953</v>
      </c>
      <c r="B362">
        <v>25</v>
      </c>
      <c r="C362">
        <v>1.73E-3</v>
      </c>
      <c r="D362">
        <v>1.73E-3</v>
      </c>
      <c r="E362">
        <v>0.5</v>
      </c>
      <c r="F362">
        <v>88305</v>
      </c>
      <c r="G362">
        <v>152</v>
      </c>
      <c r="H362">
        <v>88229</v>
      </c>
      <c r="I362">
        <v>3924996</v>
      </c>
    </row>
    <row r="363" spans="1:9">
      <c r="A363" s="2">
        <v>1953</v>
      </c>
      <c r="B363">
        <v>26</v>
      </c>
      <c r="C363">
        <v>2.2000000000000001E-3</v>
      </c>
      <c r="D363">
        <v>2.2000000000000001E-3</v>
      </c>
      <c r="E363">
        <v>0.5</v>
      </c>
      <c r="F363">
        <v>88153</v>
      </c>
      <c r="G363">
        <v>194</v>
      </c>
      <c r="H363">
        <v>88056</v>
      </c>
      <c r="I363">
        <v>3836767</v>
      </c>
    </row>
    <row r="364" spans="1:9">
      <c r="A364" s="2">
        <v>1953</v>
      </c>
      <c r="B364">
        <v>27</v>
      </c>
      <c r="C364">
        <v>2.2599999999999999E-3</v>
      </c>
      <c r="D364">
        <v>2.2599999999999999E-3</v>
      </c>
      <c r="E364">
        <v>0.5</v>
      </c>
      <c r="F364">
        <v>87959</v>
      </c>
      <c r="G364">
        <v>198</v>
      </c>
      <c r="H364">
        <v>87860</v>
      </c>
      <c r="I364">
        <v>3748712</v>
      </c>
    </row>
    <row r="365" spans="1:9">
      <c r="A365" s="2">
        <v>1953</v>
      </c>
      <c r="B365">
        <v>28</v>
      </c>
      <c r="C365">
        <v>2.2000000000000001E-3</v>
      </c>
      <c r="D365">
        <v>2.2000000000000001E-3</v>
      </c>
      <c r="E365">
        <v>0.5</v>
      </c>
      <c r="F365">
        <v>87760</v>
      </c>
      <c r="G365">
        <v>193</v>
      </c>
      <c r="H365">
        <v>87664</v>
      </c>
      <c r="I365">
        <v>3660852</v>
      </c>
    </row>
    <row r="366" spans="1:9">
      <c r="A366" s="2">
        <v>1953</v>
      </c>
      <c r="B366">
        <v>29</v>
      </c>
      <c r="C366">
        <v>2.2000000000000001E-3</v>
      </c>
      <c r="D366">
        <v>2.2000000000000001E-3</v>
      </c>
      <c r="E366">
        <v>0.5</v>
      </c>
      <c r="F366">
        <v>87567</v>
      </c>
      <c r="G366">
        <v>193</v>
      </c>
      <c r="H366">
        <v>87471</v>
      </c>
      <c r="I366">
        <v>3573188</v>
      </c>
    </row>
    <row r="367" spans="1:9">
      <c r="A367" s="2">
        <v>1953</v>
      </c>
      <c r="B367">
        <v>30</v>
      </c>
      <c r="C367">
        <v>2.0699999999999998E-3</v>
      </c>
      <c r="D367">
        <v>2.0699999999999998E-3</v>
      </c>
      <c r="E367">
        <v>0.5</v>
      </c>
      <c r="F367">
        <v>87375</v>
      </c>
      <c r="G367">
        <v>181</v>
      </c>
      <c r="H367">
        <v>87284</v>
      </c>
      <c r="I367">
        <v>3485717</v>
      </c>
    </row>
    <row r="368" spans="1:9">
      <c r="A368" s="2">
        <v>1953</v>
      </c>
      <c r="B368">
        <v>31</v>
      </c>
      <c r="C368">
        <v>2.32E-3</v>
      </c>
      <c r="D368">
        <v>2.32E-3</v>
      </c>
      <c r="E368">
        <v>0.5</v>
      </c>
      <c r="F368">
        <v>87194</v>
      </c>
      <c r="G368">
        <v>202</v>
      </c>
      <c r="H368">
        <v>87093</v>
      </c>
      <c r="I368">
        <v>3398433</v>
      </c>
    </row>
    <row r="369" spans="1:9">
      <c r="A369" s="2">
        <v>1953</v>
      </c>
      <c r="B369">
        <v>32</v>
      </c>
      <c r="C369">
        <v>2.0999999999999999E-3</v>
      </c>
      <c r="D369">
        <v>2.0999999999999999E-3</v>
      </c>
      <c r="E369">
        <v>0.5</v>
      </c>
      <c r="F369">
        <v>86992</v>
      </c>
      <c r="G369">
        <v>183</v>
      </c>
      <c r="H369">
        <v>86900</v>
      </c>
      <c r="I369">
        <v>3311340</v>
      </c>
    </row>
    <row r="370" spans="1:9">
      <c r="A370" s="2">
        <v>1953</v>
      </c>
      <c r="B370">
        <v>33</v>
      </c>
      <c r="C370">
        <v>2.7399999999999998E-3</v>
      </c>
      <c r="D370">
        <v>2.7399999999999998E-3</v>
      </c>
      <c r="E370">
        <v>0.5</v>
      </c>
      <c r="F370">
        <v>86809</v>
      </c>
      <c r="G370">
        <v>237</v>
      </c>
      <c r="H370">
        <v>86690</v>
      </c>
      <c r="I370">
        <v>3224440</v>
      </c>
    </row>
    <row r="371" spans="1:9">
      <c r="A371" s="2">
        <v>1953</v>
      </c>
      <c r="B371">
        <v>34</v>
      </c>
      <c r="C371">
        <v>2.2000000000000001E-3</v>
      </c>
      <c r="D371">
        <v>2.2000000000000001E-3</v>
      </c>
      <c r="E371">
        <v>0.5</v>
      </c>
      <c r="F371">
        <v>86572</v>
      </c>
      <c r="G371">
        <v>190</v>
      </c>
      <c r="H371">
        <v>86476</v>
      </c>
      <c r="I371">
        <v>3137750</v>
      </c>
    </row>
    <row r="372" spans="1:9">
      <c r="A372" s="2">
        <v>1953</v>
      </c>
      <c r="B372">
        <v>35</v>
      </c>
      <c r="C372">
        <v>2.9299999999999999E-3</v>
      </c>
      <c r="D372">
        <v>2.9299999999999999E-3</v>
      </c>
      <c r="E372">
        <v>0.5</v>
      </c>
      <c r="F372">
        <v>86381</v>
      </c>
      <c r="G372">
        <v>253</v>
      </c>
      <c r="H372">
        <v>86255</v>
      </c>
      <c r="I372">
        <v>3051274</v>
      </c>
    </row>
    <row r="373" spans="1:9">
      <c r="A373" s="2">
        <v>1953</v>
      </c>
      <c r="B373">
        <v>36</v>
      </c>
      <c r="C373">
        <v>2.4299999999999999E-3</v>
      </c>
      <c r="D373">
        <v>2.4299999999999999E-3</v>
      </c>
      <c r="E373">
        <v>0.5</v>
      </c>
      <c r="F373">
        <v>86128</v>
      </c>
      <c r="G373">
        <v>209</v>
      </c>
      <c r="H373">
        <v>86024</v>
      </c>
      <c r="I373">
        <v>2965019</v>
      </c>
    </row>
    <row r="374" spans="1:9">
      <c r="A374" s="2">
        <v>1953</v>
      </c>
      <c r="B374">
        <v>37</v>
      </c>
      <c r="C374">
        <v>2.7499999999999998E-3</v>
      </c>
      <c r="D374">
        <v>2.7499999999999998E-3</v>
      </c>
      <c r="E374">
        <v>0.5</v>
      </c>
      <c r="F374">
        <v>85919</v>
      </c>
      <c r="G374">
        <v>236</v>
      </c>
      <c r="H374">
        <v>85801</v>
      </c>
      <c r="I374">
        <v>2878995</v>
      </c>
    </row>
    <row r="375" spans="1:9">
      <c r="A375" s="2">
        <v>1953</v>
      </c>
      <c r="B375">
        <v>38</v>
      </c>
      <c r="C375">
        <v>3.4299999999999999E-3</v>
      </c>
      <c r="D375">
        <v>3.4299999999999999E-3</v>
      </c>
      <c r="E375">
        <v>0.5</v>
      </c>
      <c r="F375">
        <v>85683</v>
      </c>
      <c r="G375">
        <v>294</v>
      </c>
      <c r="H375">
        <v>85536</v>
      </c>
      <c r="I375">
        <v>2793194</v>
      </c>
    </row>
    <row r="376" spans="1:9">
      <c r="A376" s="2">
        <v>1953</v>
      </c>
      <c r="B376">
        <v>39</v>
      </c>
      <c r="C376">
        <v>3.1800000000000001E-3</v>
      </c>
      <c r="D376">
        <v>3.1700000000000001E-3</v>
      </c>
      <c r="E376">
        <v>0.5</v>
      </c>
      <c r="F376">
        <v>85389</v>
      </c>
      <c r="G376">
        <v>271</v>
      </c>
      <c r="H376">
        <v>85254</v>
      </c>
      <c r="I376">
        <v>2707657</v>
      </c>
    </row>
    <row r="377" spans="1:9">
      <c r="A377" s="2">
        <v>1953</v>
      </c>
      <c r="B377">
        <v>40</v>
      </c>
      <c r="C377">
        <v>3.2799999999999999E-3</v>
      </c>
      <c r="D377">
        <v>3.2699999999999999E-3</v>
      </c>
      <c r="E377">
        <v>0.5</v>
      </c>
      <c r="F377">
        <v>85119</v>
      </c>
      <c r="G377">
        <v>278</v>
      </c>
      <c r="H377">
        <v>84980</v>
      </c>
      <c r="I377">
        <v>2622403</v>
      </c>
    </row>
    <row r="378" spans="1:9">
      <c r="A378" s="2">
        <v>1953</v>
      </c>
      <c r="B378">
        <v>41</v>
      </c>
      <c r="C378">
        <v>3.8800000000000002E-3</v>
      </c>
      <c r="D378">
        <v>3.8700000000000002E-3</v>
      </c>
      <c r="E378">
        <v>0.5</v>
      </c>
      <c r="F378">
        <v>84840</v>
      </c>
      <c r="G378">
        <v>329</v>
      </c>
      <c r="H378">
        <v>84676</v>
      </c>
      <c r="I378">
        <v>2537424</v>
      </c>
    </row>
    <row r="379" spans="1:9">
      <c r="A379" s="2">
        <v>1953</v>
      </c>
      <c r="B379">
        <v>42</v>
      </c>
      <c r="C379">
        <v>4.1700000000000001E-3</v>
      </c>
      <c r="D379">
        <v>4.1700000000000001E-3</v>
      </c>
      <c r="E379">
        <v>0.5</v>
      </c>
      <c r="F379">
        <v>84512</v>
      </c>
      <c r="G379">
        <v>352</v>
      </c>
      <c r="H379">
        <v>84336</v>
      </c>
      <c r="I379">
        <v>2452748</v>
      </c>
    </row>
    <row r="380" spans="1:9">
      <c r="A380" s="2">
        <v>1953</v>
      </c>
      <c r="B380">
        <v>43</v>
      </c>
      <c r="C380">
        <v>4.9199999999999999E-3</v>
      </c>
      <c r="D380">
        <v>4.8999999999999998E-3</v>
      </c>
      <c r="E380">
        <v>0.5</v>
      </c>
      <c r="F380">
        <v>84160</v>
      </c>
      <c r="G380">
        <v>413</v>
      </c>
      <c r="H380">
        <v>83953</v>
      </c>
      <c r="I380">
        <v>2368412</v>
      </c>
    </row>
    <row r="381" spans="1:9">
      <c r="A381" s="2">
        <v>1953</v>
      </c>
      <c r="B381">
        <v>44</v>
      </c>
      <c r="C381">
        <v>4.8799999999999998E-3</v>
      </c>
      <c r="D381">
        <v>4.8700000000000002E-3</v>
      </c>
      <c r="E381">
        <v>0.5</v>
      </c>
      <c r="F381">
        <v>83747</v>
      </c>
      <c r="G381">
        <v>408</v>
      </c>
      <c r="H381">
        <v>83543</v>
      </c>
      <c r="I381">
        <v>2284458</v>
      </c>
    </row>
    <row r="382" spans="1:9">
      <c r="A382" s="2">
        <v>1953</v>
      </c>
      <c r="B382">
        <v>45</v>
      </c>
      <c r="C382">
        <v>5.4099999999999999E-3</v>
      </c>
      <c r="D382">
        <v>5.4000000000000003E-3</v>
      </c>
      <c r="E382">
        <v>0.5</v>
      </c>
      <c r="F382">
        <v>83339</v>
      </c>
      <c r="G382">
        <v>450</v>
      </c>
      <c r="H382">
        <v>83114</v>
      </c>
      <c r="I382">
        <v>2200915</v>
      </c>
    </row>
    <row r="383" spans="1:9">
      <c r="A383" s="2">
        <v>1953</v>
      </c>
      <c r="B383">
        <v>46</v>
      </c>
      <c r="C383">
        <v>6.3200000000000001E-3</v>
      </c>
      <c r="D383">
        <v>6.3E-3</v>
      </c>
      <c r="E383">
        <v>0.5</v>
      </c>
      <c r="F383">
        <v>82890</v>
      </c>
      <c r="G383">
        <v>522</v>
      </c>
      <c r="H383">
        <v>82628</v>
      </c>
      <c r="I383">
        <v>2117801</v>
      </c>
    </row>
    <row r="384" spans="1:9">
      <c r="A384" s="2">
        <v>1953</v>
      </c>
      <c r="B384">
        <v>47</v>
      </c>
      <c r="C384">
        <v>6.45E-3</v>
      </c>
      <c r="D384">
        <v>6.43E-3</v>
      </c>
      <c r="E384">
        <v>0.5</v>
      </c>
      <c r="F384">
        <v>82367</v>
      </c>
      <c r="G384">
        <v>530</v>
      </c>
      <c r="H384">
        <v>82102</v>
      </c>
      <c r="I384">
        <v>2035172</v>
      </c>
    </row>
    <row r="385" spans="1:9">
      <c r="A385" s="2">
        <v>1953</v>
      </c>
      <c r="B385">
        <v>48</v>
      </c>
      <c r="C385">
        <v>7.0400000000000003E-3</v>
      </c>
      <c r="D385">
        <v>7.0200000000000002E-3</v>
      </c>
      <c r="E385">
        <v>0.5</v>
      </c>
      <c r="F385">
        <v>81837</v>
      </c>
      <c r="G385">
        <v>574</v>
      </c>
      <c r="H385">
        <v>81550</v>
      </c>
      <c r="I385">
        <v>1953070</v>
      </c>
    </row>
    <row r="386" spans="1:9">
      <c r="A386" s="2">
        <v>1953</v>
      </c>
      <c r="B386">
        <v>49</v>
      </c>
      <c r="C386">
        <v>7.62E-3</v>
      </c>
      <c r="D386">
        <v>7.5900000000000004E-3</v>
      </c>
      <c r="E386">
        <v>0.5</v>
      </c>
      <c r="F386">
        <v>81263</v>
      </c>
      <c r="G386">
        <v>617</v>
      </c>
      <c r="H386">
        <v>80954</v>
      </c>
      <c r="I386">
        <v>1871520</v>
      </c>
    </row>
    <row r="387" spans="1:9">
      <c r="A387" s="2">
        <v>1953</v>
      </c>
      <c r="B387">
        <v>50</v>
      </c>
      <c r="C387">
        <v>9.0299999999999998E-3</v>
      </c>
      <c r="D387">
        <v>8.9899999999999997E-3</v>
      </c>
      <c r="E387">
        <v>0.5</v>
      </c>
      <c r="F387">
        <v>80646</v>
      </c>
      <c r="G387">
        <v>725</v>
      </c>
      <c r="H387">
        <v>80283</v>
      </c>
      <c r="I387">
        <v>1790565</v>
      </c>
    </row>
    <row r="388" spans="1:9">
      <c r="A388" s="2">
        <v>1953</v>
      </c>
      <c r="B388">
        <v>51</v>
      </c>
      <c r="C388">
        <v>1.0120000000000001E-2</v>
      </c>
      <c r="D388">
        <v>1.0070000000000001E-2</v>
      </c>
      <c r="E388">
        <v>0.5</v>
      </c>
      <c r="F388">
        <v>79921</v>
      </c>
      <c r="G388">
        <v>805</v>
      </c>
      <c r="H388">
        <v>79518</v>
      </c>
      <c r="I388">
        <v>1710282</v>
      </c>
    </row>
    <row r="389" spans="1:9">
      <c r="A389" s="2">
        <v>1953</v>
      </c>
      <c r="B389">
        <v>52</v>
      </c>
      <c r="C389">
        <v>1.11E-2</v>
      </c>
      <c r="D389">
        <v>1.1039999999999999E-2</v>
      </c>
      <c r="E389">
        <v>0.5</v>
      </c>
      <c r="F389">
        <v>79116</v>
      </c>
      <c r="G389">
        <v>874</v>
      </c>
      <c r="H389">
        <v>78679</v>
      </c>
      <c r="I389">
        <v>1630764</v>
      </c>
    </row>
    <row r="390" spans="1:9">
      <c r="A390" s="2">
        <v>1953</v>
      </c>
      <c r="B390">
        <v>53</v>
      </c>
      <c r="C390">
        <v>1.259E-2</v>
      </c>
      <c r="D390">
        <v>1.251E-2</v>
      </c>
      <c r="E390">
        <v>0.5</v>
      </c>
      <c r="F390">
        <v>78242</v>
      </c>
      <c r="G390">
        <v>979</v>
      </c>
      <c r="H390">
        <v>77753</v>
      </c>
      <c r="I390">
        <v>1552085</v>
      </c>
    </row>
    <row r="391" spans="1:9">
      <c r="A391" s="2">
        <v>1953</v>
      </c>
      <c r="B391">
        <v>54</v>
      </c>
      <c r="C391">
        <v>1.2829999999999999E-2</v>
      </c>
      <c r="D391">
        <v>1.2749999999999999E-2</v>
      </c>
      <c r="E391">
        <v>0.5</v>
      </c>
      <c r="F391">
        <v>77264</v>
      </c>
      <c r="G391">
        <v>985</v>
      </c>
      <c r="H391">
        <v>76771</v>
      </c>
      <c r="I391">
        <v>1474332</v>
      </c>
    </row>
    <row r="392" spans="1:9">
      <c r="A392" s="2">
        <v>1953</v>
      </c>
      <c r="B392">
        <v>55</v>
      </c>
      <c r="C392">
        <v>1.431E-2</v>
      </c>
      <c r="D392">
        <v>1.421E-2</v>
      </c>
      <c r="E392">
        <v>0.5</v>
      </c>
      <c r="F392">
        <v>76279</v>
      </c>
      <c r="G392">
        <v>1084</v>
      </c>
      <c r="H392">
        <v>75737</v>
      </c>
      <c r="I392">
        <v>1397561</v>
      </c>
    </row>
    <row r="393" spans="1:9">
      <c r="A393" s="2">
        <v>1953</v>
      </c>
      <c r="B393">
        <v>56</v>
      </c>
      <c r="C393">
        <v>1.5890000000000001E-2</v>
      </c>
      <c r="D393">
        <v>1.576E-2</v>
      </c>
      <c r="E393">
        <v>0.5</v>
      </c>
      <c r="F393">
        <v>75195</v>
      </c>
      <c r="G393">
        <v>1185</v>
      </c>
      <c r="H393">
        <v>74602</v>
      </c>
      <c r="I393">
        <v>1321824</v>
      </c>
    </row>
    <row r="394" spans="1:9">
      <c r="A394" s="2">
        <v>1953</v>
      </c>
      <c r="B394">
        <v>57</v>
      </c>
      <c r="C394">
        <v>1.7909999999999999E-2</v>
      </c>
      <c r="D394">
        <v>1.7749999999999998E-2</v>
      </c>
      <c r="E394">
        <v>0.5</v>
      </c>
      <c r="F394">
        <v>74010</v>
      </c>
      <c r="G394">
        <v>1314</v>
      </c>
      <c r="H394">
        <v>73353</v>
      </c>
      <c r="I394">
        <v>1247222</v>
      </c>
    </row>
    <row r="395" spans="1:9">
      <c r="A395" s="2">
        <v>1953</v>
      </c>
      <c r="B395">
        <v>58</v>
      </c>
      <c r="C395">
        <v>1.9040000000000001E-2</v>
      </c>
      <c r="D395">
        <v>1.8859999999999998E-2</v>
      </c>
      <c r="E395">
        <v>0.5</v>
      </c>
      <c r="F395">
        <v>72696</v>
      </c>
      <c r="G395">
        <v>1371</v>
      </c>
      <c r="H395">
        <v>72010</v>
      </c>
      <c r="I395">
        <v>1173869</v>
      </c>
    </row>
    <row r="396" spans="1:9">
      <c r="A396" s="2">
        <v>1953</v>
      </c>
      <c r="B396">
        <v>59</v>
      </c>
      <c r="C396">
        <v>1.8419999999999999E-2</v>
      </c>
      <c r="D396">
        <v>1.8249999999999999E-2</v>
      </c>
      <c r="E396">
        <v>0.5</v>
      </c>
      <c r="F396">
        <v>71325</v>
      </c>
      <c r="G396">
        <v>1301</v>
      </c>
      <c r="H396">
        <v>70674</v>
      </c>
      <c r="I396">
        <v>1101859</v>
      </c>
    </row>
    <row r="397" spans="1:9">
      <c r="A397" s="2">
        <v>1953</v>
      </c>
      <c r="B397">
        <v>60</v>
      </c>
      <c r="C397">
        <v>2.2630000000000001E-2</v>
      </c>
      <c r="D397">
        <v>2.2380000000000001E-2</v>
      </c>
      <c r="E397">
        <v>0.5</v>
      </c>
      <c r="F397">
        <v>70023</v>
      </c>
      <c r="G397">
        <v>1567</v>
      </c>
      <c r="H397">
        <v>69240</v>
      </c>
      <c r="I397">
        <v>1031184</v>
      </c>
    </row>
    <row r="398" spans="1:9">
      <c r="A398" s="2">
        <v>1953</v>
      </c>
      <c r="B398">
        <v>61</v>
      </c>
      <c r="C398">
        <v>2.4590000000000001E-2</v>
      </c>
      <c r="D398">
        <v>2.4299999999999999E-2</v>
      </c>
      <c r="E398">
        <v>0.5</v>
      </c>
      <c r="F398">
        <v>68456</v>
      </c>
      <c r="G398">
        <v>1663</v>
      </c>
      <c r="H398">
        <v>67625</v>
      </c>
      <c r="I398">
        <v>961945</v>
      </c>
    </row>
    <row r="399" spans="1:9">
      <c r="A399" s="2">
        <v>1953</v>
      </c>
      <c r="B399">
        <v>62</v>
      </c>
      <c r="C399">
        <v>2.7369999999999998E-2</v>
      </c>
      <c r="D399">
        <v>2.7E-2</v>
      </c>
      <c r="E399">
        <v>0.5</v>
      </c>
      <c r="F399">
        <v>66793</v>
      </c>
      <c r="G399">
        <v>1803</v>
      </c>
      <c r="H399">
        <v>65892</v>
      </c>
      <c r="I399">
        <v>894320</v>
      </c>
    </row>
    <row r="400" spans="1:9">
      <c r="A400" s="2">
        <v>1953</v>
      </c>
      <c r="B400">
        <v>63</v>
      </c>
      <c r="C400">
        <v>3.0630000000000001E-2</v>
      </c>
      <c r="D400">
        <v>3.0159999999999999E-2</v>
      </c>
      <c r="E400">
        <v>0.5</v>
      </c>
      <c r="F400">
        <v>64990</v>
      </c>
      <c r="G400">
        <v>1960</v>
      </c>
      <c r="H400">
        <v>64010</v>
      </c>
      <c r="I400">
        <v>828428</v>
      </c>
    </row>
    <row r="401" spans="1:9">
      <c r="A401" s="2">
        <v>1953</v>
      </c>
      <c r="B401">
        <v>64</v>
      </c>
      <c r="C401">
        <v>3.3829999999999999E-2</v>
      </c>
      <c r="D401">
        <v>3.3270000000000001E-2</v>
      </c>
      <c r="E401">
        <v>0.5</v>
      </c>
      <c r="F401">
        <v>63030</v>
      </c>
      <c r="G401">
        <v>2097</v>
      </c>
      <c r="H401">
        <v>61981</v>
      </c>
      <c r="I401">
        <v>764419</v>
      </c>
    </row>
    <row r="402" spans="1:9">
      <c r="A402" s="2">
        <v>1953</v>
      </c>
      <c r="B402">
        <v>65</v>
      </c>
      <c r="C402">
        <v>3.6799999999999999E-2</v>
      </c>
      <c r="D402">
        <v>3.6139999999999999E-2</v>
      </c>
      <c r="E402">
        <v>0.5</v>
      </c>
      <c r="F402">
        <v>60933</v>
      </c>
      <c r="G402">
        <v>2202</v>
      </c>
      <c r="H402">
        <v>59832</v>
      </c>
      <c r="I402">
        <v>702437</v>
      </c>
    </row>
    <row r="403" spans="1:9">
      <c r="A403" s="2">
        <v>1953</v>
      </c>
      <c r="B403">
        <v>66</v>
      </c>
      <c r="C403">
        <v>3.8240000000000003E-2</v>
      </c>
      <c r="D403">
        <v>3.7519999999999998E-2</v>
      </c>
      <c r="E403">
        <v>0.5</v>
      </c>
      <c r="F403">
        <v>58731</v>
      </c>
      <c r="G403">
        <v>2204</v>
      </c>
      <c r="H403">
        <v>57629</v>
      </c>
      <c r="I403">
        <v>642606</v>
      </c>
    </row>
    <row r="404" spans="1:9">
      <c r="A404" s="2">
        <v>1953</v>
      </c>
      <c r="B404">
        <v>67</v>
      </c>
      <c r="C404">
        <v>4.1939999999999998E-2</v>
      </c>
      <c r="D404">
        <v>4.1079999999999998E-2</v>
      </c>
      <c r="E404">
        <v>0.5</v>
      </c>
      <c r="F404">
        <v>56527</v>
      </c>
      <c r="G404">
        <v>2322</v>
      </c>
      <c r="H404">
        <v>55366</v>
      </c>
      <c r="I404">
        <v>584977</v>
      </c>
    </row>
    <row r="405" spans="1:9">
      <c r="A405" s="2">
        <v>1953</v>
      </c>
      <c r="B405">
        <v>68</v>
      </c>
      <c r="C405">
        <v>4.6359999999999998E-2</v>
      </c>
      <c r="D405">
        <v>4.5310000000000003E-2</v>
      </c>
      <c r="E405">
        <v>0.5</v>
      </c>
      <c r="F405">
        <v>54205</v>
      </c>
      <c r="G405">
        <v>2456</v>
      </c>
      <c r="H405">
        <v>52977</v>
      </c>
      <c r="I405">
        <v>529611</v>
      </c>
    </row>
    <row r="406" spans="1:9">
      <c r="A406" s="2">
        <v>1953</v>
      </c>
      <c r="B406">
        <v>69</v>
      </c>
      <c r="C406">
        <v>5.1249999999999997E-2</v>
      </c>
      <c r="D406">
        <v>4.9970000000000001E-2</v>
      </c>
      <c r="E406">
        <v>0.5</v>
      </c>
      <c r="F406">
        <v>51749</v>
      </c>
      <c r="G406">
        <v>2586</v>
      </c>
      <c r="H406">
        <v>50456</v>
      </c>
      <c r="I406">
        <v>476634</v>
      </c>
    </row>
    <row r="407" spans="1:9">
      <c r="A407" s="2">
        <v>1953</v>
      </c>
      <c r="B407">
        <v>70</v>
      </c>
      <c r="C407">
        <v>5.6340000000000001E-2</v>
      </c>
      <c r="D407">
        <v>5.4800000000000001E-2</v>
      </c>
      <c r="E407">
        <v>0.5</v>
      </c>
      <c r="F407">
        <v>49163</v>
      </c>
      <c r="G407">
        <v>2694</v>
      </c>
      <c r="H407">
        <v>47816</v>
      </c>
      <c r="I407">
        <v>426178</v>
      </c>
    </row>
    <row r="408" spans="1:9">
      <c r="A408" s="2">
        <v>1953</v>
      </c>
      <c r="B408">
        <v>71</v>
      </c>
      <c r="C408">
        <v>6.2239999999999997E-2</v>
      </c>
      <c r="D408">
        <v>6.0359999999999997E-2</v>
      </c>
      <c r="E408">
        <v>0.5</v>
      </c>
      <c r="F408">
        <v>46469</v>
      </c>
      <c r="G408">
        <v>2805</v>
      </c>
      <c r="H408">
        <v>45067</v>
      </c>
      <c r="I408">
        <v>378361</v>
      </c>
    </row>
    <row r="409" spans="1:9">
      <c r="A409" s="2">
        <v>1953</v>
      </c>
      <c r="B409">
        <v>72</v>
      </c>
      <c r="C409">
        <v>6.9029999999999994E-2</v>
      </c>
      <c r="D409">
        <v>6.6720000000000002E-2</v>
      </c>
      <c r="E409">
        <v>0.5</v>
      </c>
      <c r="F409">
        <v>43664</v>
      </c>
      <c r="G409">
        <v>2913</v>
      </c>
      <c r="H409">
        <v>42208</v>
      </c>
      <c r="I409">
        <v>333295</v>
      </c>
    </row>
    <row r="410" spans="1:9">
      <c r="A410" s="2">
        <v>1953</v>
      </c>
      <c r="B410">
        <v>73</v>
      </c>
      <c r="C410">
        <v>8.0879999999999994E-2</v>
      </c>
      <c r="D410">
        <v>7.7729999999999994E-2</v>
      </c>
      <c r="E410">
        <v>0.5</v>
      </c>
      <c r="F410">
        <v>40751</v>
      </c>
      <c r="G410">
        <v>3168</v>
      </c>
      <c r="H410">
        <v>39167</v>
      </c>
      <c r="I410">
        <v>291087</v>
      </c>
    </row>
    <row r="411" spans="1:9">
      <c r="A411" s="2">
        <v>1953</v>
      </c>
      <c r="B411">
        <v>74</v>
      </c>
      <c r="C411">
        <v>8.4570000000000006E-2</v>
      </c>
      <c r="D411">
        <v>8.1140000000000004E-2</v>
      </c>
      <c r="E411">
        <v>0.5</v>
      </c>
      <c r="F411">
        <v>37583</v>
      </c>
      <c r="G411">
        <v>3050</v>
      </c>
      <c r="H411">
        <v>36058</v>
      </c>
      <c r="I411">
        <v>251920</v>
      </c>
    </row>
    <row r="412" spans="1:9">
      <c r="A412" s="2">
        <v>1953</v>
      </c>
      <c r="B412">
        <v>75</v>
      </c>
      <c r="C412">
        <v>9.7939999999999999E-2</v>
      </c>
      <c r="D412">
        <v>9.3369999999999995E-2</v>
      </c>
      <c r="E412">
        <v>0.5</v>
      </c>
      <c r="F412">
        <v>34534</v>
      </c>
      <c r="G412">
        <v>3224</v>
      </c>
      <c r="H412">
        <v>32921</v>
      </c>
      <c r="I412">
        <v>215861</v>
      </c>
    </row>
    <row r="413" spans="1:9">
      <c r="A413" s="2">
        <v>1953</v>
      </c>
      <c r="B413">
        <v>76</v>
      </c>
      <c r="C413">
        <v>0.10681</v>
      </c>
      <c r="D413">
        <v>0.1014</v>
      </c>
      <c r="E413">
        <v>0.5</v>
      </c>
      <c r="F413">
        <v>31309</v>
      </c>
      <c r="G413">
        <v>3175</v>
      </c>
      <c r="H413">
        <v>29722</v>
      </c>
      <c r="I413">
        <v>182940</v>
      </c>
    </row>
    <row r="414" spans="1:9">
      <c r="A414" s="2">
        <v>1953</v>
      </c>
      <c r="B414">
        <v>77</v>
      </c>
      <c r="C414">
        <v>0.1293</v>
      </c>
      <c r="D414">
        <v>0.12145</v>
      </c>
      <c r="E414">
        <v>0.5</v>
      </c>
      <c r="F414">
        <v>28135</v>
      </c>
      <c r="G414">
        <v>3417</v>
      </c>
      <c r="H414">
        <v>26426</v>
      </c>
      <c r="I414">
        <v>153218</v>
      </c>
    </row>
    <row r="415" spans="1:9">
      <c r="A415" s="2">
        <v>1953</v>
      </c>
      <c r="B415">
        <v>78</v>
      </c>
      <c r="C415">
        <v>0.12592</v>
      </c>
      <c r="D415">
        <v>0.11846</v>
      </c>
      <c r="E415">
        <v>0.5</v>
      </c>
      <c r="F415">
        <v>24718</v>
      </c>
      <c r="G415">
        <v>2928</v>
      </c>
      <c r="H415">
        <v>23254</v>
      </c>
      <c r="I415">
        <v>126792</v>
      </c>
    </row>
    <row r="416" spans="1:9">
      <c r="A416" s="2">
        <v>1953</v>
      </c>
      <c r="B416">
        <v>79</v>
      </c>
      <c r="C416">
        <v>0.14191999999999999</v>
      </c>
      <c r="D416">
        <v>0.13252</v>
      </c>
      <c r="E416">
        <v>0.5</v>
      </c>
      <c r="F416">
        <v>21790</v>
      </c>
      <c r="G416">
        <v>2888</v>
      </c>
      <c r="H416">
        <v>20346</v>
      </c>
      <c r="I416">
        <v>103538</v>
      </c>
    </row>
    <row r="417" spans="1:9">
      <c r="A417" s="2">
        <v>1953</v>
      </c>
      <c r="B417">
        <v>80</v>
      </c>
      <c r="C417">
        <v>0.16830000000000001</v>
      </c>
      <c r="D417">
        <v>0.15523999999999999</v>
      </c>
      <c r="E417">
        <v>0.5</v>
      </c>
      <c r="F417">
        <v>18902</v>
      </c>
      <c r="G417">
        <v>2934</v>
      </c>
      <c r="H417">
        <v>17435</v>
      </c>
      <c r="I417">
        <v>83192</v>
      </c>
    </row>
    <row r="418" spans="1:9">
      <c r="A418" s="2">
        <v>1953</v>
      </c>
      <c r="B418">
        <v>81</v>
      </c>
      <c r="C418">
        <v>0.17893999999999999</v>
      </c>
      <c r="D418">
        <v>0.16425000000000001</v>
      </c>
      <c r="E418">
        <v>0.5</v>
      </c>
      <c r="F418">
        <v>15968</v>
      </c>
      <c r="G418">
        <v>2623</v>
      </c>
      <c r="H418">
        <v>14657</v>
      </c>
      <c r="I418">
        <v>65757</v>
      </c>
    </row>
    <row r="419" spans="1:9">
      <c r="A419" s="2">
        <v>1953</v>
      </c>
      <c r="B419">
        <v>82</v>
      </c>
      <c r="C419">
        <v>0.19738</v>
      </c>
      <c r="D419">
        <v>0.17965</v>
      </c>
      <c r="E419">
        <v>0.5</v>
      </c>
      <c r="F419">
        <v>13345</v>
      </c>
      <c r="G419">
        <v>2397</v>
      </c>
      <c r="H419">
        <v>12146</v>
      </c>
      <c r="I419">
        <v>51100</v>
      </c>
    </row>
    <row r="420" spans="1:9">
      <c r="A420" s="2">
        <v>1953</v>
      </c>
      <c r="B420">
        <v>83</v>
      </c>
      <c r="C420">
        <v>0.22638</v>
      </c>
      <c r="D420">
        <v>0.20336000000000001</v>
      </c>
      <c r="E420">
        <v>0.5</v>
      </c>
      <c r="F420">
        <v>10948</v>
      </c>
      <c r="G420">
        <v>2226</v>
      </c>
      <c r="H420">
        <v>9835</v>
      </c>
      <c r="I420">
        <v>38954</v>
      </c>
    </row>
    <row r="421" spans="1:9">
      <c r="A421" s="2">
        <v>1953</v>
      </c>
      <c r="B421">
        <v>84</v>
      </c>
      <c r="C421">
        <v>0.23352000000000001</v>
      </c>
      <c r="D421">
        <v>0.20910999999999999</v>
      </c>
      <c r="E421">
        <v>0.5</v>
      </c>
      <c r="F421">
        <v>8721</v>
      </c>
      <c r="G421">
        <v>1824</v>
      </c>
      <c r="H421">
        <v>7810</v>
      </c>
      <c r="I421">
        <v>29119</v>
      </c>
    </row>
    <row r="422" spans="1:9">
      <c r="A422" s="2">
        <v>1953</v>
      </c>
      <c r="B422">
        <v>85</v>
      </c>
      <c r="C422">
        <v>0.27200999999999997</v>
      </c>
      <c r="D422">
        <v>0.23945</v>
      </c>
      <c r="E422">
        <v>0.5</v>
      </c>
      <c r="F422">
        <v>6898</v>
      </c>
      <c r="G422">
        <v>1652</v>
      </c>
      <c r="H422">
        <v>6072</v>
      </c>
      <c r="I422">
        <v>21310</v>
      </c>
    </row>
    <row r="423" spans="1:9">
      <c r="A423" s="2">
        <v>1953</v>
      </c>
      <c r="B423">
        <v>86</v>
      </c>
      <c r="C423">
        <v>0.29785</v>
      </c>
      <c r="D423">
        <v>0.25924000000000003</v>
      </c>
      <c r="E423">
        <v>0.5</v>
      </c>
      <c r="F423">
        <v>5246</v>
      </c>
      <c r="G423">
        <v>1360</v>
      </c>
      <c r="H423">
        <v>4566</v>
      </c>
      <c r="I423">
        <v>15238</v>
      </c>
    </row>
    <row r="424" spans="1:9">
      <c r="A424" s="2">
        <v>1953</v>
      </c>
      <c r="B424">
        <v>87</v>
      </c>
      <c r="C424">
        <v>0.31254999999999999</v>
      </c>
      <c r="D424">
        <v>0.27030999999999999</v>
      </c>
      <c r="E424">
        <v>0.5</v>
      </c>
      <c r="F424">
        <v>3886</v>
      </c>
      <c r="G424">
        <v>1050</v>
      </c>
      <c r="H424">
        <v>3361</v>
      </c>
      <c r="I424">
        <v>10672</v>
      </c>
    </row>
    <row r="425" spans="1:9">
      <c r="A425" s="2">
        <v>1953</v>
      </c>
      <c r="B425">
        <v>88</v>
      </c>
      <c r="C425">
        <v>0.30485000000000001</v>
      </c>
      <c r="D425">
        <v>0.26452999999999999</v>
      </c>
      <c r="E425">
        <v>0.5</v>
      </c>
      <c r="F425">
        <v>2836</v>
      </c>
      <c r="G425">
        <v>750</v>
      </c>
      <c r="H425">
        <v>2461</v>
      </c>
      <c r="I425">
        <v>7311</v>
      </c>
    </row>
    <row r="426" spans="1:9">
      <c r="A426" s="2">
        <v>1953</v>
      </c>
      <c r="B426">
        <v>89</v>
      </c>
      <c r="C426">
        <v>0.39578999999999998</v>
      </c>
      <c r="D426">
        <v>0.33040000000000003</v>
      </c>
      <c r="E426">
        <v>0.5</v>
      </c>
      <c r="F426">
        <v>2086</v>
      </c>
      <c r="G426">
        <v>689</v>
      </c>
      <c r="H426">
        <v>1741</v>
      </c>
      <c r="I426">
        <v>4851</v>
      </c>
    </row>
    <row r="427" spans="1:9">
      <c r="A427" s="2">
        <v>1953</v>
      </c>
      <c r="B427">
        <v>90</v>
      </c>
      <c r="C427">
        <v>0.41415999999999997</v>
      </c>
      <c r="D427">
        <v>0.34311000000000003</v>
      </c>
      <c r="E427">
        <v>0.5</v>
      </c>
      <c r="F427">
        <v>1396</v>
      </c>
      <c r="G427">
        <v>479</v>
      </c>
      <c r="H427">
        <v>1157</v>
      </c>
      <c r="I427">
        <v>3110</v>
      </c>
    </row>
    <row r="428" spans="1:9">
      <c r="A428" s="2">
        <v>1953</v>
      </c>
      <c r="B428">
        <v>91</v>
      </c>
      <c r="C428">
        <v>0.44345000000000001</v>
      </c>
      <c r="D428">
        <v>0.36297000000000001</v>
      </c>
      <c r="E428">
        <v>0.5</v>
      </c>
      <c r="F428">
        <v>917</v>
      </c>
      <c r="G428">
        <v>333</v>
      </c>
      <c r="H428">
        <v>751</v>
      </c>
      <c r="I428">
        <v>1953</v>
      </c>
    </row>
    <row r="429" spans="1:9">
      <c r="A429" s="2">
        <v>1953</v>
      </c>
      <c r="B429">
        <v>92</v>
      </c>
      <c r="C429">
        <v>0.42181999999999997</v>
      </c>
      <c r="D429">
        <v>0.34834999999999999</v>
      </c>
      <c r="E429">
        <v>0.5</v>
      </c>
      <c r="F429">
        <v>584</v>
      </c>
      <c r="G429">
        <v>204</v>
      </c>
      <c r="H429">
        <v>483</v>
      </c>
      <c r="I429">
        <v>1202</v>
      </c>
    </row>
    <row r="430" spans="1:9">
      <c r="A430" s="2">
        <v>1953</v>
      </c>
      <c r="B430">
        <v>93</v>
      </c>
      <c r="C430">
        <v>0.49165999999999999</v>
      </c>
      <c r="D430">
        <v>0.39463999999999999</v>
      </c>
      <c r="E430">
        <v>0.5</v>
      </c>
      <c r="F430">
        <v>381</v>
      </c>
      <c r="G430">
        <v>150</v>
      </c>
      <c r="H430">
        <v>306</v>
      </c>
      <c r="I430">
        <v>719</v>
      </c>
    </row>
    <row r="431" spans="1:9">
      <c r="A431" s="2">
        <v>1953</v>
      </c>
      <c r="B431">
        <v>94</v>
      </c>
      <c r="C431">
        <v>0.52229999999999999</v>
      </c>
      <c r="D431">
        <v>0.41415000000000002</v>
      </c>
      <c r="E431">
        <v>0.5</v>
      </c>
      <c r="F431">
        <v>231</v>
      </c>
      <c r="G431">
        <v>95</v>
      </c>
      <c r="H431">
        <v>183</v>
      </c>
      <c r="I431">
        <v>414</v>
      </c>
    </row>
    <row r="432" spans="1:9">
      <c r="A432" s="2">
        <v>1953</v>
      </c>
      <c r="B432">
        <v>95</v>
      </c>
      <c r="C432">
        <v>0.55278000000000005</v>
      </c>
      <c r="D432">
        <v>0.43308000000000002</v>
      </c>
      <c r="E432">
        <v>0.5</v>
      </c>
      <c r="F432">
        <v>135</v>
      </c>
      <c r="G432">
        <v>58</v>
      </c>
      <c r="H432">
        <v>106</v>
      </c>
      <c r="I432">
        <v>231</v>
      </c>
    </row>
    <row r="433" spans="1:9">
      <c r="A433" s="2">
        <v>1953</v>
      </c>
      <c r="B433">
        <v>96</v>
      </c>
      <c r="C433">
        <v>0.58287</v>
      </c>
      <c r="D433">
        <v>0.45133000000000001</v>
      </c>
      <c r="E433">
        <v>0.5</v>
      </c>
      <c r="F433">
        <v>77</v>
      </c>
      <c r="G433">
        <v>35</v>
      </c>
      <c r="H433">
        <v>59</v>
      </c>
      <c r="I433">
        <v>125</v>
      </c>
    </row>
    <row r="434" spans="1:9">
      <c r="A434" s="2">
        <v>1953</v>
      </c>
      <c r="B434">
        <v>97</v>
      </c>
      <c r="C434">
        <v>0.61234999999999995</v>
      </c>
      <c r="D434">
        <v>0.46881</v>
      </c>
      <c r="E434">
        <v>0.5</v>
      </c>
      <c r="F434">
        <v>42</v>
      </c>
      <c r="G434">
        <v>20</v>
      </c>
      <c r="H434">
        <v>32</v>
      </c>
      <c r="I434">
        <v>66</v>
      </c>
    </row>
    <row r="435" spans="1:9">
      <c r="A435" s="2">
        <v>1953</v>
      </c>
      <c r="B435">
        <v>98</v>
      </c>
      <c r="C435">
        <v>0.64102999999999999</v>
      </c>
      <c r="D435">
        <v>0.48543999999999998</v>
      </c>
      <c r="E435">
        <v>0.5</v>
      </c>
      <c r="F435">
        <v>22</v>
      </c>
      <c r="G435">
        <v>11</v>
      </c>
      <c r="H435">
        <v>17</v>
      </c>
      <c r="I435">
        <v>34</v>
      </c>
    </row>
    <row r="436" spans="1:9">
      <c r="A436" s="2">
        <v>1953</v>
      </c>
      <c r="B436">
        <v>99</v>
      </c>
      <c r="C436">
        <v>0.66874</v>
      </c>
      <c r="D436">
        <v>0.50116000000000005</v>
      </c>
      <c r="E436">
        <v>0.5</v>
      </c>
      <c r="F436">
        <v>11</v>
      </c>
      <c r="G436">
        <v>6</v>
      </c>
      <c r="H436">
        <v>9</v>
      </c>
      <c r="I436">
        <v>17</v>
      </c>
    </row>
    <row r="437" spans="1:9">
      <c r="A437" s="2">
        <v>1953</v>
      </c>
      <c r="B437">
        <v>100</v>
      </c>
      <c r="C437">
        <v>0.69532000000000005</v>
      </c>
      <c r="D437">
        <v>0.51595000000000002</v>
      </c>
      <c r="E437">
        <v>0.5</v>
      </c>
      <c r="F437">
        <v>6</v>
      </c>
      <c r="G437">
        <v>3</v>
      </c>
      <c r="H437">
        <v>4</v>
      </c>
      <c r="I437">
        <v>8</v>
      </c>
    </row>
    <row r="438" spans="1:9">
      <c r="A438" s="2">
        <v>1953</v>
      </c>
      <c r="B438">
        <v>101</v>
      </c>
      <c r="C438">
        <v>0.72065999999999997</v>
      </c>
      <c r="D438">
        <v>0.52976999999999996</v>
      </c>
      <c r="E438">
        <v>0.5</v>
      </c>
      <c r="F438">
        <v>3</v>
      </c>
      <c r="G438">
        <v>1</v>
      </c>
      <c r="H438">
        <v>2</v>
      </c>
      <c r="I438">
        <v>4</v>
      </c>
    </row>
    <row r="439" spans="1:9">
      <c r="A439" s="2">
        <v>1953</v>
      </c>
      <c r="B439">
        <v>102</v>
      </c>
      <c r="C439">
        <v>0.74467000000000005</v>
      </c>
      <c r="D439">
        <v>0.54262999999999995</v>
      </c>
      <c r="E439">
        <v>0.5</v>
      </c>
      <c r="F439">
        <v>1</v>
      </c>
      <c r="G439">
        <v>1</v>
      </c>
      <c r="H439">
        <v>1</v>
      </c>
      <c r="I439">
        <v>2</v>
      </c>
    </row>
    <row r="440" spans="1:9">
      <c r="A440" s="2">
        <v>1953</v>
      </c>
      <c r="B440">
        <v>103</v>
      </c>
      <c r="C440">
        <v>0.76727999999999996</v>
      </c>
      <c r="D440">
        <v>0.55454000000000003</v>
      </c>
      <c r="E440">
        <v>0.5</v>
      </c>
      <c r="F440">
        <v>1</v>
      </c>
      <c r="G440">
        <v>0</v>
      </c>
      <c r="H440">
        <v>0</v>
      </c>
      <c r="I440">
        <v>1</v>
      </c>
    </row>
    <row r="441" spans="1:9">
      <c r="A441" s="2">
        <v>1953</v>
      </c>
      <c r="B441">
        <v>104</v>
      </c>
      <c r="C441">
        <v>0.78846000000000005</v>
      </c>
      <c r="D441">
        <v>0.56552000000000002</v>
      </c>
      <c r="E441">
        <v>0.5</v>
      </c>
      <c r="F441">
        <v>0</v>
      </c>
      <c r="G441">
        <v>0</v>
      </c>
      <c r="H441">
        <v>0</v>
      </c>
      <c r="I441">
        <v>0</v>
      </c>
    </row>
    <row r="442" spans="1:9">
      <c r="A442" s="2">
        <v>1953</v>
      </c>
      <c r="B442">
        <v>105</v>
      </c>
      <c r="C442">
        <v>0.80818999999999996</v>
      </c>
      <c r="D442">
        <v>0.5756</v>
      </c>
      <c r="E442">
        <v>0.5</v>
      </c>
      <c r="F442">
        <v>0</v>
      </c>
      <c r="G442">
        <v>0</v>
      </c>
      <c r="H442">
        <v>0</v>
      </c>
      <c r="I442">
        <v>0</v>
      </c>
    </row>
    <row r="443" spans="1:9">
      <c r="A443" s="2">
        <v>1953</v>
      </c>
      <c r="B443">
        <v>106</v>
      </c>
      <c r="C443">
        <v>0.82648999999999995</v>
      </c>
      <c r="D443">
        <v>0.58482000000000001</v>
      </c>
      <c r="E443">
        <v>0.5</v>
      </c>
      <c r="F443">
        <v>0</v>
      </c>
      <c r="G443">
        <v>0</v>
      </c>
      <c r="H443">
        <v>0</v>
      </c>
      <c r="I443">
        <v>0</v>
      </c>
    </row>
    <row r="444" spans="1:9">
      <c r="A444" s="2">
        <v>1953</v>
      </c>
      <c r="B444">
        <v>107</v>
      </c>
      <c r="C444">
        <v>0.84338000000000002</v>
      </c>
      <c r="D444">
        <v>0.59321999999999997</v>
      </c>
      <c r="E444">
        <v>0.5</v>
      </c>
      <c r="F444">
        <v>0</v>
      </c>
      <c r="G444">
        <v>0</v>
      </c>
      <c r="H444">
        <v>0</v>
      </c>
      <c r="I444">
        <v>0</v>
      </c>
    </row>
    <row r="445" spans="1:9">
      <c r="A445" s="2">
        <v>1953</v>
      </c>
      <c r="B445">
        <v>108</v>
      </c>
      <c r="C445">
        <v>0.85890999999999995</v>
      </c>
      <c r="D445">
        <v>0.60085999999999995</v>
      </c>
      <c r="E445">
        <v>0.5</v>
      </c>
      <c r="F445">
        <v>0</v>
      </c>
      <c r="G445">
        <v>0</v>
      </c>
      <c r="H445">
        <v>0</v>
      </c>
      <c r="I445">
        <v>0</v>
      </c>
    </row>
    <row r="446" spans="1:9">
      <c r="A446" s="2">
        <v>1953</v>
      </c>
      <c r="B446">
        <v>109</v>
      </c>
      <c r="C446">
        <v>0.87312999999999996</v>
      </c>
      <c r="D446">
        <v>0.60779000000000005</v>
      </c>
      <c r="E446">
        <v>0.5</v>
      </c>
      <c r="F446">
        <v>0</v>
      </c>
      <c r="G446">
        <v>0</v>
      </c>
      <c r="H446">
        <v>0</v>
      </c>
      <c r="I446">
        <v>0</v>
      </c>
    </row>
    <row r="447" spans="1:9">
      <c r="A447" s="2">
        <v>1953</v>
      </c>
      <c r="B447" t="s">
        <v>26</v>
      </c>
      <c r="C447">
        <v>0.8861</v>
      </c>
      <c r="D447">
        <v>1</v>
      </c>
      <c r="E447" s="3" t="s">
        <v>29</v>
      </c>
      <c r="F447">
        <v>0</v>
      </c>
      <c r="G447">
        <v>0</v>
      </c>
      <c r="H447">
        <v>0</v>
      </c>
      <c r="I447">
        <v>0</v>
      </c>
    </row>
    <row r="448" spans="1:9">
      <c r="A448" s="2">
        <v>1954</v>
      </c>
      <c r="B448">
        <v>0</v>
      </c>
      <c r="C448">
        <v>7.2270000000000001E-2</v>
      </c>
      <c r="D448">
        <v>6.862E-2</v>
      </c>
      <c r="E448">
        <v>0.26</v>
      </c>
      <c r="F448">
        <v>100000</v>
      </c>
      <c r="G448">
        <v>6862</v>
      </c>
      <c r="H448">
        <v>94949</v>
      </c>
      <c r="I448">
        <v>6349803</v>
      </c>
    </row>
    <row r="449" spans="1:9">
      <c r="A449" s="2">
        <v>1954</v>
      </c>
      <c r="B449">
        <v>1</v>
      </c>
      <c r="C449">
        <v>5.5199999999999997E-3</v>
      </c>
      <c r="D449">
        <v>5.5100000000000001E-3</v>
      </c>
      <c r="E449">
        <v>0.5</v>
      </c>
      <c r="F449">
        <v>93138</v>
      </c>
      <c r="G449">
        <v>513</v>
      </c>
      <c r="H449">
        <v>92882</v>
      </c>
      <c r="I449">
        <v>6254853</v>
      </c>
    </row>
    <row r="450" spans="1:9">
      <c r="A450" s="2">
        <v>1954</v>
      </c>
      <c r="B450">
        <v>2</v>
      </c>
      <c r="C450">
        <v>1.8699999999999999E-3</v>
      </c>
      <c r="D450">
        <v>1.8699999999999999E-3</v>
      </c>
      <c r="E450">
        <v>0.5</v>
      </c>
      <c r="F450">
        <v>92625</v>
      </c>
      <c r="G450">
        <v>173</v>
      </c>
      <c r="H450">
        <v>92539</v>
      </c>
      <c r="I450">
        <v>6161971</v>
      </c>
    </row>
    <row r="451" spans="1:9">
      <c r="A451" s="2">
        <v>1954</v>
      </c>
      <c r="B451">
        <v>3</v>
      </c>
      <c r="C451">
        <v>1.48E-3</v>
      </c>
      <c r="D451">
        <v>1.48E-3</v>
      </c>
      <c r="E451">
        <v>0.5</v>
      </c>
      <c r="F451">
        <v>92453</v>
      </c>
      <c r="G451">
        <v>137</v>
      </c>
      <c r="H451">
        <v>92384</v>
      </c>
      <c r="I451">
        <v>6069432</v>
      </c>
    </row>
    <row r="452" spans="1:9">
      <c r="A452" s="2">
        <v>1954</v>
      </c>
      <c r="B452">
        <v>4</v>
      </c>
      <c r="C452">
        <v>9.7000000000000005E-4</v>
      </c>
      <c r="D452">
        <v>9.7000000000000005E-4</v>
      </c>
      <c r="E452">
        <v>0.5</v>
      </c>
      <c r="F452">
        <v>92316</v>
      </c>
      <c r="G452">
        <v>89</v>
      </c>
      <c r="H452">
        <v>92271</v>
      </c>
      <c r="I452">
        <v>5977048</v>
      </c>
    </row>
    <row r="453" spans="1:9">
      <c r="A453" s="2">
        <v>1954</v>
      </c>
      <c r="B453">
        <v>5</v>
      </c>
      <c r="C453">
        <v>6.9999999999999999E-4</v>
      </c>
      <c r="D453">
        <v>6.8999999999999997E-4</v>
      </c>
      <c r="E453">
        <v>0.5</v>
      </c>
      <c r="F453">
        <v>92227</v>
      </c>
      <c r="G453">
        <v>64</v>
      </c>
      <c r="H453">
        <v>92194</v>
      </c>
      <c r="I453">
        <v>5884777</v>
      </c>
    </row>
    <row r="454" spans="1:9">
      <c r="A454" s="2">
        <v>1954</v>
      </c>
      <c r="B454">
        <v>6</v>
      </c>
      <c r="C454">
        <v>8.9999999999999998E-4</v>
      </c>
      <c r="D454">
        <v>8.9999999999999998E-4</v>
      </c>
      <c r="E454">
        <v>0.5</v>
      </c>
      <c r="F454">
        <v>92162</v>
      </c>
      <c r="G454">
        <v>83</v>
      </c>
      <c r="H454">
        <v>92121</v>
      </c>
      <c r="I454">
        <v>5792583</v>
      </c>
    </row>
    <row r="455" spans="1:9">
      <c r="A455" s="2">
        <v>1954</v>
      </c>
      <c r="B455">
        <v>7</v>
      </c>
      <c r="C455">
        <v>7.6000000000000004E-4</v>
      </c>
      <c r="D455">
        <v>7.6000000000000004E-4</v>
      </c>
      <c r="E455">
        <v>0.5</v>
      </c>
      <c r="F455">
        <v>92079</v>
      </c>
      <c r="G455">
        <v>70</v>
      </c>
      <c r="H455">
        <v>92044</v>
      </c>
      <c r="I455">
        <v>5700462</v>
      </c>
    </row>
    <row r="456" spans="1:9">
      <c r="A456" s="2">
        <v>1954</v>
      </c>
      <c r="B456">
        <v>8</v>
      </c>
      <c r="C456">
        <v>7.2000000000000005E-4</v>
      </c>
      <c r="D456">
        <v>7.2000000000000005E-4</v>
      </c>
      <c r="E456">
        <v>0.5</v>
      </c>
      <c r="F456">
        <v>92009</v>
      </c>
      <c r="G456">
        <v>66</v>
      </c>
      <c r="H456">
        <v>91976</v>
      </c>
      <c r="I456">
        <v>5608417</v>
      </c>
    </row>
    <row r="457" spans="1:9">
      <c r="A457" s="2">
        <v>1954</v>
      </c>
      <c r="B457">
        <v>9</v>
      </c>
      <c r="C457">
        <v>7.5000000000000002E-4</v>
      </c>
      <c r="D457">
        <v>7.5000000000000002E-4</v>
      </c>
      <c r="E457">
        <v>0.5</v>
      </c>
      <c r="F457">
        <v>91943</v>
      </c>
      <c r="G457">
        <v>69</v>
      </c>
      <c r="H457">
        <v>91909</v>
      </c>
      <c r="I457">
        <v>5516441</v>
      </c>
    </row>
    <row r="458" spans="1:9">
      <c r="A458" s="2">
        <v>1954</v>
      </c>
      <c r="B458">
        <v>10</v>
      </c>
      <c r="C458">
        <v>6.0999999999999997E-4</v>
      </c>
      <c r="D458">
        <v>6.0999999999999997E-4</v>
      </c>
      <c r="E458">
        <v>0.5</v>
      </c>
      <c r="F458">
        <v>91875</v>
      </c>
      <c r="G458">
        <v>56</v>
      </c>
      <c r="H458">
        <v>91847</v>
      </c>
      <c r="I458">
        <v>5424532</v>
      </c>
    </row>
    <row r="459" spans="1:9">
      <c r="A459" s="2">
        <v>1954</v>
      </c>
      <c r="B459">
        <v>11</v>
      </c>
      <c r="C459">
        <v>6.7000000000000002E-4</v>
      </c>
      <c r="D459">
        <v>6.7000000000000002E-4</v>
      </c>
      <c r="E459">
        <v>0.5</v>
      </c>
      <c r="F459">
        <v>91819</v>
      </c>
      <c r="G459">
        <v>61</v>
      </c>
      <c r="H459">
        <v>91788</v>
      </c>
      <c r="I459">
        <v>5332685</v>
      </c>
    </row>
    <row r="460" spans="1:9">
      <c r="A460" s="2">
        <v>1954</v>
      </c>
      <c r="B460">
        <v>12</v>
      </c>
      <c r="C460">
        <v>6.6E-4</v>
      </c>
      <c r="D460">
        <v>6.6E-4</v>
      </c>
      <c r="E460">
        <v>0.5</v>
      </c>
      <c r="F460">
        <v>91758</v>
      </c>
      <c r="G460">
        <v>61</v>
      </c>
      <c r="H460">
        <v>91727</v>
      </c>
      <c r="I460">
        <v>5240897</v>
      </c>
    </row>
    <row r="461" spans="1:9">
      <c r="A461" s="2">
        <v>1954</v>
      </c>
      <c r="B461">
        <v>13</v>
      </c>
      <c r="C461">
        <v>7.9000000000000001E-4</v>
      </c>
      <c r="D461">
        <v>7.9000000000000001E-4</v>
      </c>
      <c r="E461">
        <v>0.5</v>
      </c>
      <c r="F461">
        <v>91697</v>
      </c>
      <c r="G461">
        <v>72</v>
      </c>
      <c r="H461">
        <v>91661</v>
      </c>
      <c r="I461">
        <v>5149170</v>
      </c>
    </row>
    <row r="462" spans="1:9">
      <c r="A462" s="2">
        <v>1954</v>
      </c>
      <c r="B462">
        <v>14</v>
      </c>
      <c r="C462">
        <v>8.4000000000000003E-4</v>
      </c>
      <c r="D462">
        <v>8.4000000000000003E-4</v>
      </c>
      <c r="E462">
        <v>0.5</v>
      </c>
      <c r="F462">
        <v>91625</v>
      </c>
      <c r="G462">
        <v>77</v>
      </c>
      <c r="H462">
        <v>91586</v>
      </c>
      <c r="I462">
        <v>5057509</v>
      </c>
    </row>
    <row r="463" spans="1:9">
      <c r="A463" s="2">
        <v>1954</v>
      </c>
      <c r="B463">
        <v>15</v>
      </c>
      <c r="C463">
        <v>9.8999999999999999E-4</v>
      </c>
      <c r="D463">
        <v>9.8999999999999999E-4</v>
      </c>
      <c r="E463">
        <v>0.5</v>
      </c>
      <c r="F463">
        <v>91548</v>
      </c>
      <c r="G463">
        <v>91</v>
      </c>
      <c r="H463">
        <v>91503</v>
      </c>
      <c r="I463">
        <v>4965923</v>
      </c>
    </row>
    <row r="464" spans="1:9">
      <c r="A464" s="2">
        <v>1954</v>
      </c>
      <c r="B464">
        <v>16</v>
      </c>
      <c r="C464">
        <v>1.1000000000000001E-3</v>
      </c>
      <c r="D464">
        <v>1.1000000000000001E-3</v>
      </c>
      <c r="E464">
        <v>0.5</v>
      </c>
      <c r="F464">
        <v>91457</v>
      </c>
      <c r="G464">
        <v>100</v>
      </c>
      <c r="H464">
        <v>91407</v>
      </c>
      <c r="I464">
        <v>4874420</v>
      </c>
    </row>
    <row r="465" spans="1:9">
      <c r="A465" s="2">
        <v>1954</v>
      </c>
      <c r="B465">
        <v>17</v>
      </c>
      <c r="C465">
        <v>1.64E-3</v>
      </c>
      <c r="D465">
        <v>1.64E-3</v>
      </c>
      <c r="E465">
        <v>0.5</v>
      </c>
      <c r="F465">
        <v>91357</v>
      </c>
      <c r="G465">
        <v>149</v>
      </c>
      <c r="H465">
        <v>91282</v>
      </c>
      <c r="I465">
        <v>4783013</v>
      </c>
    </row>
    <row r="466" spans="1:9">
      <c r="A466" s="2">
        <v>1954</v>
      </c>
      <c r="B466">
        <v>18</v>
      </c>
      <c r="C466">
        <v>1.2999999999999999E-3</v>
      </c>
      <c r="D466">
        <v>1.2999999999999999E-3</v>
      </c>
      <c r="E466">
        <v>0.5</v>
      </c>
      <c r="F466">
        <v>91207</v>
      </c>
      <c r="G466">
        <v>119</v>
      </c>
      <c r="H466">
        <v>91148</v>
      </c>
      <c r="I466">
        <v>4691730</v>
      </c>
    </row>
    <row r="467" spans="1:9">
      <c r="A467" s="2">
        <v>1954</v>
      </c>
      <c r="B467">
        <v>19</v>
      </c>
      <c r="C467">
        <v>1.57E-3</v>
      </c>
      <c r="D467">
        <v>1.57E-3</v>
      </c>
      <c r="E467">
        <v>0.5</v>
      </c>
      <c r="F467">
        <v>91089</v>
      </c>
      <c r="G467">
        <v>143</v>
      </c>
      <c r="H467">
        <v>91017</v>
      </c>
      <c r="I467">
        <v>4600582</v>
      </c>
    </row>
    <row r="468" spans="1:9">
      <c r="A468" s="2">
        <v>1954</v>
      </c>
      <c r="B468">
        <v>20</v>
      </c>
      <c r="C468">
        <v>1.8400000000000001E-3</v>
      </c>
      <c r="D468">
        <v>1.8400000000000001E-3</v>
      </c>
      <c r="E468">
        <v>0.5</v>
      </c>
      <c r="F468">
        <v>90946</v>
      </c>
      <c r="G468">
        <v>168</v>
      </c>
      <c r="H468">
        <v>90862</v>
      </c>
      <c r="I468">
        <v>4509565</v>
      </c>
    </row>
    <row r="469" spans="1:9">
      <c r="A469" s="2">
        <v>1954</v>
      </c>
      <c r="B469">
        <v>21</v>
      </c>
      <c r="C469">
        <v>1.67E-3</v>
      </c>
      <c r="D469">
        <v>1.67E-3</v>
      </c>
      <c r="E469">
        <v>0.5</v>
      </c>
      <c r="F469">
        <v>90778</v>
      </c>
      <c r="G469">
        <v>151</v>
      </c>
      <c r="H469">
        <v>90702</v>
      </c>
      <c r="I469">
        <v>4418703</v>
      </c>
    </row>
    <row r="470" spans="1:9">
      <c r="A470" s="2">
        <v>1954</v>
      </c>
      <c r="B470">
        <v>22</v>
      </c>
      <c r="C470">
        <v>1.8699999999999999E-3</v>
      </c>
      <c r="D470">
        <v>1.8699999999999999E-3</v>
      </c>
      <c r="E470">
        <v>0.5</v>
      </c>
      <c r="F470">
        <v>90626</v>
      </c>
      <c r="G470">
        <v>170</v>
      </c>
      <c r="H470">
        <v>90542</v>
      </c>
      <c r="I470">
        <v>4328001</v>
      </c>
    </row>
    <row r="471" spans="1:9">
      <c r="A471" s="2">
        <v>1954</v>
      </c>
      <c r="B471">
        <v>23</v>
      </c>
      <c r="C471">
        <v>1.7099999999999999E-3</v>
      </c>
      <c r="D471">
        <v>1.7099999999999999E-3</v>
      </c>
      <c r="E471">
        <v>0.5</v>
      </c>
      <c r="F471">
        <v>90457</v>
      </c>
      <c r="G471">
        <v>154</v>
      </c>
      <c r="H471">
        <v>90380</v>
      </c>
      <c r="I471">
        <v>4237460</v>
      </c>
    </row>
    <row r="472" spans="1:9">
      <c r="A472" s="2">
        <v>1954</v>
      </c>
      <c r="B472">
        <v>24</v>
      </c>
      <c r="C472">
        <v>1.89E-3</v>
      </c>
      <c r="D472">
        <v>1.89E-3</v>
      </c>
      <c r="E472">
        <v>0.5</v>
      </c>
      <c r="F472">
        <v>90303</v>
      </c>
      <c r="G472">
        <v>171</v>
      </c>
      <c r="H472">
        <v>90217</v>
      </c>
      <c r="I472">
        <v>4147080</v>
      </c>
    </row>
    <row r="473" spans="1:9">
      <c r="A473" s="2">
        <v>1954</v>
      </c>
      <c r="B473">
        <v>25</v>
      </c>
      <c r="C473">
        <v>1.6299999999999999E-3</v>
      </c>
      <c r="D473">
        <v>1.6299999999999999E-3</v>
      </c>
      <c r="E473">
        <v>0.5</v>
      </c>
      <c r="F473">
        <v>90132</v>
      </c>
      <c r="G473">
        <v>147</v>
      </c>
      <c r="H473">
        <v>90058</v>
      </c>
      <c r="I473">
        <v>4056863</v>
      </c>
    </row>
    <row r="474" spans="1:9">
      <c r="A474" s="2">
        <v>1954</v>
      </c>
      <c r="B474">
        <v>26</v>
      </c>
      <c r="C474">
        <v>1.8400000000000001E-3</v>
      </c>
      <c r="D474">
        <v>1.83E-3</v>
      </c>
      <c r="E474">
        <v>0.5</v>
      </c>
      <c r="F474">
        <v>89985</v>
      </c>
      <c r="G474">
        <v>165</v>
      </c>
      <c r="H474">
        <v>89903</v>
      </c>
      <c r="I474">
        <v>3966804</v>
      </c>
    </row>
    <row r="475" spans="1:9">
      <c r="A475" s="2">
        <v>1954</v>
      </c>
      <c r="B475">
        <v>27</v>
      </c>
      <c r="C475">
        <v>1.9E-3</v>
      </c>
      <c r="D475">
        <v>1.9E-3</v>
      </c>
      <c r="E475">
        <v>0.5</v>
      </c>
      <c r="F475">
        <v>89820</v>
      </c>
      <c r="G475">
        <v>170</v>
      </c>
      <c r="H475">
        <v>89735</v>
      </c>
      <c r="I475">
        <v>3876901</v>
      </c>
    </row>
    <row r="476" spans="1:9">
      <c r="A476" s="2">
        <v>1954</v>
      </c>
      <c r="B476">
        <v>28</v>
      </c>
      <c r="C476">
        <v>1.98E-3</v>
      </c>
      <c r="D476">
        <v>1.97E-3</v>
      </c>
      <c r="E476">
        <v>0.5</v>
      </c>
      <c r="F476">
        <v>89650</v>
      </c>
      <c r="G476">
        <v>177</v>
      </c>
      <c r="H476">
        <v>89561</v>
      </c>
      <c r="I476">
        <v>3787166</v>
      </c>
    </row>
    <row r="477" spans="1:9">
      <c r="A477" s="2">
        <v>1954</v>
      </c>
      <c r="B477">
        <v>29</v>
      </c>
      <c r="C477">
        <v>2.2499999999999998E-3</v>
      </c>
      <c r="D477">
        <v>2.2399999999999998E-3</v>
      </c>
      <c r="E477">
        <v>0.5</v>
      </c>
      <c r="F477">
        <v>89473</v>
      </c>
      <c r="G477">
        <v>201</v>
      </c>
      <c r="H477">
        <v>89372</v>
      </c>
      <c r="I477">
        <v>3697605</v>
      </c>
    </row>
    <row r="478" spans="1:9">
      <c r="A478" s="2">
        <v>1954</v>
      </c>
      <c r="B478">
        <v>30</v>
      </c>
      <c r="C478">
        <v>2.0999999999999999E-3</v>
      </c>
      <c r="D478">
        <v>2.0999999999999999E-3</v>
      </c>
      <c r="E478">
        <v>0.5</v>
      </c>
      <c r="F478">
        <v>89272</v>
      </c>
      <c r="G478">
        <v>187</v>
      </c>
      <c r="H478">
        <v>89178</v>
      </c>
      <c r="I478">
        <v>3608233</v>
      </c>
    </row>
    <row r="479" spans="1:9">
      <c r="A479" s="2">
        <v>1954</v>
      </c>
      <c r="B479">
        <v>31</v>
      </c>
      <c r="C479">
        <v>2.0200000000000001E-3</v>
      </c>
      <c r="D479">
        <v>2.0200000000000001E-3</v>
      </c>
      <c r="E479">
        <v>0.5</v>
      </c>
      <c r="F479">
        <v>89085</v>
      </c>
      <c r="G479">
        <v>180</v>
      </c>
      <c r="H479">
        <v>88995</v>
      </c>
      <c r="I479">
        <v>3519054</v>
      </c>
    </row>
    <row r="480" spans="1:9">
      <c r="A480" s="2">
        <v>1954</v>
      </c>
      <c r="B480">
        <v>32</v>
      </c>
      <c r="C480">
        <v>1.8699999999999999E-3</v>
      </c>
      <c r="D480">
        <v>1.8699999999999999E-3</v>
      </c>
      <c r="E480">
        <v>0.5</v>
      </c>
      <c r="F480">
        <v>88905</v>
      </c>
      <c r="G480">
        <v>166</v>
      </c>
      <c r="H480">
        <v>88822</v>
      </c>
      <c r="I480">
        <v>3430060</v>
      </c>
    </row>
    <row r="481" spans="1:9">
      <c r="A481" s="2">
        <v>1954</v>
      </c>
      <c r="B481">
        <v>33</v>
      </c>
      <c r="C481">
        <v>1.9E-3</v>
      </c>
      <c r="D481">
        <v>1.9E-3</v>
      </c>
      <c r="E481">
        <v>0.5</v>
      </c>
      <c r="F481">
        <v>88738</v>
      </c>
      <c r="G481">
        <v>169</v>
      </c>
      <c r="H481">
        <v>88654</v>
      </c>
      <c r="I481">
        <v>3341238</v>
      </c>
    </row>
    <row r="482" spans="1:9">
      <c r="A482" s="2">
        <v>1954</v>
      </c>
      <c r="B482">
        <v>34</v>
      </c>
      <c r="C482">
        <v>2.8600000000000001E-3</v>
      </c>
      <c r="D482">
        <v>2.8600000000000001E-3</v>
      </c>
      <c r="E482">
        <v>0.5</v>
      </c>
      <c r="F482">
        <v>88570</v>
      </c>
      <c r="G482">
        <v>253</v>
      </c>
      <c r="H482">
        <v>88443</v>
      </c>
      <c r="I482">
        <v>3252584</v>
      </c>
    </row>
    <row r="483" spans="1:9">
      <c r="A483" s="2">
        <v>1954</v>
      </c>
      <c r="B483">
        <v>35</v>
      </c>
      <c r="C483">
        <v>2.2000000000000001E-3</v>
      </c>
      <c r="D483">
        <v>2.2000000000000001E-3</v>
      </c>
      <c r="E483">
        <v>0.5</v>
      </c>
      <c r="F483">
        <v>88317</v>
      </c>
      <c r="G483">
        <v>195</v>
      </c>
      <c r="H483">
        <v>88220</v>
      </c>
      <c r="I483">
        <v>3164141</v>
      </c>
    </row>
    <row r="484" spans="1:9">
      <c r="A484" s="2">
        <v>1954</v>
      </c>
      <c r="B484">
        <v>36</v>
      </c>
      <c r="C484">
        <v>2.4299999999999999E-3</v>
      </c>
      <c r="D484">
        <v>2.4299999999999999E-3</v>
      </c>
      <c r="E484">
        <v>0.5</v>
      </c>
      <c r="F484">
        <v>88122</v>
      </c>
      <c r="G484">
        <v>214</v>
      </c>
      <c r="H484">
        <v>88015</v>
      </c>
      <c r="I484">
        <v>3075921</v>
      </c>
    </row>
    <row r="485" spans="1:9">
      <c r="A485" s="2">
        <v>1954</v>
      </c>
      <c r="B485">
        <v>37</v>
      </c>
      <c r="C485">
        <v>3.16E-3</v>
      </c>
      <c r="D485">
        <v>3.15E-3</v>
      </c>
      <c r="E485">
        <v>0.5</v>
      </c>
      <c r="F485">
        <v>87909</v>
      </c>
      <c r="G485">
        <v>277</v>
      </c>
      <c r="H485">
        <v>87770</v>
      </c>
      <c r="I485">
        <v>2987905</v>
      </c>
    </row>
    <row r="486" spans="1:9">
      <c r="A486" s="2">
        <v>1954</v>
      </c>
      <c r="B486">
        <v>38</v>
      </c>
      <c r="C486">
        <v>2.5699999999999998E-3</v>
      </c>
      <c r="D486">
        <v>2.5699999999999998E-3</v>
      </c>
      <c r="E486">
        <v>0.5</v>
      </c>
      <c r="F486">
        <v>87631</v>
      </c>
      <c r="G486">
        <v>225</v>
      </c>
      <c r="H486">
        <v>87519</v>
      </c>
      <c r="I486">
        <v>2900136</v>
      </c>
    </row>
    <row r="487" spans="1:9">
      <c r="A487" s="2">
        <v>1954</v>
      </c>
      <c r="B487">
        <v>39</v>
      </c>
      <c r="C487">
        <v>2.9099999999999998E-3</v>
      </c>
      <c r="D487">
        <v>2.9099999999999998E-3</v>
      </c>
      <c r="E487">
        <v>0.5</v>
      </c>
      <c r="F487">
        <v>87406</v>
      </c>
      <c r="G487">
        <v>254</v>
      </c>
      <c r="H487">
        <v>87279</v>
      </c>
      <c r="I487">
        <v>2812617</v>
      </c>
    </row>
    <row r="488" spans="1:9">
      <c r="A488" s="2">
        <v>1954</v>
      </c>
      <c r="B488">
        <v>40</v>
      </c>
      <c r="C488">
        <v>3.3700000000000002E-3</v>
      </c>
      <c r="D488">
        <v>3.3700000000000002E-3</v>
      </c>
      <c r="E488">
        <v>0.5</v>
      </c>
      <c r="F488">
        <v>87152</v>
      </c>
      <c r="G488">
        <v>293</v>
      </c>
      <c r="H488">
        <v>87005</v>
      </c>
      <c r="I488">
        <v>2725337</v>
      </c>
    </row>
    <row r="489" spans="1:9">
      <c r="A489" s="2">
        <v>1954</v>
      </c>
      <c r="B489">
        <v>41</v>
      </c>
      <c r="C489">
        <v>3.7799999999999999E-3</v>
      </c>
      <c r="D489">
        <v>3.7799999999999999E-3</v>
      </c>
      <c r="E489">
        <v>0.5</v>
      </c>
      <c r="F489">
        <v>86859</v>
      </c>
      <c r="G489">
        <v>328</v>
      </c>
      <c r="H489">
        <v>86695</v>
      </c>
      <c r="I489">
        <v>2638332</v>
      </c>
    </row>
    <row r="490" spans="1:9">
      <c r="A490" s="2">
        <v>1954</v>
      </c>
      <c r="B490">
        <v>42</v>
      </c>
      <c r="C490">
        <v>3.7699999999999999E-3</v>
      </c>
      <c r="D490">
        <v>3.7599999999999999E-3</v>
      </c>
      <c r="E490">
        <v>0.5</v>
      </c>
      <c r="F490">
        <v>86531</v>
      </c>
      <c r="G490">
        <v>325</v>
      </c>
      <c r="H490">
        <v>86368</v>
      </c>
      <c r="I490">
        <v>2551637</v>
      </c>
    </row>
    <row r="491" spans="1:9">
      <c r="A491" s="2">
        <v>1954</v>
      </c>
      <c r="B491">
        <v>43</v>
      </c>
      <c r="C491">
        <v>4.7999999999999996E-3</v>
      </c>
      <c r="D491">
        <v>4.7800000000000004E-3</v>
      </c>
      <c r="E491">
        <v>0.5</v>
      </c>
      <c r="F491">
        <v>86205</v>
      </c>
      <c r="G491">
        <v>412</v>
      </c>
      <c r="H491">
        <v>85999</v>
      </c>
      <c r="I491">
        <v>2465269</v>
      </c>
    </row>
    <row r="492" spans="1:9">
      <c r="A492" s="2">
        <v>1954</v>
      </c>
      <c r="B492">
        <v>44</v>
      </c>
      <c r="C492">
        <v>4.9100000000000003E-3</v>
      </c>
      <c r="D492">
        <v>4.8900000000000002E-3</v>
      </c>
      <c r="E492">
        <v>0.5</v>
      </c>
      <c r="F492">
        <v>85793</v>
      </c>
      <c r="G492">
        <v>420</v>
      </c>
      <c r="H492">
        <v>85583</v>
      </c>
      <c r="I492">
        <v>2379270</v>
      </c>
    </row>
    <row r="493" spans="1:9">
      <c r="A493" s="2">
        <v>1954</v>
      </c>
      <c r="B493">
        <v>45</v>
      </c>
      <c r="C493">
        <v>5.11E-3</v>
      </c>
      <c r="D493">
        <v>5.1000000000000004E-3</v>
      </c>
      <c r="E493">
        <v>0.5</v>
      </c>
      <c r="F493">
        <v>85373</v>
      </c>
      <c r="G493">
        <v>435</v>
      </c>
      <c r="H493">
        <v>85156</v>
      </c>
      <c r="I493">
        <v>2293687</v>
      </c>
    </row>
    <row r="494" spans="1:9">
      <c r="A494" s="2">
        <v>1954</v>
      </c>
      <c r="B494">
        <v>46</v>
      </c>
      <c r="C494">
        <v>5.4200000000000003E-3</v>
      </c>
      <c r="D494">
        <v>5.4099999999999999E-3</v>
      </c>
      <c r="E494">
        <v>0.5</v>
      </c>
      <c r="F494">
        <v>84938</v>
      </c>
      <c r="G494">
        <v>460</v>
      </c>
      <c r="H494">
        <v>84708</v>
      </c>
      <c r="I494">
        <v>2208531</v>
      </c>
    </row>
    <row r="495" spans="1:9">
      <c r="A495" s="2">
        <v>1954</v>
      </c>
      <c r="B495">
        <v>47</v>
      </c>
      <c r="C495">
        <v>6.5900000000000004E-3</v>
      </c>
      <c r="D495">
        <v>6.5700000000000003E-3</v>
      </c>
      <c r="E495">
        <v>0.5</v>
      </c>
      <c r="F495">
        <v>84479</v>
      </c>
      <c r="G495">
        <v>555</v>
      </c>
      <c r="H495">
        <v>84201</v>
      </c>
      <c r="I495">
        <v>2123823</v>
      </c>
    </row>
    <row r="496" spans="1:9">
      <c r="A496" s="2">
        <v>1954</v>
      </c>
      <c r="B496">
        <v>48</v>
      </c>
      <c r="C496">
        <v>7.1199999999999996E-3</v>
      </c>
      <c r="D496">
        <v>7.0899999999999999E-3</v>
      </c>
      <c r="E496">
        <v>0.5</v>
      </c>
      <c r="F496">
        <v>83923</v>
      </c>
      <c r="G496">
        <v>595</v>
      </c>
      <c r="H496">
        <v>83626</v>
      </c>
      <c r="I496">
        <v>2039622</v>
      </c>
    </row>
    <row r="497" spans="1:9">
      <c r="A497" s="2">
        <v>1954</v>
      </c>
      <c r="B497">
        <v>49</v>
      </c>
      <c r="C497">
        <v>7.6899999999999998E-3</v>
      </c>
      <c r="D497">
        <v>7.6600000000000001E-3</v>
      </c>
      <c r="E497">
        <v>0.5</v>
      </c>
      <c r="F497">
        <v>83328</v>
      </c>
      <c r="G497">
        <v>638</v>
      </c>
      <c r="H497">
        <v>83009</v>
      </c>
      <c r="I497">
        <v>1955996</v>
      </c>
    </row>
    <row r="498" spans="1:9">
      <c r="A498" s="2">
        <v>1954</v>
      </c>
      <c r="B498">
        <v>50</v>
      </c>
      <c r="C498">
        <v>8.2699999999999996E-3</v>
      </c>
      <c r="D498">
        <v>8.2299999999999995E-3</v>
      </c>
      <c r="E498">
        <v>0.5</v>
      </c>
      <c r="F498">
        <v>82690</v>
      </c>
      <c r="G498">
        <v>681</v>
      </c>
      <c r="H498">
        <v>82350</v>
      </c>
      <c r="I498">
        <v>1872987</v>
      </c>
    </row>
    <row r="499" spans="1:9">
      <c r="A499" s="2">
        <v>1954</v>
      </c>
      <c r="B499">
        <v>51</v>
      </c>
      <c r="C499">
        <v>9.3200000000000002E-3</v>
      </c>
      <c r="D499">
        <v>9.2700000000000005E-3</v>
      </c>
      <c r="E499">
        <v>0.5</v>
      </c>
      <c r="F499">
        <v>82009</v>
      </c>
      <c r="G499">
        <v>760</v>
      </c>
      <c r="H499">
        <v>81629</v>
      </c>
      <c r="I499">
        <v>1790637</v>
      </c>
    </row>
    <row r="500" spans="1:9">
      <c r="A500" s="2">
        <v>1954</v>
      </c>
      <c r="B500">
        <v>52</v>
      </c>
      <c r="C500">
        <v>1.023E-2</v>
      </c>
      <c r="D500">
        <v>1.018E-2</v>
      </c>
      <c r="E500">
        <v>0.5</v>
      </c>
      <c r="F500">
        <v>81249</v>
      </c>
      <c r="G500">
        <v>827</v>
      </c>
      <c r="H500">
        <v>80835</v>
      </c>
      <c r="I500">
        <v>1709008</v>
      </c>
    </row>
    <row r="501" spans="1:9">
      <c r="A501" s="2">
        <v>1954</v>
      </c>
      <c r="B501">
        <v>53</v>
      </c>
      <c r="C501">
        <v>1.18E-2</v>
      </c>
      <c r="D501">
        <v>1.1730000000000001E-2</v>
      </c>
      <c r="E501">
        <v>0.5</v>
      </c>
      <c r="F501">
        <v>80422</v>
      </c>
      <c r="G501">
        <v>943</v>
      </c>
      <c r="H501">
        <v>79951</v>
      </c>
      <c r="I501">
        <v>1628173</v>
      </c>
    </row>
    <row r="502" spans="1:9">
      <c r="A502" s="2">
        <v>1954</v>
      </c>
      <c r="B502">
        <v>54</v>
      </c>
      <c r="C502">
        <v>1.221E-2</v>
      </c>
      <c r="D502">
        <v>1.214E-2</v>
      </c>
      <c r="E502">
        <v>0.5</v>
      </c>
      <c r="F502">
        <v>79479</v>
      </c>
      <c r="G502">
        <v>965</v>
      </c>
      <c r="H502">
        <v>78997</v>
      </c>
      <c r="I502">
        <v>1548223</v>
      </c>
    </row>
    <row r="503" spans="1:9">
      <c r="A503" s="2">
        <v>1954</v>
      </c>
      <c r="B503">
        <v>55</v>
      </c>
      <c r="C503">
        <v>1.372E-2</v>
      </c>
      <c r="D503">
        <v>1.362E-2</v>
      </c>
      <c r="E503">
        <v>0.5</v>
      </c>
      <c r="F503">
        <v>78514</v>
      </c>
      <c r="G503">
        <v>1070</v>
      </c>
      <c r="H503">
        <v>77979</v>
      </c>
      <c r="I503">
        <v>1469226</v>
      </c>
    </row>
    <row r="504" spans="1:9">
      <c r="A504" s="2">
        <v>1954</v>
      </c>
      <c r="B504">
        <v>56</v>
      </c>
      <c r="C504">
        <v>1.546E-2</v>
      </c>
      <c r="D504">
        <v>1.5339999999999999E-2</v>
      </c>
      <c r="E504">
        <v>0.5</v>
      </c>
      <c r="F504">
        <v>77444</v>
      </c>
      <c r="G504">
        <v>1188</v>
      </c>
      <c r="H504">
        <v>76850</v>
      </c>
      <c r="I504">
        <v>1391247</v>
      </c>
    </row>
    <row r="505" spans="1:9">
      <c r="A505" s="2">
        <v>1954</v>
      </c>
      <c r="B505">
        <v>57</v>
      </c>
      <c r="C505">
        <v>1.7330000000000002E-2</v>
      </c>
      <c r="D505">
        <v>1.7180000000000001E-2</v>
      </c>
      <c r="E505">
        <v>0.5</v>
      </c>
      <c r="F505">
        <v>76256</v>
      </c>
      <c r="G505">
        <v>1310</v>
      </c>
      <c r="H505">
        <v>75601</v>
      </c>
      <c r="I505">
        <v>1314396</v>
      </c>
    </row>
    <row r="506" spans="1:9">
      <c r="A506" s="2">
        <v>1954</v>
      </c>
      <c r="B506">
        <v>58</v>
      </c>
      <c r="C506">
        <v>1.753E-2</v>
      </c>
      <c r="D506">
        <v>1.737E-2</v>
      </c>
      <c r="E506">
        <v>0.5</v>
      </c>
      <c r="F506">
        <v>74946</v>
      </c>
      <c r="G506">
        <v>1302</v>
      </c>
      <c r="H506">
        <v>74295</v>
      </c>
      <c r="I506">
        <v>1238795</v>
      </c>
    </row>
    <row r="507" spans="1:9">
      <c r="A507" s="2">
        <v>1954</v>
      </c>
      <c r="B507">
        <v>59</v>
      </c>
      <c r="C507">
        <v>2.0629999999999999E-2</v>
      </c>
      <c r="D507">
        <v>2.0420000000000001E-2</v>
      </c>
      <c r="E507">
        <v>0.5</v>
      </c>
      <c r="F507">
        <v>73644</v>
      </c>
      <c r="G507">
        <v>1504</v>
      </c>
      <c r="H507">
        <v>72892</v>
      </c>
      <c r="I507">
        <v>1164500</v>
      </c>
    </row>
    <row r="508" spans="1:9">
      <c r="A508" s="2">
        <v>1954</v>
      </c>
      <c r="B508">
        <v>60</v>
      </c>
      <c r="C508">
        <v>2.1839999999999998E-2</v>
      </c>
      <c r="D508">
        <v>2.1600000000000001E-2</v>
      </c>
      <c r="E508">
        <v>0.5</v>
      </c>
      <c r="F508">
        <v>72140</v>
      </c>
      <c r="G508">
        <v>1558</v>
      </c>
      <c r="H508">
        <v>71361</v>
      </c>
      <c r="I508">
        <v>1091607</v>
      </c>
    </row>
    <row r="509" spans="1:9">
      <c r="A509" s="2">
        <v>1954</v>
      </c>
      <c r="B509">
        <v>61</v>
      </c>
      <c r="C509">
        <v>2.307E-2</v>
      </c>
      <c r="D509">
        <v>2.281E-2</v>
      </c>
      <c r="E509">
        <v>0.5</v>
      </c>
      <c r="F509">
        <v>70582</v>
      </c>
      <c r="G509">
        <v>1610</v>
      </c>
      <c r="H509">
        <v>69777</v>
      </c>
      <c r="I509">
        <v>1020246</v>
      </c>
    </row>
    <row r="510" spans="1:9">
      <c r="A510" s="2">
        <v>1954</v>
      </c>
      <c r="B510">
        <v>62</v>
      </c>
      <c r="C510">
        <v>2.6179999999999998E-2</v>
      </c>
      <c r="D510">
        <v>2.5839999999999998E-2</v>
      </c>
      <c r="E510">
        <v>0.5</v>
      </c>
      <c r="F510">
        <v>68972</v>
      </c>
      <c r="G510">
        <v>1782</v>
      </c>
      <c r="H510">
        <v>68081</v>
      </c>
      <c r="I510">
        <v>950470</v>
      </c>
    </row>
    <row r="511" spans="1:9">
      <c r="A511" s="2">
        <v>1954</v>
      </c>
      <c r="B511">
        <v>63</v>
      </c>
      <c r="C511">
        <v>2.886E-2</v>
      </c>
      <c r="D511">
        <v>2.845E-2</v>
      </c>
      <c r="E511">
        <v>0.5</v>
      </c>
      <c r="F511">
        <v>67189</v>
      </c>
      <c r="G511">
        <v>1911</v>
      </c>
      <c r="H511">
        <v>66234</v>
      </c>
      <c r="I511">
        <v>882389</v>
      </c>
    </row>
    <row r="512" spans="1:9">
      <c r="A512" s="2">
        <v>1954</v>
      </c>
      <c r="B512">
        <v>64</v>
      </c>
      <c r="C512">
        <v>3.2640000000000002E-2</v>
      </c>
      <c r="D512">
        <v>3.2120000000000003E-2</v>
      </c>
      <c r="E512">
        <v>0.5</v>
      </c>
      <c r="F512">
        <v>65278</v>
      </c>
      <c r="G512">
        <v>2097</v>
      </c>
      <c r="H512">
        <v>64230</v>
      </c>
      <c r="I512">
        <v>816155</v>
      </c>
    </row>
    <row r="513" spans="1:9">
      <c r="A513" s="2">
        <v>1954</v>
      </c>
      <c r="B513">
        <v>65</v>
      </c>
      <c r="C513">
        <v>3.5400000000000001E-2</v>
      </c>
      <c r="D513">
        <v>3.4779999999999998E-2</v>
      </c>
      <c r="E513">
        <v>0.5</v>
      </c>
      <c r="F513">
        <v>63181</v>
      </c>
      <c r="G513">
        <v>2198</v>
      </c>
      <c r="H513">
        <v>62083</v>
      </c>
      <c r="I513">
        <v>751926</v>
      </c>
    </row>
    <row r="514" spans="1:9">
      <c r="A514" s="2">
        <v>1954</v>
      </c>
      <c r="B514">
        <v>66</v>
      </c>
      <c r="C514">
        <v>3.7060000000000003E-2</v>
      </c>
      <c r="D514">
        <v>3.6380000000000003E-2</v>
      </c>
      <c r="E514">
        <v>0.5</v>
      </c>
      <c r="F514">
        <v>60984</v>
      </c>
      <c r="G514">
        <v>2219</v>
      </c>
      <c r="H514">
        <v>59875</v>
      </c>
      <c r="I514">
        <v>689843</v>
      </c>
    </row>
    <row r="515" spans="1:9">
      <c r="A515" s="2">
        <v>1954</v>
      </c>
      <c r="B515">
        <v>67</v>
      </c>
      <c r="C515">
        <v>4.163E-2</v>
      </c>
      <c r="D515">
        <v>4.079E-2</v>
      </c>
      <c r="E515">
        <v>0.5</v>
      </c>
      <c r="F515">
        <v>58765</v>
      </c>
      <c r="G515">
        <v>2397</v>
      </c>
      <c r="H515">
        <v>57567</v>
      </c>
      <c r="I515">
        <v>629968</v>
      </c>
    </row>
    <row r="516" spans="1:9">
      <c r="A516" s="2">
        <v>1954</v>
      </c>
      <c r="B516">
        <v>68</v>
      </c>
      <c r="C516">
        <v>4.5240000000000002E-2</v>
      </c>
      <c r="D516">
        <v>4.4240000000000002E-2</v>
      </c>
      <c r="E516">
        <v>0.5</v>
      </c>
      <c r="F516">
        <v>56368</v>
      </c>
      <c r="G516">
        <v>2494</v>
      </c>
      <c r="H516">
        <v>55121</v>
      </c>
      <c r="I516">
        <v>572402</v>
      </c>
    </row>
    <row r="517" spans="1:9">
      <c r="A517" s="2">
        <v>1954</v>
      </c>
      <c r="B517">
        <v>69</v>
      </c>
      <c r="C517">
        <v>4.8079999999999998E-2</v>
      </c>
      <c r="D517">
        <v>4.6949999999999999E-2</v>
      </c>
      <c r="E517">
        <v>0.5</v>
      </c>
      <c r="F517">
        <v>53875</v>
      </c>
      <c r="G517">
        <v>2530</v>
      </c>
      <c r="H517">
        <v>52610</v>
      </c>
      <c r="I517">
        <v>517280</v>
      </c>
    </row>
    <row r="518" spans="1:9">
      <c r="A518" s="2">
        <v>1954</v>
      </c>
      <c r="B518">
        <v>70</v>
      </c>
      <c r="C518">
        <v>5.5399999999999998E-2</v>
      </c>
      <c r="D518">
        <v>5.3900000000000003E-2</v>
      </c>
      <c r="E518">
        <v>0.5</v>
      </c>
      <c r="F518">
        <v>51345</v>
      </c>
      <c r="G518">
        <v>2768</v>
      </c>
      <c r="H518">
        <v>49961</v>
      </c>
      <c r="I518">
        <v>464670</v>
      </c>
    </row>
    <row r="519" spans="1:9">
      <c r="A519" s="2">
        <v>1954</v>
      </c>
      <c r="B519">
        <v>71</v>
      </c>
      <c r="C519">
        <v>6.0760000000000002E-2</v>
      </c>
      <c r="D519">
        <v>5.8970000000000002E-2</v>
      </c>
      <c r="E519">
        <v>0.5</v>
      </c>
      <c r="F519">
        <v>48577</v>
      </c>
      <c r="G519">
        <v>2864</v>
      </c>
      <c r="H519">
        <v>47145</v>
      </c>
      <c r="I519">
        <v>414709</v>
      </c>
    </row>
    <row r="520" spans="1:9">
      <c r="A520" s="2">
        <v>1954</v>
      </c>
      <c r="B520">
        <v>72</v>
      </c>
      <c r="C520">
        <v>6.8970000000000004E-2</v>
      </c>
      <c r="D520">
        <v>6.6669999999999993E-2</v>
      </c>
      <c r="E520">
        <v>0.5</v>
      </c>
      <c r="F520">
        <v>45713</v>
      </c>
      <c r="G520">
        <v>3048</v>
      </c>
      <c r="H520">
        <v>44189</v>
      </c>
      <c r="I520">
        <v>367564</v>
      </c>
    </row>
    <row r="521" spans="1:9">
      <c r="A521" s="2">
        <v>1954</v>
      </c>
      <c r="B521">
        <v>73</v>
      </c>
      <c r="C521">
        <v>6.8870000000000001E-2</v>
      </c>
      <c r="D521">
        <v>6.658E-2</v>
      </c>
      <c r="E521">
        <v>0.5</v>
      </c>
      <c r="F521">
        <v>42665</v>
      </c>
      <c r="G521">
        <v>2841</v>
      </c>
      <c r="H521">
        <v>41245</v>
      </c>
      <c r="I521">
        <v>323375</v>
      </c>
    </row>
    <row r="522" spans="1:9">
      <c r="A522" s="2">
        <v>1954</v>
      </c>
      <c r="B522">
        <v>74</v>
      </c>
      <c r="C522">
        <v>8.3080000000000001E-2</v>
      </c>
      <c r="D522">
        <v>7.9759999999999998E-2</v>
      </c>
      <c r="E522">
        <v>0.5</v>
      </c>
      <c r="F522">
        <v>39824</v>
      </c>
      <c r="G522">
        <v>3177</v>
      </c>
      <c r="H522">
        <v>38236</v>
      </c>
      <c r="I522">
        <v>282130</v>
      </c>
    </row>
    <row r="523" spans="1:9">
      <c r="A523" s="2">
        <v>1954</v>
      </c>
      <c r="B523">
        <v>75</v>
      </c>
      <c r="C523">
        <v>9.0609999999999996E-2</v>
      </c>
      <c r="D523">
        <v>8.6690000000000003E-2</v>
      </c>
      <c r="E523">
        <v>0.5</v>
      </c>
      <c r="F523">
        <v>36648</v>
      </c>
      <c r="G523">
        <v>3177</v>
      </c>
      <c r="H523">
        <v>35059</v>
      </c>
      <c r="I523">
        <v>243894</v>
      </c>
    </row>
    <row r="524" spans="1:9">
      <c r="A524" s="2">
        <v>1954</v>
      </c>
      <c r="B524">
        <v>76</v>
      </c>
      <c r="C524">
        <v>9.8879999999999996E-2</v>
      </c>
      <c r="D524">
        <v>9.4219999999999998E-2</v>
      </c>
      <c r="E524">
        <v>0.5</v>
      </c>
      <c r="F524">
        <v>33471</v>
      </c>
      <c r="G524">
        <v>3154</v>
      </c>
      <c r="H524">
        <v>31894</v>
      </c>
      <c r="I524">
        <v>208835</v>
      </c>
    </row>
    <row r="525" spans="1:9">
      <c r="A525" s="2">
        <v>1954</v>
      </c>
      <c r="B525">
        <v>77</v>
      </c>
      <c r="C525">
        <v>0.11033</v>
      </c>
      <c r="D525">
        <v>0.10456</v>
      </c>
      <c r="E525">
        <v>0.5</v>
      </c>
      <c r="F525">
        <v>30317</v>
      </c>
      <c r="G525">
        <v>3170</v>
      </c>
      <c r="H525">
        <v>28732</v>
      </c>
      <c r="I525">
        <v>176941</v>
      </c>
    </row>
    <row r="526" spans="1:9">
      <c r="A526" s="2">
        <v>1954</v>
      </c>
      <c r="B526">
        <v>78</v>
      </c>
      <c r="C526">
        <v>0.12268</v>
      </c>
      <c r="D526">
        <v>0.11559</v>
      </c>
      <c r="E526">
        <v>0.5</v>
      </c>
      <c r="F526">
        <v>27147</v>
      </c>
      <c r="G526">
        <v>3138</v>
      </c>
      <c r="H526">
        <v>25578</v>
      </c>
      <c r="I526">
        <v>148208</v>
      </c>
    </row>
    <row r="527" spans="1:9">
      <c r="A527" s="2">
        <v>1954</v>
      </c>
      <c r="B527">
        <v>79</v>
      </c>
      <c r="C527">
        <v>0.13136</v>
      </c>
      <c r="D527">
        <v>0.12325999999999999</v>
      </c>
      <c r="E527">
        <v>0.5</v>
      </c>
      <c r="F527">
        <v>24009</v>
      </c>
      <c r="G527">
        <v>2960</v>
      </c>
      <c r="H527">
        <v>22530</v>
      </c>
      <c r="I527">
        <v>122630</v>
      </c>
    </row>
    <row r="528" spans="1:9">
      <c r="A528" s="2">
        <v>1954</v>
      </c>
      <c r="B528">
        <v>80</v>
      </c>
      <c r="C528">
        <v>0.15232000000000001</v>
      </c>
      <c r="D528">
        <v>0.14154</v>
      </c>
      <c r="E528">
        <v>0.5</v>
      </c>
      <c r="F528">
        <v>21050</v>
      </c>
      <c r="G528">
        <v>2979</v>
      </c>
      <c r="H528">
        <v>19560</v>
      </c>
      <c r="I528">
        <v>100100</v>
      </c>
    </row>
    <row r="529" spans="1:9">
      <c r="A529" s="2">
        <v>1954</v>
      </c>
      <c r="B529">
        <v>81</v>
      </c>
      <c r="C529">
        <v>0.16597999999999999</v>
      </c>
      <c r="D529">
        <v>0.15326000000000001</v>
      </c>
      <c r="E529">
        <v>0.5</v>
      </c>
      <c r="F529">
        <v>18070</v>
      </c>
      <c r="G529">
        <v>2770</v>
      </c>
      <c r="H529">
        <v>16686</v>
      </c>
      <c r="I529">
        <v>80540</v>
      </c>
    </row>
    <row r="530" spans="1:9">
      <c r="A530" s="2">
        <v>1954</v>
      </c>
      <c r="B530">
        <v>82</v>
      </c>
      <c r="C530">
        <v>0.17161000000000001</v>
      </c>
      <c r="D530">
        <v>0.15805</v>
      </c>
      <c r="E530">
        <v>0.5</v>
      </c>
      <c r="F530">
        <v>15301</v>
      </c>
      <c r="G530">
        <v>2418</v>
      </c>
      <c r="H530">
        <v>14092</v>
      </c>
      <c r="I530">
        <v>63854</v>
      </c>
    </row>
    <row r="531" spans="1:9">
      <c r="A531" s="2">
        <v>1954</v>
      </c>
      <c r="B531">
        <v>83</v>
      </c>
      <c r="C531">
        <v>0.19611000000000001</v>
      </c>
      <c r="D531">
        <v>0.17860000000000001</v>
      </c>
      <c r="E531">
        <v>0.5</v>
      </c>
      <c r="F531">
        <v>12883</v>
      </c>
      <c r="G531">
        <v>2301</v>
      </c>
      <c r="H531">
        <v>11732</v>
      </c>
      <c r="I531">
        <v>49762</v>
      </c>
    </row>
    <row r="532" spans="1:9">
      <c r="A532" s="2">
        <v>1954</v>
      </c>
      <c r="B532">
        <v>84</v>
      </c>
      <c r="C532">
        <v>0.22297</v>
      </c>
      <c r="D532">
        <v>0.20061000000000001</v>
      </c>
      <c r="E532">
        <v>0.5</v>
      </c>
      <c r="F532">
        <v>10582</v>
      </c>
      <c r="G532">
        <v>2123</v>
      </c>
      <c r="H532">
        <v>9520</v>
      </c>
      <c r="I532">
        <v>38030</v>
      </c>
    </row>
    <row r="533" spans="1:9">
      <c r="A533" s="2">
        <v>1954</v>
      </c>
      <c r="B533">
        <v>85</v>
      </c>
      <c r="C533">
        <v>0.24609</v>
      </c>
      <c r="D533">
        <v>0.21912999999999999</v>
      </c>
      <c r="E533">
        <v>0.5</v>
      </c>
      <c r="F533">
        <v>8459</v>
      </c>
      <c r="G533">
        <v>1854</v>
      </c>
      <c r="H533">
        <v>7532</v>
      </c>
      <c r="I533">
        <v>28509</v>
      </c>
    </row>
    <row r="534" spans="1:9">
      <c r="A534" s="2">
        <v>1954</v>
      </c>
      <c r="B534">
        <v>86</v>
      </c>
      <c r="C534">
        <v>0.25412000000000001</v>
      </c>
      <c r="D534">
        <v>0.22547</v>
      </c>
      <c r="E534">
        <v>0.5</v>
      </c>
      <c r="F534">
        <v>6605</v>
      </c>
      <c r="G534">
        <v>1489</v>
      </c>
      <c r="H534">
        <v>5861</v>
      </c>
      <c r="I534">
        <v>20977</v>
      </c>
    </row>
    <row r="535" spans="1:9">
      <c r="A535" s="2">
        <v>1954</v>
      </c>
      <c r="B535">
        <v>87</v>
      </c>
      <c r="C535">
        <v>0.28058</v>
      </c>
      <c r="D535">
        <v>0.24606</v>
      </c>
      <c r="E535">
        <v>0.5</v>
      </c>
      <c r="F535">
        <v>5116</v>
      </c>
      <c r="G535">
        <v>1259</v>
      </c>
      <c r="H535">
        <v>4487</v>
      </c>
      <c r="I535">
        <v>15116</v>
      </c>
    </row>
    <row r="536" spans="1:9">
      <c r="A536" s="2">
        <v>1954</v>
      </c>
      <c r="B536">
        <v>88</v>
      </c>
      <c r="C536">
        <v>0.32157000000000002</v>
      </c>
      <c r="D536">
        <v>0.27703</v>
      </c>
      <c r="E536">
        <v>0.5</v>
      </c>
      <c r="F536">
        <v>3857</v>
      </c>
      <c r="G536">
        <v>1069</v>
      </c>
      <c r="H536">
        <v>3323</v>
      </c>
      <c r="I536">
        <v>10630</v>
      </c>
    </row>
    <row r="537" spans="1:9">
      <c r="A537" s="2">
        <v>1954</v>
      </c>
      <c r="B537">
        <v>89</v>
      </c>
      <c r="C537">
        <v>0.34194000000000002</v>
      </c>
      <c r="D537">
        <v>0.29202</v>
      </c>
      <c r="E537">
        <v>0.5</v>
      </c>
      <c r="F537">
        <v>2789</v>
      </c>
      <c r="G537">
        <v>814</v>
      </c>
      <c r="H537">
        <v>2381</v>
      </c>
      <c r="I537">
        <v>7307</v>
      </c>
    </row>
    <row r="538" spans="1:9">
      <c r="A538" s="2">
        <v>1954</v>
      </c>
      <c r="B538">
        <v>90</v>
      </c>
      <c r="C538">
        <v>0.37770999999999999</v>
      </c>
      <c r="D538">
        <v>0.31770999999999999</v>
      </c>
      <c r="E538">
        <v>0.5</v>
      </c>
      <c r="F538">
        <v>1974</v>
      </c>
      <c r="G538">
        <v>627</v>
      </c>
      <c r="H538">
        <v>1661</v>
      </c>
      <c r="I538">
        <v>4925</v>
      </c>
    </row>
    <row r="539" spans="1:9">
      <c r="A539" s="2">
        <v>1954</v>
      </c>
      <c r="B539">
        <v>91</v>
      </c>
      <c r="C539">
        <v>0.32602999999999999</v>
      </c>
      <c r="D539">
        <v>0.28033000000000002</v>
      </c>
      <c r="E539">
        <v>0.5</v>
      </c>
      <c r="F539">
        <v>1347</v>
      </c>
      <c r="G539">
        <v>378</v>
      </c>
      <c r="H539">
        <v>1158</v>
      </c>
      <c r="I539">
        <v>3265</v>
      </c>
    </row>
    <row r="540" spans="1:9">
      <c r="A540" s="2">
        <v>1954</v>
      </c>
      <c r="B540">
        <v>92</v>
      </c>
      <c r="C540">
        <v>0.42366999999999999</v>
      </c>
      <c r="D540">
        <v>0.34960999999999998</v>
      </c>
      <c r="E540">
        <v>0.5</v>
      </c>
      <c r="F540">
        <v>969</v>
      </c>
      <c r="G540">
        <v>339</v>
      </c>
      <c r="H540">
        <v>800</v>
      </c>
      <c r="I540">
        <v>2106</v>
      </c>
    </row>
    <row r="541" spans="1:9">
      <c r="A541" s="2">
        <v>1954</v>
      </c>
      <c r="B541">
        <v>93</v>
      </c>
      <c r="C541">
        <v>0.44229000000000002</v>
      </c>
      <c r="D541">
        <v>0.36219000000000001</v>
      </c>
      <c r="E541">
        <v>0.5</v>
      </c>
      <c r="F541">
        <v>631</v>
      </c>
      <c r="G541">
        <v>228</v>
      </c>
      <c r="H541">
        <v>516</v>
      </c>
      <c r="I541">
        <v>1306</v>
      </c>
    </row>
    <row r="542" spans="1:9">
      <c r="A542" s="2">
        <v>1954</v>
      </c>
      <c r="B542">
        <v>94</v>
      </c>
      <c r="C542">
        <v>0.47108</v>
      </c>
      <c r="D542">
        <v>0.38127</v>
      </c>
      <c r="E542">
        <v>0.5</v>
      </c>
      <c r="F542">
        <v>402</v>
      </c>
      <c r="G542">
        <v>153</v>
      </c>
      <c r="H542">
        <v>325</v>
      </c>
      <c r="I542">
        <v>790</v>
      </c>
    </row>
    <row r="543" spans="1:9">
      <c r="A543" s="2">
        <v>1954</v>
      </c>
      <c r="B543">
        <v>95</v>
      </c>
      <c r="C543">
        <v>0.50005999999999995</v>
      </c>
      <c r="D543">
        <v>0.40004000000000001</v>
      </c>
      <c r="E543">
        <v>0.5</v>
      </c>
      <c r="F543">
        <v>249</v>
      </c>
      <c r="G543">
        <v>100</v>
      </c>
      <c r="H543">
        <v>199</v>
      </c>
      <c r="I543">
        <v>465</v>
      </c>
    </row>
    <row r="544" spans="1:9">
      <c r="A544" s="2">
        <v>1954</v>
      </c>
      <c r="B544">
        <v>96</v>
      </c>
      <c r="C544">
        <v>0.52903999999999995</v>
      </c>
      <c r="D544">
        <v>0.41837000000000002</v>
      </c>
      <c r="E544">
        <v>0.5</v>
      </c>
      <c r="F544">
        <v>149</v>
      </c>
      <c r="G544">
        <v>62</v>
      </c>
      <c r="H544">
        <v>118</v>
      </c>
      <c r="I544">
        <v>266</v>
      </c>
    </row>
    <row r="545" spans="1:9">
      <c r="A545" s="2">
        <v>1954</v>
      </c>
      <c r="B545">
        <v>97</v>
      </c>
      <c r="C545">
        <v>0.55783000000000005</v>
      </c>
      <c r="D545">
        <v>0.43617</v>
      </c>
      <c r="E545">
        <v>0.5</v>
      </c>
      <c r="F545">
        <v>87</v>
      </c>
      <c r="G545">
        <v>38</v>
      </c>
      <c r="H545">
        <v>68</v>
      </c>
      <c r="I545">
        <v>148</v>
      </c>
    </row>
    <row r="546" spans="1:9">
      <c r="A546" s="2">
        <v>1954</v>
      </c>
      <c r="B546">
        <v>98</v>
      </c>
      <c r="C546">
        <v>0.58623000000000003</v>
      </c>
      <c r="D546">
        <v>0.45334999999999998</v>
      </c>
      <c r="E546">
        <v>0.5</v>
      </c>
      <c r="F546">
        <v>49</v>
      </c>
      <c r="G546">
        <v>22</v>
      </c>
      <c r="H546">
        <v>38</v>
      </c>
      <c r="I546">
        <v>80</v>
      </c>
    </row>
    <row r="547" spans="1:9">
      <c r="A547" s="2">
        <v>1954</v>
      </c>
      <c r="B547">
        <v>99</v>
      </c>
      <c r="C547">
        <v>0.61407</v>
      </c>
      <c r="D547">
        <v>0.46982000000000002</v>
      </c>
      <c r="E547">
        <v>0.5</v>
      </c>
      <c r="F547">
        <v>27</v>
      </c>
      <c r="G547">
        <v>13</v>
      </c>
      <c r="H547">
        <v>20</v>
      </c>
      <c r="I547">
        <v>42</v>
      </c>
    </row>
    <row r="548" spans="1:9">
      <c r="A548" s="2">
        <v>1954</v>
      </c>
      <c r="B548">
        <v>100</v>
      </c>
      <c r="C548">
        <v>0.64117999999999997</v>
      </c>
      <c r="D548">
        <v>0.48553000000000002</v>
      </c>
      <c r="E548">
        <v>0.5</v>
      </c>
      <c r="F548">
        <v>14</v>
      </c>
      <c r="G548">
        <v>7</v>
      </c>
      <c r="H548">
        <v>11</v>
      </c>
      <c r="I548">
        <v>21</v>
      </c>
    </row>
    <row r="549" spans="1:9">
      <c r="A549" s="2">
        <v>1954</v>
      </c>
      <c r="B549">
        <v>101</v>
      </c>
      <c r="C549">
        <v>0.66742999999999997</v>
      </c>
      <c r="D549">
        <v>0.50043000000000004</v>
      </c>
      <c r="E549">
        <v>0.5</v>
      </c>
      <c r="F549">
        <v>7</v>
      </c>
      <c r="G549">
        <v>4</v>
      </c>
      <c r="H549">
        <v>5</v>
      </c>
      <c r="I549">
        <v>11</v>
      </c>
    </row>
    <row r="550" spans="1:9">
      <c r="A550" s="2">
        <v>1954</v>
      </c>
      <c r="B550">
        <v>102</v>
      </c>
      <c r="C550">
        <v>0.69267000000000001</v>
      </c>
      <c r="D550">
        <v>0.51448000000000005</v>
      </c>
      <c r="E550">
        <v>0.5</v>
      </c>
      <c r="F550">
        <v>4</v>
      </c>
      <c r="G550">
        <v>2</v>
      </c>
      <c r="H550">
        <v>3</v>
      </c>
      <c r="I550">
        <v>5</v>
      </c>
    </row>
    <row r="551" spans="1:9">
      <c r="A551" s="2">
        <v>1954</v>
      </c>
      <c r="B551">
        <v>103</v>
      </c>
      <c r="C551">
        <v>0.71680999999999995</v>
      </c>
      <c r="D551">
        <v>0.52768000000000004</v>
      </c>
      <c r="E551">
        <v>0.5</v>
      </c>
      <c r="F551">
        <v>2</v>
      </c>
      <c r="G551">
        <v>1</v>
      </c>
      <c r="H551">
        <v>1</v>
      </c>
      <c r="I551">
        <v>2</v>
      </c>
    </row>
    <row r="552" spans="1:9">
      <c r="A552" s="2">
        <v>1954</v>
      </c>
      <c r="B552">
        <v>104</v>
      </c>
      <c r="C552">
        <v>0.73975999999999997</v>
      </c>
      <c r="D552">
        <v>0.54001999999999994</v>
      </c>
      <c r="E552">
        <v>0.5</v>
      </c>
      <c r="F552">
        <v>1</v>
      </c>
      <c r="G552">
        <v>0</v>
      </c>
      <c r="H552">
        <v>1</v>
      </c>
      <c r="I552">
        <v>1</v>
      </c>
    </row>
    <row r="553" spans="1:9">
      <c r="A553" s="2">
        <v>1954</v>
      </c>
      <c r="B553">
        <v>105</v>
      </c>
      <c r="C553">
        <v>0.76148000000000005</v>
      </c>
      <c r="D553">
        <v>0.55149999999999999</v>
      </c>
      <c r="E553">
        <v>0.5</v>
      </c>
      <c r="F553">
        <v>0</v>
      </c>
      <c r="G553">
        <v>0</v>
      </c>
      <c r="H553">
        <v>0</v>
      </c>
      <c r="I553">
        <v>0</v>
      </c>
    </row>
    <row r="554" spans="1:9">
      <c r="A554" s="2">
        <v>1954</v>
      </c>
      <c r="B554">
        <v>106</v>
      </c>
      <c r="C554">
        <v>0.78190999999999999</v>
      </c>
      <c r="D554">
        <v>0.56213999999999997</v>
      </c>
      <c r="E554">
        <v>0.5</v>
      </c>
      <c r="F554">
        <v>0</v>
      </c>
      <c r="G554">
        <v>0</v>
      </c>
      <c r="H554">
        <v>0</v>
      </c>
      <c r="I554">
        <v>0</v>
      </c>
    </row>
    <row r="555" spans="1:9">
      <c r="A555" s="2">
        <v>1954</v>
      </c>
      <c r="B555">
        <v>107</v>
      </c>
      <c r="C555">
        <v>0.80105000000000004</v>
      </c>
      <c r="D555">
        <v>0.57196999999999998</v>
      </c>
      <c r="E555">
        <v>0.5</v>
      </c>
      <c r="F555">
        <v>0</v>
      </c>
      <c r="G555">
        <v>0</v>
      </c>
      <c r="H555">
        <v>0</v>
      </c>
      <c r="I555">
        <v>0</v>
      </c>
    </row>
    <row r="556" spans="1:9">
      <c r="A556" s="2">
        <v>1954</v>
      </c>
      <c r="B556">
        <v>108</v>
      </c>
      <c r="C556">
        <v>0.81891000000000003</v>
      </c>
      <c r="D556">
        <v>0.58101000000000003</v>
      </c>
      <c r="E556">
        <v>0.5</v>
      </c>
      <c r="F556">
        <v>0</v>
      </c>
      <c r="G556">
        <v>0</v>
      </c>
      <c r="H556">
        <v>0</v>
      </c>
      <c r="I556">
        <v>0</v>
      </c>
    </row>
    <row r="557" spans="1:9">
      <c r="A557" s="2">
        <v>1954</v>
      </c>
      <c r="B557">
        <v>109</v>
      </c>
      <c r="C557">
        <v>0.83548999999999995</v>
      </c>
      <c r="D557">
        <v>0.58931</v>
      </c>
      <c r="E557">
        <v>0.5</v>
      </c>
      <c r="F557">
        <v>0</v>
      </c>
      <c r="G557">
        <v>0</v>
      </c>
      <c r="H557">
        <v>0</v>
      </c>
      <c r="I557">
        <v>0</v>
      </c>
    </row>
    <row r="558" spans="1:9">
      <c r="A558" s="2">
        <v>1954</v>
      </c>
      <c r="B558" t="s">
        <v>26</v>
      </c>
      <c r="C558">
        <v>0.85082000000000002</v>
      </c>
      <c r="D558">
        <v>1</v>
      </c>
      <c r="E558" s="3" t="s">
        <v>30</v>
      </c>
      <c r="F558">
        <v>0</v>
      </c>
      <c r="G558">
        <v>0</v>
      </c>
      <c r="H558">
        <v>0</v>
      </c>
      <c r="I558">
        <v>0</v>
      </c>
    </row>
    <row r="559" spans="1:9">
      <c r="A559" s="2">
        <v>1955</v>
      </c>
      <c r="B559">
        <v>0</v>
      </c>
      <c r="C559">
        <v>6.7379999999999995E-2</v>
      </c>
      <c r="D559">
        <v>6.4130000000000006E-2</v>
      </c>
      <c r="E559">
        <v>0.25</v>
      </c>
      <c r="F559">
        <v>100000</v>
      </c>
      <c r="G559">
        <v>6413</v>
      </c>
      <c r="H559">
        <v>95177</v>
      </c>
      <c r="I559">
        <v>6494176</v>
      </c>
    </row>
    <row r="560" spans="1:9">
      <c r="A560" s="2">
        <v>1955</v>
      </c>
      <c r="B560">
        <v>1</v>
      </c>
      <c r="C560">
        <v>4.7400000000000003E-3</v>
      </c>
      <c r="D560">
        <v>4.7299999999999998E-3</v>
      </c>
      <c r="E560">
        <v>0.5</v>
      </c>
      <c r="F560">
        <v>93587</v>
      </c>
      <c r="G560">
        <v>443</v>
      </c>
      <c r="H560">
        <v>93365</v>
      </c>
      <c r="I560">
        <v>6398999</v>
      </c>
    </row>
    <row r="561" spans="1:9">
      <c r="A561" s="2">
        <v>1955</v>
      </c>
      <c r="B561">
        <v>2</v>
      </c>
      <c r="C561">
        <v>1.89E-3</v>
      </c>
      <c r="D561">
        <v>1.8799999999999999E-3</v>
      </c>
      <c r="E561">
        <v>0.5</v>
      </c>
      <c r="F561">
        <v>93144</v>
      </c>
      <c r="G561">
        <v>175</v>
      </c>
      <c r="H561">
        <v>93056</v>
      </c>
      <c r="I561">
        <v>6305633</v>
      </c>
    </row>
    <row r="562" spans="1:9">
      <c r="A562" s="2">
        <v>1955</v>
      </c>
      <c r="B562">
        <v>3</v>
      </c>
      <c r="C562">
        <v>1.08E-3</v>
      </c>
      <c r="D562">
        <v>1.08E-3</v>
      </c>
      <c r="E562">
        <v>0.5</v>
      </c>
      <c r="F562">
        <v>92968</v>
      </c>
      <c r="G562">
        <v>101</v>
      </c>
      <c r="H562">
        <v>92918</v>
      </c>
      <c r="I562">
        <v>6212577</v>
      </c>
    </row>
    <row r="563" spans="1:9">
      <c r="A563" s="2">
        <v>1955</v>
      </c>
      <c r="B563">
        <v>4</v>
      </c>
      <c r="C563">
        <v>9.2000000000000003E-4</v>
      </c>
      <c r="D563">
        <v>9.2000000000000003E-4</v>
      </c>
      <c r="E563">
        <v>0.5</v>
      </c>
      <c r="F563">
        <v>92868</v>
      </c>
      <c r="G563">
        <v>85</v>
      </c>
      <c r="H563">
        <v>92825</v>
      </c>
      <c r="I563">
        <v>6119659</v>
      </c>
    </row>
    <row r="564" spans="1:9">
      <c r="A564" s="2">
        <v>1955</v>
      </c>
      <c r="B564">
        <v>5</v>
      </c>
      <c r="C564">
        <v>7.3999999999999999E-4</v>
      </c>
      <c r="D564">
        <v>7.3999999999999999E-4</v>
      </c>
      <c r="E564">
        <v>0.5</v>
      </c>
      <c r="F564">
        <v>92782</v>
      </c>
      <c r="G564">
        <v>68</v>
      </c>
      <c r="H564">
        <v>92748</v>
      </c>
      <c r="I564">
        <v>6026834</v>
      </c>
    </row>
    <row r="565" spans="1:9">
      <c r="A565" s="2">
        <v>1955</v>
      </c>
      <c r="B565">
        <v>6</v>
      </c>
      <c r="C565">
        <v>8.0000000000000004E-4</v>
      </c>
      <c r="D565">
        <v>8.0000000000000004E-4</v>
      </c>
      <c r="E565">
        <v>0.5</v>
      </c>
      <c r="F565">
        <v>92714</v>
      </c>
      <c r="G565">
        <v>74</v>
      </c>
      <c r="H565">
        <v>92677</v>
      </c>
      <c r="I565">
        <v>5934086</v>
      </c>
    </row>
    <row r="566" spans="1:9">
      <c r="A566" s="2">
        <v>1955</v>
      </c>
      <c r="B566">
        <v>7</v>
      </c>
      <c r="C566">
        <v>6.3000000000000003E-4</v>
      </c>
      <c r="D566">
        <v>6.3000000000000003E-4</v>
      </c>
      <c r="E566">
        <v>0.5</v>
      </c>
      <c r="F566">
        <v>92640</v>
      </c>
      <c r="G566">
        <v>59</v>
      </c>
      <c r="H566">
        <v>92611</v>
      </c>
      <c r="I566">
        <v>5841409</v>
      </c>
    </row>
    <row r="567" spans="1:9">
      <c r="A567" s="2">
        <v>1955</v>
      </c>
      <c r="B567">
        <v>8</v>
      </c>
      <c r="C567">
        <v>6.8000000000000005E-4</v>
      </c>
      <c r="D567">
        <v>6.8000000000000005E-4</v>
      </c>
      <c r="E567">
        <v>0.5</v>
      </c>
      <c r="F567">
        <v>92581</v>
      </c>
      <c r="G567">
        <v>63</v>
      </c>
      <c r="H567">
        <v>92550</v>
      </c>
      <c r="I567">
        <v>5748799</v>
      </c>
    </row>
    <row r="568" spans="1:9">
      <c r="A568" s="2">
        <v>1955</v>
      </c>
      <c r="B568">
        <v>9</v>
      </c>
      <c r="C568">
        <v>7.2999999999999996E-4</v>
      </c>
      <c r="D568">
        <v>7.2999999999999996E-4</v>
      </c>
      <c r="E568">
        <v>0.5</v>
      </c>
      <c r="F568">
        <v>92518</v>
      </c>
      <c r="G568">
        <v>68</v>
      </c>
      <c r="H568">
        <v>92484</v>
      </c>
      <c r="I568">
        <v>5656249</v>
      </c>
    </row>
    <row r="569" spans="1:9">
      <c r="A569" s="2">
        <v>1955</v>
      </c>
      <c r="B569">
        <v>10</v>
      </c>
      <c r="C569">
        <v>6.9999999999999999E-4</v>
      </c>
      <c r="D569">
        <v>6.9999999999999999E-4</v>
      </c>
      <c r="E569">
        <v>0.5</v>
      </c>
      <c r="F569">
        <v>92451</v>
      </c>
      <c r="G569">
        <v>64</v>
      </c>
      <c r="H569">
        <v>92418</v>
      </c>
      <c r="I569">
        <v>5563764</v>
      </c>
    </row>
    <row r="570" spans="1:9">
      <c r="A570" s="2">
        <v>1955</v>
      </c>
      <c r="B570">
        <v>11</v>
      </c>
      <c r="C570">
        <v>7.1000000000000002E-4</v>
      </c>
      <c r="D570">
        <v>7.1000000000000002E-4</v>
      </c>
      <c r="E570">
        <v>0.5</v>
      </c>
      <c r="F570">
        <v>92386</v>
      </c>
      <c r="G570">
        <v>65</v>
      </c>
      <c r="H570">
        <v>92354</v>
      </c>
      <c r="I570">
        <v>5471346</v>
      </c>
    </row>
    <row r="571" spans="1:9">
      <c r="A571" s="2">
        <v>1955</v>
      </c>
      <c r="B571">
        <v>12</v>
      </c>
      <c r="C571">
        <v>6.4999999999999997E-4</v>
      </c>
      <c r="D571">
        <v>6.4999999999999997E-4</v>
      </c>
      <c r="E571">
        <v>0.5</v>
      </c>
      <c r="F571">
        <v>92321</v>
      </c>
      <c r="G571">
        <v>60</v>
      </c>
      <c r="H571">
        <v>92291</v>
      </c>
      <c r="I571">
        <v>5378992</v>
      </c>
    </row>
    <row r="572" spans="1:9">
      <c r="A572" s="2">
        <v>1955</v>
      </c>
      <c r="B572">
        <v>13</v>
      </c>
      <c r="C572">
        <v>6.8000000000000005E-4</v>
      </c>
      <c r="D572">
        <v>6.8000000000000005E-4</v>
      </c>
      <c r="E572">
        <v>0.5</v>
      </c>
      <c r="F572">
        <v>92261</v>
      </c>
      <c r="G572">
        <v>62</v>
      </c>
      <c r="H572">
        <v>92230</v>
      </c>
      <c r="I572">
        <v>5286701</v>
      </c>
    </row>
    <row r="573" spans="1:9">
      <c r="A573" s="2">
        <v>1955</v>
      </c>
      <c r="B573">
        <v>14</v>
      </c>
      <c r="C573">
        <v>8.0999999999999996E-4</v>
      </c>
      <c r="D573">
        <v>8.0999999999999996E-4</v>
      </c>
      <c r="E573">
        <v>0.5</v>
      </c>
      <c r="F573">
        <v>92199</v>
      </c>
      <c r="G573">
        <v>75</v>
      </c>
      <c r="H573">
        <v>92161</v>
      </c>
      <c r="I573">
        <v>5194471</v>
      </c>
    </row>
    <row r="574" spans="1:9">
      <c r="A574" s="2">
        <v>1955</v>
      </c>
      <c r="B574">
        <v>15</v>
      </c>
      <c r="C574">
        <v>8.8000000000000003E-4</v>
      </c>
      <c r="D574">
        <v>8.8000000000000003E-4</v>
      </c>
      <c r="E574">
        <v>0.5</v>
      </c>
      <c r="F574">
        <v>92124</v>
      </c>
      <c r="G574">
        <v>81</v>
      </c>
      <c r="H574">
        <v>92084</v>
      </c>
      <c r="I574">
        <v>5102310</v>
      </c>
    </row>
    <row r="575" spans="1:9">
      <c r="A575" s="2">
        <v>1955</v>
      </c>
      <c r="B575">
        <v>16</v>
      </c>
      <c r="C575">
        <v>1.1000000000000001E-3</v>
      </c>
      <c r="D575">
        <v>1.1000000000000001E-3</v>
      </c>
      <c r="E575">
        <v>0.5</v>
      </c>
      <c r="F575">
        <v>92043</v>
      </c>
      <c r="G575">
        <v>101</v>
      </c>
      <c r="H575">
        <v>91993</v>
      </c>
      <c r="I575">
        <v>5010226</v>
      </c>
    </row>
    <row r="576" spans="1:9">
      <c r="A576" s="2">
        <v>1955</v>
      </c>
      <c r="B576">
        <v>17</v>
      </c>
      <c r="C576">
        <v>1.31E-3</v>
      </c>
      <c r="D576">
        <v>1.31E-3</v>
      </c>
      <c r="E576">
        <v>0.5</v>
      </c>
      <c r="F576">
        <v>91942</v>
      </c>
      <c r="G576">
        <v>120</v>
      </c>
      <c r="H576">
        <v>91882</v>
      </c>
      <c r="I576">
        <v>4918234</v>
      </c>
    </row>
    <row r="577" spans="1:9">
      <c r="A577" s="2">
        <v>1955</v>
      </c>
      <c r="B577">
        <v>18</v>
      </c>
      <c r="C577">
        <v>1.5E-3</v>
      </c>
      <c r="D577">
        <v>1.5E-3</v>
      </c>
      <c r="E577">
        <v>0.5</v>
      </c>
      <c r="F577">
        <v>91822</v>
      </c>
      <c r="G577">
        <v>138</v>
      </c>
      <c r="H577">
        <v>91753</v>
      </c>
      <c r="I577">
        <v>4826352</v>
      </c>
    </row>
    <row r="578" spans="1:9">
      <c r="A578" s="2">
        <v>1955</v>
      </c>
      <c r="B578">
        <v>19</v>
      </c>
      <c r="C578">
        <v>1.4300000000000001E-3</v>
      </c>
      <c r="D578">
        <v>1.4300000000000001E-3</v>
      </c>
      <c r="E578">
        <v>0.5</v>
      </c>
      <c r="F578">
        <v>91684</v>
      </c>
      <c r="G578">
        <v>131</v>
      </c>
      <c r="H578">
        <v>91618</v>
      </c>
      <c r="I578">
        <v>4734599</v>
      </c>
    </row>
    <row r="579" spans="1:9">
      <c r="A579" s="2">
        <v>1955</v>
      </c>
      <c r="B579">
        <v>20</v>
      </c>
      <c r="C579">
        <v>1.65E-3</v>
      </c>
      <c r="D579">
        <v>1.64E-3</v>
      </c>
      <c r="E579">
        <v>0.5</v>
      </c>
      <c r="F579">
        <v>91553</v>
      </c>
      <c r="G579">
        <v>150</v>
      </c>
      <c r="H579">
        <v>91478</v>
      </c>
      <c r="I579">
        <v>4642981</v>
      </c>
    </row>
    <row r="580" spans="1:9">
      <c r="A580" s="2">
        <v>1955</v>
      </c>
      <c r="B580">
        <v>21</v>
      </c>
      <c r="C580">
        <v>1.89E-3</v>
      </c>
      <c r="D580">
        <v>1.89E-3</v>
      </c>
      <c r="E580">
        <v>0.5</v>
      </c>
      <c r="F580">
        <v>91402</v>
      </c>
      <c r="G580">
        <v>173</v>
      </c>
      <c r="H580">
        <v>91316</v>
      </c>
      <c r="I580">
        <v>4551503</v>
      </c>
    </row>
    <row r="581" spans="1:9">
      <c r="A581" s="2">
        <v>1955</v>
      </c>
      <c r="B581">
        <v>22</v>
      </c>
      <c r="C581">
        <v>1.6199999999999999E-3</v>
      </c>
      <c r="D581">
        <v>1.6199999999999999E-3</v>
      </c>
      <c r="E581">
        <v>0.5</v>
      </c>
      <c r="F581">
        <v>91230</v>
      </c>
      <c r="G581">
        <v>148</v>
      </c>
      <c r="H581">
        <v>91156</v>
      </c>
      <c r="I581">
        <v>4460187</v>
      </c>
    </row>
    <row r="582" spans="1:9">
      <c r="A582" s="2">
        <v>1955</v>
      </c>
      <c r="B582">
        <v>23</v>
      </c>
      <c r="C582">
        <v>1.6999999999999999E-3</v>
      </c>
      <c r="D582">
        <v>1.6999999999999999E-3</v>
      </c>
      <c r="E582">
        <v>0.5</v>
      </c>
      <c r="F582">
        <v>91082</v>
      </c>
      <c r="G582">
        <v>155</v>
      </c>
      <c r="H582">
        <v>91004</v>
      </c>
      <c r="I582">
        <v>4369032</v>
      </c>
    </row>
    <row r="583" spans="1:9">
      <c r="A583" s="2">
        <v>1955</v>
      </c>
      <c r="B583">
        <v>24</v>
      </c>
      <c r="C583">
        <v>1.5E-3</v>
      </c>
      <c r="D583">
        <v>1.5E-3</v>
      </c>
      <c r="E583">
        <v>0.5</v>
      </c>
      <c r="F583">
        <v>90927</v>
      </c>
      <c r="G583">
        <v>137</v>
      </c>
      <c r="H583">
        <v>90858</v>
      </c>
      <c r="I583">
        <v>4278027</v>
      </c>
    </row>
    <row r="584" spans="1:9">
      <c r="A584" s="2">
        <v>1955</v>
      </c>
      <c r="B584">
        <v>25</v>
      </c>
      <c r="C584">
        <v>1.81E-3</v>
      </c>
      <c r="D584">
        <v>1.8E-3</v>
      </c>
      <c r="E584">
        <v>0.5</v>
      </c>
      <c r="F584">
        <v>90790</v>
      </c>
      <c r="G584">
        <v>164</v>
      </c>
      <c r="H584">
        <v>90708</v>
      </c>
      <c r="I584">
        <v>4187169</v>
      </c>
    </row>
    <row r="585" spans="1:9">
      <c r="A585" s="2">
        <v>1955</v>
      </c>
      <c r="B585">
        <v>26</v>
      </c>
      <c r="C585">
        <v>1.9E-3</v>
      </c>
      <c r="D585">
        <v>1.9E-3</v>
      </c>
      <c r="E585">
        <v>0.5</v>
      </c>
      <c r="F585">
        <v>90626</v>
      </c>
      <c r="G585">
        <v>172</v>
      </c>
      <c r="H585">
        <v>90540</v>
      </c>
      <c r="I585">
        <v>4096461</v>
      </c>
    </row>
    <row r="586" spans="1:9">
      <c r="A586" s="2">
        <v>1955</v>
      </c>
      <c r="B586">
        <v>27</v>
      </c>
      <c r="C586">
        <v>1.9400000000000001E-3</v>
      </c>
      <c r="D586">
        <v>1.9400000000000001E-3</v>
      </c>
      <c r="E586">
        <v>0.5</v>
      </c>
      <c r="F586">
        <v>90454</v>
      </c>
      <c r="G586">
        <v>176</v>
      </c>
      <c r="H586">
        <v>90366</v>
      </c>
      <c r="I586">
        <v>4005921</v>
      </c>
    </row>
    <row r="587" spans="1:9">
      <c r="A587" s="2">
        <v>1955</v>
      </c>
      <c r="B587">
        <v>28</v>
      </c>
      <c r="C587">
        <v>1.97E-3</v>
      </c>
      <c r="D587">
        <v>1.9599999999999999E-3</v>
      </c>
      <c r="E587">
        <v>0.5</v>
      </c>
      <c r="F587">
        <v>90278</v>
      </c>
      <c r="G587">
        <v>177</v>
      </c>
      <c r="H587">
        <v>90190</v>
      </c>
      <c r="I587">
        <v>3915554</v>
      </c>
    </row>
    <row r="588" spans="1:9">
      <c r="A588" s="2">
        <v>1955</v>
      </c>
      <c r="B588">
        <v>29</v>
      </c>
      <c r="C588">
        <v>2.1199999999999999E-3</v>
      </c>
      <c r="D588">
        <v>2.1099999999999999E-3</v>
      </c>
      <c r="E588">
        <v>0.5</v>
      </c>
      <c r="F588">
        <v>90101</v>
      </c>
      <c r="G588">
        <v>191</v>
      </c>
      <c r="H588">
        <v>90006</v>
      </c>
      <c r="I588">
        <v>3825364</v>
      </c>
    </row>
    <row r="589" spans="1:9">
      <c r="A589" s="2">
        <v>1955</v>
      </c>
      <c r="B589">
        <v>30</v>
      </c>
      <c r="C589">
        <v>1.72E-3</v>
      </c>
      <c r="D589">
        <v>1.72E-3</v>
      </c>
      <c r="E589">
        <v>0.5</v>
      </c>
      <c r="F589">
        <v>89911</v>
      </c>
      <c r="G589">
        <v>154</v>
      </c>
      <c r="H589">
        <v>89834</v>
      </c>
      <c r="I589">
        <v>3735358</v>
      </c>
    </row>
    <row r="590" spans="1:9">
      <c r="A590" s="2">
        <v>1955</v>
      </c>
      <c r="B590">
        <v>31</v>
      </c>
      <c r="C590">
        <v>2.0400000000000001E-3</v>
      </c>
      <c r="D590">
        <v>2.0300000000000001E-3</v>
      </c>
      <c r="E590">
        <v>0.5</v>
      </c>
      <c r="F590">
        <v>89756</v>
      </c>
      <c r="G590">
        <v>183</v>
      </c>
      <c r="H590">
        <v>89665</v>
      </c>
      <c r="I590">
        <v>3645525</v>
      </c>
    </row>
    <row r="591" spans="1:9">
      <c r="A591" s="2">
        <v>1955</v>
      </c>
      <c r="B591">
        <v>32</v>
      </c>
      <c r="C591">
        <v>1.8500000000000001E-3</v>
      </c>
      <c r="D591">
        <v>1.8500000000000001E-3</v>
      </c>
      <c r="E591">
        <v>0.5</v>
      </c>
      <c r="F591">
        <v>89574</v>
      </c>
      <c r="G591">
        <v>166</v>
      </c>
      <c r="H591">
        <v>89491</v>
      </c>
      <c r="I591">
        <v>3555860</v>
      </c>
    </row>
    <row r="592" spans="1:9">
      <c r="A592" s="2">
        <v>1955</v>
      </c>
      <c r="B592">
        <v>33</v>
      </c>
      <c r="C592">
        <v>2.3700000000000001E-3</v>
      </c>
      <c r="D592">
        <v>2.3700000000000001E-3</v>
      </c>
      <c r="E592">
        <v>0.5</v>
      </c>
      <c r="F592">
        <v>89408</v>
      </c>
      <c r="G592">
        <v>211</v>
      </c>
      <c r="H592">
        <v>89302</v>
      </c>
      <c r="I592">
        <v>3466369</v>
      </c>
    </row>
    <row r="593" spans="1:9">
      <c r="A593" s="2">
        <v>1955</v>
      </c>
      <c r="B593">
        <v>34</v>
      </c>
      <c r="C593">
        <v>2.1199999999999999E-3</v>
      </c>
      <c r="D593">
        <v>2.1199999999999999E-3</v>
      </c>
      <c r="E593">
        <v>0.5</v>
      </c>
      <c r="F593">
        <v>89197</v>
      </c>
      <c r="G593">
        <v>189</v>
      </c>
      <c r="H593">
        <v>89102</v>
      </c>
      <c r="I593">
        <v>3377067</v>
      </c>
    </row>
    <row r="594" spans="1:9">
      <c r="A594" s="2">
        <v>1955</v>
      </c>
      <c r="B594">
        <v>35</v>
      </c>
      <c r="C594">
        <v>2.4599999999999999E-3</v>
      </c>
      <c r="D594">
        <v>2.4599999999999999E-3</v>
      </c>
      <c r="E594">
        <v>0.5</v>
      </c>
      <c r="F594">
        <v>89008</v>
      </c>
      <c r="G594">
        <v>219</v>
      </c>
      <c r="H594">
        <v>88898</v>
      </c>
      <c r="I594">
        <v>3287964</v>
      </c>
    </row>
    <row r="595" spans="1:9">
      <c r="A595" s="2">
        <v>1955</v>
      </c>
      <c r="B595">
        <v>36</v>
      </c>
      <c r="C595">
        <v>2.1199999999999999E-3</v>
      </c>
      <c r="D595">
        <v>2.1199999999999999E-3</v>
      </c>
      <c r="E595">
        <v>0.5</v>
      </c>
      <c r="F595">
        <v>88789</v>
      </c>
      <c r="G595">
        <v>188</v>
      </c>
      <c r="H595">
        <v>88695</v>
      </c>
      <c r="I595">
        <v>3199066</v>
      </c>
    </row>
    <row r="596" spans="1:9">
      <c r="A596" s="2">
        <v>1955</v>
      </c>
      <c r="B596">
        <v>37</v>
      </c>
      <c r="C596">
        <v>2.5999999999999999E-3</v>
      </c>
      <c r="D596">
        <v>2.5999999999999999E-3</v>
      </c>
      <c r="E596">
        <v>0.5</v>
      </c>
      <c r="F596">
        <v>88601</v>
      </c>
      <c r="G596">
        <v>230</v>
      </c>
      <c r="H596">
        <v>88486</v>
      </c>
      <c r="I596">
        <v>3110372</v>
      </c>
    </row>
    <row r="597" spans="1:9">
      <c r="A597" s="2">
        <v>1955</v>
      </c>
      <c r="B597">
        <v>38</v>
      </c>
      <c r="C597">
        <v>2.47E-3</v>
      </c>
      <c r="D597">
        <v>2.4599999999999999E-3</v>
      </c>
      <c r="E597">
        <v>0.5</v>
      </c>
      <c r="F597">
        <v>88371</v>
      </c>
      <c r="G597">
        <v>218</v>
      </c>
      <c r="H597">
        <v>88262</v>
      </c>
      <c r="I597">
        <v>3021886</v>
      </c>
    </row>
    <row r="598" spans="1:9">
      <c r="A598" s="2">
        <v>1955</v>
      </c>
      <c r="B598">
        <v>39</v>
      </c>
      <c r="C598">
        <v>2.5000000000000001E-3</v>
      </c>
      <c r="D598">
        <v>2.5000000000000001E-3</v>
      </c>
      <c r="E598">
        <v>0.5</v>
      </c>
      <c r="F598">
        <v>88153</v>
      </c>
      <c r="G598">
        <v>220</v>
      </c>
      <c r="H598">
        <v>88043</v>
      </c>
      <c r="I598">
        <v>2933624</v>
      </c>
    </row>
    <row r="599" spans="1:9">
      <c r="A599" s="2">
        <v>1955</v>
      </c>
      <c r="B599">
        <v>40</v>
      </c>
      <c r="C599">
        <v>3.31E-3</v>
      </c>
      <c r="D599">
        <v>3.3E-3</v>
      </c>
      <c r="E599">
        <v>0.5</v>
      </c>
      <c r="F599">
        <v>87932</v>
      </c>
      <c r="G599">
        <v>291</v>
      </c>
      <c r="H599">
        <v>87787</v>
      </c>
      <c r="I599">
        <v>2845582</v>
      </c>
    </row>
    <row r="600" spans="1:9">
      <c r="A600" s="2">
        <v>1955</v>
      </c>
      <c r="B600">
        <v>41</v>
      </c>
      <c r="C600">
        <v>3.1900000000000001E-3</v>
      </c>
      <c r="D600">
        <v>3.1900000000000001E-3</v>
      </c>
      <c r="E600">
        <v>0.5</v>
      </c>
      <c r="F600">
        <v>87642</v>
      </c>
      <c r="G600">
        <v>279</v>
      </c>
      <c r="H600">
        <v>87502</v>
      </c>
      <c r="I600">
        <v>2757795</v>
      </c>
    </row>
    <row r="601" spans="1:9">
      <c r="A601" s="2">
        <v>1955</v>
      </c>
      <c r="B601">
        <v>42</v>
      </c>
      <c r="C601">
        <v>3.3800000000000002E-3</v>
      </c>
      <c r="D601">
        <v>3.3700000000000002E-3</v>
      </c>
      <c r="E601">
        <v>0.5</v>
      </c>
      <c r="F601">
        <v>87363</v>
      </c>
      <c r="G601">
        <v>295</v>
      </c>
      <c r="H601">
        <v>87215</v>
      </c>
      <c r="I601">
        <v>2670293</v>
      </c>
    </row>
    <row r="602" spans="1:9">
      <c r="A602" s="2">
        <v>1955</v>
      </c>
      <c r="B602">
        <v>43</v>
      </c>
      <c r="C602">
        <v>3.5899999999999999E-3</v>
      </c>
      <c r="D602">
        <v>3.5899999999999999E-3</v>
      </c>
      <c r="E602">
        <v>0.5</v>
      </c>
      <c r="F602">
        <v>87068</v>
      </c>
      <c r="G602">
        <v>312</v>
      </c>
      <c r="H602">
        <v>86912</v>
      </c>
      <c r="I602">
        <v>2583077</v>
      </c>
    </row>
    <row r="603" spans="1:9">
      <c r="A603" s="2">
        <v>1955</v>
      </c>
      <c r="B603">
        <v>44</v>
      </c>
      <c r="C603">
        <v>4.0000000000000001E-3</v>
      </c>
      <c r="D603">
        <v>4.0000000000000001E-3</v>
      </c>
      <c r="E603">
        <v>0.5</v>
      </c>
      <c r="F603">
        <v>86756</v>
      </c>
      <c r="G603">
        <v>347</v>
      </c>
      <c r="H603">
        <v>86582</v>
      </c>
      <c r="I603">
        <v>2496166</v>
      </c>
    </row>
    <row r="604" spans="1:9">
      <c r="A604" s="2">
        <v>1955</v>
      </c>
      <c r="B604">
        <v>45</v>
      </c>
      <c r="C604">
        <v>5.0200000000000002E-3</v>
      </c>
      <c r="D604">
        <v>5.0099999999999997E-3</v>
      </c>
      <c r="E604">
        <v>0.5</v>
      </c>
      <c r="F604">
        <v>86409</v>
      </c>
      <c r="G604">
        <v>433</v>
      </c>
      <c r="H604">
        <v>86193</v>
      </c>
      <c r="I604">
        <v>2409583</v>
      </c>
    </row>
    <row r="605" spans="1:9">
      <c r="A605" s="2">
        <v>1955</v>
      </c>
      <c r="B605">
        <v>46</v>
      </c>
      <c r="C605">
        <v>5.5799999999999999E-3</v>
      </c>
      <c r="D605">
        <v>5.5700000000000003E-3</v>
      </c>
      <c r="E605">
        <v>0.5</v>
      </c>
      <c r="F605">
        <v>85976</v>
      </c>
      <c r="G605">
        <v>479</v>
      </c>
      <c r="H605">
        <v>85737</v>
      </c>
      <c r="I605">
        <v>2323391</v>
      </c>
    </row>
    <row r="606" spans="1:9">
      <c r="A606" s="2">
        <v>1955</v>
      </c>
      <c r="B606">
        <v>47</v>
      </c>
      <c r="C606">
        <v>6.0699999999999999E-3</v>
      </c>
      <c r="D606">
        <v>6.0499999999999998E-3</v>
      </c>
      <c r="E606">
        <v>0.5</v>
      </c>
      <c r="F606">
        <v>85498</v>
      </c>
      <c r="G606">
        <v>517</v>
      </c>
      <c r="H606">
        <v>85239</v>
      </c>
      <c r="I606">
        <v>2237654</v>
      </c>
    </row>
    <row r="607" spans="1:9">
      <c r="A607" s="2">
        <v>1955</v>
      </c>
      <c r="B607">
        <v>48</v>
      </c>
      <c r="C607">
        <v>6.2300000000000003E-3</v>
      </c>
      <c r="D607">
        <v>6.2100000000000002E-3</v>
      </c>
      <c r="E607">
        <v>0.5</v>
      </c>
      <c r="F607">
        <v>84980</v>
      </c>
      <c r="G607">
        <v>528</v>
      </c>
      <c r="H607">
        <v>84716</v>
      </c>
      <c r="I607">
        <v>2152415</v>
      </c>
    </row>
    <row r="608" spans="1:9">
      <c r="A608" s="2">
        <v>1955</v>
      </c>
      <c r="B608">
        <v>49</v>
      </c>
      <c r="C608">
        <v>6.5799999999999999E-3</v>
      </c>
      <c r="D608">
        <v>6.5599999999999999E-3</v>
      </c>
      <c r="E608">
        <v>0.5</v>
      </c>
      <c r="F608">
        <v>84452</v>
      </c>
      <c r="G608">
        <v>554</v>
      </c>
      <c r="H608">
        <v>84175</v>
      </c>
      <c r="I608">
        <v>2067698</v>
      </c>
    </row>
    <row r="609" spans="1:9">
      <c r="A609" s="2">
        <v>1955</v>
      </c>
      <c r="B609">
        <v>50</v>
      </c>
      <c r="C609">
        <v>7.7499999999999999E-3</v>
      </c>
      <c r="D609">
        <v>7.7200000000000003E-3</v>
      </c>
      <c r="E609">
        <v>0.5</v>
      </c>
      <c r="F609">
        <v>83899</v>
      </c>
      <c r="G609">
        <v>648</v>
      </c>
      <c r="H609">
        <v>83575</v>
      </c>
      <c r="I609">
        <v>1983523</v>
      </c>
    </row>
    <row r="610" spans="1:9">
      <c r="A610" s="2">
        <v>1955</v>
      </c>
      <c r="B610">
        <v>51</v>
      </c>
      <c r="C610">
        <v>7.77E-3</v>
      </c>
      <c r="D610">
        <v>7.7400000000000004E-3</v>
      </c>
      <c r="E610">
        <v>0.5</v>
      </c>
      <c r="F610">
        <v>83251</v>
      </c>
      <c r="G610">
        <v>645</v>
      </c>
      <c r="H610">
        <v>82929</v>
      </c>
      <c r="I610">
        <v>1899948</v>
      </c>
    </row>
    <row r="611" spans="1:9">
      <c r="A611" s="2">
        <v>1955</v>
      </c>
      <c r="B611">
        <v>52</v>
      </c>
      <c r="C611">
        <v>9.1299999999999992E-3</v>
      </c>
      <c r="D611">
        <v>9.0799999999999995E-3</v>
      </c>
      <c r="E611">
        <v>0.5</v>
      </c>
      <c r="F611">
        <v>82606</v>
      </c>
      <c r="G611">
        <v>750</v>
      </c>
      <c r="H611">
        <v>82231</v>
      </c>
      <c r="I611">
        <v>1817020</v>
      </c>
    </row>
    <row r="612" spans="1:9">
      <c r="A612" s="2">
        <v>1955</v>
      </c>
      <c r="B612">
        <v>53</v>
      </c>
      <c r="C612">
        <v>1.021E-2</v>
      </c>
      <c r="D612">
        <v>1.0160000000000001E-2</v>
      </c>
      <c r="E612">
        <v>0.5</v>
      </c>
      <c r="F612">
        <v>81856</v>
      </c>
      <c r="G612">
        <v>832</v>
      </c>
      <c r="H612">
        <v>81440</v>
      </c>
      <c r="I612">
        <v>1734788</v>
      </c>
    </row>
    <row r="613" spans="1:9">
      <c r="A613" s="2">
        <v>1955</v>
      </c>
      <c r="B613">
        <v>54</v>
      </c>
      <c r="C613">
        <v>1.1270000000000001E-2</v>
      </c>
      <c r="D613">
        <v>1.12E-2</v>
      </c>
      <c r="E613">
        <v>0.5</v>
      </c>
      <c r="F613">
        <v>81024</v>
      </c>
      <c r="G613">
        <v>908</v>
      </c>
      <c r="H613">
        <v>80570</v>
      </c>
      <c r="I613">
        <v>1653348</v>
      </c>
    </row>
    <row r="614" spans="1:9">
      <c r="A614" s="2">
        <v>1955</v>
      </c>
      <c r="B614">
        <v>55</v>
      </c>
      <c r="C614">
        <v>1.244E-2</v>
      </c>
      <c r="D614">
        <v>1.2359999999999999E-2</v>
      </c>
      <c r="E614">
        <v>0.5</v>
      </c>
      <c r="F614">
        <v>80116</v>
      </c>
      <c r="G614">
        <v>990</v>
      </c>
      <c r="H614">
        <v>79621</v>
      </c>
      <c r="I614">
        <v>1572778</v>
      </c>
    </row>
    <row r="615" spans="1:9">
      <c r="A615" s="2">
        <v>1955</v>
      </c>
      <c r="B615">
        <v>56</v>
      </c>
      <c r="C615">
        <v>1.3650000000000001E-2</v>
      </c>
      <c r="D615">
        <v>1.3559999999999999E-2</v>
      </c>
      <c r="E615">
        <v>0.5</v>
      </c>
      <c r="F615">
        <v>79126</v>
      </c>
      <c r="G615">
        <v>1073</v>
      </c>
      <c r="H615">
        <v>78590</v>
      </c>
      <c r="I615">
        <v>1493157</v>
      </c>
    </row>
    <row r="616" spans="1:9">
      <c r="A616" s="2">
        <v>1955</v>
      </c>
      <c r="B616">
        <v>57</v>
      </c>
      <c r="C616">
        <v>1.498E-2</v>
      </c>
      <c r="D616">
        <v>1.486E-2</v>
      </c>
      <c r="E616">
        <v>0.5</v>
      </c>
      <c r="F616">
        <v>78053</v>
      </c>
      <c r="G616">
        <v>1160</v>
      </c>
      <c r="H616">
        <v>77473</v>
      </c>
      <c r="I616">
        <v>1414567</v>
      </c>
    </row>
    <row r="617" spans="1:9">
      <c r="A617" s="2">
        <v>1955</v>
      </c>
      <c r="B617">
        <v>58</v>
      </c>
      <c r="C617">
        <v>1.6719999999999999E-2</v>
      </c>
      <c r="D617">
        <v>1.6580000000000001E-2</v>
      </c>
      <c r="E617">
        <v>0.5</v>
      </c>
      <c r="F617">
        <v>76893</v>
      </c>
      <c r="G617">
        <v>1275</v>
      </c>
      <c r="H617">
        <v>76256</v>
      </c>
      <c r="I617">
        <v>1337094</v>
      </c>
    </row>
    <row r="618" spans="1:9">
      <c r="A618" s="2">
        <v>1955</v>
      </c>
      <c r="B618">
        <v>59</v>
      </c>
      <c r="C618">
        <v>1.8329999999999999E-2</v>
      </c>
      <c r="D618">
        <v>1.8169999999999999E-2</v>
      </c>
      <c r="E618">
        <v>0.5</v>
      </c>
      <c r="F618">
        <v>75618</v>
      </c>
      <c r="G618">
        <v>1374</v>
      </c>
      <c r="H618">
        <v>74931</v>
      </c>
      <c r="I618">
        <v>1260838</v>
      </c>
    </row>
    <row r="619" spans="1:9">
      <c r="A619" s="2">
        <v>1955</v>
      </c>
      <c r="B619">
        <v>60</v>
      </c>
      <c r="C619">
        <v>1.9910000000000001E-2</v>
      </c>
      <c r="D619">
        <v>1.9720000000000001E-2</v>
      </c>
      <c r="E619">
        <v>0.5</v>
      </c>
      <c r="F619">
        <v>74244</v>
      </c>
      <c r="G619">
        <v>1464</v>
      </c>
      <c r="H619">
        <v>73513</v>
      </c>
      <c r="I619">
        <v>1185907</v>
      </c>
    </row>
    <row r="620" spans="1:9">
      <c r="A620" s="2">
        <v>1955</v>
      </c>
      <c r="B620">
        <v>61</v>
      </c>
      <c r="C620">
        <v>2.0969999999999999E-2</v>
      </c>
      <c r="D620">
        <v>2.0760000000000001E-2</v>
      </c>
      <c r="E620">
        <v>0.5</v>
      </c>
      <c r="F620">
        <v>72781</v>
      </c>
      <c r="G620">
        <v>1511</v>
      </c>
      <c r="H620">
        <v>72025</v>
      </c>
      <c r="I620">
        <v>1112394</v>
      </c>
    </row>
    <row r="621" spans="1:9">
      <c r="A621" s="2">
        <v>1955</v>
      </c>
      <c r="B621">
        <v>62</v>
      </c>
      <c r="C621">
        <v>2.4219999999999998E-2</v>
      </c>
      <c r="D621">
        <v>2.393E-2</v>
      </c>
      <c r="E621">
        <v>0.5</v>
      </c>
      <c r="F621">
        <v>71270</v>
      </c>
      <c r="G621">
        <v>1705</v>
      </c>
      <c r="H621">
        <v>70417</v>
      </c>
      <c r="I621">
        <v>1040369</v>
      </c>
    </row>
    <row r="622" spans="1:9">
      <c r="A622" s="2">
        <v>1955</v>
      </c>
      <c r="B622">
        <v>63</v>
      </c>
      <c r="C622">
        <v>2.5590000000000002E-2</v>
      </c>
      <c r="D622">
        <v>2.5260000000000001E-2</v>
      </c>
      <c r="E622">
        <v>0.5</v>
      </c>
      <c r="F622">
        <v>69565</v>
      </c>
      <c r="G622">
        <v>1758</v>
      </c>
      <c r="H622">
        <v>68686</v>
      </c>
      <c r="I622">
        <v>969952</v>
      </c>
    </row>
    <row r="623" spans="1:9">
      <c r="A623" s="2">
        <v>1955</v>
      </c>
      <c r="B623">
        <v>64</v>
      </c>
      <c r="C623">
        <v>2.938E-2</v>
      </c>
      <c r="D623">
        <v>2.895E-2</v>
      </c>
      <c r="E623">
        <v>0.5</v>
      </c>
      <c r="F623">
        <v>67807</v>
      </c>
      <c r="G623">
        <v>1963</v>
      </c>
      <c r="H623">
        <v>66826</v>
      </c>
      <c r="I623">
        <v>901266</v>
      </c>
    </row>
    <row r="624" spans="1:9">
      <c r="A624" s="2">
        <v>1955</v>
      </c>
      <c r="B624">
        <v>65</v>
      </c>
      <c r="C624">
        <v>3.075E-2</v>
      </c>
      <c r="D624">
        <v>3.0290000000000001E-2</v>
      </c>
      <c r="E624">
        <v>0.5</v>
      </c>
      <c r="F624">
        <v>65844</v>
      </c>
      <c r="G624">
        <v>1994</v>
      </c>
      <c r="H624">
        <v>64847</v>
      </c>
      <c r="I624">
        <v>834440</v>
      </c>
    </row>
    <row r="625" spans="1:9">
      <c r="A625" s="2">
        <v>1955</v>
      </c>
      <c r="B625">
        <v>66</v>
      </c>
      <c r="C625">
        <v>3.4139999999999997E-2</v>
      </c>
      <c r="D625">
        <v>3.3570000000000003E-2</v>
      </c>
      <c r="E625">
        <v>0.5</v>
      </c>
      <c r="F625">
        <v>63850</v>
      </c>
      <c r="G625">
        <v>2143</v>
      </c>
      <c r="H625">
        <v>62778</v>
      </c>
      <c r="I625">
        <v>769593</v>
      </c>
    </row>
    <row r="626" spans="1:9">
      <c r="A626" s="2">
        <v>1955</v>
      </c>
      <c r="B626">
        <v>67</v>
      </c>
      <c r="C626">
        <v>3.6540000000000003E-2</v>
      </c>
      <c r="D626">
        <v>3.5889999999999998E-2</v>
      </c>
      <c r="E626">
        <v>0.5</v>
      </c>
      <c r="F626">
        <v>61707</v>
      </c>
      <c r="G626">
        <v>2215</v>
      </c>
      <c r="H626">
        <v>60599</v>
      </c>
      <c r="I626">
        <v>706815</v>
      </c>
    </row>
    <row r="627" spans="1:9">
      <c r="A627" s="2">
        <v>1955</v>
      </c>
      <c r="B627">
        <v>68</v>
      </c>
      <c r="C627">
        <v>4.1919999999999999E-2</v>
      </c>
      <c r="D627">
        <v>4.1059999999999999E-2</v>
      </c>
      <c r="E627">
        <v>0.5</v>
      </c>
      <c r="F627">
        <v>59492</v>
      </c>
      <c r="G627">
        <v>2442</v>
      </c>
      <c r="H627">
        <v>58271</v>
      </c>
      <c r="I627">
        <v>646216</v>
      </c>
    </row>
    <row r="628" spans="1:9">
      <c r="A628" s="2">
        <v>1955</v>
      </c>
      <c r="B628">
        <v>69</v>
      </c>
      <c r="C628">
        <v>4.4859999999999997E-2</v>
      </c>
      <c r="D628">
        <v>4.3880000000000002E-2</v>
      </c>
      <c r="E628">
        <v>0.5</v>
      </c>
      <c r="F628">
        <v>57050</v>
      </c>
      <c r="G628">
        <v>2503</v>
      </c>
      <c r="H628">
        <v>55798</v>
      </c>
      <c r="I628">
        <v>587945</v>
      </c>
    </row>
    <row r="629" spans="1:9">
      <c r="A629" s="2">
        <v>1955</v>
      </c>
      <c r="B629">
        <v>70</v>
      </c>
      <c r="C629">
        <v>4.7370000000000002E-2</v>
      </c>
      <c r="D629">
        <v>4.6280000000000002E-2</v>
      </c>
      <c r="E629">
        <v>0.5</v>
      </c>
      <c r="F629">
        <v>54546</v>
      </c>
      <c r="G629">
        <v>2524</v>
      </c>
      <c r="H629">
        <v>53284</v>
      </c>
      <c r="I629">
        <v>532147</v>
      </c>
    </row>
    <row r="630" spans="1:9">
      <c r="A630" s="2">
        <v>1955</v>
      </c>
      <c r="B630">
        <v>71</v>
      </c>
      <c r="C630">
        <v>5.4699999999999999E-2</v>
      </c>
      <c r="D630">
        <v>5.3240000000000003E-2</v>
      </c>
      <c r="E630">
        <v>0.5</v>
      </c>
      <c r="F630">
        <v>52022</v>
      </c>
      <c r="G630">
        <v>2770</v>
      </c>
      <c r="H630">
        <v>50637</v>
      </c>
      <c r="I630">
        <v>478863</v>
      </c>
    </row>
    <row r="631" spans="1:9">
      <c r="A631" s="2">
        <v>1955</v>
      </c>
      <c r="B631">
        <v>72</v>
      </c>
      <c r="C631">
        <v>5.8180000000000003E-2</v>
      </c>
      <c r="D631">
        <v>5.654E-2</v>
      </c>
      <c r="E631">
        <v>0.5</v>
      </c>
      <c r="F631">
        <v>49252</v>
      </c>
      <c r="G631">
        <v>2785</v>
      </c>
      <c r="H631">
        <v>47860</v>
      </c>
      <c r="I631">
        <v>428226</v>
      </c>
    </row>
    <row r="632" spans="1:9">
      <c r="A632" s="2">
        <v>1955</v>
      </c>
      <c r="B632">
        <v>73</v>
      </c>
      <c r="C632">
        <v>6.4960000000000004E-2</v>
      </c>
      <c r="D632">
        <v>6.2920000000000004E-2</v>
      </c>
      <c r="E632">
        <v>0.5</v>
      </c>
      <c r="F632">
        <v>46468</v>
      </c>
      <c r="G632">
        <v>2924</v>
      </c>
      <c r="H632">
        <v>45006</v>
      </c>
      <c r="I632">
        <v>380366</v>
      </c>
    </row>
    <row r="633" spans="1:9">
      <c r="A633" s="2">
        <v>1955</v>
      </c>
      <c r="B633">
        <v>74</v>
      </c>
      <c r="C633">
        <v>7.0699999999999999E-2</v>
      </c>
      <c r="D633">
        <v>6.8279999999999993E-2</v>
      </c>
      <c r="E633">
        <v>0.5</v>
      </c>
      <c r="F633">
        <v>43544</v>
      </c>
      <c r="G633">
        <v>2973</v>
      </c>
      <c r="H633">
        <v>42057</v>
      </c>
      <c r="I633">
        <v>335360</v>
      </c>
    </row>
    <row r="634" spans="1:9">
      <c r="A634" s="2">
        <v>1955</v>
      </c>
      <c r="B634">
        <v>75</v>
      </c>
      <c r="C634">
        <v>8.0250000000000002E-2</v>
      </c>
      <c r="D634">
        <v>7.7149999999999996E-2</v>
      </c>
      <c r="E634">
        <v>0.5</v>
      </c>
      <c r="F634">
        <v>40571</v>
      </c>
      <c r="G634">
        <v>3130</v>
      </c>
      <c r="H634">
        <v>39006</v>
      </c>
      <c r="I634">
        <v>293303</v>
      </c>
    </row>
    <row r="635" spans="1:9">
      <c r="A635" s="2">
        <v>1955</v>
      </c>
      <c r="B635">
        <v>76</v>
      </c>
      <c r="C635">
        <v>9.0759999999999993E-2</v>
      </c>
      <c r="D635">
        <v>8.6819999999999994E-2</v>
      </c>
      <c r="E635">
        <v>0.5</v>
      </c>
      <c r="F635">
        <v>37440</v>
      </c>
      <c r="G635">
        <v>3250</v>
      </c>
      <c r="H635">
        <v>35815</v>
      </c>
      <c r="I635">
        <v>254297</v>
      </c>
    </row>
    <row r="636" spans="1:9">
      <c r="A636" s="2">
        <v>1955</v>
      </c>
      <c r="B636">
        <v>77</v>
      </c>
      <c r="C636">
        <v>9.357E-2</v>
      </c>
      <c r="D636">
        <v>8.9389999999999997E-2</v>
      </c>
      <c r="E636">
        <v>0.5</v>
      </c>
      <c r="F636">
        <v>34190</v>
      </c>
      <c r="G636">
        <v>3056</v>
      </c>
      <c r="H636">
        <v>32662</v>
      </c>
      <c r="I636">
        <v>218482</v>
      </c>
    </row>
    <row r="637" spans="1:9">
      <c r="A637" s="2">
        <v>1955</v>
      </c>
      <c r="B637">
        <v>78</v>
      </c>
      <c r="C637">
        <v>0.10628</v>
      </c>
      <c r="D637">
        <v>0.10091</v>
      </c>
      <c r="E637">
        <v>0.5</v>
      </c>
      <c r="F637">
        <v>31134</v>
      </c>
      <c r="G637">
        <v>3142</v>
      </c>
      <c r="H637">
        <v>29563</v>
      </c>
      <c r="I637">
        <v>185820</v>
      </c>
    </row>
    <row r="638" spans="1:9">
      <c r="A638" s="2">
        <v>1955</v>
      </c>
      <c r="B638">
        <v>79</v>
      </c>
      <c r="C638">
        <v>0.11575000000000001</v>
      </c>
      <c r="D638">
        <v>0.10942</v>
      </c>
      <c r="E638">
        <v>0.5</v>
      </c>
      <c r="F638">
        <v>27992</v>
      </c>
      <c r="G638">
        <v>3063</v>
      </c>
      <c r="H638">
        <v>26460</v>
      </c>
      <c r="I638">
        <v>156257</v>
      </c>
    </row>
    <row r="639" spans="1:9">
      <c r="A639" s="2">
        <v>1955</v>
      </c>
      <c r="B639">
        <v>80</v>
      </c>
      <c r="C639">
        <v>0.13149</v>
      </c>
      <c r="D639">
        <v>0.12338</v>
      </c>
      <c r="E639">
        <v>0.5</v>
      </c>
      <c r="F639">
        <v>24929</v>
      </c>
      <c r="G639">
        <v>3076</v>
      </c>
      <c r="H639">
        <v>23391</v>
      </c>
      <c r="I639">
        <v>129797</v>
      </c>
    </row>
    <row r="640" spans="1:9">
      <c r="A640" s="2">
        <v>1955</v>
      </c>
      <c r="B640">
        <v>81</v>
      </c>
      <c r="C640">
        <v>0.14754</v>
      </c>
      <c r="D640">
        <v>0.13739999999999999</v>
      </c>
      <c r="E640">
        <v>0.5</v>
      </c>
      <c r="F640">
        <v>21853</v>
      </c>
      <c r="G640">
        <v>3003</v>
      </c>
      <c r="H640">
        <v>20352</v>
      </c>
      <c r="I640">
        <v>106406</v>
      </c>
    </row>
    <row r="641" spans="1:9">
      <c r="A641" s="2">
        <v>1955</v>
      </c>
      <c r="B641">
        <v>82</v>
      </c>
      <c r="C641">
        <v>0.16142000000000001</v>
      </c>
      <c r="D641">
        <v>0.14937</v>
      </c>
      <c r="E641">
        <v>0.5</v>
      </c>
      <c r="F641">
        <v>18851</v>
      </c>
      <c r="G641">
        <v>2816</v>
      </c>
      <c r="H641">
        <v>17443</v>
      </c>
      <c r="I641">
        <v>86054</v>
      </c>
    </row>
    <row r="642" spans="1:9">
      <c r="A642" s="2">
        <v>1955</v>
      </c>
      <c r="B642">
        <v>83</v>
      </c>
      <c r="C642">
        <v>0.17677000000000001</v>
      </c>
      <c r="D642">
        <v>0.16242000000000001</v>
      </c>
      <c r="E642">
        <v>0.5</v>
      </c>
      <c r="F642">
        <v>16035</v>
      </c>
      <c r="G642">
        <v>2604</v>
      </c>
      <c r="H642">
        <v>14733</v>
      </c>
      <c r="I642">
        <v>68611</v>
      </c>
    </row>
    <row r="643" spans="1:9">
      <c r="A643" s="2">
        <v>1955</v>
      </c>
      <c r="B643">
        <v>84</v>
      </c>
      <c r="C643">
        <v>0.18628</v>
      </c>
      <c r="D643">
        <v>0.1704</v>
      </c>
      <c r="E643">
        <v>0.5</v>
      </c>
      <c r="F643">
        <v>13431</v>
      </c>
      <c r="G643">
        <v>2289</v>
      </c>
      <c r="H643">
        <v>12286</v>
      </c>
      <c r="I643">
        <v>53878</v>
      </c>
    </row>
    <row r="644" spans="1:9">
      <c r="A644" s="2">
        <v>1955</v>
      </c>
      <c r="B644">
        <v>85</v>
      </c>
      <c r="C644">
        <v>0.21773000000000001</v>
      </c>
      <c r="D644">
        <v>0.19636000000000001</v>
      </c>
      <c r="E644">
        <v>0.5</v>
      </c>
      <c r="F644">
        <v>11142</v>
      </c>
      <c r="G644">
        <v>2188</v>
      </c>
      <c r="H644">
        <v>10048</v>
      </c>
      <c r="I644">
        <v>41592</v>
      </c>
    </row>
    <row r="645" spans="1:9">
      <c r="A645" s="2">
        <v>1955</v>
      </c>
      <c r="B645">
        <v>86</v>
      </c>
      <c r="C645">
        <v>0.22452</v>
      </c>
      <c r="D645">
        <v>0.20186000000000001</v>
      </c>
      <c r="E645">
        <v>0.5</v>
      </c>
      <c r="F645">
        <v>8954</v>
      </c>
      <c r="G645">
        <v>1807</v>
      </c>
      <c r="H645">
        <v>8050</v>
      </c>
      <c r="I645">
        <v>31544</v>
      </c>
    </row>
    <row r="646" spans="1:9">
      <c r="A646" s="2">
        <v>1955</v>
      </c>
      <c r="B646">
        <v>87</v>
      </c>
      <c r="C646">
        <v>0.26163999999999998</v>
      </c>
      <c r="D646">
        <v>0.23136999999999999</v>
      </c>
      <c r="E646">
        <v>0.5</v>
      </c>
      <c r="F646">
        <v>7147</v>
      </c>
      <c r="G646">
        <v>1654</v>
      </c>
      <c r="H646">
        <v>6320</v>
      </c>
      <c r="I646">
        <v>23494</v>
      </c>
    </row>
    <row r="647" spans="1:9">
      <c r="A647" s="2">
        <v>1955</v>
      </c>
      <c r="B647">
        <v>88</v>
      </c>
      <c r="C647">
        <v>0.25375999999999999</v>
      </c>
      <c r="D647">
        <v>0.22519</v>
      </c>
      <c r="E647">
        <v>0.5</v>
      </c>
      <c r="F647">
        <v>5493</v>
      </c>
      <c r="G647">
        <v>1237</v>
      </c>
      <c r="H647">
        <v>4875</v>
      </c>
      <c r="I647">
        <v>17174</v>
      </c>
    </row>
    <row r="648" spans="1:9">
      <c r="A648" s="2">
        <v>1955</v>
      </c>
      <c r="B648">
        <v>89</v>
      </c>
      <c r="C648">
        <v>0.31733</v>
      </c>
      <c r="D648">
        <v>0.27388000000000001</v>
      </c>
      <c r="E648">
        <v>0.5</v>
      </c>
      <c r="F648">
        <v>4256</v>
      </c>
      <c r="G648">
        <v>1166</v>
      </c>
      <c r="H648">
        <v>3673</v>
      </c>
      <c r="I648">
        <v>12299</v>
      </c>
    </row>
    <row r="649" spans="1:9">
      <c r="A649" s="2">
        <v>1955</v>
      </c>
      <c r="B649">
        <v>90</v>
      </c>
      <c r="C649">
        <v>0.30057</v>
      </c>
      <c r="D649">
        <v>0.26129999999999998</v>
      </c>
      <c r="E649">
        <v>0.5</v>
      </c>
      <c r="F649">
        <v>3090</v>
      </c>
      <c r="G649">
        <v>808</v>
      </c>
      <c r="H649">
        <v>2687</v>
      </c>
      <c r="I649">
        <v>8626</v>
      </c>
    </row>
    <row r="650" spans="1:9">
      <c r="A650" s="2">
        <v>1955</v>
      </c>
      <c r="B650">
        <v>91</v>
      </c>
      <c r="C650">
        <v>0.32790000000000002</v>
      </c>
      <c r="D650">
        <v>0.28172000000000003</v>
      </c>
      <c r="E650">
        <v>0.5</v>
      </c>
      <c r="F650">
        <v>2283</v>
      </c>
      <c r="G650">
        <v>643</v>
      </c>
      <c r="H650">
        <v>1961</v>
      </c>
      <c r="I650">
        <v>5939</v>
      </c>
    </row>
    <row r="651" spans="1:9">
      <c r="A651" s="2">
        <v>1955</v>
      </c>
      <c r="B651">
        <v>92</v>
      </c>
      <c r="C651">
        <v>0.36725000000000002</v>
      </c>
      <c r="D651">
        <v>0.31026999999999999</v>
      </c>
      <c r="E651">
        <v>0.5</v>
      </c>
      <c r="F651">
        <v>1640</v>
      </c>
      <c r="G651">
        <v>509</v>
      </c>
      <c r="H651">
        <v>1385</v>
      </c>
      <c r="I651">
        <v>3978</v>
      </c>
    </row>
    <row r="652" spans="1:9">
      <c r="A652" s="2">
        <v>1955</v>
      </c>
      <c r="B652">
        <v>93</v>
      </c>
      <c r="C652">
        <v>0.39343</v>
      </c>
      <c r="D652">
        <v>0.32876</v>
      </c>
      <c r="E652">
        <v>0.5</v>
      </c>
      <c r="F652">
        <v>1131</v>
      </c>
      <c r="G652">
        <v>372</v>
      </c>
      <c r="H652">
        <v>945</v>
      </c>
      <c r="I652">
        <v>2592</v>
      </c>
    </row>
    <row r="653" spans="1:9">
      <c r="A653" s="2">
        <v>1955</v>
      </c>
      <c r="B653">
        <v>94</v>
      </c>
      <c r="C653">
        <v>0.42024</v>
      </c>
      <c r="D653">
        <v>0.34727000000000002</v>
      </c>
      <c r="E653">
        <v>0.5</v>
      </c>
      <c r="F653">
        <v>759</v>
      </c>
      <c r="G653">
        <v>264</v>
      </c>
      <c r="H653">
        <v>627</v>
      </c>
      <c r="I653">
        <v>1647</v>
      </c>
    </row>
    <row r="654" spans="1:9">
      <c r="A654" s="2">
        <v>1955</v>
      </c>
      <c r="B654">
        <v>95</v>
      </c>
      <c r="C654">
        <v>0.44752999999999998</v>
      </c>
      <c r="D654">
        <v>0.36570000000000003</v>
      </c>
      <c r="E654">
        <v>0.5</v>
      </c>
      <c r="F654">
        <v>496</v>
      </c>
      <c r="G654">
        <v>181</v>
      </c>
      <c r="H654">
        <v>405</v>
      </c>
      <c r="I654">
        <v>1020</v>
      </c>
    </row>
    <row r="655" spans="1:9">
      <c r="A655" s="2">
        <v>1955</v>
      </c>
      <c r="B655">
        <v>96</v>
      </c>
      <c r="C655">
        <v>0.47513</v>
      </c>
      <c r="D655">
        <v>0.38391999999999998</v>
      </c>
      <c r="E655">
        <v>0.5</v>
      </c>
      <c r="F655">
        <v>314</v>
      </c>
      <c r="G655">
        <v>121</v>
      </c>
      <c r="H655">
        <v>254</v>
      </c>
      <c r="I655">
        <v>615</v>
      </c>
    </row>
    <row r="656" spans="1:9">
      <c r="A656" s="2">
        <v>1955</v>
      </c>
      <c r="B656">
        <v>97</v>
      </c>
      <c r="C656">
        <v>0.50288999999999995</v>
      </c>
      <c r="D656">
        <v>0.40184999999999998</v>
      </c>
      <c r="E656">
        <v>0.5</v>
      </c>
      <c r="F656">
        <v>194</v>
      </c>
      <c r="G656">
        <v>78</v>
      </c>
      <c r="H656">
        <v>155</v>
      </c>
      <c r="I656">
        <v>361</v>
      </c>
    </row>
    <row r="657" spans="1:9">
      <c r="A657" s="2">
        <v>1955</v>
      </c>
      <c r="B657">
        <v>98</v>
      </c>
      <c r="C657">
        <v>0.53064</v>
      </c>
      <c r="D657">
        <v>0.41937000000000002</v>
      </c>
      <c r="E657">
        <v>0.5</v>
      </c>
      <c r="F657">
        <v>116</v>
      </c>
      <c r="G657">
        <v>49</v>
      </c>
      <c r="H657">
        <v>92</v>
      </c>
      <c r="I657">
        <v>206</v>
      </c>
    </row>
    <row r="658" spans="1:9">
      <c r="A658" s="2">
        <v>1955</v>
      </c>
      <c r="B658">
        <v>99</v>
      </c>
      <c r="C658">
        <v>0.55818999999999996</v>
      </c>
      <c r="D658">
        <v>0.43639</v>
      </c>
      <c r="E658">
        <v>0.5</v>
      </c>
      <c r="F658">
        <v>67</v>
      </c>
      <c r="G658">
        <v>29</v>
      </c>
      <c r="H658">
        <v>53</v>
      </c>
      <c r="I658">
        <v>114</v>
      </c>
    </row>
    <row r="659" spans="1:9">
      <c r="A659" s="2">
        <v>1955</v>
      </c>
      <c r="B659">
        <v>100</v>
      </c>
      <c r="C659">
        <v>0.58538999999999997</v>
      </c>
      <c r="D659">
        <v>0.45284000000000002</v>
      </c>
      <c r="E659">
        <v>0.5</v>
      </c>
      <c r="F659">
        <v>38</v>
      </c>
      <c r="G659">
        <v>17</v>
      </c>
      <c r="H659">
        <v>29</v>
      </c>
      <c r="I659">
        <v>62</v>
      </c>
    </row>
    <row r="660" spans="1:9">
      <c r="A660" s="2">
        <v>1955</v>
      </c>
      <c r="B660">
        <v>101</v>
      </c>
      <c r="C660">
        <v>0.61207999999999996</v>
      </c>
      <c r="D660">
        <v>0.46865000000000001</v>
      </c>
      <c r="E660">
        <v>0.5</v>
      </c>
      <c r="F660">
        <v>21</v>
      </c>
      <c r="G660">
        <v>10</v>
      </c>
      <c r="H660">
        <v>16</v>
      </c>
      <c r="I660">
        <v>33</v>
      </c>
    </row>
    <row r="661" spans="1:9">
      <c r="A661" s="2">
        <v>1955</v>
      </c>
      <c r="B661">
        <v>102</v>
      </c>
      <c r="C661">
        <v>0.63810999999999996</v>
      </c>
      <c r="D661">
        <v>0.48376999999999998</v>
      </c>
      <c r="E661">
        <v>0.5</v>
      </c>
      <c r="F661">
        <v>11</v>
      </c>
      <c r="G661">
        <v>5</v>
      </c>
      <c r="H661">
        <v>8</v>
      </c>
      <c r="I661">
        <v>17</v>
      </c>
    </row>
    <row r="662" spans="1:9">
      <c r="A662" s="2">
        <v>1955</v>
      </c>
      <c r="B662">
        <v>103</v>
      </c>
      <c r="C662">
        <v>0.66335999999999995</v>
      </c>
      <c r="D662">
        <v>0.49814000000000003</v>
      </c>
      <c r="E662">
        <v>0.5</v>
      </c>
      <c r="F662">
        <v>6</v>
      </c>
      <c r="G662">
        <v>3</v>
      </c>
      <c r="H662">
        <v>4</v>
      </c>
      <c r="I662">
        <v>8</v>
      </c>
    </row>
    <row r="663" spans="1:9">
      <c r="A663" s="2">
        <v>1955</v>
      </c>
      <c r="B663">
        <v>104</v>
      </c>
      <c r="C663">
        <v>0.68771000000000004</v>
      </c>
      <c r="D663">
        <v>0.51173999999999997</v>
      </c>
      <c r="E663">
        <v>0.5</v>
      </c>
      <c r="F663">
        <v>3</v>
      </c>
      <c r="G663">
        <v>1</v>
      </c>
      <c r="H663">
        <v>2</v>
      </c>
      <c r="I663">
        <v>4</v>
      </c>
    </row>
    <row r="664" spans="1:9">
      <c r="A664" s="2">
        <v>1955</v>
      </c>
      <c r="B664">
        <v>105</v>
      </c>
      <c r="C664">
        <v>0.71106000000000003</v>
      </c>
      <c r="D664">
        <v>0.52456000000000003</v>
      </c>
      <c r="E664">
        <v>0.5</v>
      </c>
      <c r="F664">
        <v>1</v>
      </c>
      <c r="G664">
        <v>1</v>
      </c>
      <c r="H664">
        <v>1</v>
      </c>
      <c r="I664">
        <v>2</v>
      </c>
    </row>
    <row r="665" spans="1:9">
      <c r="A665" s="2">
        <v>1955</v>
      </c>
      <c r="B665">
        <v>106</v>
      </c>
      <c r="C665">
        <v>0.73334999999999995</v>
      </c>
      <c r="D665">
        <v>0.53659000000000001</v>
      </c>
      <c r="E665">
        <v>0.5</v>
      </c>
      <c r="F665">
        <v>1</v>
      </c>
      <c r="G665">
        <v>0</v>
      </c>
      <c r="H665">
        <v>0</v>
      </c>
      <c r="I665">
        <v>1</v>
      </c>
    </row>
    <row r="666" spans="1:9">
      <c r="A666" s="2">
        <v>1955</v>
      </c>
      <c r="B666">
        <v>107</v>
      </c>
      <c r="C666">
        <v>0.75451000000000001</v>
      </c>
      <c r="D666">
        <v>0.54783999999999999</v>
      </c>
      <c r="E666">
        <v>0.5</v>
      </c>
      <c r="F666">
        <v>0</v>
      </c>
      <c r="G666">
        <v>0</v>
      </c>
      <c r="H666">
        <v>0</v>
      </c>
      <c r="I666">
        <v>0</v>
      </c>
    </row>
    <row r="667" spans="1:9">
      <c r="A667" s="2">
        <v>1955</v>
      </c>
      <c r="B667">
        <v>108</v>
      </c>
      <c r="C667">
        <v>0.77451000000000003</v>
      </c>
      <c r="D667">
        <v>0.55830000000000002</v>
      </c>
      <c r="E667">
        <v>0.5</v>
      </c>
      <c r="F667">
        <v>0</v>
      </c>
      <c r="G667">
        <v>0</v>
      </c>
      <c r="H667">
        <v>0</v>
      </c>
      <c r="I667">
        <v>0</v>
      </c>
    </row>
    <row r="668" spans="1:9">
      <c r="A668" s="2">
        <v>1955</v>
      </c>
      <c r="B668">
        <v>109</v>
      </c>
      <c r="C668">
        <v>0.79332000000000003</v>
      </c>
      <c r="D668">
        <v>0.56801000000000001</v>
      </c>
      <c r="E668">
        <v>0.5</v>
      </c>
      <c r="F668">
        <v>0</v>
      </c>
      <c r="G668">
        <v>0</v>
      </c>
      <c r="H668">
        <v>0</v>
      </c>
      <c r="I668">
        <v>0</v>
      </c>
    </row>
    <row r="669" spans="1:9">
      <c r="A669" s="2">
        <v>1955</v>
      </c>
      <c r="B669" t="s">
        <v>26</v>
      </c>
      <c r="C669">
        <v>0.81094999999999995</v>
      </c>
      <c r="D669">
        <v>1</v>
      </c>
      <c r="E669" s="3" t="s">
        <v>31</v>
      </c>
      <c r="F669">
        <v>0</v>
      </c>
      <c r="G669">
        <v>0</v>
      </c>
      <c r="H669">
        <v>0</v>
      </c>
      <c r="I669">
        <v>0</v>
      </c>
    </row>
    <row r="670" spans="1:9">
      <c r="A670" s="2">
        <v>1956</v>
      </c>
      <c r="B670">
        <v>0</v>
      </c>
      <c r="C670">
        <v>6.5299999999999997E-2</v>
      </c>
      <c r="D670">
        <v>6.2219999999999998E-2</v>
      </c>
      <c r="E670">
        <v>0.24</v>
      </c>
      <c r="F670">
        <v>100000</v>
      </c>
      <c r="G670">
        <v>6222</v>
      </c>
      <c r="H670">
        <v>95279</v>
      </c>
      <c r="I670">
        <v>6354858</v>
      </c>
    </row>
    <row r="671" spans="1:9">
      <c r="A671" s="2">
        <v>1956</v>
      </c>
      <c r="B671">
        <v>1</v>
      </c>
      <c r="C671">
        <v>4.7499999999999999E-3</v>
      </c>
      <c r="D671">
        <v>4.7400000000000003E-3</v>
      </c>
      <c r="E671">
        <v>0.5</v>
      </c>
      <c r="F671">
        <v>93778</v>
      </c>
      <c r="G671">
        <v>445</v>
      </c>
      <c r="H671">
        <v>93556</v>
      </c>
      <c r="I671">
        <v>6259579</v>
      </c>
    </row>
    <row r="672" spans="1:9">
      <c r="A672" s="2">
        <v>1956</v>
      </c>
      <c r="B672">
        <v>2</v>
      </c>
      <c r="C672">
        <v>1.8E-3</v>
      </c>
      <c r="D672">
        <v>1.8E-3</v>
      </c>
      <c r="E672">
        <v>0.5</v>
      </c>
      <c r="F672">
        <v>93334</v>
      </c>
      <c r="G672">
        <v>168</v>
      </c>
      <c r="H672">
        <v>93250</v>
      </c>
      <c r="I672">
        <v>6166023</v>
      </c>
    </row>
    <row r="673" spans="1:9">
      <c r="A673" s="2">
        <v>1956</v>
      </c>
      <c r="B673">
        <v>3</v>
      </c>
      <c r="C673">
        <v>1.4E-3</v>
      </c>
      <c r="D673">
        <v>1.4E-3</v>
      </c>
      <c r="E673">
        <v>0.5</v>
      </c>
      <c r="F673">
        <v>93166</v>
      </c>
      <c r="G673">
        <v>131</v>
      </c>
      <c r="H673">
        <v>93100</v>
      </c>
      <c r="I673">
        <v>6072773</v>
      </c>
    </row>
    <row r="674" spans="1:9">
      <c r="A674" s="2">
        <v>1956</v>
      </c>
      <c r="B674">
        <v>4</v>
      </c>
      <c r="C674">
        <v>1.0300000000000001E-3</v>
      </c>
      <c r="D674">
        <v>1.0300000000000001E-3</v>
      </c>
      <c r="E674">
        <v>0.5</v>
      </c>
      <c r="F674">
        <v>93035</v>
      </c>
      <c r="G674">
        <v>96</v>
      </c>
      <c r="H674">
        <v>92987</v>
      </c>
      <c r="I674">
        <v>5979673</v>
      </c>
    </row>
    <row r="675" spans="1:9">
      <c r="A675" s="2">
        <v>1956</v>
      </c>
      <c r="B675">
        <v>5</v>
      </c>
      <c r="C675">
        <v>6.7000000000000002E-4</v>
      </c>
      <c r="D675">
        <v>6.7000000000000002E-4</v>
      </c>
      <c r="E675">
        <v>0.5</v>
      </c>
      <c r="F675">
        <v>92939</v>
      </c>
      <c r="G675">
        <v>62</v>
      </c>
      <c r="H675">
        <v>92908</v>
      </c>
      <c r="I675">
        <v>5886686</v>
      </c>
    </row>
    <row r="676" spans="1:9">
      <c r="A676" s="2">
        <v>1956</v>
      </c>
      <c r="B676">
        <v>6</v>
      </c>
      <c r="C676">
        <v>8.5999999999999998E-4</v>
      </c>
      <c r="D676">
        <v>8.5999999999999998E-4</v>
      </c>
      <c r="E676">
        <v>0.5</v>
      </c>
      <c r="F676">
        <v>92877</v>
      </c>
      <c r="G676">
        <v>80</v>
      </c>
      <c r="H676">
        <v>92836</v>
      </c>
      <c r="I676">
        <v>5793779</v>
      </c>
    </row>
    <row r="677" spans="1:9">
      <c r="A677" s="2">
        <v>1956</v>
      </c>
      <c r="B677">
        <v>7</v>
      </c>
      <c r="C677">
        <v>7.9000000000000001E-4</v>
      </c>
      <c r="D677">
        <v>7.9000000000000001E-4</v>
      </c>
      <c r="E677">
        <v>0.5</v>
      </c>
      <c r="F677">
        <v>92796</v>
      </c>
      <c r="G677">
        <v>74</v>
      </c>
      <c r="H677">
        <v>92760</v>
      </c>
      <c r="I677">
        <v>5700942</v>
      </c>
    </row>
    <row r="678" spans="1:9">
      <c r="A678" s="2">
        <v>1956</v>
      </c>
      <c r="B678">
        <v>8</v>
      </c>
      <c r="C678">
        <v>5.9999999999999995E-4</v>
      </c>
      <c r="D678">
        <v>5.9999999999999995E-4</v>
      </c>
      <c r="E678">
        <v>0.5</v>
      </c>
      <c r="F678">
        <v>92723</v>
      </c>
      <c r="G678">
        <v>56</v>
      </c>
      <c r="H678">
        <v>92695</v>
      </c>
      <c r="I678">
        <v>5608183</v>
      </c>
    </row>
    <row r="679" spans="1:9">
      <c r="A679" s="2">
        <v>1956</v>
      </c>
      <c r="B679">
        <v>9</v>
      </c>
      <c r="C679">
        <v>6.2E-4</v>
      </c>
      <c r="D679">
        <v>6.2E-4</v>
      </c>
      <c r="E679">
        <v>0.5</v>
      </c>
      <c r="F679">
        <v>92667</v>
      </c>
      <c r="G679">
        <v>58</v>
      </c>
      <c r="H679">
        <v>92638</v>
      </c>
      <c r="I679">
        <v>5515488</v>
      </c>
    </row>
    <row r="680" spans="1:9">
      <c r="A680" s="2">
        <v>1956</v>
      </c>
      <c r="B680">
        <v>10</v>
      </c>
      <c r="C680">
        <v>7.1000000000000002E-4</v>
      </c>
      <c r="D680">
        <v>7.1000000000000002E-4</v>
      </c>
      <c r="E680">
        <v>0.5</v>
      </c>
      <c r="F680">
        <v>92609</v>
      </c>
      <c r="G680">
        <v>66</v>
      </c>
      <c r="H680">
        <v>92576</v>
      </c>
      <c r="I680">
        <v>5422849</v>
      </c>
    </row>
    <row r="681" spans="1:9">
      <c r="A681" s="2">
        <v>1956</v>
      </c>
      <c r="B681">
        <v>11</v>
      </c>
      <c r="C681">
        <v>6.3000000000000003E-4</v>
      </c>
      <c r="D681">
        <v>6.3000000000000003E-4</v>
      </c>
      <c r="E681">
        <v>0.5</v>
      </c>
      <c r="F681">
        <v>92544</v>
      </c>
      <c r="G681">
        <v>58</v>
      </c>
      <c r="H681">
        <v>92515</v>
      </c>
      <c r="I681">
        <v>5330273</v>
      </c>
    </row>
    <row r="682" spans="1:9">
      <c r="A682" s="2">
        <v>1956</v>
      </c>
      <c r="B682">
        <v>12</v>
      </c>
      <c r="C682">
        <v>8.9999999999999998E-4</v>
      </c>
      <c r="D682">
        <v>8.9999999999999998E-4</v>
      </c>
      <c r="E682">
        <v>0.5</v>
      </c>
      <c r="F682">
        <v>92486</v>
      </c>
      <c r="G682">
        <v>83</v>
      </c>
      <c r="H682">
        <v>92444</v>
      </c>
      <c r="I682">
        <v>5237759</v>
      </c>
    </row>
    <row r="683" spans="1:9">
      <c r="A683" s="2">
        <v>1956</v>
      </c>
      <c r="B683">
        <v>13</v>
      </c>
      <c r="C683">
        <v>7.6999999999999996E-4</v>
      </c>
      <c r="D683">
        <v>7.6999999999999996E-4</v>
      </c>
      <c r="E683">
        <v>0.5</v>
      </c>
      <c r="F683">
        <v>92402</v>
      </c>
      <c r="G683">
        <v>71</v>
      </c>
      <c r="H683">
        <v>92367</v>
      </c>
      <c r="I683">
        <v>5145315</v>
      </c>
    </row>
    <row r="684" spans="1:9">
      <c r="A684" s="2">
        <v>1956</v>
      </c>
      <c r="B684">
        <v>14</v>
      </c>
      <c r="C684">
        <v>9.3999999999999997E-4</v>
      </c>
      <c r="D684">
        <v>9.3999999999999997E-4</v>
      </c>
      <c r="E684">
        <v>0.5</v>
      </c>
      <c r="F684">
        <v>92331</v>
      </c>
      <c r="G684">
        <v>87</v>
      </c>
      <c r="H684">
        <v>92288</v>
      </c>
      <c r="I684">
        <v>5052948</v>
      </c>
    </row>
    <row r="685" spans="1:9">
      <c r="A685" s="2">
        <v>1956</v>
      </c>
      <c r="B685">
        <v>15</v>
      </c>
      <c r="C685">
        <v>1.23E-3</v>
      </c>
      <c r="D685">
        <v>1.23E-3</v>
      </c>
      <c r="E685">
        <v>0.5</v>
      </c>
      <c r="F685">
        <v>92244</v>
      </c>
      <c r="G685">
        <v>113</v>
      </c>
      <c r="H685">
        <v>92188</v>
      </c>
      <c r="I685">
        <v>4960660</v>
      </c>
    </row>
    <row r="686" spans="1:9">
      <c r="A686" s="2">
        <v>1956</v>
      </c>
      <c r="B686">
        <v>16</v>
      </c>
      <c r="C686">
        <v>2.0300000000000001E-3</v>
      </c>
      <c r="D686">
        <v>2.0200000000000001E-3</v>
      </c>
      <c r="E686">
        <v>0.5</v>
      </c>
      <c r="F686">
        <v>92131</v>
      </c>
      <c r="G686">
        <v>186</v>
      </c>
      <c r="H686">
        <v>92038</v>
      </c>
      <c r="I686">
        <v>4868472</v>
      </c>
    </row>
    <row r="687" spans="1:9">
      <c r="A687" s="2">
        <v>1956</v>
      </c>
      <c r="B687">
        <v>17</v>
      </c>
      <c r="C687">
        <v>2.2200000000000002E-3</v>
      </c>
      <c r="D687">
        <v>2.2200000000000002E-3</v>
      </c>
      <c r="E687">
        <v>0.5</v>
      </c>
      <c r="F687">
        <v>91945</v>
      </c>
      <c r="G687">
        <v>204</v>
      </c>
      <c r="H687">
        <v>91843</v>
      </c>
      <c r="I687">
        <v>4776435</v>
      </c>
    </row>
    <row r="688" spans="1:9">
      <c r="A688" s="2">
        <v>1956</v>
      </c>
      <c r="B688">
        <v>18</v>
      </c>
      <c r="C688">
        <v>3.0599999999999998E-3</v>
      </c>
      <c r="D688">
        <v>3.0500000000000002E-3</v>
      </c>
      <c r="E688">
        <v>0.5</v>
      </c>
      <c r="F688">
        <v>91740</v>
      </c>
      <c r="G688">
        <v>280</v>
      </c>
      <c r="H688">
        <v>91601</v>
      </c>
      <c r="I688">
        <v>4684592</v>
      </c>
    </row>
    <row r="689" spans="1:9">
      <c r="A689" s="2">
        <v>1956</v>
      </c>
      <c r="B689">
        <v>19</v>
      </c>
      <c r="C689">
        <v>3.4199999999999999E-3</v>
      </c>
      <c r="D689">
        <v>3.4099999999999998E-3</v>
      </c>
      <c r="E689">
        <v>0.5</v>
      </c>
      <c r="F689">
        <v>91461</v>
      </c>
      <c r="G689">
        <v>312</v>
      </c>
      <c r="H689">
        <v>91304</v>
      </c>
      <c r="I689">
        <v>4592992</v>
      </c>
    </row>
    <row r="690" spans="1:9">
      <c r="A690" s="2">
        <v>1956</v>
      </c>
      <c r="B690">
        <v>20</v>
      </c>
      <c r="C690">
        <v>3.4399999999999999E-3</v>
      </c>
      <c r="D690">
        <v>3.4399999999999999E-3</v>
      </c>
      <c r="E690">
        <v>0.5</v>
      </c>
      <c r="F690">
        <v>91148</v>
      </c>
      <c r="G690">
        <v>313</v>
      </c>
      <c r="H690">
        <v>90992</v>
      </c>
      <c r="I690">
        <v>4501687</v>
      </c>
    </row>
    <row r="691" spans="1:9">
      <c r="A691" s="2">
        <v>1956</v>
      </c>
      <c r="B691">
        <v>21</v>
      </c>
      <c r="C691">
        <v>3.4099999999999998E-3</v>
      </c>
      <c r="D691">
        <v>3.3999999999999998E-3</v>
      </c>
      <c r="E691">
        <v>0.5</v>
      </c>
      <c r="F691">
        <v>90835</v>
      </c>
      <c r="G691">
        <v>309</v>
      </c>
      <c r="H691">
        <v>90680</v>
      </c>
      <c r="I691">
        <v>4410695</v>
      </c>
    </row>
    <row r="692" spans="1:9">
      <c r="A692" s="2">
        <v>1956</v>
      </c>
      <c r="B692">
        <v>22</v>
      </c>
      <c r="C692">
        <v>3.2799999999999999E-3</v>
      </c>
      <c r="D692">
        <v>3.2799999999999999E-3</v>
      </c>
      <c r="E692">
        <v>0.5</v>
      </c>
      <c r="F692">
        <v>90526</v>
      </c>
      <c r="G692">
        <v>297</v>
      </c>
      <c r="H692">
        <v>90378</v>
      </c>
      <c r="I692">
        <v>4320015</v>
      </c>
    </row>
    <row r="693" spans="1:9">
      <c r="A693" s="2">
        <v>1956</v>
      </c>
      <c r="B693">
        <v>23</v>
      </c>
      <c r="C693">
        <v>2.63E-3</v>
      </c>
      <c r="D693">
        <v>2.63E-3</v>
      </c>
      <c r="E693">
        <v>0.5</v>
      </c>
      <c r="F693">
        <v>90229</v>
      </c>
      <c r="G693">
        <v>237</v>
      </c>
      <c r="H693">
        <v>90111</v>
      </c>
      <c r="I693">
        <v>4229637</v>
      </c>
    </row>
    <row r="694" spans="1:9">
      <c r="A694" s="2">
        <v>1956</v>
      </c>
      <c r="B694">
        <v>24</v>
      </c>
      <c r="C694">
        <v>2.7799999999999999E-3</v>
      </c>
      <c r="D694">
        <v>2.7799999999999999E-3</v>
      </c>
      <c r="E694">
        <v>0.5</v>
      </c>
      <c r="F694">
        <v>89992</v>
      </c>
      <c r="G694">
        <v>250</v>
      </c>
      <c r="H694">
        <v>89867</v>
      </c>
      <c r="I694">
        <v>4139527</v>
      </c>
    </row>
    <row r="695" spans="1:9">
      <c r="A695" s="2">
        <v>1956</v>
      </c>
      <c r="B695">
        <v>25</v>
      </c>
      <c r="C695">
        <v>2.7100000000000002E-3</v>
      </c>
      <c r="D695">
        <v>2.7100000000000002E-3</v>
      </c>
      <c r="E695">
        <v>0.5</v>
      </c>
      <c r="F695">
        <v>89742</v>
      </c>
      <c r="G695">
        <v>243</v>
      </c>
      <c r="H695">
        <v>89620</v>
      </c>
      <c r="I695">
        <v>4049660</v>
      </c>
    </row>
    <row r="696" spans="1:9">
      <c r="A696" s="2">
        <v>1956</v>
      </c>
      <c r="B696">
        <v>26</v>
      </c>
      <c r="C696">
        <v>2.6099999999999999E-3</v>
      </c>
      <c r="D696">
        <v>2.6099999999999999E-3</v>
      </c>
      <c r="E696">
        <v>0.5</v>
      </c>
      <c r="F696">
        <v>89499</v>
      </c>
      <c r="G696">
        <v>234</v>
      </c>
      <c r="H696">
        <v>89382</v>
      </c>
      <c r="I696">
        <v>3960039</v>
      </c>
    </row>
    <row r="697" spans="1:9">
      <c r="A697" s="2">
        <v>1956</v>
      </c>
      <c r="B697">
        <v>27</v>
      </c>
      <c r="C697">
        <v>2.81E-3</v>
      </c>
      <c r="D697">
        <v>2.81E-3</v>
      </c>
      <c r="E697">
        <v>0.5</v>
      </c>
      <c r="F697">
        <v>89265</v>
      </c>
      <c r="G697">
        <v>251</v>
      </c>
      <c r="H697">
        <v>89140</v>
      </c>
      <c r="I697">
        <v>3870657</v>
      </c>
    </row>
    <row r="698" spans="1:9">
      <c r="A698" s="2">
        <v>1956</v>
      </c>
      <c r="B698">
        <v>28</v>
      </c>
      <c r="C698">
        <v>3.1099999999999999E-3</v>
      </c>
      <c r="D698">
        <v>3.1099999999999999E-3</v>
      </c>
      <c r="E698">
        <v>0.5</v>
      </c>
      <c r="F698">
        <v>89015</v>
      </c>
      <c r="G698">
        <v>277</v>
      </c>
      <c r="H698">
        <v>88877</v>
      </c>
      <c r="I698">
        <v>3781517</v>
      </c>
    </row>
    <row r="699" spans="1:9">
      <c r="A699" s="2">
        <v>1956</v>
      </c>
      <c r="B699">
        <v>29</v>
      </c>
      <c r="C699">
        <v>2.3700000000000001E-3</v>
      </c>
      <c r="D699">
        <v>2.3600000000000001E-3</v>
      </c>
      <c r="E699">
        <v>0.5</v>
      </c>
      <c r="F699">
        <v>88738</v>
      </c>
      <c r="G699">
        <v>210</v>
      </c>
      <c r="H699">
        <v>88633</v>
      </c>
      <c r="I699">
        <v>3692640</v>
      </c>
    </row>
    <row r="700" spans="1:9">
      <c r="A700" s="2">
        <v>1956</v>
      </c>
      <c r="B700">
        <v>30</v>
      </c>
      <c r="C700">
        <v>2.63E-3</v>
      </c>
      <c r="D700">
        <v>2.6199999999999999E-3</v>
      </c>
      <c r="E700">
        <v>0.5</v>
      </c>
      <c r="F700">
        <v>88528</v>
      </c>
      <c r="G700">
        <v>232</v>
      </c>
      <c r="H700">
        <v>88412</v>
      </c>
      <c r="I700">
        <v>3604007</v>
      </c>
    </row>
    <row r="701" spans="1:9">
      <c r="A701" s="2">
        <v>1956</v>
      </c>
      <c r="B701">
        <v>31</v>
      </c>
      <c r="C701">
        <v>2.6199999999999999E-3</v>
      </c>
      <c r="D701">
        <v>2.6199999999999999E-3</v>
      </c>
      <c r="E701">
        <v>0.5</v>
      </c>
      <c r="F701">
        <v>88296</v>
      </c>
      <c r="G701">
        <v>231</v>
      </c>
      <c r="H701">
        <v>88181</v>
      </c>
      <c r="I701">
        <v>3515595</v>
      </c>
    </row>
    <row r="702" spans="1:9">
      <c r="A702" s="2">
        <v>1956</v>
      </c>
      <c r="B702">
        <v>32</v>
      </c>
      <c r="C702">
        <v>2.4599999999999999E-3</v>
      </c>
      <c r="D702">
        <v>2.4599999999999999E-3</v>
      </c>
      <c r="E702">
        <v>0.5</v>
      </c>
      <c r="F702">
        <v>88065</v>
      </c>
      <c r="G702">
        <v>217</v>
      </c>
      <c r="H702">
        <v>87957</v>
      </c>
      <c r="I702">
        <v>3427414</v>
      </c>
    </row>
    <row r="703" spans="1:9">
      <c r="A703" s="2">
        <v>1956</v>
      </c>
      <c r="B703">
        <v>33</v>
      </c>
      <c r="C703">
        <v>2.2699999999999999E-3</v>
      </c>
      <c r="D703">
        <v>2.2699999999999999E-3</v>
      </c>
      <c r="E703">
        <v>0.5</v>
      </c>
      <c r="F703">
        <v>87848</v>
      </c>
      <c r="G703">
        <v>199</v>
      </c>
      <c r="H703">
        <v>87749</v>
      </c>
      <c r="I703">
        <v>3339458</v>
      </c>
    </row>
    <row r="704" spans="1:9">
      <c r="A704" s="2">
        <v>1956</v>
      </c>
      <c r="B704">
        <v>34</v>
      </c>
      <c r="C704">
        <v>2.4599999999999999E-3</v>
      </c>
      <c r="D704">
        <v>2.4599999999999999E-3</v>
      </c>
      <c r="E704">
        <v>0.5</v>
      </c>
      <c r="F704">
        <v>87649</v>
      </c>
      <c r="G704">
        <v>215</v>
      </c>
      <c r="H704">
        <v>87542</v>
      </c>
      <c r="I704">
        <v>3251709</v>
      </c>
    </row>
    <row r="705" spans="1:9">
      <c r="A705" s="2">
        <v>1956</v>
      </c>
      <c r="B705">
        <v>35</v>
      </c>
      <c r="C705">
        <v>2.81E-3</v>
      </c>
      <c r="D705">
        <v>2.8E-3</v>
      </c>
      <c r="E705">
        <v>0.5</v>
      </c>
      <c r="F705">
        <v>87434</v>
      </c>
      <c r="G705">
        <v>245</v>
      </c>
      <c r="H705">
        <v>87311</v>
      </c>
      <c r="I705">
        <v>3164167</v>
      </c>
    </row>
    <row r="706" spans="1:9">
      <c r="A706" s="2">
        <v>1956</v>
      </c>
      <c r="B706">
        <v>36</v>
      </c>
      <c r="C706">
        <v>2.96E-3</v>
      </c>
      <c r="D706">
        <v>2.96E-3</v>
      </c>
      <c r="E706">
        <v>0.5</v>
      </c>
      <c r="F706">
        <v>87189</v>
      </c>
      <c r="G706">
        <v>258</v>
      </c>
      <c r="H706">
        <v>87060</v>
      </c>
      <c r="I706">
        <v>3076856</v>
      </c>
    </row>
    <row r="707" spans="1:9">
      <c r="A707" s="2">
        <v>1956</v>
      </c>
      <c r="B707">
        <v>37</v>
      </c>
      <c r="C707">
        <v>2.9299999999999999E-3</v>
      </c>
      <c r="D707">
        <v>2.9299999999999999E-3</v>
      </c>
      <c r="E707">
        <v>0.5</v>
      </c>
      <c r="F707">
        <v>86931</v>
      </c>
      <c r="G707">
        <v>254</v>
      </c>
      <c r="H707">
        <v>86804</v>
      </c>
      <c r="I707">
        <v>2989796</v>
      </c>
    </row>
    <row r="708" spans="1:9">
      <c r="A708" s="2">
        <v>1956</v>
      </c>
      <c r="B708">
        <v>38</v>
      </c>
      <c r="C708">
        <v>3.3300000000000001E-3</v>
      </c>
      <c r="D708">
        <v>3.32E-3</v>
      </c>
      <c r="E708">
        <v>0.5</v>
      </c>
      <c r="F708">
        <v>86677</v>
      </c>
      <c r="G708">
        <v>288</v>
      </c>
      <c r="H708">
        <v>86533</v>
      </c>
      <c r="I708">
        <v>2902992</v>
      </c>
    </row>
    <row r="709" spans="1:9">
      <c r="A709" s="2">
        <v>1956</v>
      </c>
      <c r="B709">
        <v>39</v>
      </c>
      <c r="C709">
        <v>3.1800000000000001E-3</v>
      </c>
      <c r="D709">
        <v>3.1700000000000001E-3</v>
      </c>
      <c r="E709">
        <v>0.5</v>
      </c>
      <c r="F709">
        <v>86389</v>
      </c>
      <c r="G709">
        <v>274</v>
      </c>
      <c r="H709">
        <v>86252</v>
      </c>
      <c r="I709">
        <v>2816459</v>
      </c>
    </row>
    <row r="710" spans="1:9">
      <c r="A710" s="2">
        <v>1956</v>
      </c>
      <c r="B710">
        <v>40</v>
      </c>
      <c r="C710">
        <v>3.8E-3</v>
      </c>
      <c r="D710">
        <v>3.79E-3</v>
      </c>
      <c r="E710">
        <v>0.5</v>
      </c>
      <c r="F710">
        <v>86115</v>
      </c>
      <c r="G710">
        <v>327</v>
      </c>
      <c r="H710">
        <v>85952</v>
      </c>
      <c r="I710">
        <v>2730207</v>
      </c>
    </row>
    <row r="711" spans="1:9">
      <c r="A711" s="2">
        <v>1956</v>
      </c>
      <c r="B711">
        <v>41</v>
      </c>
      <c r="C711">
        <v>4.1099999999999999E-3</v>
      </c>
      <c r="D711">
        <v>4.1000000000000003E-3</v>
      </c>
      <c r="E711">
        <v>0.5</v>
      </c>
      <c r="F711">
        <v>85788</v>
      </c>
      <c r="G711">
        <v>352</v>
      </c>
      <c r="H711">
        <v>85612</v>
      </c>
      <c r="I711">
        <v>2644256</v>
      </c>
    </row>
    <row r="712" spans="1:9">
      <c r="A712" s="2">
        <v>1956</v>
      </c>
      <c r="B712">
        <v>42</v>
      </c>
      <c r="C712">
        <v>4.3099999999999996E-3</v>
      </c>
      <c r="D712">
        <v>4.3E-3</v>
      </c>
      <c r="E712">
        <v>0.5</v>
      </c>
      <c r="F712">
        <v>85436</v>
      </c>
      <c r="G712">
        <v>368</v>
      </c>
      <c r="H712">
        <v>85252</v>
      </c>
      <c r="I712">
        <v>2558643</v>
      </c>
    </row>
    <row r="713" spans="1:9">
      <c r="A713" s="2">
        <v>1956</v>
      </c>
      <c r="B713">
        <v>43</v>
      </c>
      <c r="C713">
        <v>4.9300000000000004E-3</v>
      </c>
      <c r="D713">
        <v>4.9100000000000003E-3</v>
      </c>
      <c r="E713">
        <v>0.5</v>
      </c>
      <c r="F713">
        <v>85069</v>
      </c>
      <c r="G713">
        <v>418</v>
      </c>
      <c r="H713">
        <v>84860</v>
      </c>
      <c r="I713">
        <v>2473391</v>
      </c>
    </row>
    <row r="714" spans="1:9">
      <c r="A714" s="2">
        <v>1956</v>
      </c>
      <c r="B714">
        <v>44</v>
      </c>
      <c r="C714">
        <v>4.9300000000000004E-3</v>
      </c>
      <c r="D714">
        <v>4.9199999999999999E-3</v>
      </c>
      <c r="E714">
        <v>0.5</v>
      </c>
      <c r="F714">
        <v>84651</v>
      </c>
      <c r="G714">
        <v>416</v>
      </c>
      <c r="H714">
        <v>84442</v>
      </c>
      <c r="I714">
        <v>2388531</v>
      </c>
    </row>
    <row r="715" spans="1:9">
      <c r="A715" s="2">
        <v>1956</v>
      </c>
      <c r="B715">
        <v>45</v>
      </c>
      <c r="C715">
        <v>5.4400000000000004E-3</v>
      </c>
      <c r="D715">
        <v>5.4200000000000003E-3</v>
      </c>
      <c r="E715">
        <v>0.5</v>
      </c>
      <c r="F715">
        <v>84234</v>
      </c>
      <c r="G715">
        <v>457</v>
      </c>
      <c r="H715">
        <v>84006</v>
      </c>
      <c r="I715">
        <v>2304089</v>
      </c>
    </row>
    <row r="716" spans="1:9">
      <c r="A716" s="2">
        <v>1956</v>
      </c>
      <c r="B716">
        <v>46</v>
      </c>
      <c r="C716">
        <v>5.2599999999999999E-3</v>
      </c>
      <c r="D716">
        <v>5.2500000000000003E-3</v>
      </c>
      <c r="E716">
        <v>0.5</v>
      </c>
      <c r="F716">
        <v>83778</v>
      </c>
      <c r="G716">
        <v>440</v>
      </c>
      <c r="H716">
        <v>83558</v>
      </c>
      <c r="I716">
        <v>2220083</v>
      </c>
    </row>
    <row r="717" spans="1:9">
      <c r="A717" s="2">
        <v>1956</v>
      </c>
      <c r="B717">
        <v>47</v>
      </c>
      <c r="C717">
        <v>6.3800000000000003E-3</v>
      </c>
      <c r="D717">
        <v>6.3600000000000002E-3</v>
      </c>
      <c r="E717">
        <v>0.5</v>
      </c>
      <c r="F717">
        <v>83338</v>
      </c>
      <c r="G717">
        <v>530</v>
      </c>
      <c r="H717">
        <v>83073</v>
      </c>
      <c r="I717">
        <v>2136525</v>
      </c>
    </row>
    <row r="718" spans="1:9">
      <c r="A718" s="2">
        <v>1956</v>
      </c>
      <c r="B718">
        <v>48</v>
      </c>
      <c r="C718">
        <v>6.6100000000000004E-3</v>
      </c>
      <c r="D718">
        <v>6.5900000000000004E-3</v>
      </c>
      <c r="E718">
        <v>0.5</v>
      </c>
      <c r="F718">
        <v>82808</v>
      </c>
      <c r="G718">
        <v>545</v>
      </c>
      <c r="H718">
        <v>82535</v>
      </c>
      <c r="I718">
        <v>2053452</v>
      </c>
    </row>
    <row r="719" spans="1:9">
      <c r="A719" s="2">
        <v>1956</v>
      </c>
      <c r="B719">
        <v>49</v>
      </c>
      <c r="C719">
        <v>7.8100000000000001E-3</v>
      </c>
      <c r="D719">
        <v>7.7799999999999996E-3</v>
      </c>
      <c r="E719">
        <v>0.5</v>
      </c>
      <c r="F719">
        <v>82262</v>
      </c>
      <c r="G719">
        <v>640</v>
      </c>
      <c r="H719">
        <v>81942</v>
      </c>
      <c r="I719">
        <v>1970917</v>
      </c>
    </row>
    <row r="720" spans="1:9">
      <c r="A720" s="2">
        <v>1956</v>
      </c>
      <c r="B720">
        <v>50</v>
      </c>
      <c r="C720">
        <v>8.4100000000000008E-3</v>
      </c>
      <c r="D720">
        <v>8.3800000000000003E-3</v>
      </c>
      <c r="E720">
        <v>0.5</v>
      </c>
      <c r="F720">
        <v>81622</v>
      </c>
      <c r="G720">
        <v>684</v>
      </c>
      <c r="H720">
        <v>81281</v>
      </c>
      <c r="I720">
        <v>1888975</v>
      </c>
    </row>
    <row r="721" spans="1:9">
      <c r="A721" s="2">
        <v>1956</v>
      </c>
      <c r="B721">
        <v>51</v>
      </c>
      <c r="C721">
        <v>9.6200000000000001E-3</v>
      </c>
      <c r="D721">
        <v>9.5700000000000004E-3</v>
      </c>
      <c r="E721">
        <v>0.5</v>
      </c>
      <c r="F721">
        <v>80939</v>
      </c>
      <c r="G721">
        <v>775</v>
      </c>
      <c r="H721">
        <v>80551</v>
      </c>
      <c r="I721">
        <v>1807695</v>
      </c>
    </row>
    <row r="722" spans="1:9">
      <c r="A722" s="2">
        <v>1956</v>
      </c>
      <c r="B722">
        <v>52</v>
      </c>
      <c r="C722">
        <v>9.7000000000000003E-3</v>
      </c>
      <c r="D722">
        <v>9.6500000000000006E-3</v>
      </c>
      <c r="E722">
        <v>0.5</v>
      </c>
      <c r="F722">
        <v>80164</v>
      </c>
      <c r="G722">
        <v>774</v>
      </c>
      <c r="H722">
        <v>79777</v>
      </c>
      <c r="I722">
        <v>1727143</v>
      </c>
    </row>
    <row r="723" spans="1:9">
      <c r="A723" s="2">
        <v>1956</v>
      </c>
      <c r="B723">
        <v>53</v>
      </c>
      <c r="C723">
        <v>1.059E-2</v>
      </c>
      <c r="D723">
        <v>1.0529999999999999E-2</v>
      </c>
      <c r="E723">
        <v>0.5</v>
      </c>
      <c r="F723">
        <v>79390</v>
      </c>
      <c r="G723">
        <v>836</v>
      </c>
      <c r="H723">
        <v>78972</v>
      </c>
      <c r="I723">
        <v>1647366</v>
      </c>
    </row>
    <row r="724" spans="1:9">
      <c r="A724" s="2">
        <v>1956</v>
      </c>
      <c r="B724">
        <v>54</v>
      </c>
      <c r="C724">
        <v>1.1990000000000001E-2</v>
      </c>
      <c r="D724">
        <v>1.192E-2</v>
      </c>
      <c r="E724">
        <v>0.5</v>
      </c>
      <c r="F724">
        <v>78554</v>
      </c>
      <c r="G724">
        <v>936</v>
      </c>
      <c r="H724">
        <v>78086</v>
      </c>
      <c r="I724">
        <v>1568394</v>
      </c>
    </row>
    <row r="725" spans="1:9">
      <c r="A725" s="2">
        <v>1956</v>
      </c>
      <c r="B725">
        <v>55</v>
      </c>
      <c r="C725">
        <v>1.3520000000000001E-2</v>
      </c>
      <c r="D725">
        <v>1.3429999999999999E-2</v>
      </c>
      <c r="E725">
        <v>0.5</v>
      </c>
      <c r="F725">
        <v>77618</v>
      </c>
      <c r="G725">
        <v>1043</v>
      </c>
      <c r="H725">
        <v>77096</v>
      </c>
      <c r="I725">
        <v>1490309</v>
      </c>
    </row>
    <row r="726" spans="1:9">
      <c r="A726" s="2">
        <v>1956</v>
      </c>
      <c r="B726">
        <v>56</v>
      </c>
      <c r="C726">
        <v>1.507E-2</v>
      </c>
      <c r="D726">
        <v>1.4959999999999999E-2</v>
      </c>
      <c r="E726">
        <v>0.5</v>
      </c>
      <c r="F726">
        <v>76575</v>
      </c>
      <c r="G726">
        <v>1146</v>
      </c>
      <c r="H726">
        <v>76002</v>
      </c>
      <c r="I726">
        <v>1413212</v>
      </c>
    </row>
    <row r="727" spans="1:9">
      <c r="A727" s="2">
        <v>1956</v>
      </c>
      <c r="B727">
        <v>57</v>
      </c>
      <c r="C727">
        <v>1.554E-2</v>
      </c>
      <c r="D727">
        <v>1.542E-2</v>
      </c>
      <c r="E727">
        <v>0.5</v>
      </c>
      <c r="F727">
        <v>75430</v>
      </c>
      <c r="G727">
        <v>1163</v>
      </c>
      <c r="H727">
        <v>74848</v>
      </c>
      <c r="I727">
        <v>1337210</v>
      </c>
    </row>
    <row r="728" spans="1:9">
      <c r="A728" s="2">
        <v>1956</v>
      </c>
      <c r="B728">
        <v>58</v>
      </c>
      <c r="C728">
        <v>1.787E-2</v>
      </c>
      <c r="D728">
        <v>1.772E-2</v>
      </c>
      <c r="E728">
        <v>0.5</v>
      </c>
      <c r="F728">
        <v>74266</v>
      </c>
      <c r="G728">
        <v>1316</v>
      </c>
      <c r="H728">
        <v>73608</v>
      </c>
      <c r="I728">
        <v>1262362</v>
      </c>
    </row>
    <row r="729" spans="1:9">
      <c r="A729" s="2">
        <v>1956</v>
      </c>
      <c r="B729">
        <v>59</v>
      </c>
      <c r="C729">
        <v>1.9949999999999999E-2</v>
      </c>
      <c r="D729">
        <v>1.975E-2</v>
      </c>
      <c r="E729">
        <v>0.5</v>
      </c>
      <c r="F729">
        <v>72950</v>
      </c>
      <c r="G729">
        <v>1441</v>
      </c>
      <c r="H729">
        <v>72230</v>
      </c>
      <c r="I729">
        <v>1188754</v>
      </c>
    </row>
    <row r="730" spans="1:9">
      <c r="A730" s="2">
        <v>1956</v>
      </c>
      <c r="B730">
        <v>60</v>
      </c>
      <c r="C730">
        <v>2.2239999999999999E-2</v>
      </c>
      <c r="D730">
        <v>2.1989999999999999E-2</v>
      </c>
      <c r="E730">
        <v>0.5</v>
      </c>
      <c r="F730">
        <v>71510</v>
      </c>
      <c r="G730">
        <v>1573</v>
      </c>
      <c r="H730">
        <v>70723</v>
      </c>
      <c r="I730">
        <v>1116524</v>
      </c>
    </row>
    <row r="731" spans="1:9">
      <c r="A731" s="2">
        <v>1956</v>
      </c>
      <c r="B731">
        <v>61</v>
      </c>
      <c r="C731">
        <v>2.3210000000000001E-2</v>
      </c>
      <c r="D731">
        <v>2.2939999999999999E-2</v>
      </c>
      <c r="E731">
        <v>0.5</v>
      </c>
      <c r="F731">
        <v>69937</v>
      </c>
      <c r="G731">
        <v>1604</v>
      </c>
      <c r="H731">
        <v>69135</v>
      </c>
      <c r="I731">
        <v>1045801</v>
      </c>
    </row>
    <row r="732" spans="1:9">
      <c r="A732" s="2">
        <v>1956</v>
      </c>
      <c r="B732">
        <v>62</v>
      </c>
      <c r="C732">
        <v>2.4989999999999998E-2</v>
      </c>
      <c r="D732">
        <v>2.4680000000000001E-2</v>
      </c>
      <c r="E732">
        <v>0.5</v>
      </c>
      <c r="F732">
        <v>68332</v>
      </c>
      <c r="G732">
        <v>1687</v>
      </c>
      <c r="H732">
        <v>67489</v>
      </c>
      <c r="I732">
        <v>976666</v>
      </c>
    </row>
    <row r="733" spans="1:9">
      <c r="A733" s="2">
        <v>1956</v>
      </c>
      <c r="B733">
        <v>63</v>
      </c>
      <c r="C733">
        <v>2.742E-2</v>
      </c>
      <c r="D733">
        <v>2.7050000000000001E-2</v>
      </c>
      <c r="E733">
        <v>0.5</v>
      </c>
      <c r="F733">
        <v>66646</v>
      </c>
      <c r="G733">
        <v>1802</v>
      </c>
      <c r="H733">
        <v>65744</v>
      </c>
      <c r="I733">
        <v>909177</v>
      </c>
    </row>
    <row r="734" spans="1:9">
      <c r="A734" s="2">
        <v>1956</v>
      </c>
      <c r="B734">
        <v>64</v>
      </c>
      <c r="C734">
        <v>3.0179999999999998E-2</v>
      </c>
      <c r="D734">
        <v>2.9729999999999999E-2</v>
      </c>
      <c r="E734">
        <v>0.5</v>
      </c>
      <c r="F734">
        <v>64843</v>
      </c>
      <c r="G734">
        <v>1928</v>
      </c>
      <c r="H734">
        <v>63879</v>
      </c>
      <c r="I734">
        <v>843432</v>
      </c>
    </row>
    <row r="735" spans="1:9">
      <c r="A735" s="2">
        <v>1956</v>
      </c>
      <c r="B735">
        <v>65</v>
      </c>
      <c r="C735">
        <v>3.141E-2</v>
      </c>
      <c r="D735">
        <v>3.092E-2</v>
      </c>
      <c r="E735">
        <v>0.5</v>
      </c>
      <c r="F735">
        <v>62916</v>
      </c>
      <c r="G735">
        <v>1945</v>
      </c>
      <c r="H735">
        <v>61943</v>
      </c>
      <c r="I735">
        <v>779553</v>
      </c>
    </row>
    <row r="736" spans="1:9">
      <c r="A736" s="2">
        <v>1956</v>
      </c>
      <c r="B736">
        <v>66</v>
      </c>
      <c r="C736">
        <v>3.2230000000000002E-2</v>
      </c>
      <c r="D736">
        <v>3.1719999999999998E-2</v>
      </c>
      <c r="E736">
        <v>0.5</v>
      </c>
      <c r="F736">
        <v>60970</v>
      </c>
      <c r="G736">
        <v>1934</v>
      </c>
      <c r="H736">
        <v>60003</v>
      </c>
      <c r="I736">
        <v>717610</v>
      </c>
    </row>
    <row r="737" spans="1:9">
      <c r="A737" s="2">
        <v>1956</v>
      </c>
      <c r="B737">
        <v>67</v>
      </c>
      <c r="C737">
        <v>3.8280000000000002E-2</v>
      </c>
      <c r="D737">
        <v>3.7560000000000003E-2</v>
      </c>
      <c r="E737">
        <v>0.5</v>
      </c>
      <c r="F737">
        <v>59036</v>
      </c>
      <c r="G737">
        <v>2217</v>
      </c>
      <c r="H737">
        <v>57928</v>
      </c>
      <c r="I737">
        <v>657607</v>
      </c>
    </row>
    <row r="738" spans="1:9">
      <c r="A738" s="2">
        <v>1956</v>
      </c>
      <c r="B738">
        <v>68</v>
      </c>
      <c r="C738">
        <v>4.2090000000000002E-2</v>
      </c>
      <c r="D738">
        <v>4.122E-2</v>
      </c>
      <c r="E738">
        <v>0.5</v>
      </c>
      <c r="F738">
        <v>56819</v>
      </c>
      <c r="G738">
        <v>2342</v>
      </c>
      <c r="H738">
        <v>55648</v>
      </c>
      <c r="I738">
        <v>599679</v>
      </c>
    </row>
    <row r="739" spans="1:9">
      <c r="A739" s="2">
        <v>1956</v>
      </c>
      <c r="B739">
        <v>69</v>
      </c>
      <c r="C739">
        <v>4.8719999999999999E-2</v>
      </c>
      <c r="D739">
        <v>4.7559999999999998E-2</v>
      </c>
      <c r="E739">
        <v>0.5</v>
      </c>
      <c r="F739">
        <v>54477</v>
      </c>
      <c r="G739">
        <v>2591</v>
      </c>
      <c r="H739">
        <v>53182</v>
      </c>
      <c r="I739">
        <v>544031</v>
      </c>
    </row>
    <row r="740" spans="1:9">
      <c r="A740" s="2">
        <v>1956</v>
      </c>
      <c r="B740">
        <v>70</v>
      </c>
      <c r="C740">
        <v>5.3170000000000002E-2</v>
      </c>
      <c r="D740">
        <v>5.1790000000000003E-2</v>
      </c>
      <c r="E740">
        <v>0.5</v>
      </c>
      <c r="F740">
        <v>51886</v>
      </c>
      <c r="G740">
        <v>2687</v>
      </c>
      <c r="H740">
        <v>50542</v>
      </c>
      <c r="I740">
        <v>490850</v>
      </c>
    </row>
    <row r="741" spans="1:9">
      <c r="A741" s="2">
        <v>1956</v>
      </c>
      <c r="B741">
        <v>71</v>
      </c>
      <c r="C741">
        <v>5.348E-2</v>
      </c>
      <c r="D741">
        <v>5.2080000000000001E-2</v>
      </c>
      <c r="E741">
        <v>0.5</v>
      </c>
      <c r="F741">
        <v>49199</v>
      </c>
      <c r="G741">
        <v>2562</v>
      </c>
      <c r="H741">
        <v>47917</v>
      </c>
      <c r="I741">
        <v>440307</v>
      </c>
    </row>
    <row r="742" spans="1:9">
      <c r="A742" s="2">
        <v>1956</v>
      </c>
      <c r="B742">
        <v>72</v>
      </c>
      <c r="C742">
        <v>6.1530000000000001E-2</v>
      </c>
      <c r="D742">
        <v>5.969E-2</v>
      </c>
      <c r="E742">
        <v>0.5</v>
      </c>
      <c r="F742">
        <v>46636</v>
      </c>
      <c r="G742">
        <v>2784</v>
      </c>
      <c r="H742">
        <v>45244</v>
      </c>
      <c r="I742">
        <v>392390</v>
      </c>
    </row>
    <row r="743" spans="1:9">
      <c r="A743" s="2">
        <v>1956</v>
      </c>
      <c r="B743">
        <v>73</v>
      </c>
      <c r="C743">
        <v>6.9669999999999996E-2</v>
      </c>
      <c r="D743">
        <v>6.7320000000000005E-2</v>
      </c>
      <c r="E743">
        <v>0.5</v>
      </c>
      <c r="F743">
        <v>43852</v>
      </c>
      <c r="G743">
        <v>2952</v>
      </c>
      <c r="H743">
        <v>42376</v>
      </c>
      <c r="I743">
        <v>347146</v>
      </c>
    </row>
    <row r="744" spans="1:9">
      <c r="A744" s="2">
        <v>1956</v>
      </c>
      <c r="B744">
        <v>74</v>
      </c>
      <c r="C744">
        <v>7.6670000000000002E-2</v>
      </c>
      <c r="D744">
        <v>7.3840000000000003E-2</v>
      </c>
      <c r="E744">
        <v>0.5</v>
      </c>
      <c r="F744">
        <v>40900</v>
      </c>
      <c r="G744">
        <v>3020</v>
      </c>
      <c r="H744">
        <v>39390</v>
      </c>
      <c r="I744">
        <v>304770</v>
      </c>
    </row>
    <row r="745" spans="1:9">
      <c r="A745" s="2">
        <v>1956</v>
      </c>
      <c r="B745">
        <v>75</v>
      </c>
      <c r="C745">
        <v>8.2309999999999994E-2</v>
      </c>
      <c r="D745">
        <v>7.9049999999999995E-2</v>
      </c>
      <c r="E745">
        <v>0.5</v>
      </c>
      <c r="F745">
        <v>37880</v>
      </c>
      <c r="G745">
        <v>2995</v>
      </c>
      <c r="H745">
        <v>36383</v>
      </c>
      <c r="I745">
        <v>265380</v>
      </c>
    </row>
    <row r="746" spans="1:9">
      <c r="A746" s="2">
        <v>1956</v>
      </c>
      <c r="B746">
        <v>76</v>
      </c>
      <c r="C746">
        <v>9.5250000000000001E-2</v>
      </c>
      <c r="D746">
        <v>9.0920000000000001E-2</v>
      </c>
      <c r="E746">
        <v>0.5</v>
      </c>
      <c r="F746">
        <v>34886</v>
      </c>
      <c r="G746">
        <v>3172</v>
      </c>
      <c r="H746">
        <v>33300</v>
      </c>
      <c r="I746">
        <v>228997</v>
      </c>
    </row>
    <row r="747" spans="1:9">
      <c r="A747" s="2">
        <v>1956</v>
      </c>
      <c r="B747">
        <v>77</v>
      </c>
      <c r="C747">
        <v>0.10512000000000001</v>
      </c>
      <c r="D747">
        <v>9.987E-2</v>
      </c>
      <c r="E747">
        <v>0.5</v>
      </c>
      <c r="F747">
        <v>31714</v>
      </c>
      <c r="G747">
        <v>3167</v>
      </c>
      <c r="H747">
        <v>30130</v>
      </c>
      <c r="I747">
        <v>195697</v>
      </c>
    </row>
    <row r="748" spans="1:9">
      <c r="A748" s="2">
        <v>1956</v>
      </c>
      <c r="B748">
        <v>78</v>
      </c>
      <c r="C748">
        <v>0.10721</v>
      </c>
      <c r="D748">
        <v>0.10176</v>
      </c>
      <c r="E748">
        <v>0.5</v>
      </c>
      <c r="F748">
        <v>28547</v>
      </c>
      <c r="G748">
        <v>2905</v>
      </c>
      <c r="H748">
        <v>27094</v>
      </c>
      <c r="I748">
        <v>165567</v>
      </c>
    </row>
    <row r="749" spans="1:9">
      <c r="A749" s="2">
        <v>1956</v>
      </c>
      <c r="B749">
        <v>79</v>
      </c>
      <c r="C749">
        <v>0.12081</v>
      </c>
      <c r="D749">
        <v>0.11393</v>
      </c>
      <c r="E749">
        <v>0.5</v>
      </c>
      <c r="F749">
        <v>25642</v>
      </c>
      <c r="G749">
        <v>2921</v>
      </c>
      <c r="H749">
        <v>24181</v>
      </c>
      <c r="I749">
        <v>138473</v>
      </c>
    </row>
    <row r="750" spans="1:9">
      <c r="A750" s="2">
        <v>1956</v>
      </c>
      <c r="B750">
        <v>80</v>
      </c>
      <c r="C750">
        <v>0.13342999999999999</v>
      </c>
      <c r="D750">
        <v>0.12508</v>
      </c>
      <c r="E750">
        <v>0.5</v>
      </c>
      <c r="F750">
        <v>22720</v>
      </c>
      <c r="G750">
        <v>2842</v>
      </c>
      <c r="H750">
        <v>21299</v>
      </c>
      <c r="I750">
        <v>114292</v>
      </c>
    </row>
    <row r="751" spans="1:9">
      <c r="A751" s="2">
        <v>1956</v>
      </c>
      <c r="B751">
        <v>81</v>
      </c>
      <c r="C751">
        <v>0.15062999999999999</v>
      </c>
      <c r="D751">
        <v>0.14008000000000001</v>
      </c>
      <c r="E751">
        <v>0.5</v>
      </c>
      <c r="F751">
        <v>19879</v>
      </c>
      <c r="G751">
        <v>2785</v>
      </c>
      <c r="H751">
        <v>18486</v>
      </c>
      <c r="I751">
        <v>92992</v>
      </c>
    </row>
    <row r="752" spans="1:9">
      <c r="A752" s="2">
        <v>1956</v>
      </c>
      <c r="B752">
        <v>82</v>
      </c>
      <c r="C752">
        <v>0.17130000000000001</v>
      </c>
      <c r="D752">
        <v>0.15779000000000001</v>
      </c>
      <c r="E752">
        <v>0.5</v>
      </c>
      <c r="F752">
        <v>17094</v>
      </c>
      <c r="G752">
        <v>2697</v>
      </c>
      <c r="H752">
        <v>15745</v>
      </c>
      <c r="I752">
        <v>74506</v>
      </c>
    </row>
    <row r="753" spans="1:9">
      <c r="A753" s="2">
        <v>1956</v>
      </c>
      <c r="B753">
        <v>83</v>
      </c>
      <c r="C753">
        <v>0.18318999999999999</v>
      </c>
      <c r="D753">
        <v>0.16782</v>
      </c>
      <c r="E753">
        <v>0.5</v>
      </c>
      <c r="F753">
        <v>14397</v>
      </c>
      <c r="G753">
        <v>2416</v>
      </c>
      <c r="H753">
        <v>13189</v>
      </c>
      <c r="I753">
        <v>58761</v>
      </c>
    </row>
    <row r="754" spans="1:9">
      <c r="A754" s="2">
        <v>1956</v>
      </c>
      <c r="B754">
        <v>84</v>
      </c>
      <c r="C754">
        <v>0.20083999999999999</v>
      </c>
      <c r="D754">
        <v>0.18251000000000001</v>
      </c>
      <c r="E754">
        <v>0.5</v>
      </c>
      <c r="F754">
        <v>11981</v>
      </c>
      <c r="G754">
        <v>2187</v>
      </c>
      <c r="H754">
        <v>10887</v>
      </c>
      <c r="I754">
        <v>45572</v>
      </c>
    </row>
    <row r="755" spans="1:9">
      <c r="A755" s="2">
        <v>1956</v>
      </c>
      <c r="B755">
        <v>85</v>
      </c>
      <c r="C755">
        <v>0.2276</v>
      </c>
      <c r="D755">
        <v>0.20435</v>
      </c>
      <c r="E755">
        <v>0.5</v>
      </c>
      <c r="F755">
        <v>9794</v>
      </c>
      <c r="G755">
        <v>2001</v>
      </c>
      <c r="H755">
        <v>8793</v>
      </c>
      <c r="I755">
        <v>34684</v>
      </c>
    </row>
    <row r="756" spans="1:9">
      <c r="A756" s="2">
        <v>1956</v>
      </c>
      <c r="B756">
        <v>86</v>
      </c>
      <c r="C756">
        <v>0.26028000000000001</v>
      </c>
      <c r="D756">
        <v>0.23030999999999999</v>
      </c>
      <c r="E756">
        <v>0.5</v>
      </c>
      <c r="F756">
        <v>7793</v>
      </c>
      <c r="G756">
        <v>1795</v>
      </c>
      <c r="H756">
        <v>6895</v>
      </c>
      <c r="I756">
        <v>25891</v>
      </c>
    </row>
    <row r="757" spans="1:9">
      <c r="A757" s="2">
        <v>1956</v>
      </c>
      <c r="B757">
        <v>87</v>
      </c>
      <c r="C757">
        <v>0.26652999999999999</v>
      </c>
      <c r="D757">
        <v>0.23519000000000001</v>
      </c>
      <c r="E757">
        <v>0.5</v>
      </c>
      <c r="F757">
        <v>5998</v>
      </c>
      <c r="G757">
        <v>1411</v>
      </c>
      <c r="H757">
        <v>5293</v>
      </c>
      <c r="I757">
        <v>18996</v>
      </c>
    </row>
    <row r="758" spans="1:9">
      <c r="A758" s="2">
        <v>1956</v>
      </c>
      <c r="B758">
        <v>88</v>
      </c>
      <c r="C758">
        <v>0.29559000000000002</v>
      </c>
      <c r="D758">
        <v>0.25752999999999998</v>
      </c>
      <c r="E758">
        <v>0.5</v>
      </c>
      <c r="F758">
        <v>4587</v>
      </c>
      <c r="G758">
        <v>1181</v>
      </c>
      <c r="H758">
        <v>3997</v>
      </c>
      <c r="I758">
        <v>13703</v>
      </c>
    </row>
    <row r="759" spans="1:9">
      <c r="A759" s="2">
        <v>1956</v>
      </c>
      <c r="B759">
        <v>89</v>
      </c>
      <c r="C759">
        <v>0.26878000000000002</v>
      </c>
      <c r="D759">
        <v>0.23694000000000001</v>
      </c>
      <c r="E759">
        <v>0.5</v>
      </c>
      <c r="F759">
        <v>3406</v>
      </c>
      <c r="G759">
        <v>807</v>
      </c>
      <c r="H759">
        <v>3002</v>
      </c>
      <c r="I759">
        <v>9706</v>
      </c>
    </row>
    <row r="760" spans="1:9">
      <c r="A760" s="2">
        <v>1956</v>
      </c>
      <c r="B760">
        <v>90</v>
      </c>
      <c r="C760">
        <v>0.31863999999999998</v>
      </c>
      <c r="D760">
        <v>0.27484999999999998</v>
      </c>
      <c r="E760">
        <v>0.5</v>
      </c>
      <c r="F760">
        <v>2599</v>
      </c>
      <c r="G760">
        <v>714</v>
      </c>
      <c r="H760">
        <v>2242</v>
      </c>
      <c r="I760">
        <v>6704</v>
      </c>
    </row>
    <row r="761" spans="1:9">
      <c r="A761" s="2">
        <v>1956</v>
      </c>
      <c r="B761">
        <v>91</v>
      </c>
      <c r="C761">
        <v>0.34356999999999999</v>
      </c>
      <c r="D761">
        <v>0.29320000000000002</v>
      </c>
      <c r="E761">
        <v>0.5</v>
      </c>
      <c r="F761">
        <v>1885</v>
      </c>
      <c r="G761">
        <v>553</v>
      </c>
      <c r="H761">
        <v>1608</v>
      </c>
      <c r="I761">
        <v>4462</v>
      </c>
    </row>
    <row r="762" spans="1:9">
      <c r="A762" s="2">
        <v>1956</v>
      </c>
      <c r="B762">
        <v>92</v>
      </c>
      <c r="C762">
        <v>0.47089999999999999</v>
      </c>
      <c r="D762">
        <v>0.38114999999999999</v>
      </c>
      <c r="E762">
        <v>0.5</v>
      </c>
      <c r="F762">
        <v>1332</v>
      </c>
      <c r="G762">
        <v>508</v>
      </c>
      <c r="H762">
        <v>1078</v>
      </c>
      <c r="I762">
        <v>2854</v>
      </c>
    </row>
    <row r="763" spans="1:9">
      <c r="A763" s="2">
        <v>1956</v>
      </c>
      <c r="B763">
        <v>93</v>
      </c>
      <c r="C763">
        <v>0.42180000000000001</v>
      </c>
      <c r="D763">
        <v>0.34832999999999997</v>
      </c>
      <c r="E763">
        <v>0.5</v>
      </c>
      <c r="F763">
        <v>824</v>
      </c>
      <c r="G763">
        <v>287</v>
      </c>
      <c r="H763">
        <v>681</v>
      </c>
      <c r="I763">
        <v>1776</v>
      </c>
    </row>
    <row r="764" spans="1:9">
      <c r="A764" s="2">
        <v>1956</v>
      </c>
      <c r="B764">
        <v>94</v>
      </c>
      <c r="C764">
        <v>0.45065</v>
      </c>
      <c r="D764">
        <v>0.36778</v>
      </c>
      <c r="E764">
        <v>0.5</v>
      </c>
      <c r="F764">
        <v>537</v>
      </c>
      <c r="G764">
        <v>198</v>
      </c>
      <c r="H764">
        <v>438</v>
      </c>
      <c r="I764">
        <v>1095</v>
      </c>
    </row>
    <row r="765" spans="1:9">
      <c r="A765" s="2">
        <v>1956</v>
      </c>
      <c r="B765">
        <v>95</v>
      </c>
      <c r="C765">
        <v>0.47983999999999999</v>
      </c>
      <c r="D765">
        <v>0.38699</v>
      </c>
      <c r="E765">
        <v>0.5</v>
      </c>
      <c r="F765">
        <v>340</v>
      </c>
      <c r="G765">
        <v>131</v>
      </c>
      <c r="H765">
        <v>274</v>
      </c>
      <c r="I765">
        <v>657</v>
      </c>
    </row>
    <row r="766" spans="1:9">
      <c r="A766" s="2">
        <v>1956</v>
      </c>
      <c r="B766">
        <v>96</v>
      </c>
      <c r="C766">
        <v>0.50915999999999995</v>
      </c>
      <c r="D766">
        <v>0.40583999999999998</v>
      </c>
      <c r="E766">
        <v>0.5</v>
      </c>
      <c r="F766">
        <v>208</v>
      </c>
      <c r="G766">
        <v>84</v>
      </c>
      <c r="H766">
        <v>166</v>
      </c>
      <c r="I766">
        <v>383</v>
      </c>
    </row>
    <row r="767" spans="1:9">
      <c r="A767" s="2">
        <v>1956</v>
      </c>
      <c r="B767">
        <v>97</v>
      </c>
      <c r="C767">
        <v>0.53842999999999996</v>
      </c>
      <c r="D767">
        <v>0.42421999999999999</v>
      </c>
      <c r="E767">
        <v>0.5</v>
      </c>
      <c r="F767">
        <v>124</v>
      </c>
      <c r="G767">
        <v>52</v>
      </c>
      <c r="H767">
        <v>97</v>
      </c>
      <c r="I767">
        <v>217</v>
      </c>
    </row>
    <row r="768" spans="1:9">
      <c r="A768" s="2">
        <v>1956</v>
      </c>
      <c r="B768">
        <v>98</v>
      </c>
      <c r="C768">
        <v>0.56742999999999999</v>
      </c>
      <c r="D768">
        <v>0.44202000000000002</v>
      </c>
      <c r="E768">
        <v>0.5</v>
      </c>
      <c r="F768">
        <v>71</v>
      </c>
      <c r="G768">
        <v>31</v>
      </c>
      <c r="H768">
        <v>55</v>
      </c>
      <c r="I768">
        <v>119</v>
      </c>
    </row>
    <row r="769" spans="1:9">
      <c r="A769" s="2">
        <v>1956</v>
      </c>
      <c r="B769">
        <v>99</v>
      </c>
      <c r="C769">
        <v>0.59597999999999995</v>
      </c>
      <c r="D769">
        <v>0.45915</v>
      </c>
      <c r="E769">
        <v>0.5</v>
      </c>
      <c r="F769">
        <v>40</v>
      </c>
      <c r="G769">
        <v>18</v>
      </c>
      <c r="H769">
        <v>31</v>
      </c>
      <c r="I769">
        <v>64</v>
      </c>
    </row>
    <row r="770" spans="1:9">
      <c r="A770" s="2">
        <v>1956</v>
      </c>
      <c r="B770">
        <v>100</v>
      </c>
      <c r="C770">
        <v>0.62388999999999994</v>
      </c>
      <c r="D770">
        <v>0.47554999999999997</v>
      </c>
      <c r="E770">
        <v>0.5</v>
      </c>
      <c r="F770">
        <v>21</v>
      </c>
      <c r="G770">
        <v>10</v>
      </c>
      <c r="H770">
        <v>16</v>
      </c>
      <c r="I770">
        <v>33</v>
      </c>
    </row>
    <row r="771" spans="1:9">
      <c r="A771" s="2">
        <v>1956</v>
      </c>
      <c r="B771">
        <v>101</v>
      </c>
      <c r="C771">
        <v>0.65100000000000002</v>
      </c>
      <c r="D771">
        <v>0.49114000000000002</v>
      </c>
      <c r="E771">
        <v>0.5</v>
      </c>
      <c r="F771">
        <v>11</v>
      </c>
      <c r="G771">
        <v>6</v>
      </c>
      <c r="H771">
        <v>9</v>
      </c>
      <c r="I771">
        <v>17</v>
      </c>
    </row>
    <row r="772" spans="1:9">
      <c r="A772" s="2">
        <v>1956</v>
      </c>
      <c r="B772">
        <v>102</v>
      </c>
      <c r="C772">
        <v>0.67717000000000005</v>
      </c>
      <c r="D772">
        <v>0.50588999999999995</v>
      </c>
      <c r="E772">
        <v>0.5</v>
      </c>
      <c r="F772">
        <v>6</v>
      </c>
      <c r="G772">
        <v>3</v>
      </c>
      <c r="H772">
        <v>4</v>
      </c>
      <c r="I772">
        <v>8</v>
      </c>
    </row>
    <row r="773" spans="1:9">
      <c r="A773" s="2">
        <v>1956</v>
      </c>
      <c r="B773">
        <v>103</v>
      </c>
      <c r="C773">
        <v>0.70228000000000002</v>
      </c>
      <c r="D773">
        <v>0.51976999999999995</v>
      </c>
      <c r="E773">
        <v>0.5</v>
      </c>
      <c r="F773">
        <v>3</v>
      </c>
      <c r="G773">
        <v>1</v>
      </c>
      <c r="H773">
        <v>2</v>
      </c>
      <c r="I773">
        <v>4</v>
      </c>
    </row>
    <row r="774" spans="1:9">
      <c r="A774" s="2">
        <v>1956</v>
      </c>
      <c r="B774">
        <v>104</v>
      </c>
      <c r="C774">
        <v>0.72621999999999998</v>
      </c>
      <c r="D774">
        <v>0.53276999999999997</v>
      </c>
      <c r="E774">
        <v>0.5</v>
      </c>
      <c r="F774">
        <v>1</v>
      </c>
      <c r="G774">
        <v>1</v>
      </c>
      <c r="H774">
        <v>1</v>
      </c>
      <c r="I774">
        <v>2</v>
      </c>
    </row>
    <row r="775" spans="1:9">
      <c r="A775" s="2">
        <v>1956</v>
      </c>
      <c r="B775">
        <v>105</v>
      </c>
      <c r="C775">
        <v>0.74892000000000003</v>
      </c>
      <c r="D775">
        <v>0.54488000000000003</v>
      </c>
      <c r="E775">
        <v>0.5</v>
      </c>
      <c r="F775">
        <v>1</v>
      </c>
      <c r="G775">
        <v>0</v>
      </c>
      <c r="H775">
        <v>0</v>
      </c>
      <c r="I775">
        <v>1</v>
      </c>
    </row>
    <row r="776" spans="1:9">
      <c r="A776" s="2">
        <v>1956</v>
      </c>
      <c r="B776">
        <v>106</v>
      </c>
      <c r="C776">
        <v>0.77034000000000002</v>
      </c>
      <c r="D776">
        <v>0.55613000000000001</v>
      </c>
      <c r="E776">
        <v>0.5</v>
      </c>
      <c r="F776">
        <v>0</v>
      </c>
      <c r="G776">
        <v>0</v>
      </c>
      <c r="H776">
        <v>0</v>
      </c>
      <c r="I776">
        <v>0</v>
      </c>
    </row>
    <row r="777" spans="1:9">
      <c r="A777" s="2">
        <v>1956</v>
      </c>
      <c r="B777">
        <v>107</v>
      </c>
      <c r="C777">
        <v>0.79044000000000003</v>
      </c>
      <c r="D777">
        <v>0.56654000000000004</v>
      </c>
      <c r="E777">
        <v>0.5</v>
      </c>
      <c r="F777">
        <v>0</v>
      </c>
      <c r="G777">
        <v>0</v>
      </c>
      <c r="H777">
        <v>0</v>
      </c>
      <c r="I777">
        <v>0</v>
      </c>
    </row>
    <row r="778" spans="1:9">
      <c r="A778" s="2">
        <v>1956</v>
      </c>
      <c r="B778">
        <v>108</v>
      </c>
      <c r="C778">
        <v>0.80922000000000005</v>
      </c>
      <c r="D778">
        <v>0.57611999999999997</v>
      </c>
      <c r="E778">
        <v>0.5</v>
      </c>
      <c r="F778">
        <v>0</v>
      </c>
      <c r="G778">
        <v>0</v>
      </c>
      <c r="H778">
        <v>0</v>
      </c>
      <c r="I778">
        <v>0</v>
      </c>
    </row>
    <row r="779" spans="1:9">
      <c r="A779" s="2">
        <v>1956</v>
      </c>
      <c r="B779">
        <v>109</v>
      </c>
      <c r="C779">
        <v>0.82667999999999997</v>
      </c>
      <c r="D779">
        <v>0.58491000000000004</v>
      </c>
      <c r="E779">
        <v>0.5</v>
      </c>
      <c r="F779">
        <v>0</v>
      </c>
      <c r="G779">
        <v>0</v>
      </c>
      <c r="H779">
        <v>0</v>
      </c>
      <c r="I779">
        <v>0</v>
      </c>
    </row>
    <row r="780" spans="1:9">
      <c r="A780" s="2">
        <v>1956</v>
      </c>
      <c r="B780" t="s">
        <v>26</v>
      </c>
      <c r="C780">
        <v>0.84286000000000005</v>
      </c>
      <c r="D780">
        <v>1</v>
      </c>
      <c r="E780" s="3" t="s">
        <v>32</v>
      </c>
      <c r="F780">
        <v>0</v>
      </c>
      <c r="G780">
        <v>0</v>
      </c>
      <c r="H780">
        <v>0</v>
      </c>
      <c r="I780">
        <v>0</v>
      </c>
    </row>
    <row r="781" spans="1:9">
      <c r="A781" s="2">
        <v>1957</v>
      </c>
      <c r="B781">
        <v>0</v>
      </c>
      <c r="C781">
        <v>6.9500000000000006E-2</v>
      </c>
      <c r="D781">
        <v>6.608E-2</v>
      </c>
      <c r="E781">
        <v>0.25</v>
      </c>
      <c r="F781">
        <v>100000</v>
      </c>
      <c r="G781">
        <v>6608</v>
      </c>
      <c r="H781">
        <v>95077</v>
      </c>
      <c r="I781">
        <v>6409071</v>
      </c>
    </row>
    <row r="782" spans="1:9">
      <c r="A782" s="2">
        <v>1957</v>
      </c>
      <c r="B782">
        <v>1</v>
      </c>
      <c r="C782">
        <v>4.8799999999999998E-3</v>
      </c>
      <c r="D782">
        <v>4.8700000000000002E-3</v>
      </c>
      <c r="E782">
        <v>0.5</v>
      </c>
      <c r="F782">
        <v>93392</v>
      </c>
      <c r="G782">
        <v>454</v>
      </c>
      <c r="H782">
        <v>93165</v>
      </c>
      <c r="I782">
        <v>6313994</v>
      </c>
    </row>
    <row r="783" spans="1:9">
      <c r="A783" s="2">
        <v>1957</v>
      </c>
      <c r="B783">
        <v>2</v>
      </c>
      <c r="C783">
        <v>1.99E-3</v>
      </c>
      <c r="D783">
        <v>1.99E-3</v>
      </c>
      <c r="E783">
        <v>0.5</v>
      </c>
      <c r="F783">
        <v>92938</v>
      </c>
      <c r="G783">
        <v>185</v>
      </c>
      <c r="H783">
        <v>92845</v>
      </c>
      <c r="I783">
        <v>6220829</v>
      </c>
    </row>
    <row r="784" spans="1:9">
      <c r="A784" s="2">
        <v>1957</v>
      </c>
      <c r="B784">
        <v>3</v>
      </c>
      <c r="C784">
        <v>1.1800000000000001E-3</v>
      </c>
      <c r="D784">
        <v>1.1800000000000001E-3</v>
      </c>
      <c r="E784">
        <v>0.5</v>
      </c>
      <c r="F784">
        <v>92753</v>
      </c>
      <c r="G784">
        <v>110</v>
      </c>
      <c r="H784">
        <v>92698</v>
      </c>
      <c r="I784">
        <v>6127984</v>
      </c>
    </row>
    <row r="785" spans="1:9">
      <c r="A785" s="2">
        <v>1957</v>
      </c>
      <c r="B785">
        <v>4</v>
      </c>
      <c r="C785">
        <v>8.7000000000000001E-4</v>
      </c>
      <c r="D785">
        <v>8.7000000000000001E-4</v>
      </c>
      <c r="E785">
        <v>0.5</v>
      </c>
      <c r="F785">
        <v>92643</v>
      </c>
      <c r="G785">
        <v>80</v>
      </c>
      <c r="H785">
        <v>92603</v>
      </c>
      <c r="I785">
        <v>6035285</v>
      </c>
    </row>
    <row r="786" spans="1:9">
      <c r="A786" s="2">
        <v>1957</v>
      </c>
      <c r="B786">
        <v>5</v>
      </c>
      <c r="C786">
        <v>8.9999999999999998E-4</v>
      </c>
      <c r="D786">
        <v>8.9999999999999998E-4</v>
      </c>
      <c r="E786">
        <v>0.5</v>
      </c>
      <c r="F786">
        <v>92563</v>
      </c>
      <c r="G786">
        <v>83</v>
      </c>
      <c r="H786">
        <v>92522</v>
      </c>
      <c r="I786">
        <v>5942682</v>
      </c>
    </row>
    <row r="787" spans="1:9">
      <c r="A787" s="2">
        <v>1957</v>
      </c>
      <c r="B787">
        <v>6</v>
      </c>
      <c r="C787">
        <v>7.6000000000000004E-4</v>
      </c>
      <c r="D787">
        <v>7.6000000000000004E-4</v>
      </c>
      <c r="E787">
        <v>0.5</v>
      </c>
      <c r="F787">
        <v>92480</v>
      </c>
      <c r="G787">
        <v>70</v>
      </c>
      <c r="H787">
        <v>92445</v>
      </c>
      <c r="I787">
        <v>5850160</v>
      </c>
    </row>
    <row r="788" spans="1:9">
      <c r="A788" s="2">
        <v>1957</v>
      </c>
      <c r="B788">
        <v>7</v>
      </c>
      <c r="C788">
        <v>7.1000000000000002E-4</v>
      </c>
      <c r="D788">
        <v>7.1000000000000002E-4</v>
      </c>
      <c r="E788">
        <v>0.5</v>
      </c>
      <c r="F788">
        <v>92410</v>
      </c>
      <c r="G788">
        <v>66</v>
      </c>
      <c r="H788">
        <v>92377</v>
      </c>
      <c r="I788">
        <v>5757716</v>
      </c>
    </row>
    <row r="789" spans="1:9">
      <c r="A789" s="2">
        <v>1957</v>
      </c>
      <c r="B789">
        <v>8</v>
      </c>
      <c r="C789">
        <v>6.4999999999999997E-4</v>
      </c>
      <c r="D789">
        <v>6.4999999999999997E-4</v>
      </c>
      <c r="E789">
        <v>0.5</v>
      </c>
      <c r="F789">
        <v>92344</v>
      </c>
      <c r="G789">
        <v>60</v>
      </c>
      <c r="H789">
        <v>92314</v>
      </c>
      <c r="I789">
        <v>5665339</v>
      </c>
    </row>
    <row r="790" spans="1:9">
      <c r="A790" s="2">
        <v>1957</v>
      </c>
      <c r="B790">
        <v>9</v>
      </c>
      <c r="C790">
        <v>5.8E-4</v>
      </c>
      <c r="D790">
        <v>5.8E-4</v>
      </c>
      <c r="E790">
        <v>0.5</v>
      </c>
      <c r="F790">
        <v>92284</v>
      </c>
      <c r="G790">
        <v>54</v>
      </c>
      <c r="H790">
        <v>92258</v>
      </c>
      <c r="I790">
        <v>5573024</v>
      </c>
    </row>
    <row r="791" spans="1:9">
      <c r="A791" s="2">
        <v>1957</v>
      </c>
      <c r="B791">
        <v>10</v>
      </c>
      <c r="C791">
        <v>5.8E-4</v>
      </c>
      <c r="D791">
        <v>5.8E-4</v>
      </c>
      <c r="E791">
        <v>0.5</v>
      </c>
      <c r="F791">
        <v>92231</v>
      </c>
      <c r="G791">
        <v>53</v>
      </c>
      <c r="H791">
        <v>92204</v>
      </c>
      <c r="I791">
        <v>5480767</v>
      </c>
    </row>
    <row r="792" spans="1:9">
      <c r="A792" s="2">
        <v>1957</v>
      </c>
      <c r="B792">
        <v>11</v>
      </c>
      <c r="C792">
        <v>5.1000000000000004E-4</v>
      </c>
      <c r="D792">
        <v>5.1000000000000004E-4</v>
      </c>
      <c r="E792">
        <v>0.5</v>
      </c>
      <c r="F792">
        <v>92178</v>
      </c>
      <c r="G792">
        <v>47</v>
      </c>
      <c r="H792">
        <v>92154</v>
      </c>
      <c r="I792">
        <v>5388563</v>
      </c>
    </row>
    <row r="793" spans="1:9">
      <c r="A793" s="2">
        <v>1957</v>
      </c>
      <c r="B793">
        <v>12</v>
      </c>
      <c r="C793">
        <v>5.6999999999999998E-4</v>
      </c>
      <c r="D793">
        <v>5.6999999999999998E-4</v>
      </c>
      <c r="E793">
        <v>0.5</v>
      </c>
      <c r="F793">
        <v>92131</v>
      </c>
      <c r="G793">
        <v>53</v>
      </c>
      <c r="H793">
        <v>92104</v>
      </c>
      <c r="I793">
        <v>5296408</v>
      </c>
    </row>
    <row r="794" spans="1:9">
      <c r="A794" s="2">
        <v>1957</v>
      </c>
      <c r="B794">
        <v>13</v>
      </c>
      <c r="C794">
        <v>6.2E-4</v>
      </c>
      <c r="D794">
        <v>6.2E-4</v>
      </c>
      <c r="E794">
        <v>0.5</v>
      </c>
      <c r="F794">
        <v>92078</v>
      </c>
      <c r="G794">
        <v>57</v>
      </c>
      <c r="H794">
        <v>92049</v>
      </c>
      <c r="I794">
        <v>5204304</v>
      </c>
    </row>
    <row r="795" spans="1:9">
      <c r="A795" s="2">
        <v>1957</v>
      </c>
      <c r="B795">
        <v>14</v>
      </c>
      <c r="C795">
        <v>8.9999999999999998E-4</v>
      </c>
      <c r="D795">
        <v>8.9999999999999998E-4</v>
      </c>
      <c r="E795">
        <v>0.5</v>
      </c>
      <c r="F795">
        <v>92021</v>
      </c>
      <c r="G795">
        <v>83</v>
      </c>
      <c r="H795">
        <v>91979</v>
      </c>
      <c r="I795">
        <v>5112255</v>
      </c>
    </row>
    <row r="796" spans="1:9">
      <c r="A796" s="2">
        <v>1957</v>
      </c>
      <c r="B796">
        <v>15</v>
      </c>
      <c r="C796">
        <v>9.7000000000000005E-4</v>
      </c>
      <c r="D796">
        <v>9.7000000000000005E-4</v>
      </c>
      <c r="E796">
        <v>0.5</v>
      </c>
      <c r="F796">
        <v>91938</v>
      </c>
      <c r="G796">
        <v>89</v>
      </c>
      <c r="H796">
        <v>91893</v>
      </c>
      <c r="I796">
        <v>5020276</v>
      </c>
    </row>
    <row r="797" spans="1:9">
      <c r="A797" s="2">
        <v>1957</v>
      </c>
      <c r="B797">
        <v>16</v>
      </c>
      <c r="C797">
        <v>1.34E-3</v>
      </c>
      <c r="D797">
        <v>1.34E-3</v>
      </c>
      <c r="E797">
        <v>0.5</v>
      </c>
      <c r="F797">
        <v>91849</v>
      </c>
      <c r="G797">
        <v>123</v>
      </c>
      <c r="H797">
        <v>91787</v>
      </c>
      <c r="I797">
        <v>4928382</v>
      </c>
    </row>
    <row r="798" spans="1:9">
      <c r="A798" s="2">
        <v>1957</v>
      </c>
      <c r="B798">
        <v>17</v>
      </c>
      <c r="C798">
        <v>1.1999999999999999E-3</v>
      </c>
      <c r="D798">
        <v>1.1999999999999999E-3</v>
      </c>
      <c r="E798">
        <v>0.5</v>
      </c>
      <c r="F798">
        <v>91726</v>
      </c>
      <c r="G798">
        <v>110</v>
      </c>
      <c r="H798">
        <v>91670</v>
      </c>
      <c r="I798">
        <v>4836595</v>
      </c>
    </row>
    <row r="799" spans="1:9">
      <c r="A799" s="2">
        <v>1957</v>
      </c>
      <c r="B799">
        <v>18</v>
      </c>
      <c r="C799">
        <v>1.5399999999999999E-3</v>
      </c>
      <c r="D799">
        <v>1.5399999999999999E-3</v>
      </c>
      <c r="E799">
        <v>0.5</v>
      </c>
      <c r="F799">
        <v>91615</v>
      </c>
      <c r="G799">
        <v>141</v>
      </c>
      <c r="H799">
        <v>91545</v>
      </c>
      <c r="I799">
        <v>4744925</v>
      </c>
    </row>
    <row r="800" spans="1:9">
      <c r="A800" s="2">
        <v>1957</v>
      </c>
      <c r="B800">
        <v>19</v>
      </c>
      <c r="C800">
        <v>1.5299999999999999E-3</v>
      </c>
      <c r="D800">
        <v>1.5299999999999999E-3</v>
      </c>
      <c r="E800">
        <v>0.5</v>
      </c>
      <c r="F800">
        <v>91474</v>
      </c>
      <c r="G800">
        <v>140</v>
      </c>
      <c r="H800">
        <v>91404</v>
      </c>
      <c r="I800">
        <v>4653380</v>
      </c>
    </row>
    <row r="801" spans="1:9">
      <c r="A801" s="2">
        <v>1957</v>
      </c>
      <c r="B801">
        <v>20</v>
      </c>
      <c r="C801">
        <v>1.6900000000000001E-3</v>
      </c>
      <c r="D801">
        <v>1.6900000000000001E-3</v>
      </c>
      <c r="E801">
        <v>0.5</v>
      </c>
      <c r="F801">
        <v>91334</v>
      </c>
      <c r="G801">
        <v>155</v>
      </c>
      <c r="H801">
        <v>91256</v>
      </c>
      <c r="I801">
        <v>4561976</v>
      </c>
    </row>
    <row r="802" spans="1:9">
      <c r="A802" s="2">
        <v>1957</v>
      </c>
      <c r="B802">
        <v>21</v>
      </c>
      <c r="C802">
        <v>2.2100000000000002E-3</v>
      </c>
      <c r="D802">
        <v>2.2100000000000002E-3</v>
      </c>
      <c r="E802">
        <v>0.5</v>
      </c>
      <c r="F802">
        <v>91179</v>
      </c>
      <c r="G802">
        <v>201</v>
      </c>
      <c r="H802">
        <v>91078</v>
      </c>
      <c r="I802">
        <v>4470720</v>
      </c>
    </row>
    <row r="803" spans="1:9">
      <c r="A803" s="2">
        <v>1957</v>
      </c>
      <c r="B803">
        <v>22</v>
      </c>
      <c r="C803">
        <v>2.0200000000000001E-3</v>
      </c>
      <c r="D803">
        <v>2.0200000000000001E-3</v>
      </c>
      <c r="E803">
        <v>0.5</v>
      </c>
      <c r="F803">
        <v>90978</v>
      </c>
      <c r="G803">
        <v>184</v>
      </c>
      <c r="H803">
        <v>90886</v>
      </c>
      <c r="I803">
        <v>4379641</v>
      </c>
    </row>
    <row r="804" spans="1:9">
      <c r="A804" s="2">
        <v>1957</v>
      </c>
      <c r="B804">
        <v>23</v>
      </c>
      <c r="C804">
        <v>2.0200000000000001E-3</v>
      </c>
      <c r="D804">
        <v>2.0200000000000001E-3</v>
      </c>
      <c r="E804">
        <v>0.5</v>
      </c>
      <c r="F804">
        <v>90794</v>
      </c>
      <c r="G804">
        <v>183</v>
      </c>
      <c r="H804">
        <v>90702</v>
      </c>
      <c r="I804">
        <v>4288755</v>
      </c>
    </row>
    <row r="805" spans="1:9">
      <c r="A805" s="2">
        <v>1957</v>
      </c>
      <c r="B805">
        <v>24</v>
      </c>
      <c r="C805">
        <v>1.7799999999999999E-3</v>
      </c>
      <c r="D805">
        <v>1.7799999999999999E-3</v>
      </c>
      <c r="E805">
        <v>0.5</v>
      </c>
      <c r="F805">
        <v>90610</v>
      </c>
      <c r="G805">
        <v>161</v>
      </c>
      <c r="H805">
        <v>90530</v>
      </c>
      <c r="I805">
        <v>4198053</v>
      </c>
    </row>
    <row r="806" spans="1:9">
      <c r="A806" s="2">
        <v>1957</v>
      </c>
      <c r="B806">
        <v>25</v>
      </c>
      <c r="C806">
        <v>1.6299999999999999E-3</v>
      </c>
      <c r="D806">
        <v>1.6299999999999999E-3</v>
      </c>
      <c r="E806">
        <v>0.5</v>
      </c>
      <c r="F806">
        <v>90449</v>
      </c>
      <c r="G806">
        <v>147</v>
      </c>
      <c r="H806">
        <v>90375</v>
      </c>
      <c r="I806">
        <v>4107524</v>
      </c>
    </row>
    <row r="807" spans="1:9">
      <c r="A807" s="2">
        <v>1957</v>
      </c>
      <c r="B807">
        <v>26</v>
      </c>
      <c r="C807">
        <v>2.1199999999999999E-3</v>
      </c>
      <c r="D807">
        <v>2.1199999999999999E-3</v>
      </c>
      <c r="E807">
        <v>0.5</v>
      </c>
      <c r="F807">
        <v>90302</v>
      </c>
      <c r="G807">
        <v>192</v>
      </c>
      <c r="H807">
        <v>90206</v>
      </c>
      <c r="I807">
        <v>4017148</v>
      </c>
    </row>
    <row r="808" spans="1:9">
      <c r="A808" s="2">
        <v>1957</v>
      </c>
      <c r="B808">
        <v>27</v>
      </c>
      <c r="C808">
        <v>1.9E-3</v>
      </c>
      <c r="D808">
        <v>1.9E-3</v>
      </c>
      <c r="E808">
        <v>0.5</v>
      </c>
      <c r="F808">
        <v>90110</v>
      </c>
      <c r="G808">
        <v>171</v>
      </c>
      <c r="H808">
        <v>90024</v>
      </c>
      <c r="I808">
        <v>3926942</v>
      </c>
    </row>
    <row r="809" spans="1:9">
      <c r="A809" s="2">
        <v>1957</v>
      </c>
      <c r="B809">
        <v>28</v>
      </c>
      <c r="C809">
        <v>1.9400000000000001E-3</v>
      </c>
      <c r="D809">
        <v>1.9400000000000001E-3</v>
      </c>
      <c r="E809">
        <v>0.5</v>
      </c>
      <c r="F809">
        <v>89939</v>
      </c>
      <c r="G809">
        <v>174</v>
      </c>
      <c r="H809">
        <v>89852</v>
      </c>
      <c r="I809">
        <v>3836918</v>
      </c>
    </row>
    <row r="810" spans="1:9">
      <c r="A810" s="2">
        <v>1957</v>
      </c>
      <c r="B810">
        <v>29</v>
      </c>
      <c r="C810">
        <v>2.3600000000000001E-3</v>
      </c>
      <c r="D810">
        <v>2.3600000000000001E-3</v>
      </c>
      <c r="E810">
        <v>0.5</v>
      </c>
      <c r="F810">
        <v>89764</v>
      </c>
      <c r="G810">
        <v>211</v>
      </c>
      <c r="H810">
        <v>89659</v>
      </c>
      <c r="I810">
        <v>3747066</v>
      </c>
    </row>
    <row r="811" spans="1:9">
      <c r="A811" s="2">
        <v>1957</v>
      </c>
      <c r="B811">
        <v>30</v>
      </c>
      <c r="C811">
        <v>2.0999999999999999E-3</v>
      </c>
      <c r="D811">
        <v>2.0999999999999999E-3</v>
      </c>
      <c r="E811">
        <v>0.5</v>
      </c>
      <c r="F811">
        <v>89553</v>
      </c>
      <c r="G811">
        <v>188</v>
      </c>
      <c r="H811">
        <v>89459</v>
      </c>
      <c r="I811">
        <v>3657408</v>
      </c>
    </row>
    <row r="812" spans="1:9">
      <c r="A812" s="2">
        <v>1957</v>
      </c>
      <c r="B812">
        <v>31</v>
      </c>
      <c r="C812">
        <v>2.1099999999999999E-3</v>
      </c>
      <c r="D812">
        <v>2.0999999999999999E-3</v>
      </c>
      <c r="E812">
        <v>0.5</v>
      </c>
      <c r="F812">
        <v>89365</v>
      </c>
      <c r="G812">
        <v>188</v>
      </c>
      <c r="H812">
        <v>89271</v>
      </c>
      <c r="I812">
        <v>3567949</v>
      </c>
    </row>
    <row r="813" spans="1:9">
      <c r="A813" s="2">
        <v>1957</v>
      </c>
      <c r="B813">
        <v>32</v>
      </c>
      <c r="C813">
        <v>2.2300000000000002E-3</v>
      </c>
      <c r="D813">
        <v>2.2300000000000002E-3</v>
      </c>
      <c r="E813">
        <v>0.5</v>
      </c>
      <c r="F813">
        <v>89177</v>
      </c>
      <c r="G813">
        <v>199</v>
      </c>
      <c r="H813">
        <v>89077</v>
      </c>
      <c r="I813">
        <v>3478678</v>
      </c>
    </row>
    <row r="814" spans="1:9">
      <c r="A814" s="2">
        <v>1957</v>
      </c>
      <c r="B814">
        <v>33</v>
      </c>
      <c r="C814">
        <v>2.1800000000000001E-3</v>
      </c>
      <c r="D814">
        <v>2.1700000000000001E-3</v>
      </c>
      <c r="E814">
        <v>0.5</v>
      </c>
      <c r="F814">
        <v>88978</v>
      </c>
      <c r="G814">
        <v>193</v>
      </c>
      <c r="H814">
        <v>88881</v>
      </c>
      <c r="I814">
        <v>3389601</v>
      </c>
    </row>
    <row r="815" spans="1:9">
      <c r="A815" s="2">
        <v>1957</v>
      </c>
      <c r="B815">
        <v>34</v>
      </c>
      <c r="C815">
        <v>2.4299999999999999E-3</v>
      </c>
      <c r="D815">
        <v>2.4299999999999999E-3</v>
      </c>
      <c r="E815">
        <v>0.5</v>
      </c>
      <c r="F815">
        <v>88784</v>
      </c>
      <c r="G815">
        <v>216</v>
      </c>
      <c r="H815">
        <v>88677</v>
      </c>
      <c r="I815">
        <v>3300720</v>
      </c>
    </row>
    <row r="816" spans="1:9">
      <c r="A816" s="2">
        <v>1957</v>
      </c>
      <c r="B816">
        <v>35</v>
      </c>
      <c r="C816">
        <v>2.5899999999999999E-3</v>
      </c>
      <c r="D816">
        <v>2.5799999999999998E-3</v>
      </c>
      <c r="E816">
        <v>0.5</v>
      </c>
      <c r="F816">
        <v>88569</v>
      </c>
      <c r="G816">
        <v>229</v>
      </c>
      <c r="H816">
        <v>88454</v>
      </c>
      <c r="I816">
        <v>3212043</v>
      </c>
    </row>
    <row r="817" spans="1:9">
      <c r="A817" s="2">
        <v>1957</v>
      </c>
      <c r="B817">
        <v>36</v>
      </c>
      <c r="C817">
        <v>2.5000000000000001E-3</v>
      </c>
      <c r="D817">
        <v>2.5000000000000001E-3</v>
      </c>
      <c r="E817">
        <v>0.5</v>
      </c>
      <c r="F817">
        <v>88340</v>
      </c>
      <c r="G817">
        <v>220</v>
      </c>
      <c r="H817">
        <v>88230</v>
      </c>
      <c r="I817">
        <v>3123589</v>
      </c>
    </row>
    <row r="818" spans="1:9">
      <c r="A818" s="2">
        <v>1957</v>
      </c>
      <c r="B818">
        <v>37</v>
      </c>
      <c r="C818">
        <v>3.29E-3</v>
      </c>
      <c r="D818">
        <v>3.2799999999999999E-3</v>
      </c>
      <c r="E818">
        <v>0.5</v>
      </c>
      <c r="F818">
        <v>88119</v>
      </c>
      <c r="G818">
        <v>289</v>
      </c>
      <c r="H818">
        <v>87975</v>
      </c>
      <c r="I818">
        <v>3035359</v>
      </c>
    </row>
    <row r="819" spans="1:9">
      <c r="A819" s="2">
        <v>1957</v>
      </c>
      <c r="B819">
        <v>38</v>
      </c>
      <c r="C819">
        <v>2.6700000000000001E-3</v>
      </c>
      <c r="D819">
        <v>2.6700000000000001E-3</v>
      </c>
      <c r="E819">
        <v>0.5</v>
      </c>
      <c r="F819">
        <v>87830</v>
      </c>
      <c r="G819">
        <v>234</v>
      </c>
      <c r="H819">
        <v>87713</v>
      </c>
      <c r="I819">
        <v>2947385</v>
      </c>
    </row>
    <row r="820" spans="1:9">
      <c r="A820" s="2">
        <v>1957</v>
      </c>
      <c r="B820">
        <v>39</v>
      </c>
      <c r="C820">
        <v>2.8999999999999998E-3</v>
      </c>
      <c r="D820">
        <v>2.8900000000000002E-3</v>
      </c>
      <c r="E820">
        <v>0.5</v>
      </c>
      <c r="F820">
        <v>87596</v>
      </c>
      <c r="G820">
        <v>254</v>
      </c>
      <c r="H820">
        <v>87469</v>
      </c>
      <c r="I820">
        <v>2859672</v>
      </c>
    </row>
    <row r="821" spans="1:9">
      <c r="A821" s="2">
        <v>1957</v>
      </c>
      <c r="B821">
        <v>40</v>
      </c>
      <c r="C821">
        <v>3.7000000000000002E-3</v>
      </c>
      <c r="D821">
        <v>3.6900000000000001E-3</v>
      </c>
      <c r="E821">
        <v>0.5</v>
      </c>
      <c r="F821">
        <v>87342</v>
      </c>
      <c r="G821">
        <v>322</v>
      </c>
      <c r="H821">
        <v>87181</v>
      </c>
      <c r="I821">
        <v>2772203</v>
      </c>
    </row>
    <row r="822" spans="1:9">
      <c r="A822" s="2">
        <v>1957</v>
      </c>
      <c r="B822">
        <v>41</v>
      </c>
      <c r="C822">
        <v>3.5300000000000002E-3</v>
      </c>
      <c r="D822">
        <v>3.5200000000000001E-3</v>
      </c>
      <c r="E822">
        <v>0.5</v>
      </c>
      <c r="F822">
        <v>87020</v>
      </c>
      <c r="G822">
        <v>307</v>
      </c>
      <c r="H822">
        <v>86867</v>
      </c>
      <c r="I822">
        <v>2685021</v>
      </c>
    </row>
    <row r="823" spans="1:9">
      <c r="A823" s="2">
        <v>1957</v>
      </c>
      <c r="B823">
        <v>42</v>
      </c>
      <c r="C823">
        <v>3.9899999999999996E-3</v>
      </c>
      <c r="D823">
        <v>3.9899999999999996E-3</v>
      </c>
      <c r="E823">
        <v>0.5</v>
      </c>
      <c r="F823">
        <v>86714</v>
      </c>
      <c r="G823">
        <v>346</v>
      </c>
      <c r="H823">
        <v>86541</v>
      </c>
      <c r="I823">
        <v>2598154</v>
      </c>
    </row>
    <row r="824" spans="1:9">
      <c r="A824" s="2">
        <v>1957</v>
      </c>
      <c r="B824">
        <v>43</v>
      </c>
      <c r="C824">
        <v>4.13E-3</v>
      </c>
      <c r="D824">
        <v>4.1200000000000004E-3</v>
      </c>
      <c r="E824">
        <v>0.5</v>
      </c>
      <c r="F824">
        <v>86368</v>
      </c>
      <c r="G824">
        <v>356</v>
      </c>
      <c r="H824">
        <v>86190</v>
      </c>
      <c r="I824">
        <v>2511614</v>
      </c>
    </row>
    <row r="825" spans="1:9">
      <c r="A825" s="2">
        <v>1957</v>
      </c>
      <c r="B825">
        <v>44</v>
      </c>
      <c r="C825">
        <v>4.64E-3</v>
      </c>
      <c r="D825">
        <v>4.6299999999999996E-3</v>
      </c>
      <c r="E825">
        <v>0.5</v>
      </c>
      <c r="F825">
        <v>86012</v>
      </c>
      <c r="G825">
        <v>398</v>
      </c>
      <c r="H825">
        <v>85813</v>
      </c>
      <c r="I825">
        <v>2425424</v>
      </c>
    </row>
    <row r="826" spans="1:9">
      <c r="A826" s="2">
        <v>1957</v>
      </c>
      <c r="B826">
        <v>45</v>
      </c>
      <c r="C826">
        <v>4.4799999999999996E-3</v>
      </c>
      <c r="D826">
        <v>4.47E-3</v>
      </c>
      <c r="E826">
        <v>0.5</v>
      </c>
      <c r="F826">
        <v>85614</v>
      </c>
      <c r="G826">
        <v>383</v>
      </c>
      <c r="H826">
        <v>85423</v>
      </c>
      <c r="I826">
        <v>2339611</v>
      </c>
    </row>
    <row r="827" spans="1:9">
      <c r="A827" s="2">
        <v>1957</v>
      </c>
      <c r="B827">
        <v>46</v>
      </c>
      <c r="C827">
        <v>5.0000000000000001E-3</v>
      </c>
      <c r="D827">
        <v>4.9899999999999996E-3</v>
      </c>
      <c r="E827">
        <v>0.5</v>
      </c>
      <c r="F827">
        <v>85231</v>
      </c>
      <c r="G827">
        <v>425</v>
      </c>
      <c r="H827">
        <v>85019</v>
      </c>
      <c r="I827">
        <v>2254188</v>
      </c>
    </row>
    <row r="828" spans="1:9">
      <c r="A828" s="2">
        <v>1957</v>
      </c>
      <c r="B828">
        <v>47</v>
      </c>
      <c r="C828">
        <v>6.4099999999999999E-3</v>
      </c>
      <c r="D828">
        <v>6.3899999999999998E-3</v>
      </c>
      <c r="E828">
        <v>0.5</v>
      </c>
      <c r="F828">
        <v>84806</v>
      </c>
      <c r="G828">
        <v>541</v>
      </c>
      <c r="H828">
        <v>84535</v>
      </c>
      <c r="I828">
        <v>2169169</v>
      </c>
    </row>
    <row r="829" spans="1:9">
      <c r="A829" s="2">
        <v>1957</v>
      </c>
      <c r="B829">
        <v>48</v>
      </c>
      <c r="C829">
        <v>6.2199999999999998E-3</v>
      </c>
      <c r="D829">
        <v>6.1999999999999998E-3</v>
      </c>
      <c r="E829">
        <v>0.5</v>
      </c>
      <c r="F829">
        <v>84265</v>
      </c>
      <c r="G829">
        <v>523</v>
      </c>
      <c r="H829">
        <v>84003</v>
      </c>
      <c r="I829">
        <v>2084634</v>
      </c>
    </row>
    <row r="830" spans="1:9">
      <c r="A830" s="2">
        <v>1957</v>
      </c>
      <c r="B830">
        <v>49</v>
      </c>
      <c r="C830">
        <v>7.11E-3</v>
      </c>
      <c r="D830">
        <v>7.0800000000000004E-3</v>
      </c>
      <c r="E830">
        <v>0.5</v>
      </c>
      <c r="F830">
        <v>83742</v>
      </c>
      <c r="G830">
        <v>593</v>
      </c>
      <c r="H830">
        <v>83446</v>
      </c>
      <c r="I830">
        <v>2000630</v>
      </c>
    </row>
    <row r="831" spans="1:9">
      <c r="A831" s="2">
        <v>1957</v>
      </c>
      <c r="B831">
        <v>50</v>
      </c>
      <c r="C831">
        <v>7.2500000000000004E-3</v>
      </c>
      <c r="D831">
        <v>7.2300000000000003E-3</v>
      </c>
      <c r="E831">
        <v>0.5</v>
      </c>
      <c r="F831">
        <v>83149</v>
      </c>
      <c r="G831">
        <v>601</v>
      </c>
      <c r="H831">
        <v>82849</v>
      </c>
      <c r="I831">
        <v>1917185</v>
      </c>
    </row>
    <row r="832" spans="1:9">
      <c r="A832" s="2">
        <v>1957</v>
      </c>
      <c r="B832">
        <v>51</v>
      </c>
      <c r="C832">
        <v>8.7600000000000004E-3</v>
      </c>
      <c r="D832">
        <v>8.7200000000000003E-3</v>
      </c>
      <c r="E832">
        <v>0.5</v>
      </c>
      <c r="F832">
        <v>82548</v>
      </c>
      <c r="G832">
        <v>720</v>
      </c>
      <c r="H832">
        <v>82188</v>
      </c>
      <c r="I832">
        <v>1834336</v>
      </c>
    </row>
    <row r="833" spans="1:9">
      <c r="A833" s="2">
        <v>1957</v>
      </c>
      <c r="B833">
        <v>52</v>
      </c>
      <c r="C833">
        <v>9.7900000000000001E-3</v>
      </c>
      <c r="D833">
        <v>9.75E-3</v>
      </c>
      <c r="E833">
        <v>0.5</v>
      </c>
      <c r="F833">
        <v>81828</v>
      </c>
      <c r="G833">
        <v>797</v>
      </c>
      <c r="H833">
        <v>81430</v>
      </c>
      <c r="I833">
        <v>1752148</v>
      </c>
    </row>
    <row r="834" spans="1:9">
      <c r="A834" s="2">
        <v>1957</v>
      </c>
      <c r="B834">
        <v>53</v>
      </c>
      <c r="C834">
        <v>1.108E-2</v>
      </c>
      <c r="D834">
        <v>1.102E-2</v>
      </c>
      <c r="E834">
        <v>0.5</v>
      </c>
      <c r="F834">
        <v>81031</v>
      </c>
      <c r="G834">
        <v>893</v>
      </c>
      <c r="H834">
        <v>80584</v>
      </c>
      <c r="I834">
        <v>1670718</v>
      </c>
    </row>
    <row r="835" spans="1:9">
      <c r="A835" s="2">
        <v>1957</v>
      </c>
      <c r="B835">
        <v>54</v>
      </c>
      <c r="C835">
        <v>1.242E-2</v>
      </c>
      <c r="D835">
        <v>1.235E-2</v>
      </c>
      <c r="E835">
        <v>0.5</v>
      </c>
      <c r="F835">
        <v>80138</v>
      </c>
      <c r="G835">
        <v>989</v>
      </c>
      <c r="H835">
        <v>79643</v>
      </c>
      <c r="I835">
        <v>1590133</v>
      </c>
    </row>
    <row r="836" spans="1:9">
      <c r="A836" s="2">
        <v>1957</v>
      </c>
      <c r="B836">
        <v>55</v>
      </c>
      <c r="C836">
        <v>1.261E-2</v>
      </c>
      <c r="D836">
        <v>1.2529999999999999E-2</v>
      </c>
      <c r="E836">
        <v>0.5</v>
      </c>
      <c r="F836">
        <v>79148</v>
      </c>
      <c r="G836">
        <v>992</v>
      </c>
      <c r="H836">
        <v>78652</v>
      </c>
      <c r="I836">
        <v>1510490</v>
      </c>
    </row>
    <row r="837" spans="1:9">
      <c r="A837" s="2">
        <v>1957</v>
      </c>
      <c r="B837">
        <v>56</v>
      </c>
      <c r="C837">
        <v>1.4149999999999999E-2</v>
      </c>
      <c r="D837">
        <v>1.405E-2</v>
      </c>
      <c r="E837">
        <v>0.5</v>
      </c>
      <c r="F837">
        <v>78156</v>
      </c>
      <c r="G837">
        <v>1098</v>
      </c>
      <c r="H837">
        <v>77607</v>
      </c>
      <c r="I837">
        <v>1431838</v>
      </c>
    </row>
    <row r="838" spans="1:9">
      <c r="A838" s="2">
        <v>1957</v>
      </c>
      <c r="B838">
        <v>57</v>
      </c>
      <c r="C838">
        <v>1.651E-2</v>
      </c>
      <c r="D838">
        <v>1.6379999999999999E-2</v>
      </c>
      <c r="E838">
        <v>0.5</v>
      </c>
      <c r="F838">
        <v>77058</v>
      </c>
      <c r="G838">
        <v>1262</v>
      </c>
      <c r="H838">
        <v>76427</v>
      </c>
      <c r="I838">
        <v>1354231</v>
      </c>
    </row>
    <row r="839" spans="1:9">
      <c r="A839" s="2">
        <v>1957</v>
      </c>
      <c r="B839">
        <v>58</v>
      </c>
      <c r="C839">
        <v>1.7389999999999999E-2</v>
      </c>
      <c r="D839">
        <v>1.7239999999999998E-2</v>
      </c>
      <c r="E839">
        <v>0.5</v>
      </c>
      <c r="F839">
        <v>75796</v>
      </c>
      <c r="G839">
        <v>1307</v>
      </c>
      <c r="H839">
        <v>75143</v>
      </c>
      <c r="I839">
        <v>1277804</v>
      </c>
    </row>
    <row r="840" spans="1:9">
      <c r="A840" s="2">
        <v>1957</v>
      </c>
      <c r="B840">
        <v>59</v>
      </c>
      <c r="C840">
        <v>1.9619999999999999E-2</v>
      </c>
      <c r="D840">
        <v>1.9429999999999999E-2</v>
      </c>
      <c r="E840">
        <v>0.5</v>
      </c>
      <c r="F840">
        <v>74489</v>
      </c>
      <c r="G840">
        <v>1447</v>
      </c>
      <c r="H840">
        <v>73766</v>
      </c>
      <c r="I840">
        <v>1202661</v>
      </c>
    </row>
    <row r="841" spans="1:9">
      <c r="A841" s="2">
        <v>1957</v>
      </c>
      <c r="B841">
        <v>60</v>
      </c>
      <c r="C841">
        <v>2.1360000000000001E-2</v>
      </c>
      <c r="D841">
        <v>2.1129999999999999E-2</v>
      </c>
      <c r="E841">
        <v>0.5</v>
      </c>
      <c r="F841">
        <v>73042</v>
      </c>
      <c r="G841">
        <v>1543</v>
      </c>
      <c r="H841">
        <v>72271</v>
      </c>
      <c r="I841">
        <v>1128895</v>
      </c>
    </row>
    <row r="842" spans="1:9">
      <c r="A842" s="2">
        <v>1957</v>
      </c>
      <c r="B842">
        <v>61</v>
      </c>
      <c r="C842">
        <v>2.3279999999999999E-2</v>
      </c>
      <c r="D842">
        <v>2.3009999999999999E-2</v>
      </c>
      <c r="E842">
        <v>0.5</v>
      </c>
      <c r="F842">
        <v>71499</v>
      </c>
      <c r="G842">
        <v>1645</v>
      </c>
      <c r="H842">
        <v>70676</v>
      </c>
      <c r="I842">
        <v>1056625</v>
      </c>
    </row>
    <row r="843" spans="1:9">
      <c r="A843" s="2">
        <v>1957</v>
      </c>
      <c r="B843">
        <v>62</v>
      </c>
      <c r="C843">
        <v>2.6190000000000001E-2</v>
      </c>
      <c r="D843">
        <v>2.5850000000000001E-2</v>
      </c>
      <c r="E843">
        <v>0.5</v>
      </c>
      <c r="F843">
        <v>69854</v>
      </c>
      <c r="G843">
        <v>1806</v>
      </c>
      <c r="H843">
        <v>68951</v>
      </c>
      <c r="I843">
        <v>985948</v>
      </c>
    </row>
    <row r="844" spans="1:9">
      <c r="A844" s="2">
        <v>1957</v>
      </c>
      <c r="B844">
        <v>63</v>
      </c>
      <c r="C844">
        <v>2.8719999999999999E-2</v>
      </c>
      <c r="D844">
        <v>2.8309999999999998E-2</v>
      </c>
      <c r="E844">
        <v>0.5</v>
      </c>
      <c r="F844">
        <v>68048</v>
      </c>
      <c r="G844">
        <v>1927</v>
      </c>
      <c r="H844">
        <v>67084</v>
      </c>
      <c r="I844">
        <v>916998</v>
      </c>
    </row>
    <row r="845" spans="1:9">
      <c r="A845" s="2">
        <v>1957</v>
      </c>
      <c r="B845">
        <v>64</v>
      </c>
      <c r="C845">
        <v>3.252E-2</v>
      </c>
      <c r="D845">
        <v>3.2000000000000001E-2</v>
      </c>
      <c r="E845">
        <v>0.5</v>
      </c>
      <c r="F845">
        <v>66121</v>
      </c>
      <c r="G845">
        <v>2116</v>
      </c>
      <c r="H845">
        <v>65063</v>
      </c>
      <c r="I845">
        <v>849913</v>
      </c>
    </row>
    <row r="846" spans="1:9">
      <c r="A846" s="2">
        <v>1957</v>
      </c>
      <c r="B846">
        <v>65</v>
      </c>
      <c r="C846">
        <v>3.304E-2</v>
      </c>
      <c r="D846">
        <v>3.2500000000000001E-2</v>
      </c>
      <c r="E846">
        <v>0.5</v>
      </c>
      <c r="F846">
        <v>64005</v>
      </c>
      <c r="G846">
        <v>2080</v>
      </c>
      <c r="H846">
        <v>62965</v>
      </c>
      <c r="I846">
        <v>784850</v>
      </c>
    </row>
    <row r="847" spans="1:9">
      <c r="A847" s="2">
        <v>1957</v>
      </c>
      <c r="B847">
        <v>66</v>
      </c>
      <c r="C847">
        <v>3.7179999999999998E-2</v>
      </c>
      <c r="D847">
        <v>3.6499999999999998E-2</v>
      </c>
      <c r="E847">
        <v>0.5</v>
      </c>
      <c r="F847">
        <v>61925</v>
      </c>
      <c r="G847">
        <v>2260</v>
      </c>
      <c r="H847">
        <v>60795</v>
      </c>
      <c r="I847">
        <v>721885</v>
      </c>
    </row>
    <row r="848" spans="1:9">
      <c r="A848" s="2">
        <v>1957</v>
      </c>
      <c r="B848">
        <v>67</v>
      </c>
      <c r="C848">
        <v>4.2590000000000003E-2</v>
      </c>
      <c r="D848">
        <v>4.1700000000000001E-2</v>
      </c>
      <c r="E848">
        <v>0.5</v>
      </c>
      <c r="F848">
        <v>59665</v>
      </c>
      <c r="G848">
        <v>2488</v>
      </c>
      <c r="H848">
        <v>58421</v>
      </c>
      <c r="I848">
        <v>661090</v>
      </c>
    </row>
    <row r="849" spans="1:9">
      <c r="A849" s="2">
        <v>1957</v>
      </c>
      <c r="B849">
        <v>68</v>
      </c>
      <c r="C849">
        <v>4.5010000000000001E-2</v>
      </c>
      <c r="D849">
        <v>4.4019999999999997E-2</v>
      </c>
      <c r="E849">
        <v>0.5</v>
      </c>
      <c r="F849">
        <v>57177</v>
      </c>
      <c r="G849">
        <v>2517</v>
      </c>
      <c r="H849">
        <v>55918</v>
      </c>
      <c r="I849">
        <v>602669</v>
      </c>
    </row>
    <row r="850" spans="1:9">
      <c r="A850" s="2">
        <v>1957</v>
      </c>
      <c r="B850">
        <v>69</v>
      </c>
      <c r="C850">
        <v>4.8410000000000002E-2</v>
      </c>
      <c r="D850">
        <v>4.7260000000000003E-2</v>
      </c>
      <c r="E850">
        <v>0.5</v>
      </c>
      <c r="F850">
        <v>54660</v>
      </c>
      <c r="G850">
        <v>2583</v>
      </c>
      <c r="H850">
        <v>53368</v>
      </c>
      <c r="I850">
        <v>546751</v>
      </c>
    </row>
    <row r="851" spans="1:9">
      <c r="A851" s="2">
        <v>1957</v>
      </c>
      <c r="B851">
        <v>70</v>
      </c>
      <c r="C851">
        <v>5.0540000000000002E-2</v>
      </c>
      <c r="D851">
        <v>4.929E-2</v>
      </c>
      <c r="E851">
        <v>0.5</v>
      </c>
      <c r="F851">
        <v>52076</v>
      </c>
      <c r="G851">
        <v>2567</v>
      </c>
      <c r="H851">
        <v>50793</v>
      </c>
      <c r="I851">
        <v>493382</v>
      </c>
    </row>
    <row r="852" spans="1:9">
      <c r="A852" s="2">
        <v>1957</v>
      </c>
      <c r="B852">
        <v>71</v>
      </c>
      <c r="C852">
        <v>6.0220000000000003E-2</v>
      </c>
      <c r="D852">
        <v>5.8459999999999998E-2</v>
      </c>
      <c r="E852">
        <v>0.5</v>
      </c>
      <c r="F852">
        <v>49509</v>
      </c>
      <c r="G852">
        <v>2894</v>
      </c>
      <c r="H852">
        <v>48062</v>
      </c>
      <c r="I852">
        <v>442590</v>
      </c>
    </row>
    <row r="853" spans="1:9">
      <c r="A853" s="2">
        <v>1957</v>
      </c>
      <c r="B853">
        <v>72</v>
      </c>
      <c r="C853">
        <v>6.2530000000000002E-2</v>
      </c>
      <c r="D853">
        <v>6.0630000000000003E-2</v>
      </c>
      <c r="E853">
        <v>0.5</v>
      </c>
      <c r="F853">
        <v>46615</v>
      </c>
      <c r="G853">
        <v>2826</v>
      </c>
      <c r="H853">
        <v>45202</v>
      </c>
      <c r="I853">
        <v>394527</v>
      </c>
    </row>
    <row r="854" spans="1:9">
      <c r="A854" s="2">
        <v>1957</v>
      </c>
      <c r="B854">
        <v>73</v>
      </c>
      <c r="C854">
        <v>7.22E-2</v>
      </c>
      <c r="D854">
        <v>6.9690000000000002E-2</v>
      </c>
      <c r="E854">
        <v>0.5</v>
      </c>
      <c r="F854">
        <v>43789</v>
      </c>
      <c r="G854">
        <v>3051</v>
      </c>
      <c r="H854">
        <v>42263</v>
      </c>
      <c r="I854">
        <v>349326</v>
      </c>
    </row>
    <row r="855" spans="1:9">
      <c r="A855" s="2">
        <v>1957</v>
      </c>
      <c r="B855">
        <v>74</v>
      </c>
      <c r="C855">
        <v>7.6280000000000001E-2</v>
      </c>
      <c r="D855">
        <v>7.3480000000000004E-2</v>
      </c>
      <c r="E855">
        <v>0.5</v>
      </c>
      <c r="F855">
        <v>40737</v>
      </c>
      <c r="G855">
        <v>2993</v>
      </c>
      <c r="H855">
        <v>39241</v>
      </c>
      <c r="I855">
        <v>307063</v>
      </c>
    </row>
    <row r="856" spans="1:9">
      <c r="A856" s="2">
        <v>1957</v>
      </c>
      <c r="B856">
        <v>75</v>
      </c>
      <c r="C856">
        <v>8.1490000000000007E-2</v>
      </c>
      <c r="D856">
        <v>7.8299999999999995E-2</v>
      </c>
      <c r="E856">
        <v>0.5</v>
      </c>
      <c r="F856">
        <v>37744</v>
      </c>
      <c r="G856">
        <v>2955</v>
      </c>
      <c r="H856">
        <v>36266</v>
      </c>
      <c r="I856">
        <v>267822</v>
      </c>
    </row>
    <row r="857" spans="1:9">
      <c r="A857" s="2">
        <v>1957</v>
      </c>
      <c r="B857">
        <v>76</v>
      </c>
      <c r="C857">
        <v>8.8059999999999999E-2</v>
      </c>
      <c r="D857">
        <v>8.4339999999999998E-2</v>
      </c>
      <c r="E857">
        <v>0.5</v>
      </c>
      <c r="F857">
        <v>34789</v>
      </c>
      <c r="G857">
        <v>2934</v>
      </c>
      <c r="H857">
        <v>33322</v>
      </c>
      <c r="I857">
        <v>231556</v>
      </c>
    </row>
    <row r="858" spans="1:9">
      <c r="A858" s="2">
        <v>1957</v>
      </c>
      <c r="B858">
        <v>77</v>
      </c>
      <c r="C858">
        <v>0.10496</v>
      </c>
      <c r="D858">
        <v>9.9720000000000003E-2</v>
      </c>
      <c r="E858">
        <v>0.5</v>
      </c>
      <c r="F858">
        <v>31855</v>
      </c>
      <c r="G858">
        <v>3177</v>
      </c>
      <c r="H858">
        <v>30266</v>
      </c>
      <c r="I858">
        <v>198234</v>
      </c>
    </row>
    <row r="859" spans="1:9">
      <c r="A859" s="2">
        <v>1957</v>
      </c>
      <c r="B859">
        <v>78</v>
      </c>
      <c r="C859">
        <v>0.11264</v>
      </c>
      <c r="D859">
        <v>0.10664</v>
      </c>
      <c r="E859">
        <v>0.5</v>
      </c>
      <c r="F859">
        <v>28678</v>
      </c>
      <c r="G859">
        <v>3058</v>
      </c>
      <c r="H859">
        <v>27149</v>
      </c>
      <c r="I859">
        <v>167968</v>
      </c>
    </row>
    <row r="860" spans="1:9">
      <c r="A860" s="2">
        <v>1957</v>
      </c>
      <c r="B860">
        <v>79</v>
      </c>
      <c r="C860">
        <v>0.12483</v>
      </c>
      <c r="D860">
        <v>0.11749999999999999</v>
      </c>
      <c r="E860">
        <v>0.5</v>
      </c>
      <c r="F860">
        <v>25620</v>
      </c>
      <c r="G860">
        <v>3010</v>
      </c>
      <c r="H860">
        <v>24115</v>
      </c>
      <c r="I860">
        <v>140819</v>
      </c>
    </row>
    <row r="861" spans="1:9">
      <c r="A861" s="2">
        <v>1957</v>
      </c>
      <c r="B861">
        <v>80</v>
      </c>
      <c r="C861">
        <v>0.13073000000000001</v>
      </c>
      <c r="D861">
        <v>0.12271</v>
      </c>
      <c r="E861">
        <v>0.5</v>
      </c>
      <c r="F861">
        <v>22609</v>
      </c>
      <c r="G861">
        <v>2774</v>
      </c>
      <c r="H861">
        <v>21222</v>
      </c>
      <c r="I861">
        <v>116704</v>
      </c>
    </row>
    <row r="862" spans="1:9">
      <c r="A862" s="2">
        <v>1957</v>
      </c>
      <c r="B862">
        <v>81</v>
      </c>
      <c r="C862">
        <v>0.14182</v>
      </c>
      <c r="D862">
        <v>0.13242999999999999</v>
      </c>
      <c r="E862">
        <v>0.5</v>
      </c>
      <c r="F862">
        <v>19835</v>
      </c>
      <c r="G862">
        <v>2627</v>
      </c>
      <c r="H862">
        <v>18522</v>
      </c>
      <c r="I862">
        <v>95482</v>
      </c>
    </row>
    <row r="863" spans="1:9">
      <c r="A863" s="2">
        <v>1957</v>
      </c>
      <c r="B863">
        <v>82</v>
      </c>
      <c r="C863">
        <v>0.16145999999999999</v>
      </c>
      <c r="D863">
        <v>0.14940000000000001</v>
      </c>
      <c r="E863">
        <v>0.5</v>
      </c>
      <c r="F863">
        <v>17208</v>
      </c>
      <c r="G863">
        <v>2571</v>
      </c>
      <c r="H863">
        <v>15923</v>
      </c>
      <c r="I863">
        <v>76960</v>
      </c>
    </row>
    <row r="864" spans="1:9">
      <c r="A864" s="2">
        <v>1957</v>
      </c>
      <c r="B864">
        <v>83</v>
      </c>
      <c r="C864">
        <v>0.19277</v>
      </c>
      <c r="D864">
        <v>0.17582</v>
      </c>
      <c r="E864">
        <v>0.5</v>
      </c>
      <c r="F864">
        <v>14637</v>
      </c>
      <c r="G864">
        <v>2574</v>
      </c>
      <c r="H864">
        <v>13351</v>
      </c>
      <c r="I864">
        <v>61037</v>
      </c>
    </row>
    <row r="865" spans="1:9">
      <c r="A865" s="2">
        <v>1957</v>
      </c>
      <c r="B865">
        <v>84</v>
      </c>
      <c r="C865">
        <v>0.19303999999999999</v>
      </c>
      <c r="D865">
        <v>0.17605000000000001</v>
      </c>
      <c r="E865">
        <v>0.5</v>
      </c>
      <c r="F865">
        <v>12064</v>
      </c>
      <c r="G865">
        <v>2124</v>
      </c>
      <c r="H865">
        <v>11002</v>
      </c>
      <c r="I865">
        <v>47687</v>
      </c>
    </row>
    <row r="866" spans="1:9">
      <c r="A866" s="2">
        <v>1957</v>
      </c>
      <c r="B866">
        <v>85</v>
      </c>
      <c r="C866">
        <v>0.22428999999999999</v>
      </c>
      <c r="D866">
        <v>0.20166999999999999</v>
      </c>
      <c r="E866">
        <v>0.5</v>
      </c>
      <c r="F866">
        <v>9940</v>
      </c>
      <c r="G866">
        <v>2005</v>
      </c>
      <c r="H866">
        <v>8938</v>
      </c>
      <c r="I866">
        <v>36685</v>
      </c>
    </row>
    <row r="867" spans="1:9">
      <c r="A867" s="2">
        <v>1957</v>
      </c>
      <c r="B867">
        <v>86</v>
      </c>
      <c r="C867">
        <v>0.2258</v>
      </c>
      <c r="D867">
        <v>0.20288999999999999</v>
      </c>
      <c r="E867">
        <v>0.5</v>
      </c>
      <c r="F867">
        <v>7935</v>
      </c>
      <c r="G867">
        <v>1610</v>
      </c>
      <c r="H867">
        <v>7130</v>
      </c>
      <c r="I867">
        <v>27747</v>
      </c>
    </row>
    <row r="868" spans="1:9">
      <c r="A868" s="2">
        <v>1957</v>
      </c>
      <c r="B868">
        <v>87</v>
      </c>
      <c r="C868">
        <v>0.2626</v>
      </c>
      <c r="D868">
        <v>0.23211999999999999</v>
      </c>
      <c r="E868">
        <v>0.5</v>
      </c>
      <c r="F868">
        <v>6325</v>
      </c>
      <c r="G868">
        <v>1468</v>
      </c>
      <c r="H868">
        <v>5591</v>
      </c>
      <c r="I868">
        <v>20617</v>
      </c>
    </row>
    <row r="869" spans="1:9">
      <c r="A869" s="2">
        <v>1957</v>
      </c>
      <c r="B869">
        <v>88</v>
      </c>
      <c r="C869">
        <v>0.27072000000000002</v>
      </c>
      <c r="D869">
        <v>0.23845</v>
      </c>
      <c r="E869">
        <v>0.5</v>
      </c>
      <c r="F869">
        <v>4857</v>
      </c>
      <c r="G869">
        <v>1158</v>
      </c>
      <c r="H869">
        <v>4278</v>
      </c>
      <c r="I869">
        <v>15026</v>
      </c>
    </row>
    <row r="870" spans="1:9">
      <c r="A870" s="2">
        <v>1957</v>
      </c>
      <c r="B870">
        <v>89</v>
      </c>
      <c r="C870">
        <v>0.26594000000000001</v>
      </c>
      <c r="D870">
        <v>0.23472999999999999</v>
      </c>
      <c r="E870">
        <v>0.5</v>
      </c>
      <c r="F870">
        <v>3699</v>
      </c>
      <c r="G870">
        <v>868</v>
      </c>
      <c r="H870">
        <v>3265</v>
      </c>
      <c r="I870">
        <v>10748</v>
      </c>
    </row>
    <row r="871" spans="1:9">
      <c r="A871" s="2">
        <v>1957</v>
      </c>
      <c r="B871">
        <v>90</v>
      </c>
      <c r="C871">
        <v>0.31273000000000001</v>
      </c>
      <c r="D871">
        <v>0.27044000000000001</v>
      </c>
      <c r="E871">
        <v>0.5</v>
      </c>
      <c r="F871">
        <v>2831</v>
      </c>
      <c r="G871">
        <v>766</v>
      </c>
      <c r="H871">
        <v>2448</v>
      </c>
      <c r="I871">
        <v>7483</v>
      </c>
    </row>
    <row r="872" spans="1:9">
      <c r="A872" s="2">
        <v>1957</v>
      </c>
      <c r="B872">
        <v>91</v>
      </c>
      <c r="C872">
        <v>0.36767</v>
      </c>
      <c r="D872">
        <v>0.31057000000000001</v>
      </c>
      <c r="E872">
        <v>0.5</v>
      </c>
      <c r="F872">
        <v>2065</v>
      </c>
      <c r="G872">
        <v>641</v>
      </c>
      <c r="H872">
        <v>1744</v>
      </c>
      <c r="I872">
        <v>5035</v>
      </c>
    </row>
    <row r="873" spans="1:9">
      <c r="A873" s="2">
        <v>1957</v>
      </c>
      <c r="B873">
        <v>92</v>
      </c>
      <c r="C873">
        <v>0.39979999999999999</v>
      </c>
      <c r="D873">
        <v>0.33318999999999999</v>
      </c>
      <c r="E873">
        <v>0.5</v>
      </c>
      <c r="F873">
        <v>1424</v>
      </c>
      <c r="G873">
        <v>474</v>
      </c>
      <c r="H873">
        <v>1187</v>
      </c>
      <c r="I873">
        <v>3291</v>
      </c>
    </row>
    <row r="874" spans="1:9">
      <c r="A874" s="2">
        <v>1957</v>
      </c>
      <c r="B874">
        <v>93</v>
      </c>
      <c r="C874">
        <v>0.40804000000000001</v>
      </c>
      <c r="D874">
        <v>0.33889999999999998</v>
      </c>
      <c r="E874">
        <v>0.5</v>
      </c>
      <c r="F874">
        <v>949</v>
      </c>
      <c r="G874">
        <v>322</v>
      </c>
      <c r="H874">
        <v>789</v>
      </c>
      <c r="I874">
        <v>2104</v>
      </c>
    </row>
    <row r="875" spans="1:9">
      <c r="A875" s="2">
        <v>1957</v>
      </c>
      <c r="B875">
        <v>94</v>
      </c>
      <c r="C875">
        <v>0.43631999999999999</v>
      </c>
      <c r="D875">
        <v>0.35818</v>
      </c>
      <c r="E875">
        <v>0.5</v>
      </c>
      <c r="F875">
        <v>628</v>
      </c>
      <c r="G875">
        <v>225</v>
      </c>
      <c r="H875">
        <v>515</v>
      </c>
      <c r="I875">
        <v>1315</v>
      </c>
    </row>
    <row r="876" spans="1:9">
      <c r="A876" s="2">
        <v>1957</v>
      </c>
      <c r="B876">
        <v>95</v>
      </c>
      <c r="C876">
        <v>0.46503</v>
      </c>
      <c r="D876">
        <v>0.37730000000000002</v>
      </c>
      <c r="E876">
        <v>0.5</v>
      </c>
      <c r="F876">
        <v>403</v>
      </c>
      <c r="G876">
        <v>152</v>
      </c>
      <c r="H876">
        <v>327</v>
      </c>
      <c r="I876">
        <v>800</v>
      </c>
    </row>
    <row r="877" spans="1:9">
      <c r="A877" s="2">
        <v>1957</v>
      </c>
      <c r="B877">
        <v>96</v>
      </c>
      <c r="C877">
        <v>0.49396000000000001</v>
      </c>
      <c r="D877">
        <v>0.39612999999999998</v>
      </c>
      <c r="E877">
        <v>0.5</v>
      </c>
      <c r="F877">
        <v>251</v>
      </c>
      <c r="G877">
        <v>99</v>
      </c>
      <c r="H877">
        <v>201</v>
      </c>
      <c r="I877">
        <v>473</v>
      </c>
    </row>
    <row r="878" spans="1:9">
      <c r="A878" s="2">
        <v>1957</v>
      </c>
      <c r="B878">
        <v>97</v>
      </c>
      <c r="C878">
        <v>0.52293999999999996</v>
      </c>
      <c r="D878">
        <v>0.41454999999999997</v>
      </c>
      <c r="E878">
        <v>0.5</v>
      </c>
      <c r="F878">
        <v>151</v>
      </c>
      <c r="G878">
        <v>63</v>
      </c>
      <c r="H878">
        <v>120</v>
      </c>
      <c r="I878">
        <v>272</v>
      </c>
    </row>
    <row r="879" spans="1:9">
      <c r="A879" s="2">
        <v>1957</v>
      </c>
      <c r="B879">
        <v>98</v>
      </c>
      <c r="C879">
        <v>0.55176000000000003</v>
      </c>
      <c r="D879">
        <v>0.43246000000000001</v>
      </c>
      <c r="E879">
        <v>0.5</v>
      </c>
      <c r="F879">
        <v>89</v>
      </c>
      <c r="G879">
        <v>38</v>
      </c>
      <c r="H879">
        <v>70</v>
      </c>
      <c r="I879">
        <v>152</v>
      </c>
    </row>
    <row r="880" spans="1:9">
      <c r="A880" s="2">
        <v>1957</v>
      </c>
      <c r="B880">
        <v>99</v>
      </c>
      <c r="C880">
        <v>0.58023999999999998</v>
      </c>
      <c r="D880">
        <v>0.44975999999999999</v>
      </c>
      <c r="E880">
        <v>0.5</v>
      </c>
      <c r="F880">
        <v>50</v>
      </c>
      <c r="G880">
        <v>23</v>
      </c>
      <c r="H880">
        <v>39</v>
      </c>
      <c r="I880">
        <v>83</v>
      </c>
    </row>
    <row r="881" spans="1:9">
      <c r="A881" s="2">
        <v>1957</v>
      </c>
      <c r="B881">
        <v>100</v>
      </c>
      <c r="C881">
        <v>0.60819999999999996</v>
      </c>
      <c r="D881">
        <v>0.46637000000000001</v>
      </c>
      <c r="E881">
        <v>0.5</v>
      </c>
      <c r="F881">
        <v>28</v>
      </c>
      <c r="G881">
        <v>13</v>
      </c>
      <c r="H881">
        <v>21</v>
      </c>
      <c r="I881">
        <v>44</v>
      </c>
    </row>
    <row r="882" spans="1:9">
      <c r="A882" s="2">
        <v>1957</v>
      </c>
      <c r="B882">
        <v>101</v>
      </c>
      <c r="C882">
        <v>0.63546000000000002</v>
      </c>
      <c r="D882">
        <v>0.48224</v>
      </c>
      <c r="E882">
        <v>0.5</v>
      </c>
      <c r="F882">
        <v>15</v>
      </c>
      <c r="G882">
        <v>7</v>
      </c>
      <c r="H882">
        <v>11</v>
      </c>
      <c r="I882">
        <v>22</v>
      </c>
    </row>
    <row r="883" spans="1:9">
      <c r="A883" s="2">
        <v>1957</v>
      </c>
      <c r="B883">
        <v>102</v>
      </c>
      <c r="C883">
        <v>0.66188000000000002</v>
      </c>
      <c r="D883">
        <v>0.49730000000000002</v>
      </c>
      <c r="E883">
        <v>0.5</v>
      </c>
      <c r="F883">
        <v>8</v>
      </c>
      <c r="G883">
        <v>4</v>
      </c>
      <c r="H883">
        <v>6</v>
      </c>
      <c r="I883">
        <v>11</v>
      </c>
    </row>
    <row r="884" spans="1:9">
      <c r="A884" s="2">
        <v>1957</v>
      </c>
      <c r="B884">
        <v>103</v>
      </c>
      <c r="C884">
        <v>0.68733</v>
      </c>
      <c r="D884">
        <v>0.51153000000000004</v>
      </c>
      <c r="E884">
        <v>0.5</v>
      </c>
      <c r="F884">
        <v>4</v>
      </c>
      <c r="G884">
        <v>2</v>
      </c>
      <c r="H884">
        <v>3</v>
      </c>
      <c r="I884">
        <v>5</v>
      </c>
    </row>
    <row r="885" spans="1:9">
      <c r="A885" s="2">
        <v>1957</v>
      </c>
      <c r="B885">
        <v>104</v>
      </c>
      <c r="C885">
        <v>0.7117</v>
      </c>
      <c r="D885">
        <v>0.52490999999999999</v>
      </c>
      <c r="E885">
        <v>0.5</v>
      </c>
      <c r="F885">
        <v>2</v>
      </c>
      <c r="G885">
        <v>1</v>
      </c>
      <c r="H885">
        <v>1</v>
      </c>
      <c r="I885">
        <v>3</v>
      </c>
    </row>
    <row r="886" spans="1:9">
      <c r="A886" s="2">
        <v>1957</v>
      </c>
      <c r="B886">
        <v>105</v>
      </c>
      <c r="C886">
        <v>0.7349</v>
      </c>
      <c r="D886">
        <v>0.53742000000000001</v>
      </c>
      <c r="E886">
        <v>0.5</v>
      </c>
      <c r="F886">
        <v>1</v>
      </c>
      <c r="G886">
        <v>0</v>
      </c>
      <c r="H886">
        <v>1</v>
      </c>
      <c r="I886">
        <v>1</v>
      </c>
    </row>
    <row r="887" spans="1:9">
      <c r="A887" s="2">
        <v>1957</v>
      </c>
      <c r="B887">
        <v>106</v>
      </c>
      <c r="C887">
        <v>0.75687000000000004</v>
      </c>
      <c r="D887">
        <v>0.54908000000000001</v>
      </c>
      <c r="E887">
        <v>0.5</v>
      </c>
      <c r="F887">
        <v>0</v>
      </c>
      <c r="G887">
        <v>0</v>
      </c>
      <c r="H887">
        <v>0</v>
      </c>
      <c r="I887">
        <v>1</v>
      </c>
    </row>
    <row r="888" spans="1:9">
      <c r="A888" s="2">
        <v>1957</v>
      </c>
      <c r="B888">
        <v>107</v>
      </c>
      <c r="C888">
        <v>0.77756999999999998</v>
      </c>
      <c r="D888">
        <v>0.55989</v>
      </c>
      <c r="E888">
        <v>0.5</v>
      </c>
      <c r="F888">
        <v>0</v>
      </c>
      <c r="G888">
        <v>0</v>
      </c>
      <c r="H888">
        <v>0</v>
      </c>
      <c r="I888">
        <v>0</v>
      </c>
    </row>
    <row r="889" spans="1:9">
      <c r="A889" s="2">
        <v>1957</v>
      </c>
      <c r="B889">
        <v>108</v>
      </c>
      <c r="C889">
        <v>0.79698000000000002</v>
      </c>
      <c r="D889">
        <v>0.56989000000000001</v>
      </c>
      <c r="E889">
        <v>0.5</v>
      </c>
      <c r="F889">
        <v>0</v>
      </c>
      <c r="G889">
        <v>0</v>
      </c>
      <c r="H889">
        <v>0</v>
      </c>
      <c r="I889">
        <v>0</v>
      </c>
    </row>
    <row r="890" spans="1:9">
      <c r="A890" s="2">
        <v>1957</v>
      </c>
      <c r="B890">
        <v>109</v>
      </c>
      <c r="C890">
        <v>0.81510000000000005</v>
      </c>
      <c r="D890">
        <v>0.57908999999999999</v>
      </c>
      <c r="E890">
        <v>0.5</v>
      </c>
      <c r="F890">
        <v>0</v>
      </c>
      <c r="G890">
        <v>0</v>
      </c>
      <c r="H890">
        <v>0</v>
      </c>
      <c r="I890">
        <v>0</v>
      </c>
    </row>
    <row r="891" spans="1:9">
      <c r="A891" s="2">
        <v>1957</v>
      </c>
      <c r="B891" t="s">
        <v>26</v>
      </c>
      <c r="C891">
        <v>0.83194999999999997</v>
      </c>
      <c r="D891">
        <v>1</v>
      </c>
      <c r="E891" s="3" t="s">
        <v>33</v>
      </c>
      <c r="F891">
        <v>0</v>
      </c>
      <c r="G891">
        <v>0</v>
      </c>
      <c r="H891">
        <v>0</v>
      </c>
      <c r="I891">
        <v>0</v>
      </c>
    </row>
    <row r="892" spans="1:9">
      <c r="A892" s="2">
        <v>1958</v>
      </c>
      <c r="B892">
        <v>0</v>
      </c>
      <c r="C892">
        <v>6.5699999999999995E-2</v>
      </c>
      <c r="D892">
        <v>6.2590000000000007E-2</v>
      </c>
      <c r="E892">
        <v>0.24</v>
      </c>
      <c r="F892">
        <v>100000</v>
      </c>
      <c r="G892">
        <v>6259</v>
      </c>
      <c r="H892">
        <v>95259</v>
      </c>
      <c r="I892">
        <v>6532563</v>
      </c>
    </row>
    <row r="893" spans="1:9">
      <c r="A893" s="2">
        <v>1958</v>
      </c>
      <c r="B893">
        <v>1</v>
      </c>
      <c r="C893">
        <v>4.7299999999999998E-3</v>
      </c>
      <c r="D893">
        <v>4.7200000000000002E-3</v>
      </c>
      <c r="E893">
        <v>0.5</v>
      </c>
      <c r="F893">
        <v>93741</v>
      </c>
      <c r="G893">
        <v>443</v>
      </c>
      <c r="H893">
        <v>93520</v>
      </c>
      <c r="I893">
        <v>6437304</v>
      </c>
    </row>
    <row r="894" spans="1:9">
      <c r="A894" s="2">
        <v>1958</v>
      </c>
      <c r="B894">
        <v>2</v>
      </c>
      <c r="C894">
        <v>1.5200000000000001E-3</v>
      </c>
      <c r="D894">
        <v>1.5200000000000001E-3</v>
      </c>
      <c r="E894">
        <v>0.5</v>
      </c>
      <c r="F894">
        <v>93298</v>
      </c>
      <c r="G894">
        <v>142</v>
      </c>
      <c r="H894">
        <v>93228</v>
      </c>
      <c r="I894">
        <v>6343784</v>
      </c>
    </row>
    <row r="895" spans="1:9">
      <c r="A895" s="2">
        <v>1958</v>
      </c>
      <c r="B895">
        <v>3</v>
      </c>
      <c r="C895">
        <v>9.7000000000000005E-4</v>
      </c>
      <c r="D895">
        <v>9.7000000000000005E-4</v>
      </c>
      <c r="E895">
        <v>0.5</v>
      </c>
      <c r="F895">
        <v>93157</v>
      </c>
      <c r="G895">
        <v>90</v>
      </c>
      <c r="H895">
        <v>93112</v>
      </c>
      <c r="I895">
        <v>6250556</v>
      </c>
    </row>
    <row r="896" spans="1:9">
      <c r="A896" s="2">
        <v>1958</v>
      </c>
      <c r="B896">
        <v>4</v>
      </c>
      <c r="C896">
        <v>8.0999999999999996E-4</v>
      </c>
      <c r="D896">
        <v>8.0999999999999996E-4</v>
      </c>
      <c r="E896">
        <v>0.5</v>
      </c>
      <c r="F896">
        <v>93067</v>
      </c>
      <c r="G896">
        <v>76</v>
      </c>
      <c r="H896">
        <v>93029</v>
      </c>
      <c r="I896">
        <v>6157445</v>
      </c>
    </row>
    <row r="897" spans="1:9">
      <c r="A897" s="2">
        <v>1958</v>
      </c>
      <c r="B897">
        <v>5</v>
      </c>
      <c r="C897">
        <v>6.7000000000000002E-4</v>
      </c>
      <c r="D897">
        <v>6.7000000000000002E-4</v>
      </c>
      <c r="E897">
        <v>0.5</v>
      </c>
      <c r="F897">
        <v>92991</v>
      </c>
      <c r="G897">
        <v>63</v>
      </c>
      <c r="H897">
        <v>92960</v>
      </c>
      <c r="I897">
        <v>6064416</v>
      </c>
    </row>
    <row r="898" spans="1:9">
      <c r="A898" s="2">
        <v>1958</v>
      </c>
      <c r="B898">
        <v>6</v>
      </c>
      <c r="C898">
        <v>7.7999999999999999E-4</v>
      </c>
      <c r="D898">
        <v>7.7999999999999999E-4</v>
      </c>
      <c r="E898">
        <v>0.5</v>
      </c>
      <c r="F898">
        <v>92928</v>
      </c>
      <c r="G898">
        <v>73</v>
      </c>
      <c r="H898">
        <v>92892</v>
      </c>
      <c r="I898">
        <v>5971456</v>
      </c>
    </row>
    <row r="899" spans="1:9">
      <c r="A899" s="2">
        <v>1958</v>
      </c>
      <c r="B899">
        <v>7</v>
      </c>
      <c r="C899">
        <v>7.7999999999999999E-4</v>
      </c>
      <c r="D899">
        <v>7.7999999999999999E-4</v>
      </c>
      <c r="E899">
        <v>0.5</v>
      </c>
      <c r="F899">
        <v>92856</v>
      </c>
      <c r="G899">
        <v>73</v>
      </c>
      <c r="H899">
        <v>92819</v>
      </c>
      <c r="I899">
        <v>5878564</v>
      </c>
    </row>
    <row r="900" spans="1:9">
      <c r="A900" s="2">
        <v>1958</v>
      </c>
      <c r="B900">
        <v>8</v>
      </c>
      <c r="C900">
        <v>5.0000000000000001E-4</v>
      </c>
      <c r="D900">
        <v>5.0000000000000001E-4</v>
      </c>
      <c r="E900">
        <v>0.5</v>
      </c>
      <c r="F900">
        <v>92783</v>
      </c>
      <c r="G900">
        <v>46</v>
      </c>
      <c r="H900">
        <v>92760</v>
      </c>
      <c r="I900">
        <v>5785745</v>
      </c>
    </row>
    <row r="901" spans="1:9">
      <c r="A901" s="2">
        <v>1958</v>
      </c>
      <c r="B901">
        <v>9</v>
      </c>
      <c r="C901">
        <v>5.4000000000000001E-4</v>
      </c>
      <c r="D901">
        <v>5.4000000000000001E-4</v>
      </c>
      <c r="E901">
        <v>0.5</v>
      </c>
      <c r="F901">
        <v>92736</v>
      </c>
      <c r="G901">
        <v>50</v>
      </c>
      <c r="H901">
        <v>92711</v>
      </c>
      <c r="I901">
        <v>5692986</v>
      </c>
    </row>
    <row r="902" spans="1:9">
      <c r="A902" s="2">
        <v>1958</v>
      </c>
      <c r="B902">
        <v>10</v>
      </c>
      <c r="C902">
        <v>6.4000000000000005E-4</v>
      </c>
      <c r="D902">
        <v>6.4000000000000005E-4</v>
      </c>
      <c r="E902">
        <v>0.5</v>
      </c>
      <c r="F902">
        <v>92686</v>
      </c>
      <c r="G902">
        <v>59</v>
      </c>
      <c r="H902">
        <v>92656</v>
      </c>
      <c r="I902">
        <v>5600275</v>
      </c>
    </row>
    <row r="903" spans="1:9">
      <c r="A903" s="2">
        <v>1958</v>
      </c>
      <c r="B903">
        <v>11</v>
      </c>
      <c r="C903">
        <v>5.1000000000000004E-4</v>
      </c>
      <c r="D903">
        <v>5.1000000000000004E-4</v>
      </c>
      <c r="E903">
        <v>0.5</v>
      </c>
      <c r="F903">
        <v>92626</v>
      </c>
      <c r="G903">
        <v>48</v>
      </c>
      <c r="H903">
        <v>92603</v>
      </c>
      <c r="I903">
        <v>5507619</v>
      </c>
    </row>
    <row r="904" spans="1:9">
      <c r="A904" s="2">
        <v>1958</v>
      </c>
      <c r="B904">
        <v>12</v>
      </c>
      <c r="C904">
        <v>4.6999999999999999E-4</v>
      </c>
      <c r="D904">
        <v>4.6999999999999999E-4</v>
      </c>
      <c r="E904">
        <v>0.5</v>
      </c>
      <c r="F904">
        <v>92579</v>
      </c>
      <c r="G904">
        <v>44</v>
      </c>
      <c r="H904">
        <v>92557</v>
      </c>
      <c r="I904">
        <v>5415016</v>
      </c>
    </row>
    <row r="905" spans="1:9">
      <c r="A905" s="2">
        <v>1958</v>
      </c>
      <c r="B905">
        <v>13</v>
      </c>
      <c r="C905">
        <v>5.6999999999999998E-4</v>
      </c>
      <c r="D905">
        <v>5.6999999999999998E-4</v>
      </c>
      <c r="E905">
        <v>0.5</v>
      </c>
      <c r="F905">
        <v>92535</v>
      </c>
      <c r="G905">
        <v>53</v>
      </c>
      <c r="H905">
        <v>92509</v>
      </c>
      <c r="I905">
        <v>5322459</v>
      </c>
    </row>
    <row r="906" spans="1:9">
      <c r="A906" s="2">
        <v>1958</v>
      </c>
      <c r="B906">
        <v>14</v>
      </c>
      <c r="C906">
        <v>6.8999999999999997E-4</v>
      </c>
      <c r="D906">
        <v>6.8999999999999997E-4</v>
      </c>
      <c r="E906">
        <v>0.5</v>
      </c>
      <c r="F906">
        <v>92482</v>
      </c>
      <c r="G906">
        <v>64</v>
      </c>
      <c r="H906">
        <v>92450</v>
      </c>
      <c r="I906">
        <v>5229951</v>
      </c>
    </row>
    <row r="907" spans="1:9">
      <c r="A907" s="2">
        <v>1958</v>
      </c>
      <c r="B907">
        <v>15</v>
      </c>
      <c r="C907">
        <v>7.6999999999999996E-4</v>
      </c>
      <c r="D907">
        <v>7.6999999999999996E-4</v>
      </c>
      <c r="E907">
        <v>0.5</v>
      </c>
      <c r="F907">
        <v>92418</v>
      </c>
      <c r="G907">
        <v>71</v>
      </c>
      <c r="H907">
        <v>92383</v>
      </c>
      <c r="I907">
        <v>5137500</v>
      </c>
    </row>
    <row r="908" spans="1:9">
      <c r="A908" s="2">
        <v>1958</v>
      </c>
      <c r="B908">
        <v>16</v>
      </c>
      <c r="C908">
        <v>1E-3</v>
      </c>
      <c r="D908">
        <v>1E-3</v>
      </c>
      <c r="E908">
        <v>0.5</v>
      </c>
      <c r="F908">
        <v>92347</v>
      </c>
      <c r="G908">
        <v>92</v>
      </c>
      <c r="H908">
        <v>92301</v>
      </c>
      <c r="I908">
        <v>5045118</v>
      </c>
    </row>
    <row r="909" spans="1:9">
      <c r="A909" s="2">
        <v>1958</v>
      </c>
      <c r="B909">
        <v>17</v>
      </c>
      <c r="C909">
        <v>1.0300000000000001E-3</v>
      </c>
      <c r="D909">
        <v>1.0300000000000001E-3</v>
      </c>
      <c r="E909">
        <v>0.5</v>
      </c>
      <c r="F909">
        <v>92255</v>
      </c>
      <c r="G909">
        <v>95</v>
      </c>
      <c r="H909">
        <v>92207</v>
      </c>
      <c r="I909">
        <v>4952816</v>
      </c>
    </row>
    <row r="910" spans="1:9">
      <c r="A910" s="2">
        <v>1958</v>
      </c>
      <c r="B910">
        <v>18</v>
      </c>
      <c r="C910">
        <v>1.2199999999999999E-3</v>
      </c>
      <c r="D910">
        <v>1.2199999999999999E-3</v>
      </c>
      <c r="E910">
        <v>0.5</v>
      </c>
      <c r="F910">
        <v>92160</v>
      </c>
      <c r="G910">
        <v>113</v>
      </c>
      <c r="H910">
        <v>92104</v>
      </c>
      <c r="I910">
        <v>4860609</v>
      </c>
    </row>
    <row r="911" spans="1:9">
      <c r="A911" s="2">
        <v>1958</v>
      </c>
      <c r="B911">
        <v>19</v>
      </c>
      <c r="C911">
        <v>1.41E-3</v>
      </c>
      <c r="D911">
        <v>1.4E-3</v>
      </c>
      <c r="E911">
        <v>0.5</v>
      </c>
      <c r="F911">
        <v>92047</v>
      </c>
      <c r="G911">
        <v>129</v>
      </c>
      <c r="H911">
        <v>91983</v>
      </c>
      <c r="I911">
        <v>4768505</v>
      </c>
    </row>
    <row r="912" spans="1:9">
      <c r="A912" s="2">
        <v>1958</v>
      </c>
      <c r="B912">
        <v>20</v>
      </c>
      <c r="C912">
        <v>1.6900000000000001E-3</v>
      </c>
      <c r="D912">
        <v>1.6900000000000001E-3</v>
      </c>
      <c r="E912">
        <v>0.5</v>
      </c>
      <c r="F912">
        <v>91918</v>
      </c>
      <c r="G912">
        <v>155</v>
      </c>
      <c r="H912">
        <v>91841</v>
      </c>
      <c r="I912">
        <v>4676523</v>
      </c>
    </row>
    <row r="913" spans="1:9">
      <c r="A913" s="2">
        <v>1958</v>
      </c>
      <c r="B913">
        <v>21</v>
      </c>
      <c r="C913">
        <v>1.4599999999999999E-3</v>
      </c>
      <c r="D913">
        <v>1.4599999999999999E-3</v>
      </c>
      <c r="E913">
        <v>0.5</v>
      </c>
      <c r="F913">
        <v>91763</v>
      </c>
      <c r="G913">
        <v>134</v>
      </c>
      <c r="H913">
        <v>91696</v>
      </c>
      <c r="I913">
        <v>4584682</v>
      </c>
    </row>
    <row r="914" spans="1:9">
      <c r="A914" s="2">
        <v>1958</v>
      </c>
      <c r="B914">
        <v>22</v>
      </c>
      <c r="C914">
        <v>1.7600000000000001E-3</v>
      </c>
      <c r="D914">
        <v>1.75E-3</v>
      </c>
      <c r="E914">
        <v>0.5</v>
      </c>
      <c r="F914">
        <v>91629</v>
      </c>
      <c r="G914">
        <v>161</v>
      </c>
      <c r="H914">
        <v>91549</v>
      </c>
      <c r="I914">
        <v>4492986</v>
      </c>
    </row>
    <row r="915" spans="1:9">
      <c r="A915" s="2">
        <v>1958</v>
      </c>
      <c r="B915">
        <v>23</v>
      </c>
      <c r="C915">
        <v>1.5100000000000001E-3</v>
      </c>
      <c r="D915">
        <v>1.5E-3</v>
      </c>
      <c r="E915">
        <v>0.5</v>
      </c>
      <c r="F915">
        <v>91468</v>
      </c>
      <c r="G915">
        <v>138</v>
      </c>
      <c r="H915">
        <v>91399</v>
      </c>
      <c r="I915">
        <v>4401437</v>
      </c>
    </row>
    <row r="916" spans="1:9">
      <c r="A916" s="2">
        <v>1958</v>
      </c>
      <c r="B916">
        <v>24</v>
      </c>
      <c r="C916">
        <v>1.73E-3</v>
      </c>
      <c r="D916">
        <v>1.73E-3</v>
      </c>
      <c r="E916">
        <v>0.5</v>
      </c>
      <c r="F916">
        <v>91331</v>
      </c>
      <c r="G916">
        <v>158</v>
      </c>
      <c r="H916">
        <v>91251</v>
      </c>
      <c r="I916">
        <v>4310038</v>
      </c>
    </row>
    <row r="917" spans="1:9">
      <c r="A917" s="2">
        <v>1958</v>
      </c>
      <c r="B917">
        <v>25</v>
      </c>
      <c r="C917">
        <v>1.5499999999999999E-3</v>
      </c>
      <c r="D917">
        <v>1.5499999999999999E-3</v>
      </c>
      <c r="E917">
        <v>0.5</v>
      </c>
      <c r="F917">
        <v>91172</v>
      </c>
      <c r="G917">
        <v>141</v>
      </c>
      <c r="H917">
        <v>91102</v>
      </c>
      <c r="I917">
        <v>4218787</v>
      </c>
    </row>
    <row r="918" spans="1:9">
      <c r="A918" s="2">
        <v>1958</v>
      </c>
      <c r="B918">
        <v>26</v>
      </c>
      <c r="C918">
        <v>1.81E-3</v>
      </c>
      <c r="D918">
        <v>1.81E-3</v>
      </c>
      <c r="E918">
        <v>0.5</v>
      </c>
      <c r="F918">
        <v>91031</v>
      </c>
      <c r="G918">
        <v>165</v>
      </c>
      <c r="H918">
        <v>90949</v>
      </c>
      <c r="I918">
        <v>4127685</v>
      </c>
    </row>
    <row r="919" spans="1:9">
      <c r="A919" s="2">
        <v>1958</v>
      </c>
      <c r="B919">
        <v>27</v>
      </c>
      <c r="C919">
        <v>1.9400000000000001E-3</v>
      </c>
      <c r="D919">
        <v>1.9400000000000001E-3</v>
      </c>
      <c r="E919">
        <v>0.5</v>
      </c>
      <c r="F919">
        <v>90866</v>
      </c>
      <c r="G919">
        <v>177</v>
      </c>
      <c r="H919">
        <v>90778</v>
      </c>
      <c r="I919">
        <v>4036737</v>
      </c>
    </row>
    <row r="920" spans="1:9">
      <c r="A920" s="2">
        <v>1958</v>
      </c>
      <c r="B920">
        <v>28</v>
      </c>
      <c r="C920">
        <v>1.74E-3</v>
      </c>
      <c r="D920">
        <v>1.74E-3</v>
      </c>
      <c r="E920">
        <v>0.5</v>
      </c>
      <c r="F920">
        <v>90690</v>
      </c>
      <c r="G920">
        <v>157</v>
      </c>
      <c r="H920">
        <v>90611</v>
      </c>
      <c r="I920">
        <v>3945959</v>
      </c>
    </row>
    <row r="921" spans="1:9">
      <c r="A921" s="2">
        <v>1958</v>
      </c>
      <c r="B921">
        <v>29</v>
      </c>
      <c r="C921">
        <v>1.8500000000000001E-3</v>
      </c>
      <c r="D921">
        <v>1.8500000000000001E-3</v>
      </c>
      <c r="E921">
        <v>0.5</v>
      </c>
      <c r="F921">
        <v>90532</v>
      </c>
      <c r="G921">
        <v>168</v>
      </c>
      <c r="H921">
        <v>90448</v>
      </c>
      <c r="I921">
        <v>3855348</v>
      </c>
    </row>
    <row r="922" spans="1:9">
      <c r="A922" s="2">
        <v>1958</v>
      </c>
      <c r="B922">
        <v>30</v>
      </c>
      <c r="C922">
        <v>1.91E-3</v>
      </c>
      <c r="D922">
        <v>1.91E-3</v>
      </c>
      <c r="E922">
        <v>0.5</v>
      </c>
      <c r="F922">
        <v>90365</v>
      </c>
      <c r="G922">
        <v>173</v>
      </c>
      <c r="H922">
        <v>90278</v>
      </c>
      <c r="I922">
        <v>3764899</v>
      </c>
    </row>
    <row r="923" spans="1:9">
      <c r="A923" s="2">
        <v>1958</v>
      </c>
      <c r="B923">
        <v>31</v>
      </c>
      <c r="C923">
        <v>1.9E-3</v>
      </c>
      <c r="D923">
        <v>1.9E-3</v>
      </c>
      <c r="E923">
        <v>0.5</v>
      </c>
      <c r="F923">
        <v>90192</v>
      </c>
      <c r="G923">
        <v>172</v>
      </c>
      <c r="H923">
        <v>90106</v>
      </c>
      <c r="I923">
        <v>3674621</v>
      </c>
    </row>
    <row r="924" spans="1:9">
      <c r="A924" s="2">
        <v>1958</v>
      </c>
      <c r="B924">
        <v>32</v>
      </c>
      <c r="C924">
        <v>1.9300000000000001E-3</v>
      </c>
      <c r="D924">
        <v>1.92E-3</v>
      </c>
      <c r="E924">
        <v>0.5</v>
      </c>
      <c r="F924">
        <v>90020</v>
      </c>
      <c r="G924">
        <v>173</v>
      </c>
      <c r="H924">
        <v>89934</v>
      </c>
      <c r="I924">
        <v>3584515</v>
      </c>
    </row>
    <row r="925" spans="1:9">
      <c r="A925" s="2">
        <v>1958</v>
      </c>
      <c r="B925">
        <v>33</v>
      </c>
      <c r="C925">
        <v>1.9E-3</v>
      </c>
      <c r="D925">
        <v>1.9E-3</v>
      </c>
      <c r="E925">
        <v>0.5</v>
      </c>
      <c r="F925">
        <v>89847</v>
      </c>
      <c r="G925">
        <v>170</v>
      </c>
      <c r="H925">
        <v>89762</v>
      </c>
      <c r="I925">
        <v>3494581</v>
      </c>
    </row>
    <row r="926" spans="1:9">
      <c r="A926" s="2">
        <v>1958</v>
      </c>
      <c r="B926">
        <v>34</v>
      </c>
      <c r="C926">
        <v>1.9599999999999999E-3</v>
      </c>
      <c r="D926">
        <v>1.9599999999999999E-3</v>
      </c>
      <c r="E926">
        <v>0.5</v>
      </c>
      <c r="F926">
        <v>89677</v>
      </c>
      <c r="G926">
        <v>176</v>
      </c>
      <c r="H926">
        <v>89589</v>
      </c>
      <c r="I926">
        <v>3404819</v>
      </c>
    </row>
    <row r="927" spans="1:9">
      <c r="A927" s="2">
        <v>1958</v>
      </c>
      <c r="B927">
        <v>35</v>
      </c>
      <c r="C927">
        <v>2.31E-3</v>
      </c>
      <c r="D927">
        <v>2.3E-3</v>
      </c>
      <c r="E927">
        <v>0.5</v>
      </c>
      <c r="F927">
        <v>89501</v>
      </c>
      <c r="G927">
        <v>206</v>
      </c>
      <c r="H927">
        <v>89398</v>
      </c>
      <c r="I927">
        <v>3315230</v>
      </c>
    </row>
    <row r="928" spans="1:9">
      <c r="A928" s="2">
        <v>1958</v>
      </c>
      <c r="B928">
        <v>36</v>
      </c>
      <c r="C928">
        <v>2.3500000000000001E-3</v>
      </c>
      <c r="D928">
        <v>2.3400000000000001E-3</v>
      </c>
      <c r="E928">
        <v>0.5</v>
      </c>
      <c r="F928">
        <v>89295</v>
      </c>
      <c r="G928">
        <v>209</v>
      </c>
      <c r="H928">
        <v>89190</v>
      </c>
      <c r="I928">
        <v>3225832</v>
      </c>
    </row>
    <row r="929" spans="1:9">
      <c r="A929" s="2">
        <v>1958</v>
      </c>
      <c r="B929">
        <v>37</v>
      </c>
      <c r="C929">
        <v>2.64E-3</v>
      </c>
      <c r="D929">
        <v>2.63E-3</v>
      </c>
      <c r="E929">
        <v>0.5</v>
      </c>
      <c r="F929">
        <v>89085</v>
      </c>
      <c r="G929">
        <v>234</v>
      </c>
      <c r="H929">
        <v>88968</v>
      </c>
      <c r="I929">
        <v>3136642</v>
      </c>
    </row>
    <row r="930" spans="1:9">
      <c r="A930" s="2">
        <v>1958</v>
      </c>
      <c r="B930">
        <v>38</v>
      </c>
      <c r="C930">
        <v>2.9399999999999999E-3</v>
      </c>
      <c r="D930">
        <v>2.9299999999999999E-3</v>
      </c>
      <c r="E930">
        <v>0.5</v>
      </c>
      <c r="F930">
        <v>88851</v>
      </c>
      <c r="G930">
        <v>261</v>
      </c>
      <c r="H930">
        <v>88721</v>
      </c>
      <c r="I930">
        <v>3047674</v>
      </c>
    </row>
    <row r="931" spans="1:9">
      <c r="A931" s="2">
        <v>1958</v>
      </c>
      <c r="B931">
        <v>39</v>
      </c>
      <c r="C931">
        <v>2.2200000000000002E-3</v>
      </c>
      <c r="D931">
        <v>2.2200000000000002E-3</v>
      </c>
      <c r="E931">
        <v>0.5</v>
      </c>
      <c r="F931">
        <v>88590</v>
      </c>
      <c r="G931">
        <v>197</v>
      </c>
      <c r="H931">
        <v>88492</v>
      </c>
      <c r="I931">
        <v>2958953</v>
      </c>
    </row>
    <row r="932" spans="1:9">
      <c r="A932" s="2">
        <v>1958</v>
      </c>
      <c r="B932">
        <v>40</v>
      </c>
      <c r="C932">
        <v>3.1099999999999999E-3</v>
      </c>
      <c r="D932">
        <v>3.1099999999999999E-3</v>
      </c>
      <c r="E932">
        <v>0.5</v>
      </c>
      <c r="F932">
        <v>88394</v>
      </c>
      <c r="G932">
        <v>275</v>
      </c>
      <c r="H932">
        <v>88256</v>
      </c>
      <c r="I932">
        <v>2870461</v>
      </c>
    </row>
    <row r="933" spans="1:9">
      <c r="A933" s="2">
        <v>1958</v>
      </c>
      <c r="B933">
        <v>41</v>
      </c>
      <c r="C933">
        <v>3.3999999999999998E-3</v>
      </c>
      <c r="D933">
        <v>3.3899999999999998E-3</v>
      </c>
      <c r="E933">
        <v>0.5</v>
      </c>
      <c r="F933">
        <v>88119</v>
      </c>
      <c r="G933">
        <v>299</v>
      </c>
      <c r="H933">
        <v>87970</v>
      </c>
      <c r="I933">
        <v>2782205</v>
      </c>
    </row>
    <row r="934" spans="1:9">
      <c r="A934" s="2">
        <v>1958</v>
      </c>
      <c r="B934">
        <v>42</v>
      </c>
      <c r="C934">
        <v>3.13E-3</v>
      </c>
      <c r="D934">
        <v>3.13E-3</v>
      </c>
      <c r="E934">
        <v>0.5</v>
      </c>
      <c r="F934">
        <v>87820</v>
      </c>
      <c r="G934">
        <v>275</v>
      </c>
      <c r="H934">
        <v>87683</v>
      </c>
      <c r="I934">
        <v>2694235</v>
      </c>
    </row>
    <row r="935" spans="1:9">
      <c r="A935" s="2">
        <v>1958</v>
      </c>
      <c r="B935">
        <v>43</v>
      </c>
      <c r="C935">
        <v>4.3E-3</v>
      </c>
      <c r="D935">
        <v>4.2900000000000004E-3</v>
      </c>
      <c r="E935">
        <v>0.5</v>
      </c>
      <c r="F935">
        <v>87546</v>
      </c>
      <c r="G935">
        <v>375</v>
      </c>
      <c r="H935">
        <v>87358</v>
      </c>
      <c r="I935">
        <v>2606552</v>
      </c>
    </row>
    <row r="936" spans="1:9">
      <c r="A936" s="2">
        <v>1958</v>
      </c>
      <c r="B936">
        <v>44</v>
      </c>
      <c r="C936">
        <v>3.96E-3</v>
      </c>
      <c r="D936">
        <v>3.9500000000000004E-3</v>
      </c>
      <c r="E936">
        <v>0.5</v>
      </c>
      <c r="F936">
        <v>87170</v>
      </c>
      <c r="G936">
        <v>344</v>
      </c>
      <c r="H936">
        <v>86998</v>
      </c>
      <c r="I936">
        <v>2519194</v>
      </c>
    </row>
    <row r="937" spans="1:9">
      <c r="A937" s="2">
        <v>1958</v>
      </c>
      <c r="B937">
        <v>45</v>
      </c>
      <c r="C937">
        <v>4.5999999999999999E-3</v>
      </c>
      <c r="D937">
        <v>4.5900000000000003E-3</v>
      </c>
      <c r="E937">
        <v>0.5</v>
      </c>
      <c r="F937">
        <v>86826</v>
      </c>
      <c r="G937">
        <v>399</v>
      </c>
      <c r="H937">
        <v>86627</v>
      </c>
      <c r="I937">
        <v>2432196</v>
      </c>
    </row>
    <row r="938" spans="1:9">
      <c r="A938" s="2">
        <v>1958</v>
      </c>
      <c r="B938">
        <v>46</v>
      </c>
      <c r="C938">
        <v>4.7299999999999998E-3</v>
      </c>
      <c r="D938">
        <v>4.7099999999999998E-3</v>
      </c>
      <c r="E938">
        <v>0.5</v>
      </c>
      <c r="F938">
        <v>86427</v>
      </c>
      <c r="G938">
        <v>407</v>
      </c>
      <c r="H938">
        <v>86224</v>
      </c>
      <c r="I938">
        <v>2345569</v>
      </c>
    </row>
    <row r="939" spans="1:9">
      <c r="A939" s="2">
        <v>1958</v>
      </c>
      <c r="B939">
        <v>47</v>
      </c>
      <c r="C939">
        <v>5.0800000000000003E-3</v>
      </c>
      <c r="D939">
        <v>5.0699999999999999E-3</v>
      </c>
      <c r="E939">
        <v>0.5</v>
      </c>
      <c r="F939">
        <v>86020</v>
      </c>
      <c r="G939">
        <v>436</v>
      </c>
      <c r="H939">
        <v>85802</v>
      </c>
      <c r="I939">
        <v>2259346</v>
      </c>
    </row>
    <row r="940" spans="1:9">
      <c r="A940" s="2">
        <v>1958</v>
      </c>
      <c r="B940">
        <v>48</v>
      </c>
      <c r="C940">
        <v>5.9500000000000004E-3</v>
      </c>
      <c r="D940">
        <v>5.94E-3</v>
      </c>
      <c r="E940">
        <v>0.5</v>
      </c>
      <c r="F940">
        <v>85584</v>
      </c>
      <c r="G940">
        <v>508</v>
      </c>
      <c r="H940">
        <v>85330</v>
      </c>
      <c r="I940">
        <v>2173544</v>
      </c>
    </row>
    <row r="941" spans="1:9">
      <c r="A941" s="2">
        <v>1958</v>
      </c>
      <c r="B941">
        <v>49</v>
      </c>
      <c r="C941">
        <v>6.3800000000000003E-3</v>
      </c>
      <c r="D941">
        <v>6.3600000000000002E-3</v>
      </c>
      <c r="E941">
        <v>0.5</v>
      </c>
      <c r="F941">
        <v>85076</v>
      </c>
      <c r="G941">
        <v>541</v>
      </c>
      <c r="H941">
        <v>84805</v>
      </c>
      <c r="I941">
        <v>2088215</v>
      </c>
    </row>
    <row r="942" spans="1:9">
      <c r="A942" s="2">
        <v>1958</v>
      </c>
      <c r="B942">
        <v>50</v>
      </c>
      <c r="C942">
        <v>7.3600000000000002E-3</v>
      </c>
      <c r="D942">
        <v>7.3299999999999997E-3</v>
      </c>
      <c r="E942">
        <v>0.5</v>
      </c>
      <c r="F942">
        <v>84535</v>
      </c>
      <c r="G942">
        <v>620</v>
      </c>
      <c r="H942">
        <v>84225</v>
      </c>
      <c r="I942">
        <v>2003409</v>
      </c>
    </row>
    <row r="943" spans="1:9">
      <c r="A943" s="2">
        <v>1958</v>
      </c>
      <c r="B943">
        <v>51</v>
      </c>
      <c r="C943">
        <v>8.4399999999999996E-3</v>
      </c>
      <c r="D943">
        <v>8.3999999999999995E-3</v>
      </c>
      <c r="E943">
        <v>0.5</v>
      </c>
      <c r="F943">
        <v>83915</v>
      </c>
      <c r="G943">
        <v>705</v>
      </c>
      <c r="H943">
        <v>83563</v>
      </c>
      <c r="I943">
        <v>1919184</v>
      </c>
    </row>
    <row r="944" spans="1:9">
      <c r="A944" s="2">
        <v>1958</v>
      </c>
      <c r="B944">
        <v>52</v>
      </c>
      <c r="C944">
        <v>9.1299999999999992E-3</v>
      </c>
      <c r="D944">
        <v>9.0900000000000009E-3</v>
      </c>
      <c r="E944">
        <v>0.5</v>
      </c>
      <c r="F944">
        <v>83210</v>
      </c>
      <c r="G944">
        <v>756</v>
      </c>
      <c r="H944">
        <v>82832</v>
      </c>
      <c r="I944">
        <v>1835622</v>
      </c>
    </row>
    <row r="945" spans="1:9">
      <c r="A945" s="2">
        <v>1958</v>
      </c>
      <c r="B945">
        <v>53</v>
      </c>
      <c r="C945">
        <v>9.5700000000000004E-3</v>
      </c>
      <c r="D945">
        <v>9.5300000000000003E-3</v>
      </c>
      <c r="E945">
        <v>0.5</v>
      </c>
      <c r="F945">
        <v>82454</v>
      </c>
      <c r="G945">
        <v>786</v>
      </c>
      <c r="H945">
        <v>82061</v>
      </c>
      <c r="I945">
        <v>1752790</v>
      </c>
    </row>
    <row r="946" spans="1:9">
      <c r="A946" s="2">
        <v>1958</v>
      </c>
      <c r="B946">
        <v>54</v>
      </c>
      <c r="C946">
        <v>1.191E-2</v>
      </c>
      <c r="D946">
        <v>1.184E-2</v>
      </c>
      <c r="E946">
        <v>0.5</v>
      </c>
      <c r="F946">
        <v>81668</v>
      </c>
      <c r="G946">
        <v>967</v>
      </c>
      <c r="H946">
        <v>81185</v>
      </c>
      <c r="I946">
        <v>1670729</v>
      </c>
    </row>
    <row r="947" spans="1:9">
      <c r="A947" s="2">
        <v>1958</v>
      </c>
      <c r="B947">
        <v>55</v>
      </c>
      <c r="C947">
        <v>1.217E-2</v>
      </c>
      <c r="D947">
        <v>1.209E-2</v>
      </c>
      <c r="E947">
        <v>0.5</v>
      </c>
      <c r="F947">
        <v>80701</v>
      </c>
      <c r="G947">
        <v>976</v>
      </c>
      <c r="H947">
        <v>80213</v>
      </c>
      <c r="I947">
        <v>1589544</v>
      </c>
    </row>
    <row r="948" spans="1:9">
      <c r="A948" s="2">
        <v>1958</v>
      </c>
      <c r="B948">
        <v>56</v>
      </c>
      <c r="C948">
        <v>1.372E-2</v>
      </c>
      <c r="D948">
        <v>1.363E-2</v>
      </c>
      <c r="E948">
        <v>0.5</v>
      </c>
      <c r="F948">
        <v>79725</v>
      </c>
      <c r="G948">
        <v>1087</v>
      </c>
      <c r="H948">
        <v>79182</v>
      </c>
      <c r="I948">
        <v>1509331</v>
      </c>
    </row>
    <row r="949" spans="1:9">
      <c r="A949" s="2">
        <v>1958</v>
      </c>
      <c r="B949">
        <v>57</v>
      </c>
      <c r="C949">
        <v>1.439E-2</v>
      </c>
      <c r="D949">
        <v>1.4279999999999999E-2</v>
      </c>
      <c r="E949">
        <v>0.5</v>
      </c>
      <c r="F949">
        <v>78638</v>
      </c>
      <c r="G949">
        <v>1123</v>
      </c>
      <c r="H949">
        <v>78077</v>
      </c>
      <c r="I949">
        <v>1430150</v>
      </c>
    </row>
    <row r="950" spans="1:9">
      <c r="A950" s="2">
        <v>1958</v>
      </c>
      <c r="B950">
        <v>58</v>
      </c>
      <c r="C950">
        <v>1.6799999999999999E-2</v>
      </c>
      <c r="D950">
        <v>1.6660000000000001E-2</v>
      </c>
      <c r="E950">
        <v>0.5</v>
      </c>
      <c r="F950">
        <v>77515</v>
      </c>
      <c r="G950">
        <v>1291</v>
      </c>
      <c r="H950">
        <v>76870</v>
      </c>
      <c r="I950">
        <v>1352073</v>
      </c>
    </row>
    <row r="951" spans="1:9">
      <c r="A951" s="2">
        <v>1958</v>
      </c>
      <c r="B951">
        <v>59</v>
      </c>
      <c r="C951">
        <v>1.8710000000000001E-2</v>
      </c>
      <c r="D951">
        <v>1.8530000000000001E-2</v>
      </c>
      <c r="E951">
        <v>0.5</v>
      </c>
      <c r="F951">
        <v>76224</v>
      </c>
      <c r="G951">
        <v>1413</v>
      </c>
      <c r="H951">
        <v>75518</v>
      </c>
      <c r="I951">
        <v>1275203</v>
      </c>
    </row>
    <row r="952" spans="1:9">
      <c r="A952" s="2">
        <v>1958</v>
      </c>
      <c r="B952">
        <v>60</v>
      </c>
      <c r="C952">
        <v>1.9560000000000001E-2</v>
      </c>
      <c r="D952">
        <v>1.9369999999999998E-2</v>
      </c>
      <c r="E952">
        <v>0.5</v>
      </c>
      <c r="F952">
        <v>74811</v>
      </c>
      <c r="G952">
        <v>1449</v>
      </c>
      <c r="H952">
        <v>74087</v>
      </c>
      <c r="I952">
        <v>1199686</v>
      </c>
    </row>
    <row r="953" spans="1:9">
      <c r="A953" s="2">
        <v>1958</v>
      </c>
      <c r="B953">
        <v>61</v>
      </c>
      <c r="C953">
        <v>2.1569999999999999E-2</v>
      </c>
      <c r="D953">
        <v>2.1340000000000001E-2</v>
      </c>
      <c r="E953">
        <v>0.5</v>
      </c>
      <c r="F953">
        <v>73363</v>
      </c>
      <c r="G953">
        <v>1566</v>
      </c>
      <c r="H953">
        <v>72580</v>
      </c>
      <c r="I953">
        <v>1125599</v>
      </c>
    </row>
    <row r="954" spans="1:9">
      <c r="A954" s="2">
        <v>1958</v>
      </c>
      <c r="B954">
        <v>62</v>
      </c>
      <c r="C954">
        <v>2.342E-2</v>
      </c>
      <c r="D954">
        <v>2.315E-2</v>
      </c>
      <c r="E954">
        <v>0.5</v>
      </c>
      <c r="F954">
        <v>71797</v>
      </c>
      <c r="G954">
        <v>1662</v>
      </c>
      <c r="H954">
        <v>70966</v>
      </c>
      <c r="I954">
        <v>1053019</v>
      </c>
    </row>
    <row r="955" spans="1:9">
      <c r="A955" s="2">
        <v>1958</v>
      </c>
      <c r="B955">
        <v>63</v>
      </c>
      <c r="C955">
        <v>2.6339999999999999E-2</v>
      </c>
      <c r="D955">
        <v>2.5989999999999999E-2</v>
      </c>
      <c r="E955">
        <v>0.5</v>
      </c>
      <c r="F955">
        <v>70135</v>
      </c>
      <c r="G955">
        <v>1823</v>
      </c>
      <c r="H955">
        <v>69223</v>
      </c>
      <c r="I955">
        <v>982053</v>
      </c>
    </row>
    <row r="956" spans="1:9">
      <c r="A956" s="2">
        <v>1958</v>
      </c>
      <c r="B956">
        <v>64</v>
      </c>
      <c r="C956">
        <v>2.853E-2</v>
      </c>
      <c r="D956">
        <v>2.8129999999999999E-2</v>
      </c>
      <c r="E956">
        <v>0.5</v>
      </c>
      <c r="F956">
        <v>68312</v>
      </c>
      <c r="G956">
        <v>1922</v>
      </c>
      <c r="H956">
        <v>67351</v>
      </c>
      <c r="I956">
        <v>912829</v>
      </c>
    </row>
    <row r="957" spans="1:9">
      <c r="A957" s="2">
        <v>1958</v>
      </c>
      <c r="B957">
        <v>65</v>
      </c>
      <c r="C957">
        <v>2.9919999999999999E-2</v>
      </c>
      <c r="D957">
        <v>2.9479999999999999E-2</v>
      </c>
      <c r="E957">
        <v>0.5</v>
      </c>
      <c r="F957">
        <v>66390</v>
      </c>
      <c r="G957">
        <v>1957</v>
      </c>
      <c r="H957">
        <v>65412</v>
      </c>
      <c r="I957">
        <v>845478</v>
      </c>
    </row>
    <row r="958" spans="1:9">
      <c r="A958" s="2">
        <v>1958</v>
      </c>
      <c r="B958">
        <v>66</v>
      </c>
      <c r="C958">
        <v>3.431E-2</v>
      </c>
      <c r="D958">
        <v>3.3730000000000003E-2</v>
      </c>
      <c r="E958">
        <v>0.5</v>
      </c>
      <c r="F958">
        <v>64433</v>
      </c>
      <c r="G958">
        <v>2173</v>
      </c>
      <c r="H958">
        <v>63346</v>
      </c>
      <c r="I958">
        <v>780067</v>
      </c>
    </row>
    <row r="959" spans="1:9">
      <c r="A959" s="2">
        <v>1958</v>
      </c>
      <c r="B959">
        <v>67</v>
      </c>
      <c r="C959">
        <v>3.6229999999999998E-2</v>
      </c>
      <c r="D959">
        <v>3.5589999999999997E-2</v>
      </c>
      <c r="E959">
        <v>0.5</v>
      </c>
      <c r="F959">
        <v>62260</v>
      </c>
      <c r="G959">
        <v>2216</v>
      </c>
      <c r="H959">
        <v>61152</v>
      </c>
      <c r="I959">
        <v>716721</v>
      </c>
    </row>
    <row r="960" spans="1:9">
      <c r="A960" s="2">
        <v>1958</v>
      </c>
      <c r="B960">
        <v>68</v>
      </c>
      <c r="C960">
        <v>4.0099999999999997E-2</v>
      </c>
      <c r="D960">
        <v>3.9320000000000001E-2</v>
      </c>
      <c r="E960">
        <v>0.5</v>
      </c>
      <c r="F960">
        <v>60044</v>
      </c>
      <c r="G960">
        <v>2361</v>
      </c>
      <c r="H960">
        <v>58863</v>
      </c>
      <c r="I960">
        <v>655569</v>
      </c>
    </row>
    <row r="961" spans="1:9">
      <c r="A961" s="2">
        <v>1958</v>
      </c>
      <c r="B961">
        <v>69</v>
      </c>
      <c r="C961">
        <v>4.5710000000000001E-2</v>
      </c>
      <c r="D961">
        <v>4.4690000000000001E-2</v>
      </c>
      <c r="E961">
        <v>0.5</v>
      </c>
      <c r="F961">
        <v>57683</v>
      </c>
      <c r="G961">
        <v>2578</v>
      </c>
      <c r="H961">
        <v>56394</v>
      </c>
      <c r="I961">
        <v>596705</v>
      </c>
    </row>
    <row r="962" spans="1:9">
      <c r="A962" s="2">
        <v>1958</v>
      </c>
      <c r="B962">
        <v>70</v>
      </c>
      <c r="C962">
        <v>4.6640000000000001E-2</v>
      </c>
      <c r="D962">
        <v>4.5580000000000002E-2</v>
      </c>
      <c r="E962">
        <v>0.5</v>
      </c>
      <c r="F962">
        <v>55105</v>
      </c>
      <c r="G962">
        <v>2512</v>
      </c>
      <c r="H962">
        <v>53849</v>
      </c>
      <c r="I962">
        <v>540311</v>
      </c>
    </row>
    <row r="963" spans="1:9">
      <c r="A963" s="2">
        <v>1958</v>
      </c>
      <c r="B963">
        <v>71</v>
      </c>
      <c r="C963">
        <v>5.5120000000000002E-2</v>
      </c>
      <c r="D963">
        <v>5.364E-2</v>
      </c>
      <c r="E963">
        <v>0.5</v>
      </c>
      <c r="F963">
        <v>52594</v>
      </c>
      <c r="G963">
        <v>2821</v>
      </c>
      <c r="H963">
        <v>51183</v>
      </c>
      <c r="I963">
        <v>486462</v>
      </c>
    </row>
    <row r="964" spans="1:9">
      <c r="A964" s="2">
        <v>1958</v>
      </c>
      <c r="B964">
        <v>72</v>
      </c>
      <c r="C964">
        <v>6.1060000000000003E-2</v>
      </c>
      <c r="D964">
        <v>5.9249999999999997E-2</v>
      </c>
      <c r="E964">
        <v>0.5</v>
      </c>
      <c r="F964">
        <v>49772</v>
      </c>
      <c r="G964">
        <v>2949</v>
      </c>
      <c r="H964">
        <v>48298</v>
      </c>
      <c r="I964">
        <v>435279</v>
      </c>
    </row>
    <row r="965" spans="1:9">
      <c r="A965" s="2">
        <v>1958</v>
      </c>
      <c r="B965">
        <v>73</v>
      </c>
      <c r="C965">
        <v>6.5049999999999997E-2</v>
      </c>
      <c r="D965">
        <v>6.3E-2</v>
      </c>
      <c r="E965">
        <v>0.5</v>
      </c>
      <c r="F965">
        <v>46823</v>
      </c>
      <c r="G965">
        <v>2950</v>
      </c>
      <c r="H965">
        <v>45348</v>
      </c>
      <c r="I965">
        <v>386981</v>
      </c>
    </row>
    <row r="966" spans="1:9">
      <c r="A966" s="2">
        <v>1958</v>
      </c>
      <c r="B966">
        <v>74</v>
      </c>
      <c r="C966">
        <v>7.3230000000000003E-2</v>
      </c>
      <c r="D966">
        <v>7.0639999999999994E-2</v>
      </c>
      <c r="E966">
        <v>0.5</v>
      </c>
      <c r="F966">
        <v>43873</v>
      </c>
      <c r="G966">
        <v>3099</v>
      </c>
      <c r="H966">
        <v>42323</v>
      </c>
      <c r="I966">
        <v>341633</v>
      </c>
    </row>
    <row r="967" spans="1:9">
      <c r="A967" s="2">
        <v>1958</v>
      </c>
      <c r="B967">
        <v>75</v>
      </c>
      <c r="C967">
        <v>7.9439999999999997E-2</v>
      </c>
      <c r="D967">
        <v>7.6399999999999996E-2</v>
      </c>
      <c r="E967">
        <v>0.5</v>
      </c>
      <c r="F967">
        <v>40774</v>
      </c>
      <c r="G967">
        <v>3115</v>
      </c>
      <c r="H967">
        <v>39216</v>
      </c>
      <c r="I967">
        <v>299309</v>
      </c>
    </row>
    <row r="968" spans="1:9">
      <c r="A968" s="2">
        <v>1958</v>
      </c>
      <c r="B968">
        <v>76</v>
      </c>
      <c r="C968">
        <v>8.5589999999999999E-2</v>
      </c>
      <c r="D968">
        <v>8.208E-2</v>
      </c>
      <c r="E968">
        <v>0.5</v>
      </c>
      <c r="F968">
        <v>37659</v>
      </c>
      <c r="G968">
        <v>3091</v>
      </c>
      <c r="H968">
        <v>36113</v>
      </c>
      <c r="I968">
        <v>260093</v>
      </c>
    </row>
    <row r="969" spans="1:9">
      <c r="A969" s="2">
        <v>1958</v>
      </c>
      <c r="B969">
        <v>77</v>
      </c>
      <c r="C969">
        <v>8.9160000000000003E-2</v>
      </c>
      <c r="D969">
        <v>8.5349999999999995E-2</v>
      </c>
      <c r="E969">
        <v>0.5</v>
      </c>
      <c r="F969">
        <v>34568</v>
      </c>
      <c r="G969">
        <v>2950</v>
      </c>
      <c r="H969">
        <v>33092</v>
      </c>
      <c r="I969">
        <v>223980</v>
      </c>
    </row>
    <row r="970" spans="1:9">
      <c r="A970" s="2">
        <v>1958</v>
      </c>
      <c r="B970">
        <v>78</v>
      </c>
      <c r="C970">
        <v>0.11314</v>
      </c>
      <c r="D970">
        <v>0.10707999999999999</v>
      </c>
      <c r="E970">
        <v>0.5</v>
      </c>
      <c r="F970">
        <v>31617</v>
      </c>
      <c r="G970">
        <v>3386</v>
      </c>
      <c r="H970">
        <v>29924</v>
      </c>
      <c r="I970">
        <v>190888</v>
      </c>
    </row>
    <row r="971" spans="1:9">
      <c r="A971" s="2">
        <v>1958</v>
      </c>
      <c r="B971">
        <v>79</v>
      </c>
      <c r="C971">
        <v>0.11562</v>
      </c>
      <c r="D971">
        <v>0.10929999999999999</v>
      </c>
      <c r="E971">
        <v>0.5</v>
      </c>
      <c r="F971">
        <v>28232</v>
      </c>
      <c r="G971">
        <v>3086</v>
      </c>
      <c r="H971">
        <v>26689</v>
      </c>
      <c r="I971">
        <v>160963</v>
      </c>
    </row>
    <row r="972" spans="1:9">
      <c r="A972" s="2">
        <v>1958</v>
      </c>
      <c r="B972">
        <v>80</v>
      </c>
      <c r="C972">
        <v>0.12975999999999999</v>
      </c>
      <c r="D972">
        <v>0.12185</v>
      </c>
      <c r="E972">
        <v>0.5</v>
      </c>
      <c r="F972">
        <v>25146</v>
      </c>
      <c r="G972">
        <v>3064</v>
      </c>
      <c r="H972">
        <v>23614</v>
      </c>
      <c r="I972">
        <v>134274</v>
      </c>
    </row>
    <row r="973" spans="1:9">
      <c r="A973" s="2">
        <v>1958</v>
      </c>
      <c r="B973">
        <v>81</v>
      </c>
      <c r="C973">
        <v>0.14268</v>
      </c>
      <c r="D973">
        <v>0.13317999999999999</v>
      </c>
      <c r="E973">
        <v>0.5</v>
      </c>
      <c r="F973">
        <v>22082</v>
      </c>
      <c r="G973">
        <v>2941</v>
      </c>
      <c r="H973">
        <v>20612</v>
      </c>
      <c r="I973">
        <v>110660</v>
      </c>
    </row>
    <row r="974" spans="1:9">
      <c r="A974" s="2">
        <v>1958</v>
      </c>
      <c r="B974">
        <v>82</v>
      </c>
      <c r="C974">
        <v>0.15883</v>
      </c>
      <c r="D974">
        <v>0.14715</v>
      </c>
      <c r="E974">
        <v>0.5</v>
      </c>
      <c r="F974">
        <v>19141</v>
      </c>
      <c r="G974">
        <v>2817</v>
      </c>
      <c r="H974">
        <v>17733</v>
      </c>
      <c r="I974">
        <v>90049</v>
      </c>
    </row>
    <row r="975" spans="1:9">
      <c r="A975" s="2">
        <v>1958</v>
      </c>
      <c r="B975">
        <v>83</v>
      </c>
      <c r="C975">
        <v>0.16939000000000001</v>
      </c>
      <c r="D975">
        <v>0.15617</v>
      </c>
      <c r="E975">
        <v>0.5</v>
      </c>
      <c r="F975">
        <v>16325</v>
      </c>
      <c r="G975">
        <v>2549</v>
      </c>
      <c r="H975">
        <v>15050</v>
      </c>
      <c r="I975">
        <v>72316</v>
      </c>
    </row>
    <row r="976" spans="1:9">
      <c r="A976" s="2">
        <v>1958</v>
      </c>
      <c r="B976">
        <v>84</v>
      </c>
      <c r="C976">
        <v>0.18734000000000001</v>
      </c>
      <c r="D976">
        <v>0.17129</v>
      </c>
      <c r="E976">
        <v>0.5</v>
      </c>
      <c r="F976">
        <v>13775</v>
      </c>
      <c r="G976">
        <v>2360</v>
      </c>
      <c r="H976">
        <v>12595</v>
      </c>
      <c r="I976">
        <v>57266</v>
      </c>
    </row>
    <row r="977" spans="1:9">
      <c r="A977" s="2">
        <v>1958</v>
      </c>
      <c r="B977">
        <v>85</v>
      </c>
      <c r="C977">
        <v>0.19997999999999999</v>
      </c>
      <c r="D977">
        <v>0.18179999999999999</v>
      </c>
      <c r="E977">
        <v>0.5</v>
      </c>
      <c r="F977">
        <v>11416</v>
      </c>
      <c r="G977">
        <v>2075</v>
      </c>
      <c r="H977">
        <v>10378</v>
      </c>
      <c r="I977">
        <v>44671</v>
      </c>
    </row>
    <row r="978" spans="1:9">
      <c r="A978" s="2">
        <v>1958</v>
      </c>
      <c r="B978">
        <v>86</v>
      </c>
      <c r="C978">
        <v>0.22452</v>
      </c>
      <c r="D978">
        <v>0.20186000000000001</v>
      </c>
      <c r="E978">
        <v>0.5</v>
      </c>
      <c r="F978">
        <v>9340</v>
      </c>
      <c r="G978">
        <v>1885</v>
      </c>
      <c r="H978">
        <v>8398</v>
      </c>
      <c r="I978">
        <v>34293</v>
      </c>
    </row>
    <row r="979" spans="1:9">
      <c r="A979" s="2">
        <v>1958</v>
      </c>
      <c r="B979">
        <v>87</v>
      </c>
      <c r="C979">
        <v>0.22414000000000001</v>
      </c>
      <c r="D979">
        <v>0.20155000000000001</v>
      </c>
      <c r="E979">
        <v>0.5</v>
      </c>
      <c r="F979">
        <v>7455</v>
      </c>
      <c r="G979">
        <v>1503</v>
      </c>
      <c r="H979">
        <v>6704</v>
      </c>
      <c r="I979">
        <v>25895</v>
      </c>
    </row>
    <row r="980" spans="1:9">
      <c r="A980" s="2">
        <v>1958</v>
      </c>
      <c r="B980">
        <v>88</v>
      </c>
      <c r="C980">
        <v>0.28866000000000003</v>
      </c>
      <c r="D980">
        <v>0.25224999999999997</v>
      </c>
      <c r="E980">
        <v>0.5</v>
      </c>
      <c r="F980">
        <v>5952</v>
      </c>
      <c r="G980">
        <v>1501</v>
      </c>
      <c r="H980">
        <v>5202</v>
      </c>
      <c r="I980">
        <v>19192</v>
      </c>
    </row>
    <row r="981" spans="1:9">
      <c r="A981" s="2">
        <v>1958</v>
      </c>
      <c r="B981">
        <v>89</v>
      </c>
      <c r="C981">
        <v>0.26996999999999999</v>
      </c>
      <c r="D981">
        <v>0.23785999999999999</v>
      </c>
      <c r="E981">
        <v>0.5</v>
      </c>
      <c r="F981">
        <v>4451</v>
      </c>
      <c r="G981">
        <v>1059</v>
      </c>
      <c r="H981">
        <v>3922</v>
      </c>
      <c r="I981">
        <v>13990</v>
      </c>
    </row>
    <row r="982" spans="1:9">
      <c r="A982" s="2">
        <v>1958</v>
      </c>
      <c r="B982">
        <v>90</v>
      </c>
      <c r="C982">
        <v>0.29607</v>
      </c>
      <c r="D982">
        <v>0.25789000000000001</v>
      </c>
      <c r="E982">
        <v>0.5</v>
      </c>
      <c r="F982">
        <v>3392</v>
      </c>
      <c r="G982">
        <v>875</v>
      </c>
      <c r="H982">
        <v>2955</v>
      </c>
      <c r="I982">
        <v>10069</v>
      </c>
    </row>
    <row r="983" spans="1:9">
      <c r="A983" s="2">
        <v>1958</v>
      </c>
      <c r="B983">
        <v>91</v>
      </c>
      <c r="C983">
        <v>0.27446999999999999</v>
      </c>
      <c r="D983">
        <v>0.24135000000000001</v>
      </c>
      <c r="E983">
        <v>0.5</v>
      </c>
      <c r="F983">
        <v>2517</v>
      </c>
      <c r="G983">
        <v>608</v>
      </c>
      <c r="H983">
        <v>2214</v>
      </c>
      <c r="I983">
        <v>7114</v>
      </c>
    </row>
    <row r="984" spans="1:9">
      <c r="A984" s="2">
        <v>1958</v>
      </c>
      <c r="B984">
        <v>92</v>
      </c>
      <c r="C984">
        <v>0.36429</v>
      </c>
      <c r="D984">
        <v>0.30815999999999999</v>
      </c>
      <c r="E984">
        <v>0.5</v>
      </c>
      <c r="F984">
        <v>1910</v>
      </c>
      <c r="G984">
        <v>589</v>
      </c>
      <c r="H984">
        <v>1616</v>
      </c>
      <c r="I984">
        <v>4900</v>
      </c>
    </row>
    <row r="985" spans="1:9">
      <c r="A985" s="2">
        <v>1958</v>
      </c>
      <c r="B985">
        <v>93</v>
      </c>
      <c r="C985">
        <v>0.36018</v>
      </c>
      <c r="D985">
        <v>0.30521999999999999</v>
      </c>
      <c r="E985">
        <v>0.5</v>
      </c>
      <c r="F985">
        <v>1321</v>
      </c>
      <c r="G985">
        <v>403</v>
      </c>
      <c r="H985">
        <v>1120</v>
      </c>
      <c r="I985">
        <v>3285</v>
      </c>
    </row>
    <row r="986" spans="1:9">
      <c r="A986" s="2">
        <v>1958</v>
      </c>
      <c r="B986">
        <v>94</v>
      </c>
      <c r="C986">
        <v>0.38371</v>
      </c>
      <c r="D986">
        <v>0.32195000000000001</v>
      </c>
      <c r="E986">
        <v>0.5</v>
      </c>
      <c r="F986">
        <v>918</v>
      </c>
      <c r="G986">
        <v>296</v>
      </c>
      <c r="H986">
        <v>770</v>
      </c>
      <c r="I986">
        <v>2165</v>
      </c>
    </row>
    <row r="987" spans="1:9">
      <c r="A987" s="2">
        <v>1958</v>
      </c>
      <c r="B987">
        <v>95</v>
      </c>
      <c r="C987">
        <v>0.4078</v>
      </c>
      <c r="D987">
        <v>0.33872999999999998</v>
      </c>
      <c r="E987">
        <v>0.5</v>
      </c>
      <c r="F987">
        <v>622</v>
      </c>
      <c r="G987">
        <v>211</v>
      </c>
      <c r="H987">
        <v>517</v>
      </c>
      <c r="I987">
        <v>1395</v>
      </c>
    </row>
    <row r="988" spans="1:9">
      <c r="A988" s="2">
        <v>1958</v>
      </c>
      <c r="B988">
        <v>96</v>
      </c>
      <c r="C988">
        <v>0.43234</v>
      </c>
      <c r="D988">
        <v>0.35548999999999997</v>
      </c>
      <c r="E988">
        <v>0.5</v>
      </c>
      <c r="F988">
        <v>412</v>
      </c>
      <c r="G988">
        <v>146</v>
      </c>
      <c r="H988">
        <v>338</v>
      </c>
      <c r="I988">
        <v>878</v>
      </c>
    </row>
    <row r="989" spans="1:9">
      <c r="A989" s="2">
        <v>1958</v>
      </c>
      <c r="B989">
        <v>97</v>
      </c>
      <c r="C989">
        <v>0.45721000000000001</v>
      </c>
      <c r="D989">
        <v>0.37214000000000003</v>
      </c>
      <c r="E989">
        <v>0.5</v>
      </c>
      <c r="F989">
        <v>265</v>
      </c>
      <c r="G989">
        <v>99</v>
      </c>
      <c r="H989">
        <v>216</v>
      </c>
      <c r="I989">
        <v>539</v>
      </c>
    </row>
    <row r="990" spans="1:9">
      <c r="A990" s="2">
        <v>1958</v>
      </c>
      <c r="B990">
        <v>98</v>
      </c>
      <c r="C990">
        <v>0.48230000000000001</v>
      </c>
      <c r="D990">
        <v>0.38858999999999999</v>
      </c>
      <c r="E990">
        <v>0.5</v>
      </c>
      <c r="F990">
        <v>167</v>
      </c>
      <c r="G990">
        <v>65</v>
      </c>
      <c r="H990">
        <v>134</v>
      </c>
      <c r="I990">
        <v>323</v>
      </c>
    </row>
    <row r="991" spans="1:9">
      <c r="A991" s="2">
        <v>1958</v>
      </c>
      <c r="B991">
        <v>99</v>
      </c>
      <c r="C991">
        <v>0.50748000000000004</v>
      </c>
      <c r="D991">
        <v>0.40477000000000002</v>
      </c>
      <c r="E991">
        <v>0.5</v>
      </c>
      <c r="F991">
        <v>102</v>
      </c>
      <c r="G991">
        <v>41</v>
      </c>
      <c r="H991">
        <v>81</v>
      </c>
      <c r="I991">
        <v>189</v>
      </c>
    </row>
    <row r="992" spans="1:9">
      <c r="A992" s="2">
        <v>1958</v>
      </c>
      <c r="B992">
        <v>100</v>
      </c>
      <c r="C992">
        <v>0.53261999999999998</v>
      </c>
      <c r="D992">
        <v>0.42060999999999998</v>
      </c>
      <c r="E992">
        <v>0.5</v>
      </c>
      <c r="F992">
        <v>61</v>
      </c>
      <c r="G992">
        <v>25</v>
      </c>
      <c r="H992">
        <v>48</v>
      </c>
      <c r="I992">
        <v>108</v>
      </c>
    </row>
    <row r="993" spans="1:9">
      <c r="A993" s="2">
        <v>1958</v>
      </c>
      <c r="B993">
        <v>101</v>
      </c>
      <c r="C993">
        <v>0.55759999999999998</v>
      </c>
      <c r="D993">
        <v>0.43602999999999997</v>
      </c>
      <c r="E993">
        <v>0.5</v>
      </c>
      <c r="F993">
        <v>35</v>
      </c>
      <c r="G993">
        <v>15</v>
      </c>
      <c r="H993">
        <v>27</v>
      </c>
      <c r="I993">
        <v>60</v>
      </c>
    </row>
    <row r="994" spans="1:9">
      <c r="A994" s="2">
        <v>1958</v>
      </c>
      <c r="B994">
        <v>102</v>
      </c>
      <c r="C994">
        <v>0.58228999999999997</v>
      </c>
      <c r="D994">
        <v>0.45099</v>
      </c>
      <c r="E994">
        <v>0.5</v>
      </c>
      <c r="F994">
        <v>20</v>
      </c>
      <c r="G994">
        <v>9</v>
      </c>
      <c r="H994">
        <v>15</v>
      </c>
      <c r="I994">
        <v>33</v>
      </c>
    </row>
    <row r="995" spans="1:9">
      <c r="A995" s="2">
        <v>1958</v>
      </c>
      <c r="B995">
        <v>103</v>
      </c>
      <c r="C995">
        <v>0.60657000000000005</v>
      </c>
      <c r="D995">
        <v>0.46542</v>
      </c>
      <c r="E995">
        <v>0.5</v>
      </c>
      <c r="F995">
        <v>11</v>
      </c>
      <c r="G995">
        <v>5</v>
      </c>
      <c r="H995">
        <v>8</v>
      </c>
      <c r="I995">
        <v>17</v>
      </c>
    </row>
    <row r="996" spans="1:9">
      <c r="A996" s="2">
        <v>1958</v>
      </c>
      <c r="B996">
        <v>104</v>
      </c>
      <c r="C996">
        <v>0.63034000000000001</v>
      </c>
      <c r="D996">
        <v>0.47927999999999998</v>
      </c>
      <c r="E996">
        <v>0.5</v>
      </c>
      <c r="F996">
        <v>6</v>
      </c>
      <c r="G996">
        <v>3</v>
      </c>
      <c r="H996">
        <v>4</v>
      </c>
      <c r="I996">
        <v>9</v>
      </c>
    </row>
    <row r="997" spans="1:9">
      <c r="A997" s="2">
        <v>1958</v>
      </c>
      <c r="B997">
        <v>105</v>
      </c>
      <c r="C997">
        <v>0.65349000000000002</v>
      </c>
      <c r="D997">
        <v>0.49254999999999999</v>
      </c>
      <c r="E997">
        <v>0.5</v>
      </c>
      <c r="F997">
        <v>3</v>
      </c>
      <c r="G997">
        <v>1</v>
      </c>
      <c r="H997">
        <v>2</v>
      </c>
      <c r="I997">
        <v>4</v>
      </c>
    </row>
    <row r="998" spans="1:9">
      <c r="A998" s="2">
        <v>1958</v>
      </c>
      <c r="B998">
        <v>106</v>
      </c>
      <c r="C998">
        <v>0.67593999999999999</v>
      </c>
      <c r="D998">
        <v>0.50519999999999998</v>
      </c>
      <c r="E998">
        <v>0.5</v>
      </c>
      <c r="F998">
        <v>2</v>
      </c>
      <c r="G998">
        <v>1</v>
      </c>
      <c r="H998">
        <v>1</v>
      </c>
      <c r="I998">
        <v>2</v>
      </c>
    </row>
    <row r="999" spans="1:9">
      <c r="A999" s="2">
        <v>1958</v>
      </c>
      <c r="B999">
        <v>107</v>
      </c>
      <c r="C999">
        <v>0.69760999999999995</v>
      </c>
      <c r="D999">
        <v>0.51719999999999999</v>
      </c>
      <c r="E999">
        <v>0.5</v>
      </c>
      <c r="F999">
        <v>1</v>
      </c>
      <c r="G999">
        <v>0</v>
      </c>
      <c r="H999">
        <v>1</v>
      </c>
      <c r="I999">
        <v>1</v>
      </c>
    </row>
    <row r="1000" spans="1:9">
      <c r="A1000" s="2">
        <v>1958</v>
      </c>
      <c r="B1000">
        <v>108</v>
      </c>
      <c r="C1000">
        <v>0.71843000000000001</v>
      </c>
      <c r="D1000">
        <v>0.52856000000000003</v>
      </c>
      <c r="E1000">
        <v>0.5</v>
      </c>
      <c r="F1000">
        <v>0</v>
      </c>
      <c r="G1000">
        <v>0</v>
      </c>
      <c r="H1000">
        <v>0</v>
      </c>
      <c r="I1000">
        <v>1</v>
      </c>
    </row>
    <row r="1001" spans="1:9">
      <c r="A1001" s="2">
        <v>1958</v>
      </c>
      <c r="B1001">
        <v>109</v>
      </c>
      <c r="C1001">
        <v>0.73834999999999995</v>
      </c>
      <c r="D1001">
        <v>0.53927000000000003</v>
      </c>
      <c r="E1001">
        <v>0.5</v>
      </c>
      <c r="F1001">
        <v>0</v>
      </c>
      <c r="G1001">
        <v>0</v>
      </c>
      <c r="H1001">
        <v>0</v>
      </c>
      <c r="I1001">
        <v>0</v>
      </c>
    </row>
    <row r="1002" spans="1:9">
      <c r="A1002" s="2">
        <v>1958</v>
      </c>
      <c r="B1002" t="s">
        <v>26</v>
      </c>
      <c r="C1002">
        <v>0.75734000000000001</v>
      </c>
      <c r="D1002">
        <v>1</v>
      </c>
      <c r="E1002">
        <v>1.32</v>
      </c>
      <c r="F1002">
        <v>0</v>
      </c>
      <c r="G1002">
        <v>0</v>
      </c>
      <c r="H1002">
        <v>0</v>
      </c>
      <c r="I1002">
        <v>0</v>
      </c>
    </row>
    <row r="1003" spans="1:9">
      <c r="A1003" s="2">
        <v>1959</v>
      </c>
      <c r="B1003">
        <v>0</v>
      </c>
      <c r="C1003">
        <v>5.8259999999999999E-2</v>
      </c>
      <c r="D1003">
        <v>5.5719999999999999E-2</v>
      </c>
      <c r="E1003">
        <v>0.22</v>
      </c>
      <c r="F1003">
        <v>100000</v>
      </c>
      <c r="G1003">
        <v>5572</v>
      </c>
      <c r="H1003">
        <v>95644</v>
      </c>
      <c r="I1003">
        <v>6505610</v>
      </c>
    </row>
    <row r="1004" spans="1:9">
      <c r="A1004" s="2">
        <v>1959</v>
      </c>
      <c r="B1004">
        <v>1</v>
      </c>
      <c r="C1004">
        <v>4.2399999999999998E-3</v>
      </c>
      <c r="D1004">
        <v>4.2300000000000003E-3</v>
      </c>
      <c r="E1004">
        <v>0.5</v>
      </c>
      <c r="F1004">
        <v>94428</v>
      </c>
      <c r="G1004">
        <v>400</v>
      </c>
      <c r="H1004">
        <v>94228</v>
      </c>
      <c r="I1004">
        <v>6409966</v>
      </c>
    </row>
    <row r="1005" spans="1:9">
      <c r="A1005" s="2">
        <v>1959</v>
      </c>
      <c r="B1005">
        <v>2</v>
      </c>
      <c r="C1005">
        <v>1.65E-3</v>
      </c>
      <c r="D1005">
        <v>1.65E-3</v>
      </c>
      <c r="E1005">
        <v>0.5</v>
      </c>
      <c r="F1005">
        <v>94028</v>
      </c>
      <c r="G1005">
        <v>155</v>
      </c>
      <c r="H1005">
        <v>93951</v>
      </c>
      <c r="I1005">
        <v>6315738</v>
      </c>
    </row>
    <row r="1006" spans="1:9">
      <c r="A1006" s="2">
        <v>1959</v>
      </c>
      <c r="B1006">
        <v>3</v>
      </c>
      <c r="C1006">
        <v>9.7999999999999997E-4</v>
      </c>
      <c r="D1006">
        <v>9.7999999999999997E-4</v>
      </c>
      <c r="E1006">
        <v>0.5</v>
      </c>
      <c r="F1006">
        <v>93873</v>
      </c>
      <c r="G1006">
        <v>92</v>
      </c>
      <c r="H1006">
        <v>93827</v>
      </c>
      <c r="I1006">
        <v>6221787</v>
      </c>
    </row>
    <row r="1007" spans="1:9">
      <c r="A1007" s="2">
        <v>1959</v>
      </c>
      <c r="B1007">
        <v>4</v>
      </c>
      <c r="C1007">
        <v>6.9999999999999999E-4</v>
      </c>
      <c r="D1007">
        <v>6.9999999999999999E-4</v>
      </c>
      <c r="E1007">
        <v>0.5</v>
      </c>
      <c r="F1007">
        <v>93782</v>
      </c>
      <c r="G1007">
        <v>66</v>
      </c>
      <c r="H1007">
        <v>93749</v>
      </c>
      <c r="I1007">
        <v>6127960</v>
      </c>
    </row>
    <row r="1008" spans="1:9">
      <c r="A1008" s="2">
        <v>1959</v>
      </c>
      <c r="B1008">
        <v>5</v>
      </c>
      <c r="C1008">
        <v>8.4999999999999995E-4</v>
      </c>
      <c r="D1008">
        <v>8.4999999999999995E-4</v>
      </c>
      <c r="E1008">
        <v>0.5</v>
      </c>
      <c r="F1008">
        <v>93716</v>
      </c>
      <c r="G1008">
        <v>80</v>
      </c>
      <c r="H1008">
        <v>93676</v>
      </c>
      <c r="I1008">
        <v>6034211</v>
      </c>
    </row>
    <row r="1009" spans="1:9">
      <c r="A1009" s="2">
        <v>1959</v>
      </c>
      <c r="B1009">
        <v>6</v>
      </c>
      <c r="C1009">
        <v>5.5000000000000003E-4</v>
      </c>
      <c r="D1009">
        <v>5.5000000000000003E-4</v>
      </c>
      <c r="E1009">
        <v>0.5</v>
      </c>
      <c r="F1009">
        <v>93636</v>
      </c>
      <c r="G1009">
        <v>52</v>
      </c>
      <c r="H1009">
        <v>93610</v>
      </c>
      <c r="I1009">
        <v>5940535</v>
      </c>
    </row>
    <row r="1010" spans="1:9">
      <c r="A1010" s="2">
        <v>1959</v>
      </c>
      <c r="B1010">
        <v>7</v>
      </c>
      <c r="C1010">
        <v>5.6999999999999998E-4</v>
      </c>
      <c r="D1010">
        <v>5.6999999999999998E-4</v>
      </c>
      <c r="E1010">
        <v>0.5</v>
      </c>
      <c r="F1010">
        <v>93584</v>
      </c>
      <c r="G1010">
        <v>54</v>
      </c>
      <c r="H1010">
        <v>93557</v>
      </c>
      <c r="I1010">
        <v>5846925</v>
      </c>
    </row>
    <row r="1011" spans="1:9">
      <c r="A1011" s="2">
        <v>1959</v>
      </c>
      <c r="B1011">
        <v>8</v>
      </c>
      <c r="C1011">
        <v>5.5000000000000003E-4</v>
      </c>
      <c r="D1011">
        <v>5.5000000000000003E-4</v>
      </c>
      <c r="E1011">
        <v>0.5</v>
      </c>
      <c r="F1011">
        <v>93531</v>
      </c>
      <c r="G1011">
        <v>51</v>
      </c>
      <c r="H1011">
        <v>93505</v>
      </c>
      <c r="I1011">
        <v>5753368</v>
      </c>
    </row>
    <row r="1012" spans="1:9">
      <c r="A1012" s="2">
        <v>1959</v>
      </c>
      <c r="B1012">
        <v>9</v>
      </c>
      <c r="C1012">
        <v>5.1000000000000004E-4</v>
      </c>
      <c r="D1012">
        <v>5.1000000000000004E-4</v>
      </c>
      <c r="E1012">
        <v>0.5</v>
      </c>
      <c r="F1012">
        <v>93479</v>
      </c>
      <c r="G1012">
        <v>48</v>
      </c>
      <c r="H1012">
        <v>93455</v>
      </c>
      <c r="I1012">
        <v>5659863</v>
      </c>
    </row>
    <row r="1013" spans="1:9">
      <c r="A1013" s="2">
        <v>1959</v>
      </c>
      <c r="B1013">
        <v>10</v>
      </c>
      <c r="C1013">
        <v>5.8E-4</v>
      </c>
      <c r="D1013">
        <v>5.8E-4</v>
      </c>
      <c r="E1013">
        <v>0.5</v>
      </c>
      <c r="F1013">
        <v>93431</v>
      </c>
      <c r="G1013">
        <v>54</v>
      </c>
      <c r="H1013">
        <v>93404</v>
      </c>
      <c r="I1013">
        <v>5566408</v>
      </c>
    </row>
    <row r="1014" spans="1:9">
      <c r="A1014" s="2">
        <v>1959</v>
      </c>
      <c r="B1014">
        <v>11</v>
      </c>
      <c r="C1014">
        <v>5.5000000000000003E-4</v>
      </c>
      <c r="D1014">
        <v>5.5000000000000003E-4</v>
      </c>
      <c r="E1014">
        <v>0.5</v>
      </c>
      <c r="F1014">
        <v>93377</v>
      </c>
      <c r="G1014">
        <v>51</v>
      </c>
      <c r="H1014">
        <v>93352</v>
      </c>
      <c r="I1014">
        <v>5473003</v>
      </c>
    </row>
    <row r="1015" spans="1:9">
      <c r="A1015" s="2">
        <v>1959</v>
      </c>
      <c r="B1015">
        <v>12</v>
      </c>
      <c r="C1015">
        <v>6.0999999999999997E-4</v>
      </c>
      <c r="D1015">
        <v>6.0999999999999997E-4</v>
      </c>
      <c r="E1015">
        <v>0.5</v>
      </c>
      <c r="F1015">
        <v>93326</v>
      </c>
      <c r="G1015">
        <v>56</v>
      </c>
      <c r="H1015">
        <v>93298</v>
      </c>
      <c r="I1015">
        <v>5379652</v>
      </c>
    </row>
    <row r="1016" spans="1:9">
      <c r="A1016" s="2">
        <v>1959</v>
      </c>
      <c r="B1016">
        <v>13</v>
      </c>
      <c r="C1016">
        <v>6.8999999999999997E-4</v>
      </c>
      <c r="D1016">
        <v>6.8999999999999997E-4</v>
      </c>
      <c r="E1016">
        <v>0.5</v>
      </c>
      <c r="F1016">
        <v>93270</v>
      </c>
      <c r="G1016">
        <v>65</v>
      </c>
      <c r="H1016">
        <v>93237</v>
      </c>
      <c r="I1016">
        <v>5286354</v>
      </c>
    </row>
    <row r="1017" spans="1:9">
      <c r="A1017" s="2">
        <v>1959</v>
      </c>
      <c r="B1017">
        <v>14</v>
      </c>
      <c r="C1017">
        <v>8.0999999999999996E-4</v>
      </c>
      <c r="D1017">
        <v>8.0999999999999996E-4</v>
      </c>
      <c r="E1017">
        <v>0.5</v>
      </c>
      <c r="F1017">
        <v>93205</v>
      </c>
      <c r="G1017">
        <v>75</v>
      </c>
      <c r="H1017">
        <v>93167</v>
      </c>
      <c r="I1017">
        <v>5193117</v>
      </c>
    </row>
    <row r="1018" spans="1:9">
      <c r="A1018" s="2">
        <v>1959</v>
      </c>
      <c r="B1018">
        <v>15</v>
      </c>
      <c r="C1018">
        <v>9.6000000000000002E-4</v>
      </c>
      <c r="D1018">
        <v>9.6000000000000002E-4</v>
      </c>
      <c r="E1018">
        <v>0.5</v>
      </c>
      <c r="F1018">
        <v>93130</v>
      </c>
      <c r="G1018">
        <v>89</v>
      </c>
      <c r="H1018">
        <v>93085</v>
      </c>
      <c r="I1018">
        <v>5099949</v>
      </c>
    </row>
    <row r="1019" spans="1:9">
      <c r="A1019" s="2">
        <v>1959</v>
      </c>
      <c r="B1019">
        <v>16</v>
      </c>
      <c r="C1019">
        <v>1E-3</v>
      </c>
      <c r="D1019">
        <v>9.8999999999999999E-4</v>
      </c>
      <c r="E1019">
        <v>0.5</v>
      </c>
      <c r="F1019">
        <v>93041</v>
      </c>
      <c r="G1019">
        <v>93</v>
      </c>
      <c r="H1019">
        <v>92994</v>
      </c>
      <c r="I1019">
        <v>5006864</v>
      </c>
    </row>
    <row r="1020" spans="1:9">
      <c r="A1020" s="2">
        <v>1959</v>
      </c>
      <c r="B1020">
        <v>17</v>
      </c>
      <c r="C1020">
        <v>1.1900000000000001E-3</v>
      </c>
      <c r="D1020">
        <v>1.1900000000000001E-3</v>
      </c>
      <c r="E1020">
        <v>0.5</v>
      </c>
      <c r="F1020">
        <v>92948</v>
      </c>
      <c r="G1020">
        <v>111</v>
      </c>
      <c r="H1020">
        <v>92893</v>
      </c>
      <c r="I1020">
        <v>4913869</v>
      </c>
    </row>
    <row r="1021" spans="1:9">
      <c r="A1021" s="2">
        <v>1959</v>
      </c>
      <c r="B1021">
        <v>18</v>
      </c>
      <c r="C1021">
        <v>1.4400000000000001E-3</v>
      </c>
      <c r="D1021">
        <v>1.4400000000000001E-3</v>
      </c>
      <c r="E1021">
        <v>0.5</v>
      </c>
      <c r="F1021">
        <v>92838</v>
      </c>
      <c r="G1021">
        <v>134</v>
      </c>
      <c r="H1021">
        <v>92771</v>
      </c>
      <c r="I1021">
        <v>4820976</v>
      </c>
    </row>
    <row r="1022" spans="1:9">
      <c r="A1022" s="2">
        <v>1959</v>
      </c>
      <c r="B1022">
        <v>19</v>
      </c>
      <c r="C1022">
        <v>1.6199999999999999E-3</v>
      </c>
      <c r="D1022">
        <v>1.6100000000000001E-3</v>
      </c>
      <c r="E1022">
        <v>0.5</v>
      </c>
      <c r="F1022">
        <v>92704</v>
      </c>
      <c r="G1022">
        <v>150</v>
      </c>
      <c r="H1022">
        <v>92629</v>
      </c>
      <c r="I1022">
        <v>4728206</v>
      </c>
    </row>
    <row r="1023" spans="1:9">
      <c r="A1023" s="2">
        <v>1959</v>
      </c>
      <c r="B1023">
        <v>20</v>
      </c>
      <c r="C1023">
        <v>1.58E-3</v>
      </c>
      <c r="D1023">
        <v>1.58E-3</v>
      </c>
      <c r="E1023">
        <v>0.5</v>
      </c>
      <c r="F1023">
        <v>92554</v>
      </c>
      <c r="G1023">
        <v>146</v>
      </c>
      <c r="H1023">
        <v>92481</v>
      </c>
      <c r="I1023">
        <v>4635576</v>
      </c>
    </row>
    <row r="1024" spans="1:9">
      <c r="A1024" s="2">
        <v>1959</v>
      </c>
      <c r="B1024">
        <v>21</v>
      </c>
      <c r="C1024">
        <v>1.7700000000000001E-3</v>
      </c>
      <c r="D1024">
        <v>1.7600000000000001E-3</v>
      </c>
      <c r="E1024">
        <v>0.5</v>
      </c>
      <c r="F1024">
        <v>92408</v>
      </c>
      <c r="G1024">
        <v>163</v>
      </c>
      <c r="H1024">
        <v>92327</v>
      </c>
      <c r="I1024">
        <v>4543095</v>
      </c>
    </row>
    <row r="1025" spans="1:9">
      <c r="A1025" s="2">
        <v>1959</v>
      </c>
      <c r="B1025">
        <v>22</v>
      </c>
      <c r="C1025">
        <v>1.8400000000000001E-3</v>
      </c>
      <c r="D1025">
        <v>1.8400000000000001E-3</v>
      </c>
      <c r="E1025">
        <v>0.5</v>
      </c>
      <c r="F1025">
        <v>92245</v>
      </c>
      <c r="G1025">
        <v>169</v>
      </c>
      <c r="H1025">
        <v>92160</v>
      </c>
      <c r="I1025">
        <v>4450769</v>
      </c>
    </row>
    <row r="1026" spans="1:9">
      <c r="A1026" s="2">
        <v>1959</v>
      </c>
      <c r="B1026">
        <v>23</v>
      </c>
      <c r="C1026">
        <v>1.6299999999999999E-3</v>
      </c>
      <c r="D1026">
        <v>1.6299999999999999E-3</v>
      </c>
      <c r="E1026">
        <v>0.5</v>
      </c>
      <c r="F1026">
        <v>92076</v>
      </c>
      <c r="G1026">
        <v>150</v>
      </c>
      <c r="H1026">
        <v>92000</v>
      </c>
      <c r="I1026">
        <v>4358609</v>
      </c>
    </row>
    <row r="1027" spans="1:9">
      <c r="A1027" s="2">
        <v>1959</v>
      </c>
      <c r="B1027">
        <v>24</v>
      </c>
      <c r="C1027">
        <v>1.6000000000000001E-3</v>
      </c>
      <c r="D1027">
        <v>1.5900000000000001E-3</v>
      </c>
      <c r="E1027">
        <v>0.5</v>
      </c>
      <c r="F1027">
        <v>91925</v>
      </c>
      <c r="G1027">
        <v>147</v>
      </c>
      <c r="H1027">
        <v>91852</v>
      </c>
      <c r="I1027">
        <v>4266608</v>
      </c>
    </row>
    <row r="1028" spans="1:9">
      <c r="A1028" s="2">
        <v>1959</v>
      </c>
      <c r="B1028">
        <v>25</v>
      </c>
      <c r="C1028">
        <v>1.4599999999999999E-3</v>
      </c>
      <c r="D1028">
        <v>1.4599999999999999E-3</v>
      </c>
      <c r="E1028">
        <v>0.5</v>
      </c>
      <c r="F1028">
        <v>91779</v>
      </c>
      <c r="G1028">
        <v>134</v>
      </c>
      <c r="H1028">
        <v>91712</v>
      </c>
      <c r="I1028">
        <v>4174756</v>
      </c>
    </row>
    <row r="1029" spans="1:9">
      <c r="A1029" s="2">
        <v>1959</v>
      </c>
      <c r="B1029">
        <v>26</v>
      </c>
      <c r="C1029">
        <v>1.65E-3</v>
      </c>
      <c r="D1029">
        <v>1.65E-3</v>
      </c>
      <c r="E1029">
        <v>0.5</v>
      </c>
      <c r="F1029">
        <v>91645</v>
      </c>
      <c r="G1029">
        <v>151</v>
      </c>
      <c r="H1029">
        <v>91569</v>
      </c>
      <c r="I1029">
        <v>4083045</v>
      </c>
    </row>
    <row r="1030" spans="1:9">
      <c r="A1030" s="2">
        <v>1959</v>
      </c>
      <c r="B1030">
        <v>27</v>
      </c>
      <c r="C1030">
        <v>1.4300000000000001E-3</v>
      </c>
      <c r="D1030">
        <v>1.4300000000000001E-3</v>
      </c>
      <c r="E1030">
        <v>0.5</v>
      </c>
      <c r="F1030">
        <v>91493</v>
      </c>
      <c r="G1030">
        <v>131</v>
      </c>
      <c r="H1030">
        <v>91428</v>
      </c>
      <c r="I1030">
        <v>3991476</v>
      </c>
    </row>
    <row r="1031" spans="1:9">
      <c r="A1031" s="2">
        <v>1959</v>
      </c>
      <c r="B1031">
        <v>28</v>
      </c>
      <c r="C1031">
        <v>1.5900000000000001E-3</v>
      </c>
      <c r="D1031">
        <v>1.5900000000000001E-3</v>
      </c>
      <c r="E1031">
        <v>0.5</v>
      </c>
      <c r="F1031">
        <v>91362</v>
      </c>
      <c r="G1031">
        <v>145</v>
      </c>
      <c r="H1031">
        <v>91290</v>
      </c>
      <c r="I1031">
        <v>3900048</v>
      </c>
    </row>
    <row r="1032" spans="1:9">
      <c r="A1032" s="2">
        <v>1959</v>
      </c>
      <c r="B1032">
        <v>29</v>
      </c>
      <c r="C1032">
        <v>1.7600000000000001E-3</v>
      </c>
      <c r="D1032">
        <v>1.7600000000000001E-3</v>
      </c>
      <c r="E1032">
        <v>0.5</v>
      </c>
      <c r="F1032">
        <v>91217</v>
      </c>
      <c r="G1032">
        <v>161</v>
      </c>
      <c r="H1032">
        <v>91137</v>
      </c>
      <c r="I1032">
        <v>3808758</v>
      </c>
    </row>
    <row r="1033" spans="1:9">
      <c r="A1033" s="2">
        <v>1959</v>
      </c>
      <c r="B1033">
        <v>30</v>
      </c>
      <c r="C1033">
        <v>1.99E-3</v>
      </c>
      <c r="D1033">
        <v>1.99E-3</v>
      </c>
      <c r="E1033">
        <v>0.5</v>
      </c>
      <c r="F1033">
        <v>91056</v>
      </c>
      <c r="G1033">
        <v>181</v>
      </c>
      <c r="H1033">
        <v>90966</v>
      </c>
      <c r="I1033">
        <v>3717621</v>
      </c>
    </row>
    <row r="1034" spans="1:9">
      <c r="A1034" s="2">
        <v>1959</v>
      </c>
      <c r="B1034">
        <v>31</v>
      </c>
      <c r="C1034">
        <v>1.75E-3</v>
      </c>
      <c r="D1034">
        <v>1.75E-3</v>
      </c>
      <c r="E1034">
        <v>0.5</v>
      </c>
      <c r="F1034">
        <v>90875</v>
      </c>
      <c r="G1034">
        <v>159</v>
      </c>
      <c r="H1034">
        <v>90796</v>
      </c>
      <c r="I1034">
        <v>3626655</v>
      </c>
    </row>
    <row r="1035" spans="1:9">
      <c r="A1035" s="2">
        <v>1959</v>
      </c>
      <c r="B1035">
        <v>32</v>
      </c>
      <c r="C1035">
        <v>2.2599999999999999E-3</v>
      </c>
      <c r="D1035">
        <v>2.2599999999999999E-3</v>
      </c>
      <c r="E1035">
        <v>0.5</v>
      </c>
      <c r="F1035">
        <v>90717</v>
      </c>
      <c r="G1035">
        <v>205</v>
      </c>
      <c r="H1035">
        <v>90614</v>
      </c>
      <c r="I1035">
        <v>3535859</v>
      </c>
    </row>
    <row r="1036" spans="1:9">
      <c r="A1036" s="2">
        <v>1959</v>
      </c>
      <c r="B1036">
        <v>33</v>
      </c>
      <c r="C1036">
        <v>2.2399999999999998E-3</v>
      </c>
      <c r="D1036">
        <v>2.2300000000000002E-3</v>
      </c>
      <c r="E1036">
        <v>0.5</v>
      </c>
      <c r="F1036">
        <v>90511</v>
      </c>
      <c r="G1036">
        <v>202</v>
      </c>
      <c r="H1036">
        <v>90410</v>
      </c>
      <c r="I1036">
        <v>3445245</v>
      </c>
    </row>
    <row r="1037" spans="1:9">
      <c r="A1037" s="2">
        <v>1959</v>
      </c>
      <c r="B1037">
        <v>34</v>
      </c>
      <c r="C1037">
        <v>2.2300000000000002E-3</v>
      </c>
      <c r="D1037">
        <v>2.2300000000000002E-3</v>
      </c>
      <c r="E1037">
        <v>0.5</v>
      </c>
      <c r="F1037">
        <v>90309</v>
      </c>
      <c r="G1037">
        <v>201</v>
      </c>
      <c r="H1037">
        <v>90209</v>
      </c>
      <c r="I1037">
        <v>3354835</v>
      </c>
    </row>
    <row r="1038" spans="1:9">
      <c r="A1038" s="2">
        <v>1959</v>
      </c>
      <c r="B1038">
        <v>35</v>
      </c>
      <c r="C1038">
        <v>2.1900000000000001E-3</v>
      </c>
      <c r="D1038">
        <v>2.1800000000000001E-3</v>
      </c>
      <c r="E1038">
        <v>0.5</v>
      </c>
      <c r="F1038">
        <v>90108</v>
      </c>
      <c r="G1038">
        <v>197</v>
      </c>
      <c r="H1038">
        <v>90010</v>
      </c>
      <c r="I1038">
        <v>3264626</v>
      </c>
    </row>
    <row r="1039" spans="1:9">
      <c r="A1039" s="2">
        <v>1959</v>
      </c>
      <c r="B1039">
        <v>36</v>
      </c>
      <c r="C1039">
        <v>2.4199999999999998E-3</v>
      </c>
      <c r="D1039">
        <v>2.4199999999999998E-3</v>
      </c>
      <c r="E1039">
        <v>0.5</v>
      </c>
      <c r="F1039">
        <v>89911</v>
      </c>
      <c r="G1039">
        <v>217</v>
      </c>
      <c r="H1039">
        <v>89803</v>
      </c>
      <c r="I1039">
        <v>3174617</v>
      </c>
    </row>
    <row r="1040" spans="1:9">
      <c r="A1040" s="2">
        <v>1959</v>
      </c>
      <c r="B1040">
        <v>37</v>
      </c>
      <c r="C1040">
        <v>2.7000000000000001E-3</v>
      </c>
      <c r="D1040">
        <v>2.6900000000000001E-3</v>
      </c>
      <c r="E1040">
        <v>0.5</v>
      </c>
      <c r="F1040">
        <v>89694</v>
      </c>
      <c r="G1040">
        <v>242</v>
      </c>
      <c r="H1040">
        <v>89573</v>
      </c>
      <c r="I1040">
        <v>3084814</v>
      </c>
    </row>
    <row r="1041" spans="1:9">
      <c r="A1041" s="2">
        <v>1959</v>
      </c>
      <c r="B1041">
        <v>38</v>
      </c>
      <c r="C1041">
        <v>2.5400000000000002E-3</v>
      </c>
      <c r="D1041">
        <v>2.5400000000000002E-3</v>
      </c>
      <c r="E1041">
        <v>0.5</v>
      </c>
      <c r="F1041">
        <v>89452</v>
      </c>
      <c r="G1041">
        <v>227</v>
      </c>
      <c r="H1041">
        <v>89339</v>
      </c>
      <c r="I1041">
        <v>2995241</v>
      </c>
    </row>
    <row r="1042" spans="1:9">
      <c r="A1042" s="2">
        <v>1959</v>
      </c>
      <c r="B1042">
        <v>39</v>
      </c>
      <c r="C1042">
        <v>2.96E-3</v>
      </c>
      <c r="D1042">
        <v>2.9499999999999999E-3</v>
      </c>
      <c r="E1042">
        <v>0.5</v>
      </c>
      <c r="F1042">
        <v>89225</v>
      </c>
      <c r="G1042">
        <v>264</v>
      </c>
      <c r="H1042">
        <v>89094</v>
      </c>
      <c r="I1042">
        <v>2905902</v>
      </c>
    </row>
    <row r="1043" spans="1:9">
      <c r="A1043" s="2">
        <v>1959</v>
      </c>
      <c r="B1043">
        <v>40</v>
      </c>
      <c r="C1043">
        <v>3.2499999999999999E-3</v>
      </c>
      <c r="D1043">
        <v>3.2399999999999998E-3</v>
      </c>
      <c r="E1043">
        <v>0.5</v>
      </c>
      <c r="F1043">
        <v>88962</v>
      </c>
      <c r="G1043">
        <v>288</v>
      </c>
      <c r="H1043">
        <v>88818</v>
      </c>
      <c r="I1043">
        <v>2816808</v>
      </c>
    </row>
    <row r="1044" spans="1:9">
      <c r="A1044" s="2">
        <v>1959</v>
      </c>
      <c r="B1044">
        <v>41</v>
      </c>
      <c r="C1044">
        <v>2.8E-3</v>
      </c>
      <c r="D1044">
        <v>2.8E-3</v>
      </c>
      <c r="E1044">
        <v>0.5</v>
      </c>
      <c r="F1044">
        <v>88673</v>
      </c>
      <c r="G1044">
        <v>248</v>
      </c>
      <c r="H1044">
        <v>88549</v>
      </c>
      <c r="I1044">
        <v>2727991</v>
      </c>
    </row>
    <row r="1045" spans="1:9">
      <c r="A1045" s="2">
        <v>1959</v>
      </c>
      <c r="B1045">
        <v>42</v>
      </c>
      <c r="C1045">
        <v>3.63E-3</v>
      </c>
      <c r="D1045">
        <v>3.63E-3</v>
      </c>
      <c r="E1045">
        <v>0.5</v>
      </c>
      <c r="F1045">
        <v>88425</v>
      </c>
      <c r="G1045">
        <v>321</v>
      </c>
      <c r="H1045">
        <v>88265</v>
      </c>
      <c r="I1045">
        <v>2639441</v>
      </c>
    </row>
    <row r="1046" spans="1:9">
      <c r="A1046" s="2">
        <v>1959</v>
      </c>
      <c r="B1046">
        <v>43</v>
      </c>
      <c r="C1046">
        <v>3.2599999999999999E-3</v>
      </c>
      <c r="D1046">
        <v>3.2599999999999999E-3</v>
      </c>
      <c r="E1046">
        <v>0.5</v>
      </c>
      <c r="F1046">
        <v>88105</v>
      </c>
      <c r="G1046">
        <v>287</v>
      </c>
      <c r="H1046">
        <v>87961</v>
      </c>
      <c r="I1046">
        <v>2551176</v>
      </c>
    </row>
    <row r="1047" spans="1:9">
      <c r="A1047" s="2">
        <v>1959</v>
      </c>
      <c r="B1047">
        <v>44</v>
      </c>
      <c r="C1047">
        <v>4.5900000000000003E-3</v>
      </c>
      <c r="D1047">
        <v>4.5799999999999999E-3</v>
      </c>
      <c r="E1047">
        <v>0.5</v>
      </c>
      <c r="F1047">
        <v>87818</v>
      </c>
      <c r="G1047">
        <v>402</v>
      </c>
      <c r="H1047">
        <v>87616</v>
      </c>
      <c r="I1047">
        <v>2463215</v>
      </c>
    </row>
    <row r="1048" spans="1:9">
      <c r="A1048" s="2">
        <v>1959</v>
      </c>
      <c r="B1048">
        <v>45</v>
      </c>
      <c r="C1048">
        <v>4.6699999999999997E-3</v>
      </c>
      <c r="D1048">
        <v>4.6600000000000001E-3</v>
      </c>
      <c r="E1048">
        <v>0.5</v>
      </c>
      <c r="F1048">
        <v>87415</v>
      </c>
      <c r="G1048">
        <v>407</v>
      </c>
      <c r="H1048">
        <v>87212</v>
      </c>
      <c r="I1048">
        <v>2375599</v>
      </c>
    </row>
    <row r="1049" spans="1:9">
      <c r="A1049" s="2">
        <v>1959</v>
      </c>
      <c r="B1049">
        <v>46</v>
      </c>
      <c r="C1049">
        <v>4.9899999999999996E-3</v>
      </c>
      <c r="D1049">
        <v>4.9699999999999996E-3</v>
      </c>
      <c r="E1049">
        <v>0.5</v>
      </c>
      <c r="F1049">
        <v>87008</v>
      </c>
      <c r="G1049">
        <v>433</v>
      </c>
      <c r="H1049">
        <v>86792</v>
      </c>
      <c r="I1049">
        <v>2288387</v>
      </c>
    </row>
    <row r="1050" spans="1:9">
      <c r="A1050" s="2">
        <v>1959</v>
      </c>
      <c r="B1050">
        <v>47</v>
      </c>
      <c r="C1050">
        <v>5.8300000000000001E-3</v>
      </c>
      <c r="D1050">
        <v>5.8199999999999997E-3</v>
      </c>
      <c r="E1050">
        <v>0.5</v>
      </c>
      <c r="F1050">
        <v>86575</v>
      </c>
      <c r="G1050">
        <v>503</v>
      </c>
      <c r="H1050">
        <v>86323</v>
      </c>
      <c r="I1050">
        <v>2201595</v>
      </c>
    </row>
    <row r="1051" spans="1:9">
      <c r="A1051" s="2">
        <v>1959</v>
      </c>
      <c r="B1051">
        <v>48</v>
      </c>
      <c r="C1051">
        <v>6.2700000000000004E-3</v>
      </c>
      <c r="D1051">
        <v>6.2500000000000003E-3</v>
      </c>
      <c r="E1051">
        <v>0.5</v>
      </c>
      <c r="F1051">
        <v>86072</v>
      </c>
      <c r="G1051">
        <v>538</v>
      </c>
      <c r="H1051">
        <v>85803</v>
      </c>
      <c r="I1051">
        <v>2115272</v>
      </c>
    </row>
    <row r="1052" spans="1:9">
      <c r="A1052" s="2">
        <v>1959</v>
      </c>
      <c r="B1052">
        <v>49</v>
      </c>
      <c r="C1052">
        <v>7.1999999999999998E-3</v>
      </c>
      <c r="D1052">
        <v>7.1700000000000002E-3</v>
      </c>
      <c r="E1052">
        <v>0.5</v>
      </c>
      <c r="F1052">
        <v>85533</v>
      </c>
      <c r="G1052">
        <v>613</v>
      </c>
      <c r="H1052">
        <v>85227</v>
      </c>
      <c r="I1052">
        <v>2029469</v>
      </c>
    </row>
    <row r="1053" spans="1:9">
      <c r="A1053" s="2">
        <v>1959</v>
      </c>
      <c r="B1053">
        <v>50</v>
      </c>
      <c r="C1053">
        <v>7.9299999999999995E-3</v>
      </c>
      <c r="D1053">
        <v>7.9000000000000008E-3</v>
      </c>
      <c r="E1053">
        <v>0.5</v>
      </c>
      <c r="F1053">
        <v>84920</v>
      </c>
      <c r="G1053">
        <v>671</v>
      </c>
      <c r="H1053">
        <v>84585</v>
      </c>
      <c r="I1053">
        <v>1944243</v>
      </c>
    </row>
    <row r="1054" spans="1:9">
      <c r="A1054" s="2">
        <v>1959</v>
      </c>
      <c r="B1054">
        <v>51</v>
      </c>
      <c r="C1054">
        <v>8.4200000000000004E-3</v>
      </c>
      <c r="D1054">
        <v>8.3899999999999999E-3</v>
      </c>
      <c r="E1054">
        <v>0.5</v>
      </c>
      <c r="F1054">
        <v>84250</v>
      </c>
      <c r="G1054">
        <v>707</v>
      </c>
      <c r="H1054">
        <v>83896</v>
      </c>
      <c r="I1054">
        <v>1859658</v>
      </c>
    </row>
    <row r="1055" spans="1:9">
      <c r="A1055" s="2">
        <v>1959</v>
      </c>
      <c r="B1055">
        <v>52</v>
      </c>
      <c r="C1055">
        <v>9.5999999999999992E-3</v>
      </c>
      <c r="D1055">
        <v>9.5499999999999995E-3</v>
      </c>
      <c r="E1055">
        <v>0.5</v>
      </c>
      <c r="F1055">
        <v>83543</v>
      </c>
      <c r="G1055">
        <v>798</v>
      </c>
      <c r="H1055">
        <v>83144</v>
      </c>
      <c r="I1055">
        <v>1775762</v>
      </c>
    </row>
    <row r="1056" spans="1:9">
      <c r="A1056" s="2">
        <v>1959</v>
      </c>
      <c r="B1056">
        <v>53</v>
      </c>
      <c r="C1056">
        <v>9.75E-3</v>
      </c>
      <c r="D1056">
        <v>9.7000000000000003E-3</v>
      </c>
      <c r="E1056">
        <v>0.5</v>
      </c>
      <c r="F1056">
        <v>82745</v>
      </c>
      <c r="G1056">
        <v>803</v>
      </c>
      <c r="H1056">
        <v>82344</v>
      </c>
      <c r="I1056">
        <v>1692618</v>
      </c>
    </row>
    <row r="1057" spans="1:9">
      <c r="A1057" s="2">
        <v>1959</v>
      </c>
      <c r="B1057">
        <v>54</v>
      </c>
      <c r="C1057">
        <v>1.1769999999999999E-2</v>
      </c>
      <c r="D1057">
        <v>1.171E-2</v>
      </c>
      <c r="E1057">
        <v>0.5</v>
      </c>
      <c r="F1057">
        <v>81943</v>
      </c>
      <c r="G1057">
        <v>959</v>
      </c>
      <c r="H1057">
        <v>81463</v>
      </c>
      <c r="I1057">
        <v>1610274</v>
      </c>
    </row>
    <row r="1058" spans="1:9">
      <c r="A1058" s="2">
        <v>1959</v>
      </c>
      <c r="B1058">
        <v>55</v>
      </c>
      <c r="C1058">
        <v>1.436E-2</v>
      </c>
      <c r="D1058">
        <v>1.426E-2</v>
      </c>
      <c r="E1058">
        <v>0.5</v>
      </c>
      <c r="F1058">
        <v>80983</v>
      </c>
      <c r="G1058">
        <v>1155</v>
      </c>
      <c r="H1058">
        <v>80406</v>
      </c>
      <c r="I1058">
        <v>1528811</v>
      </c>
    </row>
    <row r="1059" spans="1:9">
      <c r="A1059" s="2">
        <v>1959</v>
      </c>
      <c r="B1059">
        <v>56</v>
      </c>
      <c r="C1059">
        <v>1.421E-2</v>
      </c>
      <c r="D1059">
        <v>1.4109999999999999E-2</v>
      </c>
      <c r="E1059">
        <v>0.5</v>
      </c>
      <c r="F1059">
        <v>79828</v>
      </c>
      <c r="G1059">
        <v>1127</v>
      </c>
      <c r="H1059">
        <v>79265</v>
      </c>
      <c r="I1059">
        <v>1448405</v>
      </c>
    </row>
    <row r="1060" spans="1:9">
      <c r="A1060" s="2">
        <v>1959</v>
      </c>
      <c r="B1060">
        <v>57</v>
      </c>
      <c r="C1060">
        <v>1.7469999999999999E-2</v>
      </c>
      <c r="D1060">
        <v>1.7309999999999999E-2</v>
      </c>
      <c r="E1060">
        <v>0.5</v>
      </c>
      <c r="F1060">
        <v>78702</v>
      </c>
      <c r="G1060">
        <v>1363</v>
      </c>
      <c r="H1060">
        <v>78021</v>
      </c>
      <c r="I1060">
        <v>1369140</v>
      </c>
    </row>
    <row r="1061" spans="1:9">
      <c r="A1061" s="2">
        <v>1959</v>
      </c>
      <c r="B1061">
        <v>58</v>
      </c>
      <c r="C1061">
        <v>1.7680000000000001E-2</v>
      </c>
      <c r="D1061">
        <v>1.7520000000000001E-2</v>
      </c>
      <c r="E1061">
        <v>0.5</v>
      </c>
      <c r="F1061">
        <v>77339</v>
      </c>
      <c r="G1061">
        <v>1355</v>
      </c>
      <c r="H1061">
        <v>76662</v>
      </c>
      <c r="I1061">
        <v>1291119</v>
      </c>
    </row>
    <row r="1062" spans="1:9">
      <c r="A1062" s="2">
        <v>1959</v>
      </c>
      <c r="B1062">
        <v>59</v>
      </c>
      <c r="C1062">
        <v>1.9939999999999999E-2</v>
      </c>
      <c r="D1062">
        <v>1.975E-2</v>
      </c>
      <c r="E1062">
        <v>0.5</v>
      </c>
      <c r="F1062">
        <v>75984</v>
      </c>
      <c r="G1062">
        <v>1501</v>
      </c>
      <c r="H1062">
        <v>75234</v>
      </c>
      <c r="I1062">
        <v>1214458</v>
      </c>
    </row>
    <row r="1063" spans="1:9">
      <c r="A1063" s="2">
        <v>1959</v>
      </c>
      <c r="B1063">
        <v>60</v>
      </c>
      <c r="C1063">
        <v>2.2630000000000001E-2</v>
      </c>
      <c r="D1063">
        <v>2.2380000000000001E-2</v>
      </c>
      <c r="E1063">
        <v>0.5</v>
      </c>
      <c r="F1063">
        <v>74484</v>
      </c>
      <c r="G1063">
        <v>1667</v>
      </c>
      <c r="H1063">
        <v>73650</v>
      </c>
      <c r="I1063">
        <v>1139224</v>
      </c>
    </row>
    <row r="1064" spans="1:9">
      <c r="A1064" s="2">
        <v>1959</v>
      </c>
      <c r="B1064">
        <v>61</v>
      </c>
      <c r="C1064">
        <v>2.4289999999999999E-2</v>
      </c>
      <c r="D1064">
        <v>2.4E-2</v>
      </c>
      <c r="E1064">
        <v>0.5</v>
      </c>
      <c r="F1064">
        <v>72817</v>
      </c>
      <c r="G1064">
        <v>1747</v>
      </c>
      <c r="H1064">
        <v>71943</v>
      </c>
      <c r="I1064">
        <v>1065573</v>
      </c>
    </row>
    <row r="1065" spans="1:9">
      <c r="A1065" s="2">
        <v>1959</v>
      </c>
      <c r="B1065">
        <v>62</v>
      </c>
      <c r="C1065">
        <v>2.7570000000000001E-2</v>
      </c>
      <c r="D1065">
        <v>2.7199999999999998E-2</v>
      </c>
      <c r="E1065">
        <v>0.5</v>
      </c>
      <c r="F1065">
        <v>71070</v>
      </c>
      <c r="G1065">
        <v>1933</v>
      </c>
      <c r="H1065">
        <v>70103</v>
      </c>
      <c r="I1065">
        <v>993630</v>
      </c>
    </row>
    <row r="1066" spans="1:9">
      <c r="A1066" s="2">
        <v>1959</v>
      </c>
      <c r="B1066">
        <v>63</v>
      </c>
      <c r="C1066">
        <v>2.708E-2</v>
      </c>
      <c r="D1066">
        <v>2.6720000000000001E-2</v>
      </c>
      <c r="E1066">
        <v>0.5</v>
      </c>
      <c r="F1066">
        <v>69137</v>
      </c>
      <c r="G1066">
        <v>1847</v>
      </c>
      <c r="H1066">
        <v>68213</v>
      </c>
      <c r="I1066">
        <v>923527</v>
      </c>
    </row>
    <row r="1067" spans="1:9">
      <c r="A1067" s="2">
        <v>1959</v>
      </c>
      <c r="B1067">
        <v>64</v>
      </c>
      <c r="C1067">
        <v>3.2689999999999997E-2</v>
      </c>
      <c r="D1067">
        <v>3.2160000000000001E-2</v>
      </c>
      <c r="E1067">
        <v>0.5</v>
      </c>
      <c r="F1067">
        <v>67290</v>
      </c>
      <c r="G1067">
        <v>2164</v>
      </c>
      <c r="H1067">
        <v>66208</v>
      </c>
      <c r="I1067">
        <v>855313</v>
      </c>
    </row>
    <row r="1068" spans="1:9">
      <c r="A1068" s="2">
        <v>1959</v>
      </c>
      <c r="B1068">
        <v>65</v>
      </c>
      <c r="C1068">
        <v>3.3770000000000001E-2</v>
      </c>
      <c r="D1068">
        <v>3.32E-2</v>
      </c>
      <c r="E1068">
        <v>0.5</v>
      </c>
      <c r="F1068">
        <v>65125</v>
      </c>
      <c r="G1068">
        <v>2162</v>
      </c>
      <c r="H1068">
        <v>64044</v>
      </c>
      <c r="I1068">
        <v>789106</v>
      </c>
    </row>
    <row r="1069" spans="1:9">
      <c r="A1069" s="2">
        <v>1959</v>
      </c>
      <c r="B1069">
        <v>66</v>
      </c>
      <c r="C1069">
        <v>3.7780000000000001E-2</v>
      </c>
      <c r="D1069">
        <v>3.7080000000000002E-2</v>
      </c>
      <c r="E1069">
        <v>0.5</v>
      </c>
      <c r="F1069">
        <v>62963</v>
      </c>
      <c r="G1069">
        <v>2335</v>
      </c>
      <c r="H1069">
        <v>61796</v>
      </c>
      <c r="I1069">
        <v>725062</v>
      </c>
    </row>
    <row r="1070" spans="1:9">
      <c r="A1070" s="2">
        <v>1959</v>
      </c>
      <c r="B1070">
        <v>67</v>
      </c>
      <c r="C1070">
        <v>4.3049999999999998E-2</v>
      </c>
      <c r="D1070">
        <v>4.215E-2</v>
      </c>
      <c r="E1070">
        <v>0.5</v>
      </c>
      <c r="F1070">
        <v>60628</v>
      </c>
      <c r="G1070">
        <v>2555</v>
      </c>
      <c r="H1070">
        <v>59351</v>
      </c>
      <c r="I1070">
        <v>663266</v>
      </c>
    </row>
    <row r="1071" spans="1:9">
      <c r="A1071" s="2">
        <v>1959</v>
      </c>
      <c r="B1071">
        <v>68</v>
      </c>
      <c r="C1071">
        <v>4.4249999999999998E-2</v>
      </c>
      <c r="D1071">
        <v>4.3290000000000002E-2</v>
      </c>
      <c r="E1071">
        <v>0.5</v>
      </c>
      <c r="F1071">
        <v>58073</v>
      </c>
      <c r="G1071">
        <v>2514</v>
      </c>
      <c r="H1071">
        <v>56816</v>
      </c>
      <c r="I1071">
        <v>603915</v>
      </c>
    </row>
    <row r="1072" spans="1:9">
      <c r="A1072" s="2">
        <v>1959</v>
      </c>
      <c r="B1072">
        <v>69</v>
      </c>
      <c r="C1072">
        <v>4.9230000000000003E-2</v>
      </c>
      <c r="D1072">
        <v>4.8039999999999999E-2</v>
      </c>
      <c r="E1072">
        <v>0.5</v>
      </c>
      <c r="F1072">
        <v>55559</v>
      </c>
      <c r="G1072">
        <v>2669</v>
      </c>
      <c r="H1072">
        <v>54224</v>
      </c>
      <c r="I1072">
        <v>547100</v>
      </c>
    </row>
    <row r="1073" spans="1:9">
      <c r="A1073" s="2">
        <v>1959</v>
      </c>
      <c r="B1073">
        <v>70</v>
      </c>
      <c r="C1073">
        <v>5.5219999999999998E-2</v>
      </c>
      <c r="D1073">
        <v>5.373E-2</v>
      </c>
      <c r="E1073">
        <v>0.5</v>
      </c>
      <c r="F1073">
        <v>52890</v>
      </c>
      <c r="G1073">
        <v>2842</v>
      </c>
      <c r="H1073">
        <v>51469</v>
      </c>
      <c r="I1073">
        <v>492875</v>
      </c>
    </row>
    <row r="1074" spans="1:9">
      <c r="A1074" s="2">
        <v>1959</v>
      </c>
      <c r="B1074">
        <v>71</v>
      </c>
      <c r="C1074">
        <v>6.0089999999999998E-2</v>
      </c>
      <c r="D1074">
        <v>5.8340000000000003E-2</v>
      </c>
      <c r="E1074">
        <v>0.5</v>
      </c>
      <c r="F1074">
        <v>50048</v>
      </c>
      <c r="G1074">
        <v>2920</v>
      </c>
      <c r="H1074">
        <v>48588</v>
      </c>
      <c r="I1074">
        <v>441407</v>
      </c>
    </row>
    <row r="1075" spans="1:9">
      <c r="A1075" s="2">
        <v>1959</v>
      </c>
      <c r="B1075">
        <v>72</v>
      </c>
      <c r="C1075">
        <v>6.4670000000000005E-2</v>
      </c>
      <c r="D1075">
        <v>6.2640000000000001E-2</v>
      </c>
      <c r="E1075">
        <v>0.5</v>
      </c>
      <c r="F1075">
        <v>47128</v>
      </c>
      <c r="G1075">
        <v>2952</v>
      </c>
      <c r="H1075">
        <v>45652</v>
      </c>
      <c r="I1075">
        <v>392819</v>
      </c>
    </row>
    <row r="1076" spans="1:9">
      <c r="A1076" s="2">
        <v>1959</v>
      </c>
      <c r="B1076">
        <v>73</v>
      </c>
      <c r="C1076">
        <v>6.9930000000000006E-2</v>
      </c>
      <c r="D1076">
        <v>6.7559999999999995E-2</v>
      </c>
      <c r="E1076">
        <v>0.5</v>
      </c>
      <c r="F1076">
        <v>44176</v>
      </c>
      <c r="G1076">
        <v>2985</v>
      </c>
      <c r="H1076">
        <v>42683</v>
      </c>
      <c r="I1076">
        <v>347167</v>
      </c>
    </row>
    <row r="1077" spans="1:9">
      <c r="A1077" s="2">
        <v>1959</v>
      </c>
      <c r="B1077">
        <v>74</v>
      </c>
      <c r="C1077">
        <v>7.6429999999999998E-2</v>
      </c>
      <c r="D1077">
        <v>7.3620000000000005E-2</v>
      </c>
      <c r="E1077">
        <v>0.5</v>
      </c>
      <c r="F1077">
        <v>41191</v>
      </c>
      <c r="G1077">
        <v>3032</v>
      </c>
      <c r="H1077">
        <v>39675</v>
      </c>
      <c r="I1077">
        <v>304484</v>
      </c>
    </row>
    <row r="1078" spans="1:9">
      <c r="A1078" s="2">
        <v>1959</v>
      </c>
      <c r="B1078">
        <v>75</v>
      </c>
      <c r="C1078">
        <v>8.548E-2</v>
      </c>
      <c r="D1078">
        <v>8.1979999999999997E-2</v>
      </c>
      <c r="E1078">
        <v>0.5</v>
      </c>
      <c r="F1078">
        <v>38159</v>
      </c>
      <c r="G1078">
        <v>3128</v>
      </c>
      <c r="H1078">
        <v>36595</v>
      </c>
      <c r="I1078">
        <v>264809</v>
      </c>
    </row>
    <row r="1079" spans="1:9">
      <c r="A1079" s="2">
        <v>1959</v>
      </c>
      <c r="B1079">
        <v>76</v>
      </c>
      <c r="C1079">
        <v>9.7970000000000002E-2</v>
      </c>
      <c r="D1079">
        <v>9.3390000000000001E-2</v>
      </c>
      <c r="E1079">
        <v>0.5</v>
      </c>
      <c r="F1079">
        <v>35030</v>
      </c>
      <c r="G1079">
        <v>3272</v>
      </c>
      <c r="H1079">
        <v>33395</v>
      </c>
      <c r="I1079">
        <v>228215</v>
      </c>
    </row>
    <row r="1080" spans="1:9">
      <c r="A1080" s="2">
        <v>1959</v>
      </c>
      <c r="B1080">
        <v>77</v>
      </c>
      <c r="C1080">
        <v>0.11028</v>
      </c>
      <c r="D1080">
        <v>0.10452</v>
      </c>
      <c r="E1080">
        <v>0.5</v>
      </c>
      <c r="F1080">
        <v>31759</v>
      </c>
      <c r="G1080">
        <v>3319</v>
      </c>
      <c r="H1080">
        <v>30099</v>
      </c>
      <c r="I1080">
        <v>194820</v>
      </c>
    </row>
    <row r="1081" spans="1:9">
      <c r="A1081" s="2">
        <v>1959</v>
      </c>
      <c r="B1081">
        <v>78</v>
      </c>
      <c r="C1081">
        <v>0.10621999999999999</v>
      </c>
      <c r="D1081">
        <v>0.10086000000000001</v>
      </c>
      <c r="E1081">
        <v>0.5</v>
      </c>
      <c r="F1081">
        <v>28439</v>
      </c>
      <c r="G1081">
        <v>2869</v>
      </c>
      <c r="H1081">
        <v>27005</v>
      </c>
      <c r="I1081">
        <v>164721</v>
      </c>
    </row>
    <row r="1082" spans="1:9">
      <c r="A1082" s="2">
        <v>1959</v>
      </c>
      <c r="B1082">
        <v>79</v>
      </c>
      <c r="C1082">
        <v>0.12178</v>
      </c>
      <c r="D1082">
        <v>0.11479</v>
      </c>
      <c r="E1082">
        <v>0.5</v>
      </c>
      <c r="F1082">
        <v>25571</v>
      </c>
      <c r="G1082">
        <v>2935</v>
      </c>
      <c r="H1082">
        <v>24103</v>
      </c>
      <c r="I1082">
        <v>137716</v>
      </c>
    </row>
    <row r="1083" spans="1:9">
      <c r="A1083" s="2">
        <v>1959</v>
      </c>
      <c r="B1083">
        <v>80</v>
      </c>
      <c r="C1083">
        <v>0.13683000000000001</v>
      </c>
      <c r="D1083">
        <v>0.12806000000000001</v>
      </c>
      <c r="E1083">
        <v>0.5</v>
      </c>
      <c r="F1083">
        <v>22636</v>
      </c>
      <c r="G1083">
        <v>2899</v>
      </c>
      <c r="H1083">
        <v>21186</v>
      </c>
      <c r="I1083">
        <v>113612</v>
      </c>
    </row>
    <row r="1084" spans="1:9">
      <c r="A1084" s="2">
        <v>1959</v>
      </c>
      <c r="B1084">
        <v>81</v>
      </c>
      <c r="C1084">
        <v>0.15356</v>
      </c>
      <c r="D1084">
        <v>0.14260999999999999</v>
      </c>
      <c r="E1084">
        <v>0.5</v>
      </c>
      <c r="F1084">
        <v>19737</v>
      </c>
      <c r="G1084">
        <v>2815</v>
      </c>
      <c r="H1084">
        <v>18329</v>
      </c>
      <c r="I1084">
        <v>92426</v>
      </c>
    </row>
    <row r="1085" spans="1:9">
      <c r="A1085" s="2">
        <v>1959</v>
      </c>
      <c r="B1085">
        <v>82</v>
      </c>
      <c r="C1085">
        <v>0.16117999999999999</v>
      </c>
      <c r="D1085">
        <v>0.14915999999999999</v>
      </c>
      <c r="E1085">
        <v>0.5</v>
      </c>
      <c r="F1085">
        <v>16922</v>
      </c>
      <c r="G1085">
        <v>2524</v>
      </c>
      <c r="H1085">
        <v>15660</v>
      </c>
      <c r="I1085">
        <v>74097</v>
      </c>
    </row>
    <row r="1086" spans="1:9">
      <c r="A1086" s="2">
        <v>1959</v>
      </c>
      <c r="B1086">
        <v>83</v>
      </c>
      <c r="C1086">
        <v>0.19145000000000001</v>
      </c>
      <c r="D1086">
        <v>0.17471999999999999</v>
      </c>
      <c r="E1086">
        <v>0.5</v>
      </c>
      <c r="F1086">
        <v>14398</v>
      </c>
      <c r="G1086">
        <v>2516</v>
      </c>
      <c r="H1086">
        <v>13140</v>
      </c>
      <c r="I1086">
        <v>58436</v>
      </c>
    </row>
    <row r="1087" spans="1:9">
      <c r="A1087" s="2">
        <v>1959</v>
      </c>
      <c r="B1087">
        <v>84</v>
      </c>
      <c r="C1087">
        <v>0.21021999999999999</v>
      </c>
      <c r="D1087">
        <v>0.19022</v>
      </c>
      <c r="E1087">
        <v>0.5</v>
      </c>
      <c r="F1087">
        <v>11882</v>
      </c>
      <c r="G1087">
        <v>2260</v>
      </c>
      <c r="H1087">
        <v>10752</v>
      </c>
      <c r="I1087">
        <v>45296</v>
      </c>
    </row>
    <row r="1088" spans="1:9">
      <c r="A1088" s="2">
        <v>1959</v>
      </c>
      <c r="B1088">
        <v>85</v>
      </c>
      <c r="C1088">
        <v>0.22750999999999999</v>
      </c>
      <c r="D1088">
        <v>0.20427000000000001</v>
      </c>
      <c r="E1088">
        <v>0.5</v>
      </c>
      <c r="F1088">
        <v>9622</v>
      </c>
      <c r="G1088">
        <v>1965</v>
      </c>
      <c r="H1088">
        <v>8639</v>
      </c>
      <c r="I1088">
        <v>34544</v>
      </c>
    </row>
    <row r="1089" spans="1:9">
      <c r="A1089" s="2">
        <v>1959</v>
      </c>
      <c r="B1089">
        <v>86</v>
      </c>
      <c r="C1089">
        <v>0.21789</v>
      </c>
      <c r="D1089">
        <v>0.19647999999999999</v>
      </c>
      <c r="E1089">
        <v>0.5</v>
      </c>
      <c r="F1089">
        <v>7657</v>
      </c>
      <c r="G1089">
        <v>1504</v>
      </c>
      <c r="H1089">
        <v>6904</v>
      </c>
      <c r="I1089">
        <v>25905</v>
      </c>
    </row>
    <row r="1090" spans="1:9">
      <c r="A1090" s="2">
        <v>1959</v>
      </c>
      <c r="B1090">
        <v>87</v>
      </c>
      <c r="C1090">
        <v>0.28094999999999998</v>
      </c>
      <c r="D1090">
        <v>0.24634</v>
      </c>
      <c r="E1090">
        <v>0.5</v>
      </c>
      <c r="F1090">
        <v>6152</v>
      </c>
      <c r="G1090">
        <v>1516</v>
      </c>
      <c r="H1090">
        <v>5394</v>
      </c>
      <c r="I1090">
        <v>19000</v>
      </c>
    </row>
    <row r="1091" spans="1:9">
      <c r="A1091" s="2">
        <v>1959</v>
      </c>
      <c r="B1091">
        <v>88</v>
      </c>
      <c r="C1091">
        <v>0.27102999999999999</v>
      </c>
      <c r="D1091">
        <v>0.23868</v>
      </c>
      <c r="E1091">
        <v>0.5</v>
      </c>
      <c r="F1091">
        <v>4637</v>
      </c>
      <c r="G1091">
        <v>1107</v>
      </c>
      <c r="H1091">
        <v>4083</v>
      </c>
      <c r="I1091">
        <v>13606</v>
      </c>
    </row>
    <row r="1092" spans="1:9">
      <c r="A1092" s="2">
        <v>1959</v>
      </c>
      <c r="B1092">
        <v>89</v>
      </c>
      <c r="C1092">
        <v>0.34361000000000003</v>
      </c>
      <c r="D1092">
        <v>0.29322999999999999</v>
      </c>
      <c r="E1092">
        <v>0.5</v>
      </c>
      <c r="F1092">
        <v>3530</v>
      </c>
      <c r="G1092">
        <v>1035</v>
      </c>
      <c r="H1092">
        <v>3012</v>
      </c>
      <c r="I1092">
        <v>9523</v>
      </c>
    </row>
    <row r="1093" spans="1:9">
      <c r="A1093" s="2">
        <v>1959</v>
      </c>
      <c r="B1093">
        <v>90</v>
      </c>
      <c r="C1093">
        <v>0.33616000000000001</v>
      </c>
      <c r="D1093">
        <v>0.28778999999999999</v>
      </c>
      <c r="E1093">
        <v>0.5</v>
      </c>
      <c r="F1093">
        <v>2495</v>
      </c>
      <c r="G1093">
        <v>718</v>
      </c>
      <c r="H1093">
        <v>2136</v>
      </c>
      <c r="I1093">
        <v>6510</v>
      </c>
    </row>
    <row r="1094" spans="1:9">
      <c r="A1094" s="2">
        <v>1959</v>
      </c>
      <c r="B1094">
        <v>91</v>
      </c>
      <c r="C1094">
        <v>0.35960999999999999</v>
      </c>
      <c r="D1094">
        <v>0.30481000000000003</v>
      </c>
      <c r="E1094">
        <v>0.5</v>
      </c>
      <c r="F1094">
        <v>1777</v>
      </c>
      <c r="G1094">
        <v>542</v>
      </c>
      <c r="H1094">
        <v>1506</v>
      </c>
      <c r="I1094">
        <v>4374</v>
      </c>
    </row>
    <row r="1095" spans="1:9">
      <c r="A1095" s="2">
        <v>1959</v>
      </c>
      <c r="B1095">
        <v>92</v>
      </c>
      <c r="C1095">
        <v>0.38322000000000001</v>
      </c>
      <c r="D1095">
        <v>0.3216</v>
      </c>
      <c r="E1095">
        <v>0.5</v>
      </c>
      <c r="F1095">
        <v>1235</v>
      </c>
      <c r="G1095">
        <v>397</v>
      </c>
      <c r="H1095">
        <v>1037</v>
      </c>
      <c r="I1095">
        <v>2868</v>
      </c>
    </row>
    <row r="1096" spans="1:9">
      <c r="A1096" s="2">
        <v>1959</v>
      </c>
      <c r="B1096">
        <v>93</v>
      </c>
      <c r="C1096">
        <v>0.41549000000000003</v>
      </c>
      <c r="D1096">
        <v>0.34401999999999999</v>
      </c>
      <c r="E1096">
        <v>0.5</v>
      </c>
      <c r="F1096">
        <v>838</v>
      </c>
      <c r="G1096">
        <v>288</v>
      </c>
      <c r="H1096">
        <v>694</v>
      </c>
      <c r="I1096">
        <v>1832</v>
      </c>
    </row>
    <row r="1097" spans="1:9">
      <c r="A1097" s="2">
        <v>1959</v>
      </c>
      <c r="B1097">
        <v>94</v>
      </c>
      <c r="C1097">
        <v>0.44347999999999999</v>
      </c>
      <c r="D1097">
        <v>0.36298999999999998</v>
      </c>
      <c r="E1097">
        <v>0.5</v>
      </c>
      <c r="F1097">
        <v>550</v>
      </c>
      <c r="G1097">
        <v>200</v>
      </c>
      <c r="H1097">
        <v>450</v>
      </c>
      <c r="I1097">
        <v>1138</v>
      </c>
    </row>
    <row r="1098" spans="1:9">
      <c r="A1098" s="2">
        <v>1959</v>
      </c>
      <c r="B1098">
        <v>95</v>
      </c>
      <c r="C1098">
        <v>0.47183999999999998</v>
      </c>
      <c r="D1098">
        <v>0.38177</v>
      </c>
      <c r="E1098">
        <v>0.5</v>
      </c>
      <c r="F1098">
        <v>350</v>
      </c>
      <c r="G1098">
        <v>134</v>
      </c>
      <c r="H1098">
        <v>283</v>
      </c>
      <c r="I1098">
        <v>688</v>
      </c>
    </row>
    <row r="1099" spans="1:9">
      <c r="A1099" s="2">
        <v>1959</v>
      </c>
      <c r="B1099">
        <v>96</v>
      </c>
      <c r="C1099">
        <v>0.50036999999999998</v>
      </c>
      <c r="D1099">
        <v>0.40023999999999998</v>
      </c>
      <c r="E1099">
        <v>0.5</v>
      </c>
      <c r="F1099">
        <v>216</v>
      </c>
      <c r="G1099">
        <v>87</v>
      </c>
      <c r="H1099">
        <v>173</v>
      </c>
      <c r="I1099">
        <v>404</v>
      </c>
    </row>
    <row r="1100" spans="1:9">
      <c r="A1100" s="2">
        <v>1959</v>
      </c>
      <c r="B1100">
        <v>97</v>
      </c>
      <c r="C1100">
        <v>0.52890999999999999</v>
      </c>
      <c r="D1100">
        <v>0.41829</v>
      </c>
      <c r="E1100">
        <v>0.5</v>
      </c>
      <c r="F1100">
        <v>130</v>
      </c>
      <c r="G1100">
        <v>54</v>
      </c>
      <c r="H1100">
        <v>103</v>
      </c>
      <c r="I1100">
        <v>231</v>
      </c>
    </row>
    <row r="1101" spans="1:9">
      <c r="A1101" s="2">
        <v>1959</v>
      </c>
      <c r="B1101">
        <v>98</v>
      </c>
      <c r="C1101">
        <v>0.55725999999999998</v>
      </c>
      <c r="D1101">
        <v>0.43583</v>
      </c>
      <c r="E1101">
        <v>0.5</v>
      </c>
      <c r="F1101">
        <v>76</v>
      </c>
      <c r="G1101">
        <v>33</v>
      </c>
      <c r="H1101">
        <v>59</v>
      </c>
      <c r="I1101">
        <v>129</v>
      </c>
    </row>
    <row r="1102" spans="1:9">
      <c r="A1102" s="2">
        <v>1959</v>
      </c>
      <c r="B1102">
        <v>99</v>
      </c>
      <c r="C1102">
        <v>0.58523999999999998</v>
      </c>
      <c r="D1102">
        <v>0.45274999999999999</v>
      </c>
      <c r="E1102">
        <v>0.5</v>
      </c>
      <c r="F1102">
        <v>43</v>
      </c>
      <c r="G1102">
        <v>19</v>
      </c>
      <c r="H1102">
        <v>33</v>
      </c>
      <c r="I1102">
        <v>69</v>
      </c>
    </row>
    <row r="1103" spans="1:9">
      <c r="A1103" s="2">
        <v>1959</v>
      </c>
      <c r="B1103">
        <v>100</v>
      </c>
      <c r="C1103">
        <v>0.61268</v>
      </c>
      <c r="D1103">
        <v>0.46900999999999998</v>
      </c>
      <c r="E1103">
        <v>0.5</v>
      </c>
      <c r="F1103">
        <v>23</v>
      </c>
      <c r="G1103">
        <v>11</v>
      </c>
      <c r="H1103">
        <v>18</v>
      </c>
      <c r="I1103">
        <v>37</v>
      </c>
    </row>
    <row r="1104" spans="1:9">
      <c r="A1104" s="2">
        <v>1959</v>
      </c>
      <c r="B1104">
        <v>101</v>
      </c>
      <c r="C1104">
        <v>0.63941999999999999</v>
      </c>
      <c r="D1104">
        <v>0.48452000000000001</v>
      </c>
      <c r="E1104">
        <v>0.5</v>
      </c>
      <c r="F1104">
        <v>12</v>
      </c>
      <c r="G1104">
        <v>6</v>
      </c>
      <c r="H1104">
        <v>9</v>
      </c>
      <c r="I1104">
        <v>19</v>
      </c>
    </row>
    <row r="1105" spans="1:9">
      <c r="A1105" s="2">
        <v>1959</v>
      </c>
      <c r="B1105">
        <v>102</v>
      </c>
      <c r="C1105">
        <v>0.66532999999999998</v>
      </c>
      <c r="D1105">
        <v>0.49925000000000003</v>
      </c>
      <c r="E1105">
        <v>0.5</v>
      </c>
      <c r="F1105">
        <v>6</v>
      </c>
      <c r="G1105">
        <v>3</v>
      </c>
      <c r="H1105">
        <v>5</v>
      </c>
      <c r="I1105">
        <v>9</v>
      </c>
    </row>
    <row r="1106" spans="1:9">
      <c r="A1106" s="2">
        <v>1959</v>
      </c>
      <c r="B1106">
        <v>103</v>
      </c>
      <c r="C1106">
        <v>0.69028</v>
      </c>
      <c r="D1106">
        <v>0.51315999999999995</v>
      </c>
      <c r="E1106">
        <v>0.5</v>
      </c>
      <c r="F1106">
        <v>3</v>
      </c>
      <c r="G1106">
        <v>2</v>
      </c>
      <c r="H1106">
        <v>2</v>
      </c>
      <c r="I1106">
        <v>5</v>
      </c>
    </row>
    <row r="1107" spans="1:9">
      <c r="A1107" s="2">
        <v>1959</v>
      </c>
      <c r="B1107">
        <v>104</v>
      </c>
      <c r="C1107">
        <v>0.71416000000000002</v>
      </c>
      <c r="D1107">
        <v>0.52625</v>
      </c>
      <c r="E1107">
        <v>0.5</v>
      </c>
      <c r="F1107">
        <v>2</v>
      </c>
      <c r="G1107">
        <v>1</v>
      </c>
      <c r="H1107">
        <v>1</v>
      </c>
      <c r="I1107">
        <v>2</v>
      </c>
    </row>
    <row r="1108" spans="1:9">
      <c r="A1108" s="2">
        <v>1959</v>
      </c>
      <c r="B1108">
        <v>105</v>
      </c>
      <c r="C1108">
        <v>0.73690999999999995</v>
      </c>
      <c r="D1108">
        <v>0.53849999999999998</v>
      </c>
      <c r="E1108">
        <v>0.5</v>
      </c>
      <c r="F1108">
        <v>1</v>
      </c>
      <c r="G1108">
        <v>0</v>
      </c>
      <c r="H1108">
        <v>1</v>
      </c>
      <c r="I1108">
        <v>1</v>
      </c>
    </row>
    <row r="1109" spans="1:9">
      <c r="A1109" s="2">
        <v>1959</v>
      </c>
      <c r="B1109">
        <v>106</v>
      </c>
      <c r="C1109">
        <v>0.75846000000000002</v>
      </c>
      <c r="D1109">
        <v>0.54991000000000001</v>
      </c>
      <c r="E1109">
        <v>0.5</v>
      </c>
      <c r="F1109">
        <v>0</v>
      </c>
      <c r="G1109">
        <v>0</v>
      </c>
      <c r="H1109">
        <v>0</v>
      </c>
      <c r="I1109">
        <v>0</v>
      </c>
    </row>
    <row r="1110" spans="1:9">
      <c r="A1110" s="2">
        <v>1959</v>
      </c>
      <c r="B1110">
        <v>107</v>
      </c>
      <c r="C1110">
        <v>0.77876999999999996</v>
      </c>
      <c r="D1110">
        <v>0.56050999999999995</v>
      </c>
      <c r="E1110">
        <v>0.5</v>
      </c>
      <c r="F1110">
        <v>0</v>
      </c>
      <c r="G1110">
        <v>0</v>
      </c>
      <c r="H1110">
        <v>0</v>
      </c>
      <c r="I1110">
        <v>0</v>
      </c>
    </row>
    <row r="1111" spans="1:9">
      <c r="A1111" s="2">
        <v>1959</v>
      </c>
      <c r="B1111">
        <v>108</v>
      </c>
      <c r="C1111">
        <v>0.79783000000000004</v>
      </c>
      <c r="D1111">
        <v>0.57032000000000005</v>
      </c>
      <c r="E1111">
        <v>0.5</v>
      </c>
      <c r="F1111">
        <v>0</v>
      </c>
      <c r="G1111">
        <v>0</v>
      </c>
      <c r="H1111">
        <v>0</v>
      </c>
      <c r="I1111">
        <v>0</v>
      </c>
    </row>
    <row r="1112" spans="1:9">
      <c r="A1112" s="2">
        <v>1959</v>
      </c>
      <c r="B1112">
        <v>109</v>
      </c>
      <c r="C1112">
        <v>0.81564000000000003</v>
      </c>
      <c r="D1112">
        <v>0.57935999999999999</v>
      </c>
      <c r="E1112">
        <v>0.5</v>
      </c>
      <c r="F1112">
        <v>0</v>
      </c>
      <c r="G1112">
        <v>0</v>
      </c>
      <c r="H1112">
        <v>0</v>
      </c>
      <c r="I1112">
        <v>0</v>
      </c>
    </row>
    <row r="1113" spans="1:9">
      <c r="A1113" s="2">
        <v>1959</v>
      </c>
      <c r="B1113" t="s">
        <v>26</v>
      </c>
      <c r="C1113">
        <v>0.83220000000000005</v>
      </c>
      <c r="D1113">
        <v>1</v>
      </c>
      <c r="E1113" s="3" t="s">
        <v>33</v>
      </c>
      <c r="F1113">
        <v>0</v>
      </c>
      <c r="G1113">
        <v>0</v>
      </c>
      <c r="H1113">
        <v>0</v>
      </c>
      <c r="I1113">
        <v>0</v>
      </c>
    </row>
    <row r="1114" spans="1:9">
      <c r="A1114" s="2">
        <v>1960</v>
      </c>
      <c r="B1114">
        <v>0</v>
      </c>
      <c r="C1114">
        <v>5.389E-2</v>
      </c>
      <c r="D1114">
        <v>5.1670000000000001E-2</v>
      </c>
      <c r="E1114">
        <v>0.2</v>
      </c>
      <c r="F1114">
        <v>100000</v>
      </c>
      <c r="G1114">
        <v>5167</v>
      </c>
      <c r="H1114">
        <v>95887</v>
      </c>
      <c r="I1114">
        <v>6592410</v>
      </c>
    </row>
    <row r="1115" spans="1:9">
      <c r="A1115" s="2">
        <v>1960</v>
      </c>
      <c r="B1115">
        <v>1</v>
      </c>
      <c r="C1115">
        <v>3.9399999999999999E-3</v>
      </c>
      <c r="D1115">
        <v>3.9399999999999999E-3</v>
      </c>
      <c r="E1115">
        <v>0.5</v>
      </c>
      <c r="F1115">
        <v>94833</v>
      </c>
      <c r="G1115">
        <v>373</v>
      </c>
      <c r="H1115">
        <v>94646</v>
      </c>
      <c r="I1115">
        <v>6496523</v>
      </c>
    </row>
    <row r="1116" spans="1:9">
      <c r="A1116" s="2">
        <v>1960</v>
      </c>
      <c r="B1116">
        <v>2</v>
      </c>
      <c r="C1116">
        <v>1.4499999999999999E-3</v>
      </c>
      <c r="D1116">
        <v>1.4499999999999999E-3</v>
      </c>
      <c r="E1116">
        <v>0.5</v>
      </c>
      <c r="F1116">
        <v>94460</v>
      </c>
      <c r="G1116">
        <v>137</v>
      </c>
      <c r="H1116">
        <v>94391</v>
      </c>
      <c r="I1116">
        <v>6401877</v>
      </c>
    </row>
    <row r="1117" spans="1:9">
      <c r="A1117" s="2">
        <v>1960</v>
      </c>
      <c r="B1117">
        <v>3</v>
      </c>
      <c r="C1117">
        <v>1.0300000000000001E-3</v>
      </c>
      <c r="D1117">
        <v>1.0300000000000001E-3</v>
      </c>
      <c r="E1117">
        <v>0.5</v>
      </c>
      <c r="F1117">
        <v>94323</v>
      </c>
      <c r="G1117">
        <v>97</v>
      </c>
      <c r="H1117">
        <v>94275</v>
      </c>
      <c r="I1117">
        <v>6307486</v>
      </c>
    </row>
    <row r="1118" spans="1:9">
      <c r="A1118" s="2">
        <v>1960</v>
      </c>
      <c r="B1118">
        <v>4</v>
      </c>
      <c r="C1118">
        <v>6.8999999999999997E-4</v>
      </c>
      <c r="D1118">
        <v>6.8999999999999997E-4</v>
      </c>
      <c r="E1118">
        <v>0.5</v>
      </c>
      <c r="F1118">
        <v>94226</v>
      </c>
      <c r="G1118">
        <v>65</v>
      </c>
      <c r="H1118">
        <v>94193</v>
      </c>
      <c r="I1118">
        <v>6213211</v>
      </c>
    </row>
    <row r="1119" spans="1:9">
      <c r="A1119" s="2">
        <v>1960</v>
      </c>
      <c r="B1119">
        <v>5</v>
      </c>
      <c r="C1119">
        <v>6.4000000000000005E-4</v>
      </c>
      <c r="D1119">
        <v>6.4000000000000005E-4</v>
      </c>
      <c r="E1119">
        <v>0.5</v>
      </c>
      <c r="F1119">
        <v>94161</v>
      </c>
      <c r="G1119">
        <v>61</v>
      </c>
      <c r="H1119">
        <v>94130</v>
      </c>
      <c r="I1119">
        <v>6119018</v>
      </c>
    </row>
    <row r="1120" spans="1:9">
      <c r="A1120" s="2">
        <v>1960</v>
      </c>
      <c r="B1120">
        <v>6</v>
      </c>
      <c r="C1120">
        <v>4.6999999999999999E-4</v>
      </c>
      <c r="D1120">
        <v>4.6999999999999999E-4</v>
      </c>
      <c r="E1120">
        <v>0.5</v>
      </c>
      <c r="F1120">
        <v>94100</v>
      </c>
      <c r="G1120">
        <v>44</v>
      </c>
      <c r="H1120">
        <v>94078</v>
      </c>
      <c r="I1120">
        <v>6024887</v>
      </c>
    </row>
    <row r="1121" spans="1:9">
      <c r="A1121" s="2">
        <v>1960</v>
      </c>
      <c r="B1121">
        <v>7</v>
      </c>
      <c r="C1121">
        <v>5.2999999999999998E-4</v>
      </c>
      <c r="D1121">
        <v>5.2999999999999998E-4</v>
      </c>
      <c r="E1121">
        <v>0.5</v>
      </c>
      <c r="F1121">
        <v>94056</v>
      </c>
      <c r="G1121">
        <v>50</v>
      </c>
      <c r="H1121">
        <v>94031</v>
      </c>
      <c r="I1121">
        <v>5930809</v>
      </c>
    </row>
    <row r="1122" spans="1:9">
      <c r="A1122" s="2">
        <v>1960</v>
      </c>
      <c r="B1122">
        <v>8</v>
      </c>
      <c r="C1122">
        <v>6.0999999999999997E-4</v>
      </c>
      <c r="D1122">
        <v>6.0999999999999997E-4</v>
      </c>
      <c r="E1122">
        <v>0.5</v>
      </c>
      <c r="F1122">
        <v>94006</v>
      </c>
      <c r="G1122">
        <v>57</v>
      </c>
      <c r="H1122">
        <v>93977</v>
      </c>
      <c r="I1122">
        <v>5836778</v>
      </c>
    </row>
    <row r="1123" spans="1:9">
      <c r="A1123" s="2">
        <v>1960</v>
      </c>
      <c r="B1123">
        <v>9</v>
      </c>
      <c r="C1123">
        <v>5.5000000000000003E-4</v>
      </c>
      <c r="D1123">
        <v>5.5000000000000003E-4</v>
      </c>
      <c r="E1123">
        <v>0.5</v>
      </c>
      <c r="F1123">
        <v>93949</v>
      </c>
      <c r="G1123">
        <v>52</v>
      </c>
      <c r="H1123">
        <v>93923</v>
      </c>
      <c r="I1123">
        <v>5742801</v>
      </c>
    </row>
    <row r="1124" spans="1:9">
      <c r="A1124" s="2">
        <v>1960</v>
      </c>
      <c r="B1124">
        <v>10</v>
      </c>
      <c r="C1124">
        <v>5.9999999999999995E-4</v>
      </c>
      <c r="D1124">
        <v>5.9999999999999995E-4</v>
      </c>
      <c r="E1124">
        <v>0.5</v>
      </c>
      <c r="F1124">
        <v>93897</v>
      </c>
      <c r="G1124">
        <v>57</v>
      </c>
      <c r="H1124">
        <v>93869</v>
      </c>
      <c r="I1124">
        <v>5648878</v>
      </c>
    </row>
    <row r="1125" spans="1:9">
      <c r="A1125" s="2">
        <v>1960</v>
      </c>
      <c r="B1125">
        <v>11</v>
      </c>
      <c r="C1125">
        <v>4.6000000000000001E-4</v>
      </c>
      <c r="D1125">
        <v>4.6000000000000001E-4</v>
      </c>
      <c r="E1125">
        <v>0.5</v>
      </c>
      <c r="F1125">
        <v>93841</v>
      </c>
      <c r="G1125">
        <v>43</v>
      </c>
      <c r="H1125">
        <v>93819</v>
      </c>
      <c r="I1125">
        <v>5555009</v>
      </c>
    </row>
    <row r="1126" spans="1:9">
      <c r="A1126" s="2">
        <v>1960</v>
      </c>
      <c r="B1126">
        <v>12</v>
      </c>
      <c r="C1126">
        <v>5.9000000000000003E-4</v>
      </c>
      <c r="D1126">
        <v>5.9000000000000003E-4</v>
      </c>
      <c r="E1126">
        <v>0.5</v>
      </c>
      <c r="F1126">
        <v>93797</v>
      </c>
      <c r="G1126">
        <v>56</v>
      </c>
      <c r="H1126">
        <v>93769</v>
      </c>
      <c r="I1126">
        <v>5461191</v>
      </c>
    </row>
    <row r="1127" spans="1:9">
      <c r="A1127" s="2">
        <v>1960</v>
      </c>
      <c r="B1127">
        <v>13</v>
      </c>
      <c r="C1127">
        <v>8.0000000000000004E-4</v>
      </c>
      <c r="D1127">
        <v>8.0000000000000004E-4</v>
      </c>
      <c r="E1127">
        <v>0.5</v>
      </c>
      <c r="F1127">
        <v>93741</v>
      </c>
      <c r="G1127">
        <v>75</v>
      </c>
      <c r="H1127">
        <v>93704</v>
      </c>
      <c r="I1127">
        <v>5367422</v>
      </c>
    </row>
    <row r="1128" spans="1:9">
      <c r="A1128" s="2">
        <v>1960</v>
      </c>
      <c r="B1128">
        <v>14</v>
      </c>
      <c r="C1128">
        <v>4.8999999999999998E-4</v>
      </c>
      <c r="D1128">
        <v>4.8999999999999998E-4</v>
      </c>
      <c r="E1128">
        <v>0.5</v>
      </c>
      <c r="F1128">
        <v>93666</v>
      </c>
      <c r="G1128">
        <v>45</v>
      </c>
      <c r="H1128">
        <v>93644</v>
      </c>
      <c r="I1128">
        <v>5273718</v>
      </c>
    </row>
    <row r="1129" spans="1:9">
      <c r="A1129" s="2">
        <v>1960</v>
      </c>
      <c r="B1129">
        <v>15</v>
      </c>
      <c r="C1129">
        <v>8.1999999999999998E-4</v>
      </c>
      <c r="D1129">
        <v>8.1999999999999998E-4</v>
      </c>
      <c r="E1129">
        <v>0.5</v>
      </c>
      <c r="F1129">
        <v>93621</v>
      </c>
      <c r="G1129">
        <v>77</v>
      </c>
      <c r="H1129">
        <v>93582</v>
      </c>
      <c r="I1129">
        <v>5180074</v>
      </c>
    </row>
    <row r="1130" spans="1:9">
      <c r="A1130" s="2">
        <v>1960</v>
      </c>
      <c r="B1130">
        <v>16</v>
      </c>
      <c r="C1130">
        <v>1.07E-3</v>
      </c>
      <c r="D1130">
        <v>1.07E-3</v>
      </c>
      <c r="E1130">
        <v>0.5</v>
      </c>
      <c r="F1130">
        <v>93544</v>
      </c>
      <c r="G1130">
        <v>100</v>
      </c>
      <c r="H1130">
        <v>93494</v>
      </c>
      <c r="I1130">
        <v>5086492</v>
      </c>
    </row>
    <row r="1131" spans="1:9">
      <c r="A1131" s="2">
        <v>1960</v>
      </c>
      <c r="B1131">
        <v>17</v>
      </c>
      <c r="C1131">
        <v>1.24E-3</v>
      </c>
      <c r="D1131">
        <v>1.23E-3</v>
      </c>
      <c r="E1131">
        <v>0.5</v>
      </c>
      <c r="F1131">
        <v>93444</v>
      </c>
      <c r="G1131">
        <v>115</v>
      </c>
      <c r="H1131">
        <v>93386</v>
      </c>
      <c r="I1131">
        <v>4992998</v>
      </c>
    </row>
    <row r="1132" spans="1:9">
      <c r="A1132" s="2">
        <v>1960</v>
      </c>
      <c r="B1132">
        <v>18</v>
      </c>
      <c r="C1132">
        <v>1.2999999999999999E-3</v>
      </c>
      <c r="D1132">
        <v>1.2999999999999999E-3</v>
      </c>
      <c r="E1132">
        <v>0.5</v>
      </c>
      <c r="F1132">
        <v>93328</v>
      </c>
      <c r="G1132">
        <v>121</v>
      </c>
      <c r="H1132">
        <v>93268</v>
      </c>
      <c r="I1132">
        <v>4899612</v>
      </c>
    </row>
    <row r="1133" spans="1:9">
      <c r="A1133" s="2">
        <v>1960</v>
      </c>
      <c r="B1133">
        <v>19</v>
      </c>
      <c r="C1133">
        <v>1.6100000000000001E-3</v>
      </c>
      <c r="D1133">
        <v>1.6000000000000001E-3</v>
      </c>
      <c r="E1133">
        <v>0.5</v>
      </c>
      <c r="F1133">
        <v>93207</v>
      </c>
      <c r="G1133">
        <v>150</v>
      </c>
      <c r="H1133">
        <v>93132</v>
      </c>
      <c r="I1133">
        <v>4806344</v>
      </c>
    </row>
    <row r="1134" spans="1:9">
      <c r="A1134" s="2">
        <v>1960</v>
      </c>
      <c r="B1134">
        <v>20</v>
      </c>
      <c r="C1134">
        <v>1.6299999999999999E-3</v>
      </c>
      <c r="D1134">
        <v>1.6299999999999999E-3</v>
      </c>
      <c r="E1134">
        <v>0.5</v>
      </c>
      <c r="F1134">
        <v>93058</v>
      </c>
      <c r="G1134">
        <v>152</v>
      </c>
      <c r="H1134">
        <v>92982</v>
      </c>
      <c r="I1134">
        <v>4713212</v>
      </c>
    </row>
    <row r="1135" spans="1:9">
      <c r="A1135" s="2">
        <v>1960</v>
      </c>
      <c r="B1135">
        <v>21</v>
      </c>
      <c r="C1135">
        <v>1.58E-3</v>
      </c>
      <c r="D1135">
        <v>1.58E-3</v>
      </c>
      <c r="E1135">
        <v>0.5</v>
      </c>
      <c r="F1135">
        <v>92906</v>
      </c>
      <c r="G1135">
        <v>147</v>
      </c>
      <c r="H1135">
        <v>92832</v>
      </c>
      <c r="I1135">
        <v>4620230</v>
      </c>
    </row>
    <row r="1136" spans="1:9">
      <c r="A1136" s="2">
        <v>1960</v>
      </c>
      <c r="B1136">
        <v>22</v>
      </c>
      <c r="C1136">
        <v>1.4400000000000001E-3</v>
      </c>
      <c r="D1136">
        <v>1.4400000000000001E-3</v>
      </c>
      <c r="E1136">
        <v>0.5</v>
      </c>
      <c r="F1136">
        <v>92759</v>
      </c>
      <c r="G1136">
        <v>134</v>
      </c>
      <c r="H1136">
        <v>92692</v>
      </c>
      <c r="I1136">
        <v>4527398</v>
      </c>
    </row>
    <row r="1137" spans="1:9">
      <c r="A1137" s="2">
        <v>1960</v>
      </c>
      <c r="B1137">
        <v>23</v>
      </c>
      <c r="C1137">
        <v>1.5200000000000001E-3</v>
      </c>
      <c r="D1137">
        <v>1.5200000000000001E-3</v>
      </c>
      <c r="E1137">
        <v>0.5</v>
      </c>
      <c r="F1137">
        <v>92625</v>
      </c>
      <c r="G1137">
        <v>141</v>
      </c>
      <c r="H1137">
        <v>92554</v>
      </c>
      <c r="I1137">
        <v>4434706</v>
      </c>
    </row>
    <row r="1138" spans="1:9">
      <c r="A1138" s="2">
        <v>1960</v>
      </c>
      <c r="B1138">
        <v>24</v>
      </c>
      <c r="C1138">
        <v>1.3600000000000001E-3</v>
      </c>
      <c r="D1138">
        <v>1.3600000000000001E-3</v>
      </c>
      <c r="E1138">
        <v>0.5</v>
      </c>
      <c r="F1138">
        <v>92484</v>
      </c>
      <c r="G1138">
        <v>126</v>
      </c>
      <c r="H1138">
        <v>92421</v>
      </c>
      <c r="I1138">
        <v>4342152</v>
      </c>
    </row>
    <row r="1139" spans="1:9">
      <c r="A1139" s="2">
        <v>1960</v>
      </c>
      <c r="B1139">
        <v>25</v>
      </c>
      <c r="C1139">
        <v>1.5499999999999999E-3</v>
      </c>
      <c r="D1139">
        <v>1.5499999999999999E-3</v>
      </c>
      <c r="E1139">
        <v>0.5</v>
      </c>
      <c r="F1139">
        <v>92358</v>
      </c>
      <c r="G1139">
        <v>143</v>
      </c>
      <c r="H1139">
        <v>92287</v>
      </c>
      <c r="I1139">
        <v>4249731</v>
      </c>
    </row>
    <row r="1140" spans="1:9">
      <c r="A1140" s="2">
        <v>1960</v>
      </c>
      <c r="B1140">
        <v>26</v>
      </c>
      <c r="C1140">
        <v>1.67E-3</v>
      </c>
      <c r="D1140">
        <v>1.66E-3</v>
      </c>
      <c r="E1140">
        <v>0.5</v>
      </c>
      <c r="F1140">
        <v>92215</v>
      </c>
      <c r="G1140">
        <v>153</v>
      </c>
      <c r="H1140">
        <v>92138</v>
      </c>
      <c r="I1140">
        <v>4157444</v>
      </c>
    </row>
    <row r="1141" spans="1:9">
      <c r="A1141" s="2">
        <v>1960</v>
      </c>
      <c r="B1141">
        <v>27</v>
      </c>
      <c r="C1141">
        <v>1.8500000000000001E-3</v>
      </c>
      <c r="D1141">
        <v>1.8500000000000001E-3</v>
      </c>
      <c r="E1141">
        <v>0.5</v>
      </c>
      <c r="F1141">
        <v>92061</v>
      </c>
      <c r="G1141">
        <v>170</v>
      </c>
      <c r="H1141">
        <v>91976</v>
      </c>
      <c r="I1141">
        <v>4065306</v>
      </c>
    </row>
    <row r="1142" spans="1:9">
      <c r="A1142" s="2">
        <v>1960</v>
      </c>
      <c r="B1142">
        <v>28</v>
      </c>
      <c r="C1142">
        <v>1.48E-3</v>
      </c>
      <c r="D1142">
        <v>1.47E-3</v>
      </c>
      <c r="E1142">
        <v>0.5</v>
      </c>
      <c r="F1142">
        <v>91891</v>
      </c>
      <c r="G1142">
        <v>135</v>
      </c>
      <c r="H1142">
        <v>91823</v>
      </c>
      <c r="I1142">
        <v>3973330</v>
      </c>
    </row>
    <row r="1143" spans="1:9">
      <c r="A1143" s="2">
        <v>1960</v>
      </c>
      <c r="B1143">
        <v>29</v>
      </c>
      <c r="C1143">
        <v>1.83E-3</v>
      </c>
      <c r="D1143">
        <v>1.82E-3</v>
      </c>
      <c r="E1143">
        <v>0.5</v>
      </c>
      <c r="F1143">
        <v>91756</v>
      </c>
      <c r="G1143">
        <v>167</v>
      </c>
      <c r="H1143">
        <v>91672</v>
      </c>
      <c r="I1143">
        <v>3881506</v>
      </c>
    </row>
    <row r="1144" spans="1:9">
      <c r="A1144" s="2">
        <v>1960</v>
      </c>
      <c r="B1144">
        <v>30</v>
      </c>
      <c r="C1144">
        <v>1.67E-3</v>
      </c>
      <c r="D1144">
        <v>1.67E-3</v>
      </c>
      <c r="E1144">
        <v>0.5</v>
      </c>
      <c r="F1144">
        <v>91588</v>
      </c>
      <c r="G1144">
        <v>153</v>
      </c>
      <c r="H1144">
        <v>91512</v>
      </c>
      <c r="I1144">
        <v>3789834</v>
      </c>
    </row>
    <row r="1145" spans="1:9">
      <c r="A1145" s="2">
        <v>1960</v>
      </c>
      <c r="B1145">
        <v>31</v>
      </c>
      <c r="C1145">
        <v>1.8E-3</v>
      </c>
      <c r="D1145">
        <v>1.8E-3</v>
      </c>
      <c r="E1145">
        <v>0.5</v>
      </c>
      <c r="F1145">
        <v>91435</v>
      </c>
      <c r="G1145">
        <v>165</v>
      </c>
      <c r="H1145">
        <v>91353</v>
      </c>
      <c r="I1145">
        <v>3698323</v>
      </c>
    </row>
    <row r="1146" spans="1:9">
      <c r="A1146" s="2">
        <v>1960</v>
      </c>
      <c r="B1146">
        <v>32</v>
      </c>
      <c r="C1146">
        <v>1.8799999999999999E-3</v>
      </c>
      <c r="D1146">
        <v>1.8699999999999999E-3</v>
      </c>
      <c r="E1146">
        <v>0.5</v>
      </c>
      <c r="F1146">
        <v>91271</v>
      </c>
      <c r="G1146">
        <v>171</v>
      </c>
      <c r="H1146">
        <v>91185</v>
      </c>
      <c r="I1146">
        <v>3606970</v>
      </c>
    </row>
    <row r="1147" spans="1:9">
      <c r="A1147" s="2">
        <v>1960</v>
      </c>
      <c r="B1147">
        <v>33</v>
      </c>
      <c r="C1147">
        <v>1.8799999999999999E-3</v>
      </c>
      <c r="D1147">
        <v>1.8799999999999999E-3</v>
      </c>
      <c r="E1147">
        <v>0.5</v>
      </c>
      <c r="F1147">
        <v>91100</v>
      </c>
      <c r="G1147">
        <v>171</v>
      </c>
      <c r="H1147">
        <v>91014</v>
      </c>
      <c r="I1147">
        <v>3515785</v>
      </c>
    </row>
    <row r="1148" spans="1:9">
      <c r="A1148" s="2">
        <v>1960</v>
      </c>
      <c r="B1148">
        <v>34</v>
      </c>
      <c r="C1148">
        <v>2.2399999999999998E-3</v>
      </c>
      <c r="D1148">
        <v>2.2399999999999998E-3</v>
      </c>
      <c r="E1148">
        <v>0.5</v>
      </c>
      <c r="F1148">
        <v>90928</v>
      </c>
      <c r="G1148">
        <v>203</v>
      </c>
      <c r="H1148">
        <v>90827</v>
      </c>
      <c r="I1148">
        <v>3424771</v>
      </c>
    </row>
    <row r="1149" spans="1:9">
      <c r="A1149" s="2">
        <v>1960</v>
      </c>
      <c r="B1149">
        <v>35</v>
      </c>
      <c r="C1149">
        <v>2.1199999999999999E-3</v>
      </c>
      <c r="D1149">
        <v>2.1199999999999999E-3</v>
      </c>
      <c r="E1149">
        <v>0.5</v>
      </c>
      <c r="F1149">
        <v>90725</v>
      </c>
      <c r="G1149">
        <v>192</v>
      </c>
      <c r="H1149">
        <v>90629</v>
      </c>
      <c r="I1149">
        <v>3333944</v>
      </c>
    </row>
    <row r="1150" spans="1:9">
      <c r="A1150" s="2">
        <v>1960</v>
      </c>
      <c r="B1150">
        <v>36</v>
      </c>
      <c r="C1150">
        <v>2.65E-3</v>
      </c>
      <c r="D1150">
        <v>2.65E-3</v>
      </c>
      <c r="E1150">
        <v>0.5</v>
      </c>
      <c r="F1150">
        <v>90532</v>
      </c>
      <c r="G1150">
        <v>239</v>
      </c>
      <c r="H1150">
        <v>90413</v>
      </c>
      <c r="I1150">
        <v>3243316</v>
      </c>
    </row>
    <row r="1151" spans="1:9">
      <c r="A1151" s="2">
        <v>1960</v>
      </c>
      <c r="B1151">
        <v>37</v>
      </c>
      <c r="C1151">
        <v>2.4099999999999998E-3</v>
      </c>
      <c r="D1151">
        <v>2.4099999999999998E-3</v>
      </c>
      <c r="E1151">
        <v>0.5</v>
      </c>
      <c r="F1151">
        <v>90293</v>
      </c>
      <c r="G1151">
        <v>217</v>
      </c>
      <c r="H1151">
        <v>90184</v>
      </c>
      <c r="I1151">
        <v>3152903</v>
      </c>
    </row>
    <row r="1152" spans="1:9">
      <c r="A1152" s="2">
        <v>1960</v>
      </c>
      <c r="B1152">
        <v>38</v>
      </c>
      <c r="C1152">
        <v>2.6099999999999999E-3</v>
      </c>
      <c r="D1152">
        <v>2.5999999999999999E-3</v>
      </c>
      <c r="E1152">
        <v>0.5</v>
      </c>
      <c r="F1152">
        <v>90075</v>
      </c>
      <c r="G1152">
        <v>234</v>
      </c>
      <c r="H1152">
        <v>89958</v>
      </c>
      <c r="I1152">
        <v>3062719</v>
      </c>
    </row>
    <row r="1153" spans="1:9">
      <c r="A1153" s="2">
        <v>1960</v>
      </c>
      <c r="B1153">
        <v>39</v>
      </c>
      <c r="C1153">
        <v>2.8400000000000001E-3</v>
      </c>
      <c r="D1153">
        <v>2.8400000000000001E-3</v>
      </c>
      <c r="E1153">
        <v>0.5</v>
      </c>
      <c r="F1153">
        <v>89841</v>
      </c>
      <c r="G1153">
        <v>255</v>
      </c>
      <c r="H1153">
        <v>89713</v>
      </c>
      <c r="I1153">
        <v>2972760</v>
      </c>
    </row>
    <row r="1154" spans="1:9">
      <c r="A1154" s="2">
        <v>1960</v>
      </c>
      <c r="B1154">
        <v>40</v>
      </c>
      <c r="C1154">
        <v>3.2699999999999999E-3</v>
      </c>
      <c r="D1154">
        <v>3.2699999999999999E-3</v>
      </c>
      <c r="E1154">
        <v>0.5</v>
      </c>
      <c r="F1154">
        <v>89586</v>
      </c>
      <c r="G1154">
        <v>293</v>
      </c>
      <c r="H1154">
        <v>89439</v>
      </c>
      <c r="I1154">
        <v>2883047</v>
      </c>
    </row>
    <row r="1155" spans="1:9">
      <c r="A1155" s="2">
        <v>1960</v>
      </c>
      <c r="B1155">
        <v>41</v>
      </c>
      <c r="C1155">
        <v>2.82E-3</v>
      </c>
      <c r="D1155">
        <v>2.81E-3</v>
      </c>
      <c r="E1155">
        <v>0.5</v>
      </c>
      <c r="F1155">
        <v>89293</v>
      </c>
      <c r="G1155">
        <v>251</v>
      </c>
      <c r="H1155">
        <v>89167</v>
      </c>
      <c r="I1155">
        <v>2793608</v>
      </c>
    </row>
    <row r="1156" spans="1:9">
      <c r="A1156" s="2">
        <v>1960</v>
      </c>
      <c r="B1156">
        <v>42</v>
      </c>
      <c r="C1156">
        <v>2.9299999999999999E-3</v>
      </c>
      <c r="D1156">
        <v>2.9199999999999999E-3</v>
      </c>
      <c r="E1156">
        <v>0.5</v>
      </c>
      <c r="F1156">
        <v>89042</v>
      </c>
      <c r="G1156">
        <v>260</v>
      </c>
      <c r="H1156">
        <v>88912</v>
      </c>
      <c r="I1156">
        <v>2704440</v>
      </c>
    </row>
    <row r="1157" spans="1:9">
      <c r="A1157" s="2">
        <v>1960</v>
      </c>
      <c r="B1157">
        <v>43</v>
      </c>
      <c r="C1157">
        <v>3.2100000000000002E-3</v>
      </c>
      <c r="D1157">
        <v>3.2100000000000002E-3</v>
      </c>
      <c r="E1157">
        <v>0.5</v>
      </c>
      <c r="F1157">
        <v>88782</v>
      </c>
      <c r="G1157">
        <v>285</v>
      </c>
      <c r="H1157">
        <v>88639</v>
      </c>
      <c r="I1157">
        <v>2615528</v>
      </c>
    </row>
    <row r="1158" spans="1:9">
      <c r="A1158" s="2">
        <v>1960</v>
      </c>
      <c r="B1158">
        <v>44</v>
      </c>
      <c r="C1158">
        <v>3.5200000000000001E-3</v>
      </c>
      <c r="D1158">
        <v>3.5100000000000001E-3</v>
      </c>
      <c r="E1158">
        <v>0.5</v>
      </c>
      <c r="F1158">
        <v>88497</v>
      </c>
      <c r="G1158">
        <v>311</v>
      </c>
      <c r="H1158">
        <v>88342</v>
      </c>
      <c r="I1158">
        <v>2526889</v>
      </c>
    </row>
    <row r="1159" spans="1:9">
      <c r="A1159" s="2">
        <v>1960</v>
      </c>
      <c r="B1159">
        <v>45</v>
      </c>
      <c r="C1159">
        <v>3.96E-3</v>
      </c>
      <c r="D1159">
        <v>3.9500000000000004E-3</v>
      </c>
      <c r="E1159">
        <v>0.5</v>
      </c>
      <c r="F1159">
        <v>88186</v>
      </c>
      <c r="G1159">
        <v>348</v>
      </c>
      <c r="H1159">
        <v>88012</v>
      </c>
      <c r="I1159">
        <v>2438547</v>
      </c>
    </row>
    <row r="1160" spans="1:9">
      <c r="A1160" s="2">
        <v>1960</v>
      </c>
      <c r="B1160">
        <v>46</v>
      </c>
      <c r="C1160">
        <v>4.47E-3</v>
      </c>
      <c r="D1160">
        <v>4.4600000000000004E-3</v>
      </c>
      <c r="E1160">
        <v>0.5</v>
      </c>
      <c r="F1160">
        <v>87838</v>
      </c>
      <c r="G1160">
        <v>392</v>
      </c>
      <c r="H1160">
        <v>87642</v>
      </c>
      <c r="I1160">
        <v>2350535</v>
      </c>
    </row>
    <row r="1161" spans="1:9">
      <c r="A1161" s="2">
        <v>1960</v>
      </c>
      <c r="B1161">
        <v>47</v>
      </c>
      <c r="C1161">
        <v>5.3800000000000002E-3</v>
      </c>
      <c r="D1161">
        <v>5.3600000000000002E-3</v>
      </c>
      <c r="E1161">
        <v>0.5</v>
      </c>
      <c r="F1161">
        <v>87446</v>
      </c>
      <c r="G1161">
        <v>469</v>
      </c>
      <c r="H1161">
        <v>87212</v>
      </c>
      <c r="I1161">
        <v>2262893</v>
      </c>
    </row>
    <row r="1162" spans="1:9">
      <c r="A1162" s="2">
        <v>1960</v>
      </c>
      <c r="B1162">
        <v>48</v>
      </c>
      <c r="C1162">
        <v>6.3499999999999997E-3</v>
      </c>
      <c r="D1162">
        <v>6.3299999999999997E-3</v>
      </c>
      <c r="E1162">
        <v>0.5</v>
      </c>
      <c r="F1162">
        <v>86977</v>
      </c>
      <c r="G1162">
        <v>551</v>
      </c>
      <c r="H1162">
        <v>86702</v>
      </c>
      <c r="I1162">
        <v>2175681</v>
      </c>
    </row>
    <row r="1163" spans="1:9">
      <c r="A1163" s="2">
        <v>1960</v>
      </c>
      <c r="B1163">
        <v>49</v>
      </c>
      <c r="C1163">
        <v>6.4999999999999997E-3</v>
      </c>
      <c r="D1163">
        <v>6.4700000000000001E-3</v>
      </c>
      <c r="E1163">
        <v>0.5</v>
      </c>
      <c r="F1163">
        <v>86427</v>
      </c>
      <c r="G1163">
        <v>560</v>
      </c>
      <c r="H1163">
        <v>86147</v>
      </c>
      <c r="I1163">
        <v>2088980</v>
      </c>
    </row>
    <row r="1164" spans="1:9">
      <c r="A1164" s="2">
        <v>1960</v>
      </c>
      <c r="B1164">
        <v>50</v>
      </c>
      <c r="C1164">
        <v>7.2199999999999999E-3</v>
      </c>
      <c r="D1164">
        <v>7.1900000000000002E-3</v>
      </c>
      <c r="E1164">
        <v>0.5</v>
      </c>
      <c r="F1164">
        <v>85867</v>
      </c>
      <c r="G1164">
        <v>618</v>
      </c>
      <c r="H1164">
        <v>85558</v>
      </c>
      <c r="I1164">
        <v>2002833</v>
      </c>
    </row>
    <row r="1165" spans="1:9">
      <c r="A1165" s="2">
        <v>1960</v>
      </c>
      <c r="B1165">
        <v>51</v>
      </c>
      <c r="C1165">
        <v>7.9299999999999995E-3</v>
      </c>
      <c r="D1165">
        <v>7.9000000000000008E-3</v>
      </c>
      <c r="E1165">
        <v>0.5</v>
      </c>
      <c r="F1165">
        <v>85249</v>
      </c>
      <c r="G1165">
        <v>673</v>
      </c>
      <c r="H1165">
        <v>84913</v>
      </c>
      <c r="I1165">
        <v>1917275</v>
      </c>
    </row>
    <row r="1166" spans="1:9">
      <c r="A1166" s="2">
        <v>1960</v>
      </c>
      <c r="B1166">
        <v>52</v>
      </c>
      <c r="C1166">
        <v>8.4499999999999992E-3</v>
      </c>
      <c r="D1166">
        <v>8.4100000000000008E-3</v>
      </c>
      <c r="E1166">
        <v>0.5</v>
      </c>
      <c r="F1166">
        <v>84576</v>
      </c>
      <c r="G1166">
        <v>712</v>
      </c>
      <c r="H1166">
        <v>84220</v>
      </c>
      <c r="I1166">
        <v>1832362</v>
      </c>
    </row>
    <row r="1167" spans="1:9">
      <c r="A1167" s="2">
        <v>1960</v>
      </c>
      <c r="B1167">
        <v>53</v>
      </c>
      <c r="C1167">
        <v>9.8700000000000003E-3</v>
      </c>
      <c r="D1167">
        <v>9.8200000000000006E-3</v>
      </c>
      <c r="E1167">
        <v>0.5</v>
      </c>
      <c r="F1167">
        <v>83864</v>
      </c>
      <c r="G1167">
        <v>824</v>
      </c>
      <c r="H1167">
        <v>83452</v>
      </c>
      <c r="I1167">
        <v>1748142</v>
      </c>
    </row>
    <row r="1168" spans="1:9">
      <c r="A1168" s="2">
        <v>1960</v>
      </c>
      <c r="B1168">
        <v>54</v>
      </c>
      <c r="C1168">
        <v>1.1209999999999999E-2</v>
      </c>
      <c r="D1168">
        <v>1.115E-2</v>
      </c>
      <c r="E1168">
        <v>0.5</v>
      </c>
      <c r="F1168">
        <v>83041</v>
      </c>
      <c r="G1168">
        <v>926</v>
      </c>
      <c r="H1168">
        <v>82578</v>
      </c>
      <c r="I1168">
        <v>1664689</v>
      </c>
    </row>
    <row r="1169" spans="1:9">
      <c r="A1169" s="2">
        <v>1960</v>
      </c>
      <c r="B1169">
        <v>55</v>
      </c>
      <c r="C1169">
        <v>1.277E-2</v>
      </c>
      <c r="D1169">
        <v>1.269E-2</v>
      </c>
      <c r="E1169">
        <v>0.5</v>
      </c>
      <c r="F1169">
        <v>82115</v>
      </c>
      <c r="G1169">
        <v>1042</v>
      </c>
      <c r="H1169">
        <v>81594</v>
      </c>
      <c r="I1169">
        <v>1582111</v>
      </c>
    </row>
    <row r="1170" spans="1:9">
      <c r="A1170" s="2">
        <v>1960</v>
      </c>
      <c r="B1170">
        <v>56</v>
      </c>
      <c r="C1170">
        <v>1.3690000000000001E-2</v>
      </c>
      <c r="D1170">
        <v>1.3599999999999999E-2</v>
      </c>
      <c r="E1170">
        <v>0.5</v>
      </c>
      <c r="F1170">
        <v>81073</v>
      </c>
      <c r="G1170">
        <v>1102</v>
      </c>
      <c r="H1170">
        <v>80522</v>
      </c>
      <c r="I1170">
        <v>1500518</v>
      </c>
    </row>
    <row r="1171" spans="1:9">
      <c r="A1171" s="2">
        <v>1960</v>
      </c>
      <c r="B1171">
        <v>57</v>
      </c>
      <c r="C1171">
        <v>1.54E-2</v>
      </c>
      <c r="D1171">
        <v>1.528E-2</v>
      </c>
      <c r="E1171">
        <v>0.5</v>
      </c>
      <c r="F1171">
        <v>79971</v>
      </c>
      <c r="G1171">
        <v>1222</v>
      </c>
      <c r="H1171">
        <v>79360</v>
      </c>
      <c r="I1171">
        <v>1419996</v>
      </c>
    </row>
    <row r="1172" spans="1:9">
      <c r="A1172" s="2">
        <v>1960</v>
      </c>
      <c r="B1172">
        <v>58</v>
      </c>
      <c r="C1172">
        <v>1.797E-2</v>
      </c>
      <c r="D1172">
        <v>1.7809999999999999E-2</v>
      </c>
      <c r="E1172">
        <v>0.5</v>
      </c>
      <c r="F1172">
        <v>78749</v>
      </c>
      <c r="G1172">
        <v>1402</v>
      </c>
      <c r="H1172">
        <v>78047</v>
      </c>
      <c r="I1172">
        <v>1340636</v>
      </c>
    </row>
    <row r="1173" spans="1:9">
      <c r="A1173" s="2">
        <v>1960</v>
      </c>
      <c r="B1173">
        <v>59</v>
      </c>
      <c r="C1173">
        <v>1.831E-2</v>
      </c>
      <c r="D1173">
        <v>1.8149999999999999E-2</v>
      </c>
      <c r="E1173">
        <v>0.5</v>
      </c>
      <c r="F1173">
        <v>77346</v>
      </c>
      <c r="G1173">
        <v>1404</v>
      </c>
      <c r="H1173">
        <v>76644</v>
      </c>
      <c r="I1173">
        <v>1262589</v>
      </c>
    </row>
    <row r="1174" spans="1:9">
      <c r="A1174" s="2">
        <v>1960</v>
      </c>
      <c r="B1174">
        <v>60</v>
      </c>
      <c r="C1174">
        <v>2.249E-2</v>
      </c>
      <c r="D1174">
        <v>2.2239999999999999E-2</v>
      </c>
      <c r="E1174">
        <v>0.5</v>
      </c>
      <c r="F1174">
        <v>75943</v>
      </c>
      <c r="G1174">
        <v>1689</v>
      </c>
      <c r="H1174">
        <v>75098</v>
      </c>
      <c r="I1174">
        <v>1185945</v>
      </c>
    </row>
    <row r="1175" spans="1:9">
      <c r="A1175" s="2">
        <v>1960</v>
      </c>
      <c r="B1175">
        <v>61</v>
      </c>
      <c r="C1175">
        <v>2.0629999999999999E-2</v>
      </c>
      <c r="D1175">
        <v>2.0420000000000001E-2</v>
      </c>
      <c r="E1175">
        <v>0.5</v>
      </c>
      <c r="F1175">
        <v>74254</v>
      </c>
      <c r="G1175">
        <v>1516</v>
      </c>
      <c r="H1175">
        <v>73496</v>
      </c>
      <c r="I1175">
        <v>1110846</v>
      </c>
    </row>
    <row r="1176" spans="1:9">
      <c r="A1176" s="2">
        <v>1960</v>
      </c>
      <c r="B1176">
        <v>62</v>
      </c>
      <c r="C1176">
        <v>2.298E-2</v>
      </c>
      <c r="D1176">
        <v>2.2720000000000001E-2</v>
      </c>
      <c r="E1176">
        <v>0.5</v>
      </c>
      <c r="F1176">
        <v>72738</v>
      </c>
      <c r="G1176">
        <v>1653</v>
      </c>
      <c r="H1176">
        <v>71911</v>
      </c>
      <c r="I1176">
        <v>1037351</v>
      </c>
    </row>
    <row r="1177" spans="1:9">
      <c r="A1177" s="2">
        <v>1960</v>
      </c>
      <c r="B1177">
        <v>63</v>
      </c>
      <c r="C1177">
        <v>2.6460000000000001E-2</v>
      </c>
      <c r="D1177">
        <v>2.6110000000000001E-2</v>
      </c>
      <c r="E1177">
        <v>0.5</v>
      </c>
      <c r="F1177">
        <v>71085</v>
      </c>
      <c r="G1177">
        <v>1856</v>
      </c>
      <c r="H1177">
        <v>70157</v>
      </c>
      <c r="I1177">
        <v>965439</v>
      </c>
    </row>
    <row r="1178" spans="1:9">
      <c r="A1178" s="2">
        <v>1960</v>
      </c>
      <c r="B1178">
        <v>64</v>
      </c>
      <c r="C1178">
        <v>2.9690000000000001E-2</v>
      </c>
      <c r="D1178">
        <v>2.9260000000000001E-2</v>
      </c>
      <c r="E1178">
        <v>0.5</v>
      </c>
      <c r="F1178">
        <v>69229</v>
      </c>
      <c r="G1178">
        <v>2025</v>
      </c>
      <c r="H1178">
        <v>68216</v>
      </c>
      <c r="I1178">
        <v>895283</v>
      </c>
    </row>
    <row r="1179" spans="1:9">
      <c r="A1179" s="2">
        <v>1960</v>
      </c>
      <c r="B1179">
        <v>65</v>
      </c>
      <c r="C1179">
        <v>3.1719999999999998E-2</v>
      </c>
      <c r="D1179">
        <v>3.1230000000000001E-2</v>
      </c>
      <c r="E1179">
        <v>0.5</v>
      </c>
      <c r="F1179">
        <v>67203</v>
      </c>
      <c r="G1179">
        <v>2099</v>
      </c>
      <c r="H1179">
        <v>66154</v>
      </c>
      <c r="I1179">
        <v>827067</v>
      </c>
    </row>
    <row r="1180" spans="1:9">
      <c r="A1180" s="2">
        <v>1960</v>
      </c>
      <c r="B1180">
        <v>66</v>
      </c>
      <c r="C1180">
        <v>3.5340000000000003E-2</v>
      </c>
      <c r="D1180">
        <v>3.4729999999999997E-2</v>
      </c>
      <c r="E1180">
        <v>0.5</v>
      </c>
      <c r="F1180">
        <v>65105</v>
      </c>
      <c r="G1180">
        <v>2261</v>
      </c>
      <c r="H1180">
        <v>63974</v>
      </c>
      <c r="I1180">
        <v>760913</v>
      </c>
    </row>
    <row r="1181" spans="1:9">
      <c r="A1181" s="2">
        <v>1960</v>
      </c>
      <c r="B1181">
        <v>67</v>
      </c>
      <c r="C1181">
        <v>3.9070000000000001E-2</v>
      </c>
      <c r="D1181">
        <v>3.832E-2</v>
      </c>
      <c r="E1181">
        <v>0.5</v>
      </c>
      <c r="F1181">
        <v>62844</v>
      </c>
      <c r="G1181">
        <v>2408</v>
      </c>
      <c r="H1181">
        <v>61639</v>
      </c>
      <c r="I1181">
        <v>696938</v>
      </c>
    </row>
    <row r="1182" spans="1:9">
      <c r="A1182" s="2">
        <v>1960</v>
      </c>
      <c r="B1182">
        <v>68</v>
      </c>
      <c r="C1182">
        <v>4.2939999999999999E-2</v>
      </c>
      <c r="D1182">
        <v>4.2040000000000001E-2</v>
      </c>
      <c r="E1182">
        <v>0.5</v>
      </c>
      <c r="F1182">
        <v>60435</v>
      </c>
      <c r="G1182">
        <v>2541</v>
      </c>
      <c r="H1182">
        <v>59165</v>
      </c>
      <c r="I1182">
        <v>635299</v>
      </c>
    </row>
    <row r="1183" spans="1:9">
      <c r="A1183" s="2">
        <v>1960</v>
      </c>
      <c r="B1183">
        <v>69</v>
      </c>
      <c r="C1183">
        <v>4.6109999999999998E-2</v>
      </c>
      <c r="D1183">
        <v>4.5069999999999999E-2</v>
      </c>
      <c r="E1183">
        <v>0.5</v>
      </c>
      <c r="F1183">
        <v>57895</v>
      </c>
      <c r="G1183">
        <v>2609</v>
      </c>
      <c r="H1183">
        <v>56590</v>
      </c>
      <c r="I1183">
        <v>576134</v>
      </c>
    </row>
    <row r="1184" spans="1:9">
      <c r="A1184" s="2">
        <v>1960</v>
      </c>
      <c r="B1184">
        <v>70</v>
      </c>
      <c r="C1184">
        <v>5.178E-2</v>
      </c>
      <c r="D1184">
        <v>5.0479999999999997E-2</v>
      </c>
      <c r="E1184">
        <v>0.5</v>
      </c>
      <c r="F1184">
        <v>55285</v>
      </c>
      <c r="G1184">
        <v>2791</v>
      </c>
      <c r="H1184">
        <v>53890</v>
      </c>
      <c r="I1184">
        <v>519544</v>
      </c>
    </row>
    <row r="1185" spans="1:9">
      <c r="A1185" s="2">
        <v>1960</v>
      </c>
      <c r="B1185">
        <v>71</v>
      </c>
      <c r="C1185">
        <v>5.6779999999999997E-2</v>
      </c>
      <c r="D1185">
        <v>5.5210000000000002E-2</v>
      </c>
      <c r="E1185">
        <v>0.5</v>
      </c>
      <c r="F1185">
        <v>52495</v>
      </c>
      <c r="G1185">
        <v>2898</v>
      </c>
      <c r="H1185">
        <v>51046</v>
      </c>
      <c r="I1185">
        <v>465654</v>
      </c>
    </row>
    <row r="1186" spans="1:9">
      <c r="A1186" s="2">
        <v>1960</v>
      </c>
      <c r="B1186">
        <v>72</v>
      </c>
      <c r="C1186">
        <v>6.2719999999999998E-2</v>
      </c>
      <c r="D1186">
        <v>6.0819999999999999E-2</v>
      </c>
      <c r="E1186">
        <v>0.5</v>
      </c>
      <c r="F1186">
        <v>49596</v>
      </c>
      <c r="G1186">
        <v>3016</v>
      </c>
      <c r="H1186">
        <v>48088</v>
      </c>
      <c r="I1186">
        <v>414609</v>
      </c>
    </row>
    <row r="1187" spans="1:9">
      <c r="A1187" s="2">
        <v>1960</v>
      </c>
      <c r="B1187">
        <v>73</v>
      </c>
      <c r="C1187">
        <v>6.9940000000000002E-2</v>
      </c>
      <c r="D1187">
        <v>6.7580000000000001E-2</v>
      </c>
      <c r="E1187">
        <v>0.5</v>
      </c>
      <c r="F1187">
        <v>46580</v>
      </c>
      <c r="G1187">
        <v>3148</v>
      </c>
      <c r="H1187">
        <v>45006</v>
      </c>
      <c r="I1187">
        <v>366520</v>
      </c>
    </row>
    <row r="1188" spans="1:9">
      <c r="A1188" s="2">
        <v>1960</v>
      </c>
      <c r="B1188">
        <v>74</v>
      </c>
      <c r="C1188">
        <v>7.6420000000000002E-2</v>
      </c>
      <c r="D1188">
        <v>7.3599999999999999E-2</v>
      </c>
      <c r="E1188">
        <v>0.5</v>
      </c>
      <c r="F1188">
        <v>43432</v>
      </c>
      <c r="G1188">
        <v>3197</v>
      </c>
      <c r="H1188">
        <v>41834</v>
      </c>
      <c r="I1188">
        <v>321514</v>
      </c>
    </row>
    <row r="1189" spans="1:9">
      <c r="A1189" s="2">
        <v>1960</v>
      </c>
      <c r="B1189">
        <v>75</v>
      </c>
      <c r="C1189">
        <v>8.2549999999999998E-2</v>
      </c>
      <c r="D1189">
        <v>7.9280000000000003E-2</v>
      </c>
      <c r="E1189">
        <v>0.5</v>
      </c>
      <c r="F1189">
        <v>40235</v>
      </c>
      <c r="G1189">
        <v>3190</v>
      </c>
      <c r="H1189">
        <v>38641</v>
      </c>
      <c r="I1189">
        <v>279680</v>
      </c>
    </row>
    <row r="1190" spans="1:9">
      <c r="A1190" s="2">
        <v>1960</v>
      </c>
      <c r="B1190">
        <v>76</v>
      </c>
      <c r="C1190">
        <v>9.3950000000000006E-2</v>
      </c>
      <c r="D1190">
        <v>8.9730000000000004E-2</v>
      </c>
      <c r="E1190">
        <v>0.5</v>
      </c>
      <c r="F1190">
        <v>37046</v>
      </c>
      <c r="G1190">
        <v>3324</v>
      </c>
      <c r="H1190">
        <v>35383</v>
      </c>
      <c r="I1190">
        <v>241040</v>
      </c>
    </row>
    <row r="1191" spans="1:9">
      <c r="A1191" s="2">
        <v>1960</v>
      </c>
      <c r="B1191">
        <v>77</v>
      </c>
      <c r="C1191">
        <v>0.10375</v>
      </c>
      <c r="D1191">
        <v>9.8629999999999995E-2</v>
      </c>
      <c r="E1191">
        <v>0.5</v>
      </c>
      <c r="F1191">
        <v>33721</v>
      </c>
      <c r="G1191">
        <v>3326</v>
      </c>
      <c r="H1191">
        <v>32058</v>
      </c>
      <c r="I1191">
        <v>205656</v>
      </c>
    </row>
    <row r="1192" spans="1:9">
      <c r="A1192" s="2">
        <v>1960</v>
      </c>
      <c r="B1192">
        <v>78</v>
      </c>
      <c r="C1192">
        <v>0.11897000000000001</v>
      </c>
      <c r="D1192">
        <v>0.11229</v>
      </c>
      <c r="E1192">
        <v>0.5</v>
      </c>
      <c r="F1192">
        <v>30395</v>
      </c>
      <c r="G1192">
        <v>3413</v>
      </c>
      <c r="H1192">
        <v>28689</v>
      </c>
      <c r="I1192">
        <v>173598</v>
      </c>
    </row>
    <row r="1193" spans="1:9">
      <c r="A1193" s="2">
        <v>1960</v>
      </c>
      <c r="B1193">
        <v>79</v>
      </c>
      <c r="C1193">
        <v>0.12228</v>
      </c>
      <c r="D1193">
        <v>0.11524</v>
      </c>
      <c r="E1193">
        <v>0.5</v>
      </c>
      <c r="F1193">
        <v>26982</v>
      </c>
      <c r="G1193">
        <v>3109</v>
      </c>
      <c r="H1193">
        <v>25427</v>
      </c>
      <c r="I1193">
        <v>144909</v>
      </c>
    </row>
    <row r="1194" spans="1:9">
      <c r="A1194" s="2">
        <v>1960</v>
      </c>
      <c r="B1194">
        <v>80</v>
      </c>
      <c r="C1194">
        <v>0.13827</v>
      </c>
      <c r="D1194">
        <v>0.12931999999999999</v>
      </c>
      <c r="E1194">
        <v>0.5</v>
      </c>
      <c r="F1194">
        <v>23873</v>
      </c>
      <c r="G1194">
        <v>3087</v>
      </c>
      <c r="H1194">
        <v>22329</v>
      </c>
      <c r="I1194">
        <v>119482</v>
      </c>
    </row>
    <row r="1195" spans="1:9">
      <c r="A1195" s="2">
        <v>1960</v>
      </c>
      <c r="B1195">
        <v>81</v>
      </c>
      <c r="C1195">
        <v>0.15034</v>
      </c>
      <c r="D1195">
        <v>0.13983000000000001</v>
      </c>
      <c r="E1195">
        <v>0.5</v>
      </c>
      <c r="F1195">
        <v>20785</v>
      </c>
      <c r="G1195">
        <v>2906</v>
      </c>
      <c r="H1195">
        <v>19332</v>
      </c>
      <c r="I1195">
        <v>97153</v>
      </c>
    </row>
    <row r="1196" spans="1:9">
      <c r="A1196" s="2">
        <v>1960</v>
      </c>
      <c r="B1196">
        <v>82</v>
      </c>
      <c r="C1196">
        <v>0.16633000000000001</v>
      </c>
      <c r="D1196">
        <v>0.15356</v>
      </c>
      <c r="E1196">
        <v>0.5</v>
      </c>
      <c r="F1196">
        <v>17879</v>
      </c>
      <c r="G1196">
        <v>2745</v>
      </c>
      <c r="H1196">
        <v>16506</v>
      </c>
      <c r="I1196">
        <v>77820</v>
      </c>
    </row>
    <row r="1197" spans="1:9">
      <c r="A1197" s="2">
        <v>1960</v>
      </c>
      <c r="B1197">
        <v>83</v>
      </c>
      <c r="C1197">
        <v>0.17973</v>
      </c>
      <c r="D1197">
        <v>0.16491</v>
      </c>
      <c r="E1197">
        <v>0.5</v>
      </c>
      <c r="F1197">
        <v>15134</v>
      </c>
      <c r="G1197">
        <v>2496</v>
      </c>
      <c r="H1197">
        <v>13886</v>
      </c>
      <c r="I1197">
        <v>61314</v>
      </c>
    </row>
    <row r="1198" spans="1:9">
      <c r="A1198" s="2">
        <v>1960</v>
      </c>
      <c r="B1198">
        <v>84</v>
      </c>
      <c r="C1198">
        <v>0.20676</v>
      </c>
      <c r="D1198">
        <v>0.18739</v>
      </c>
      <c r="E1198">
        <v>0.5</v>
      </c>
      <c r="F1198">
        <v>12638</v>
      </c>
      <c r="G1198">
        <v>2368</v>
      </c>
      <c r="H1198">
        <v>11454</v>
      </c>
      <c r="I1198">
        <v>47429</v>
      </c>
    </row>
    <row r="1199" spans="1:9">
      <c r="A1199" s="2">
        <v>1960</v>
      </c>
      <c r="B1199">
        <v>85</v>
      </c>
      <c r="C1199">
        <v>0.21423</v>
      </c>
      <c r="D1199">
        <v>0.19350000000000001</v>
      </c>
      <c r="E1199">
        <v>0.5</v>
      </c>
      <c r="F1199">
        <v>10270</v>
      </c>
      <c r="G1199">
        <v>1987</v>
      </c>
      <c r="H1199">
        <v>9276</v>
      </c>
      <c r="I1199">
        <v>35975</v>
      </c>
    </row>
    <row r="1200" spans="1:9">
      <c r="A1200" s="2">
        <v>1960</v>
      </c>
      <c r="B1200">
        <v>86</v>
      </c>
      <c r="C1200">
        <v>0.25663000000000002</v>
      </c>
      <c r="D1200">
        <v>0.22745000000000001</v>
      </c>
      <c r="E1200">
        <v>0.5</v>
      </c>
      <c r="F1200">
        <v>8282</v>
      </c>
      <c r="G1200">
        <v>1884</v>
      </c>
      <c r="H1200">
        <v>7340</v>
      </c>
      <c r="I1200">
        <v>26699</v>
      </c>
    </row>
    <row r="1201" spans="1:9">
      <c r="A1201" s="2">
        <v>1960</v>
      </c>
      <c r="B1201">
        <v>87</v>
      </c>
      <c r="C1201">
        <v>0.27833999999999998</v>
      </c>
      <c r="D1201">
        <v>0.24434</v>
      </c>
      <c r="E1201">
        <v>0.5</v>
      </c>
      <c r="F1201">
        <v>6399</v>
      </c>
      <c r="G1201">
        <v>1563</v>
      </c>
      <c r="H1201">
        <v>5617</v>
      </c>
      <c r="I1201">
        <v>19359</v>
      </c>
    </row>
    <row r="1202" spans="1:9">
      <c r="A1202" s="2">
        <v>1960</v>
      </c>
      <c r="B1202">
        <v>88</v>
      </c>
      <c r="C1202">
        <v>0.30415999999999999</v>
      </c>
      <c r="D1202">
        <v>0.26401000000000002</v>
      </c>
      <c r="E1202">
        <v>0.5</v>
      </c>
      <c r="F1202">
        <v>4835</v>
      </c>
      <c r="G1202">
        <v>1277</v>
      </c>
      <c r="H1202">
        <v>4197</v>
      </c>
      <c r="I1202">
        <v>13742</v>
      </c>
    </row>
    <row r="1203" spans="1:9">
      <c r="A1203" s="2">
        <v>1960</v>
      </c>
      <c r="B1203">
        <v>89</v>
      </c>
      <c r="C1203">
        <v>0.32313999999999998</v>
      </c>
      <c r="D1203">
        <v>0.27818999999999999</v>
      </c>
      <c r="E1203">
        <v>0.5</v>
      </c>
      <c r="F1203">
        <v>3559</v>
      </c>
      <c r="G1203">
        <v>990</v>
      </c>
      <c r="H1203">
        <v>3064</v>
      </c>
      <c r="I1203">
        <v>9545</v>
      </c>
    </row>
    <row r="1204" spans="1:9">
      <c r="A1204" s="2">
        <v>1960</v>
      </c>
      <c r="B1204">
        <v>90</v>
      </c>
      <c r="C1204">
        <v>0.37456</v>
      </c>
      <c r="D1204">
        <v>0.31547999999999998</v>
      </c>
      <c r="E1204">
        <v>0.5</v>
      </c>
      <c r="F1204">
        <v>2569</v>
      </c>
      <c r="G1204">
        <v>810</v>
      </c>
      <c r="H1204">
        <v>2163</v>
      </c>
      <c r="I1204">
        <v>6481</v>
      </c>
    </row>
    <row r="1205" spans="1:9">
      <c r="A1205" s="2">
        <v>1960</v>
      </c>
      <c r="B1205">
        <v>91</v>
      </c>
      <c r="C1205">
        <v>0.33709</v>
      </c>
      <c r="D1205">
        <v>0.28847</v>
      </c>
      <c r="E1205">
        <v>0.5</v>
      </c>
      <c r="F1205">
        <v>1758</v>
      </c>
      <c r="G1205">
        <v>507</v>
      </c>
      <c r="H1205">
        <v>1505</v>
      </c>
      <c r="I1205">
        <v>4318</v>
      </c>
    </row>
    <row r="1206" spans="1:9">
      <c r="A1206" s="2">
        <v>1960</v>
      </c>
      <c r="B1206">
        <v>92</v>
      </c>
      <c r="C1206">
        <v>0.39704</v>
      </c>
      <c r="D1206">
        <v>0.33127000000000001</v>
      </c>
      <c r="E1206">
        <v>0.5</v>
      </c>
      <c r="F1206">
        <v>1251</v>
      </c>
      <c r="G1206">
        <v>414</v>
      </c>
      <c r="H1206">
        <v>1044</v>
      </c>
      <c r="I1206">
        <v>2813</v>
      </c>
    </row>
    <row r="1207" spans="1:9">
      <c r="A1207" s="2">
        <v>1960</v>
      </c>
      <c r="B1207">
        <v>93</v>
      </c>
      <c r="C1207">
        <v>0.43036000000000002</v>
      </c>
      <c r="D1207">
        <v>0.35415999999999997</v>
      </c>
      <c r="E1207">
        <v>0.5</v>
      </c>
      <c r="F1207">
        <v>837</v>
      </c>
      <c r="G1207">
        <v>296</v>
      </c>
      <c r="H1207">
        <v>688</v>
      </c>
      <c r="I1207">
        <v>1769</v>
      </c>
    </row>
    <row r="1208" spans="1:9">
      <c r="A1208" s="2">
        <v>1960</v>
      </c>
      <c r="B1208">
        <v>94</v>
      </c>
      <c r="C1208">
        <v>0.46005000000000001</v>
      </c>
      <c r="D1208">
        <v>0.37402000000000002</v>
      </c>
      <c r="E1208">
        <v>0.5</v>
      </c>
      <c r="F1208">
        <v>540</v>
      </c>
      <c r="G1208">
        <v>202</v>
      </c>
      <c r="H1208">
        <v>439</v>
      </c>
      <c r="I1208">
        <v>1081</v>
      </c>
    </row>
    <row r="1209" spans="1:9">
      <c r="A1209" s="2">
        <v>1960</v>
      </c>
      <c r="B1209">
        <v>95</v>
      </c>
      <c r="C1209">
        <v>0.49002000000000001</v>
      </c>
      <c r="D1209">
        <v>0.39359</v>
      </c>
      <c r="E1209">
        <v>0.5</v>
      </c>
      <c r="F1209">
        <v>338</v>
      </c>
      <c r="G1209">
        <v>133</v>
      </c>
      <c r="H1209">
        <v>272</v>
      </c>
      <c r="I1209">
        <v>641</v>
      </c>
    </row>
    <row r="1210" spans="1:9">
      <c r="A1210" s="2">
        <v>1960</v>
      </c>
      <c r="B1210">
        <v>96</v>
      </c>
      <c r="C1210">
        <v>0.52005999999999997</v>
      </c>
      <c r="D1210">
        <v>0.41274</v>
      </c>
      <c r="E1210">
        <v>0.5</v>
      </c>
      <c r="F1210">
        <v>205</v>
      </c>
      <c r="G1210">
        <v>85</v>
      </c>
      <c r="H1210">
        <v>163</v>
      </c>
      <c r="I1210">
        <v>370</v>
      </c>
    </row>
    <row r="1211" spans="1:9">
      <c r="A1211" s="2">
        <v>1960</v>
      </c>
      <c r="B1211">
        <v>97</v>
      </c>
      <c r="C1211">
        <v>0.54996</v>
      </c>
      <c r="D1211">
        <v>0.43135000000000001</v>
      </c>
      <c r="E1211">
        <v>0.5</v>
      </c>
      <c r="F1211">
        <v>120</v>
      </c>
      <c r="G1211">
        <v>52</v>
      </c>
      <c r="H1211">
        <v>94</v>
      </c>
      <c r="I1211">
        <v>207</v>
      </c>
    </row>
    <row r="1212" spans="1:9">
      <c r="A1212" s="2">
        <v>1960</v>
      </c>
      <c r="B1212">
        <v>98</v>
      </c>
      <c r="C1212">
        <v>0.57950000000000002</v>
      </c>
      <c r="D1212">
        <v>0.44930999999999999</v>
      </c>
      <c r="E1212">
        <v>0.5</v>
      </c>
      <c r="F1212">
        <v>68</v>
      </c>
      <c r="G1212">
        <v>31</v>
      </c>
      <c r="H1212">
        <v>53</v>
      </c>
      <c r="I1212">
        <v>112</v>
      </c>
    </row>
    <row r="1213" spans="1:9">
      <c r="A1213" s="2">
        <v>1960</v>
      </c>
      <c r="B1213">
        <v>99</v>
      </c>
      <c r="C1213">
        <v>0.60848000000000002</v>
      </c>
      <c r="D1213">
        <v>0.46654000000000001</v>
      </c>
      <c r="E1213">
        <v>0.5</v>
      </c>
      <c r="F1213">
        <v>38</v>
      </c>
      <c r="G1213">
        <v>18</v>
      </c>
      <c r="H1213">
        <v>29</v>
      </c>
      <c r="I1213">
        <v>59</v>
      </c>
    </row>
    <row r="1214" spans="1:9">
      <c r="A1214" s="2">
        <v>1960</v>
      </c>
      <c r="B1214">
        <v>100</v>
      </c>
      <c r="C1214">
        <v>0.63671999999999995</v>
      </c>
      <c r="D1214">
        <v>0.48296</v>
      </c>
      <c r="E1214">
        <v>0.5</v>
      </c>
      <c r="F1214">
        <v>20</v>
      </c>
      <c r="G1214">
        <v>10</v>
      </c>
      <c r="H1214">
        <v>15</v>
      </c>
      <c r="I1214">
        <v>30</v>
      </c>
    </row>
    <row r="1215" spans="1:9">
      <c r="A1215" s="2">
        <v>1960</v>
      </c>
      <c r="B1215">
        <v>101</v>
      </c>
      <c r="C1215">
        <v>0.66403999999999996</v>
      </c>
      <c r="D1215">
        <v>0.49852000000000002</v>
      </c>
      <c r="E1215">
        <v>0.5</v>
      </c>
      <c r="F1215">
        <v>10</v>
      </c>
      <c r="G1215">
        <v>5</v>
      </c>
      <c r="H1215">
        <v>8</v>
      </c>
      <c r="I1215">
        <v>15</v>
      </c>
    </row>
    <row r="1216" spans="1:9">
      <c r="A1216" s="2">
        <v>1960</v>
      </c>
      <c r="B1216">
        <v>102</v>
      </c>
      <c r="C1216">
        <v>0.69030999999999998</v>
      </c>
      <c r="D1216">
        <v>0.51317999999999997</v>
      </c>
      <c r="E1216">
        <v>0.5</v>
      </c>
      <c r="F1216">
        <v>5</v>
      </c>
      <c r="G1216">
        <v>3</v>
      </c>
      <c r="H1216">
        <v>4</v>
      </c>
      <c r="I1216">
        <v>7</v>
      </c>
    </row>
    <row r="1217" spans="1:9">
      <c r="A1217" s="2">
        <v>1960</v>
      </c>
      <c r="B1217">
        <v>103</v>
      </c>
      <c r="C1217">
        <v>0.71540999999999999</v>
      </c>
      <c r="D1217">
        <v>0.52692000000000005</v>
      </c>
      <c r="E1217">
        <v>0.5</v>
      </c>
      <c r="F1217">
        <v>3</v>
      </c>
      <c r="G1217">
        <v>1</v>
      </c>
      <c r="H1217">
        <v>2</v>
      </c>
      <c r="I1217">
        <v>3</v>
      </c>
    </row>
    <row r="1218" spans="1:9">
      <c r="A1218" s="2">
        <v>1960</v>
      </c>
      <c r="B1218">
        <v>104</v>
      </c>
      <c r="C1218">
        <v>0.73924000000000001</v>
      </c>
      <c r="D1218">
        <v>0.53974</v>
      </c>
      <c r="E1218">
        <v>0.5</v>
      </c>
      <c r="F1218">
        <v>1</v>
      </c>
      <c r="G1218">
        <v>1</v>
      </c>
      <c r="H1218">
        <v>1</v>
      </c>
      <c r="I1218">
        <v>2</v>
      </c>
    </row>
    <row r="1219" spans="1:9">
      <c r="A1219" s="2">
        <v>1960</v>
      </c>
      <c r="B1219">
        <v>105</v>
      </c>
      <c r="C1219">
        <v>0.76173999999999997</v>
      </c>
      <c r="D1219">
        <v>0.55164000000000002</v>
      </c>
      <c r="E1219">
        <v>0.5</v>
      </c>
      <c r="F1219">
        <v>1</v>
      </c>
      <c r="G1219">
        <v>0</v>
      </c>
      <c r="H1219">
        <v>0</v>
      </c>
      <c r="I1219">
        <v>1</v>
      </c>
    </row>
    <row r="1220" spans="1:9">
      <c r="A1220" s="2">
        <v>1960</v>
      </c>
      <c r="B1220">
        <v>106</v>
      </c>
      <c r="C1220">
        <v>0.78286999999999995</v>
      </c>
      <c r="D1220">
        <v>0.56262999999999996</v>
      </c>
      <c r="E1220">
        <v>0.5</v>
      </c>
      <c r="F1220">
        <v>0</v>
      </c>
      <c r="G1220">
        <v>0</v>
      </c>
      <c r="H1220">
        <v>0</v>
      </c>
      <c r="I1220">
        <v>0</v>
      </c>
    </row>
    <row r="1221" spans="1:9">
      <c r="A1221" s="2">
        <v>1960</v>
      </c>
      <c r="B1221">
        <v>107</v>
      </c>
      <c r="C1221">
        <v>0.80261000000000005</v>
      </c>
      <c r="D1221">
        <v>0.57276000000000005</v>
      </c>
      <c r="E1221">
        <v>0.5</v>
      </c>
      <c r="F1221">
        <v>0</v>
      </c>
      <c r="G1221">
        <v>0</v>
      </c>
      <c r="H1221">
        <v>0</v>
      </c>
      <c r="I1221">
        <v>0</v>
      </c>
    </row>
    <row r="1222" spans="1:9">
      <c r="A1222" s="2">
        <v>1960</v>
      </c>
      <c r="B1222">
        <v>108</v>
      </c>
      <c r="C1222">
        <v>0.82096000000000002</v>
      </c>
      <c r="D1222">
        <v>0.58204</v>
      </c>
      <c r="E1222">
        <v>0.5</v>
      </c>
      <c r="F1222">
        <v>0</v>
      </c>
      <c r="G1222">
        <v>0</v>
      </c>
      <c r="H1222">
        <v>0</v>
      </c>
      <c r="I1222">
        <v>0</v>
      </c>
    </row>
    <row r="1223" spans="1:9">
      <c r="A1223" s="2">
        <v>1960</v>
      </c>
      <c r="B1223">
        <v>109</v>
      </c>
      <c r="C1223">
        <v>0.83796000000000004</v>
      </c>
      <c r="D1223">
        <v>0.59053</v>
      </c>
      <c r="E1223">
        <v>0.5</v>
      </c>
      <c r="F1223">
        <v>0</v>
      </c>
      <c r="G1223">
        <v>0</v>
      </c>
      <c r="H1223">
        <v>0</v>
      </c>
      <c r="I1223">
        <v>0</v>
      </c>
    </row>
    <row r="1224" spans="1:9">
      <c r="A1224" s="2">
        <v>1960</v>
      </c>
      <c r="B1224" t="s">
        <v>26</v>
      </c>
      <c r="C1224">
        <v>0.85362000000000005</v>
      </c>
      <c r="D1224">
        <v>1</v>
      </c>
      <c r="E1224" s="3" t="s">
        <v>34</v>
      </c>
      <c r="F1224">
        <v>0</v>
      </c>
      <c r="G1224">
        <v>0</v>
      </c>
      <c r="H1224">
        <v>0</v>
      </c>
      <c r="I1224">
        <v>0</v>
      </c>
    </row>
    <row r="1225" spans="1:9">
      <c r="A1225" s="2">
        <v>1961</v>
      </c>
      <c r="B1225">
        <v>0</v>
      </c>
      <c r="C1225">
        <v>4.9680000000000002E-2</v>
      </c>
      <c r="D1225">
        <v>4.7759999999999997E-2</v>
      </c>
      <c r="E1225">
        <v>0.19</v>
      </c>
      <c r="F1225">
        <v>100000</v>
      </c>
      <c r="G1225">
        <v>4776</v>
      </c>
      <c r="H1225">
        <v>96133</v>
      </c>
      <c r="I1225">
        <v>6676303</v>
      </c>
    </row>
    <row r="1226" spans="1:9">
      <c r="A1226" s="2">
        <v>1961</v>
      </c>
      <c r="B1226">
        <v>1</v>
      </c>
      <c r="C1226">
        <v>3.16E-3</v>
      </c>
      <c r="D1226">
        <v>3.16E-3</v>
      </c>
      <c r="E1226">
        <v>0.5</v>
      </c>
      <c r="F1226">
        <v>95224</v>
      </c>
      <c r="G1226">
        <v>301</v>
      </c>
      <c r="H1226">
        <v>95074</v>
      </c>
      <c r="I1226">
        <v>6580170</v>
      </c>
    </row>
    <row r="1227" spans="1:9">
      <c r="A1227" s="2">
        <v>1961</v>
      </c>
      <c r="B1227">
        <v>2</v>
      </c>
      <c r="C1227">
        <v>1.31E-3</v>
      </c>
      <c r="D1227">
        <v>1.31E-3</v>
      </c>
      <c r="E1227">
        <v>0.5</v>
      </c>
      <c r="F1227">
        <v>94924</v>
      </c>
      <c r="G1227">
        <v>125</v>
      </c>
      <c r="H1227">
        <v>94861</v>
      </c>
      <c r="I1227">
        <v>6485096</v>
      </c>
    </row>
    <row r="1228" spans="1:9">
      <c r="A1228" s="2">
        <v>1961</v>
      </c>
      <c r="B1228">
        <v>3</v>
      </c>
      <c r="C1228">
        <v>1.0399999999999999E-3</v>
      </c>
      <c r="D1228">
        <v>1.0399999999999999E-3</v>
      </c>
      <c r="E1228">
        <v>0.5</v>
      </c>
      <c r="F1228">
        <v>94799</v>
      </c>
      <c r="G1228">
        <v>99</v>
      </c>
      <c r="H1228">
        <v>94750</v>
      </c>
      <c r="I1228">
        <v>6390234</v>
      </c>
    </row>
    <row r="1229" spans="1:9">
      <c r="A1229" s="2">
        <v>1961</v>
      </c>
      <c r="B1229">
        <v>4</v>
      </c>
      <c r="C1229">
        <v>6.0999999999999997E-4</v>
      </c>
      <c r="D1229">
        <v>6.0999999999999997E-4</v>
      </c>
      <c r="E1229">
        <v>0.5</v>
      </c>
      <c r="F1229">
        <v>94700</v>
      </c>
      <c r="G1229">
        <v>58</v>
      </c>
      <c r="H1229">
        <v>94671</v>
      </c>
      <c r="I1229">
        <v>6295484</v>
      </c>
    </row>
    <row r="1230" spans="1:9">
      <c r="A1230" s="2">
        <v>1961</v>
      </c>
      <c r="B1230">
        <v>5</v>
      </c>
      <c r="C1230">
        <v>6.4999999999999997E-4</v>
      </c>
      <c r="D1230">
        <v>6.4999999999999997E-4</v>
      </c>
      <c r="E1230">
        <v>0.5</v>
      </c>
      <c r="F1230">
        <v>94643</v>
      </c>
      <c r="G1230">
        <v>62</v>
      </c>
      <c r="H1230">
        <v>94612</v>
      </c>
      <c r="I1230">
        <v>6200813</v>
      </c>
    </row>
    <row r="1231" spans="1:9">
      <c r="A1231" s="2">
        <v>1961</v>
      </c>
      <c r="B1231">
        <v>6</v>
      </c>
      <c r="C1231">
        <v>5.5000000000000003E-4</v>
      </c>
      <c r="D1231">
        <v>5.5000000000000003E-4</v>
      </c>
      <c r="E1231">
        <v>0.5</v>
      </c>
      <c r="F1231">
        <v>94581</v>
      </c>
      <c r="G1231">
        <v>52</v>
      </c>
      <c r="H1231">
        <v>94555</v>
      </c>
      <c r="I1231">
        <v>6106201</v>
      </c>
    </row>
    <row r="1232" spans="1:9">
      <c r="A1232" s="2">
        <v>1961</v>
      </c>
      <c r="B1232">
        <v>7</v>
      </c>
      <c r="C1232">
        <v>6.6E-4</v>
      </c>
      <c r="D1232">
        <v>6.6E-4</v>
      </c>
      <c r="E1232">
        <v>0.5</v>
      </c>
      <c r="F1232">
        <v>94529</v>
      </c>
      <c r="G1232">
        <v>62</v>
      </c>
      <c r="H1232">
        <v>94498</v>
      </c>
      <c r="I1232">
        <v>6011646</v>
      </c>
    </row>
    <row r="1233" spans="1:9">
      <c r="A1233" s="2">
        <v>1961</v>
      </c>
      <c r="B1233">
        <v>8</v>
      </c>
      <c r="C1233">
        <v>5.5000000000000003E-4</v>
      </c>
      <c r="D1233">
        <v>5.5000000000000003E-4</v>
      </c>
      <c r="E1233">
        <v>0.5</v>
      </c>
      <c r="F1233">
        <v>94467</v>
      </c>
      <c r="G1233">
        <v>52</v>
      </c>
      <c r="H1233">
        <v>94441</v>
      </c>
      <c r="I1233">
        <v>5917148</v>
      </c>
    </row>
    <row r="1234" spans="1:9">
      <c r="A1234" s="2">
        <v>1961</v>
      </c>
      <c r="B1234">
        <v>9</v>
      </c>
      <c r="C1234">
        <v>5.6999999999999998E-4</v>
      </c>
      <c r="D1234">
        <v>5.6999999999999998E-4</v>
      </c>
      <c r="E1234">
        <v>0.5</v>
      </c>
      <c r="F1234">
        <v>94415</v>
      </c>
      <c r="G1234">
        <v>54</v>
      </c>
      <c r="H1234">
        <v>94388</v>
      </c>
      <c r="I1234">
        <v>5822706</v>
      </c>
    </row>
    <row r="1235" spans="1:9">
      <c r="A1235" s="2">
        <v>1961</v>
      </c>
      <c r="B1235">
        <v>10</v>
      </c>
      <c r="C1235">
        <v>6.9999999999999999E-4</v>
      </c>
      <c r="D1235">
        <v>6.9999999999999999E-4</v>
      </c>
      <c r="E1235">
        <v>0.5</v>
      </c>
      <c r="F1235">
        <v>94361</v>
      </c>
      <c r="G1235">
        <v>66</v>
      </c>
      <c r="H1235">
        <v>94328</v>
      </c>
      <c r="I1235">
        <v>5728318</v>
      </c>
    </row>
    <row r="1236" spans="1:9">
      <c r="A1236" s="2">
        <v>1961</v>
      </c>
      <c r="B1236">
        <v>11</v>
      </c>
      <c r="C1236">
        <v>5.8E-4</v>
      </c>
      <c r="D1236">
        <v>5.8E-4</v>
      </c>
      <c r="E1236">
        <v>0.5</v>
      </c>
      <c r="F1236">
        <v>94295</v>
      </c>
      <c r="G1236">
        <v>55</v>
      </c>
      <c r="H1236">
        <v>94268</v>
      </c>
      <c r="I1236">
        <v>5633990</v>
      </c>
    </row>
    <row r="1237" spans="1:9">
      <c r="A1237" s="2">
        <v>1961</v>
      </c>
      <c r="B1237">
        <v>12</v>
      </c>
      <c r="C1237">
        <v>5.8E-4</v>
      </c>
      <c r="D1237">
        <v>5.8E-4</v>
      </c>
      <c r="E1237">
        <v>0.5</v>
      </c>
      <c r="F1237">
        <v>94241</v>
      </c>
      <c r="G1237">
        <v>55</v>
      </c>
      <c r="H1237">
        <v>94213</v>
      </c>
      <c r="I1237">
        <v>5539722</v>
      </c>
    </row>
    <row r="1238" spans="1:9">
      <c r="A1238" s="2">
        <v>1961</v>
      </c>
      <c r="B1238">
        <v>13</v>
      </c>
      <c r="C1238">
        <v>4.6000000000000001E-4</v>
      </c>
      <c r="D1238">
        <v>4.6000000000000001E-4</v>
      </c>
      <c r="E1238">
        <v>0.5</v>
      </c>
      <c r="F1238">
        <v>94186</v>
      </c>
      <c r="G1238">
        <v>44</v>
      </c>
      <c r="H1238">
        <v>94164</v>
      </c>
      <c r="I1238">
        <v>5445509</v>
      </c>
    </row>
    <row r="1239" spans="1:9">
      <c r="A1239" s="2">
        <v>1961</v>
      </c>
      <c r="B1239">
        <v>14</v>
      </c>
      <c r="C1239">
        <v>6.7000000000000002E-4</v>
      </c>
      <c r="D1239">
        <v>6.7000000000000002E-4</v>
      </c>
      <c r="E1239">
        <v>0.5</v>
      </c>
      <c r="F1239">
        <v>94142</v>
      </c>
      <c r="G1239">
        <v>63</v>
      </c>
      <c r="H1239">
        <v>94111</v>
      </c>
      <c r="I1239">
        <v>5351345</v>
      </c>
    </row>
    <row r="1240" spans="1:9">
      <c r="A1240" s="2">
        <v>1961</v>
      </c>
      <c r="B1240">
        <v>15</v>
      </c>
      <c r="C1240">
        <v>8.9999999999999998E-4</v>
      </c>
      <c r="D1240">
        <v>8.9999999999999998E-4</v>
      </c>
      <c r="E1240">
        <v>0.5</v>
      </c>
      <c r="F1240">
        <v>94079</v>
      </c>
      <c r="G1240">
        <v>85</v>
      </c>
      <c r="H1240">
        <v>94037</v>
      </c>
      <c r="I1240">
        <v>5257235</v>
      </c>
    </row>
    <row r="1241" spans="1:9">
      <c r="A1241" s="2">
        <v>1961</v>
      </c>
      <c r="B1241">
        <v>16</v>
      </c>
      <c r="C1241">
        <v>9.7000000000000005E-4</v>
      </c>
      <c r="D1241">
        <v>9.7000000000000005E-4</v>
      </c>
      <c r="E1241">
        <v>0.5</v>
      </c>
      <c r="F1241">
        <v>93994</v>
      </c>
      <c r="G1241">
        <v>91</v>
      </c>
      <c r="H1241">
        <v>93949</v>
      </c>
      <c r="I1241">
        <v>5163198</v>
      </c>
    </row>
    <row r="1242" spans="1:9">
      <c r="A1242" s="2">
        <v>1961</v>
      </c>
      <c r="B1242">
        <v>17</v>
      </c>
      <c r="C1242">
        <v>1.2199999999999999E-3</v>
      </c>
      <c r="D1242">
        <v>1.2199999999999999E-3</v>
      </c>
      <c r="E1242">
        <v>0.5</v>
      </c>
      <c r="F1242">
        <v>93903</v>
      </c>
      <c r="G1242">
        <v>114</v>
      </c>
      <c r="H1242">
        <v>93846</v>
      </c>
      <c r="I1242">
        <v>5069249</v>
      </c>
    </row>
    <row r="1243" spans="1:9">
      <c r="A1243" s="2">
        <v>1961</v>
      </c>
      <c r="B1243">
        <v>18</v>
      </c>
      <c r="C1243">
        <v>1.2999999999999999E-3</v>
      </c>
      <c r="D1243">
        <v>1.2999999999999999E-3</v>
      </c>
      <c r="E1243">
        <v>0.5</v>
      </c>
      <c r="F1243">
        <v>93789</v>
      </c>
      <c r="G1243">
        <v>122</v>
      </c>
      <c r="H1243">
        <v>93728</v>
      </c>
      <c r="I1243">
        <v>4975403</v>
      </c>
    </row>
    <row r="1244" spans="1:9">
      <c r="A1244" s="2">
        <v>1961</v>
      </c>
      <c r="B1244">
        <v>19</v>
      </c>
      <c r="C1244">
        <v>1.41E-3</v>
      </c>
      <c r="D1244">
        <v>1.41E-3</v>
      </c>
      <c r="E1244">
        <v>0.5</v>
      </c>
      <c r="F1244">
        <v>93667</v>
      </c>
      <c r="G1244">
        <v>132</v>
      </c>
      <c r="H1244">
        <v>93601</v>
      </c>
      <c r="I1244">
        <v>4881675</v>
      </c>
    </row>
    <row r="1245" spans="1:9">
      <c r="A1245" s="2">
        <v>1961</v>
      </c>
      <c r="B1245">
        <v>20</v>
      </c>
      <c r="C1245">
        <v>1.64E-3</v>
      </c>
      <c r="D1245">
        <v>1.64E-3</v>
      </c>
      <c r="E1245">
        <v>0.5</v>
      </c>
      <c r="F1245">
        <v>93535</v>
      </c>
      <c r="G1245">
        <v>153</v>
      </c>
      <c r="H1245">
        <v>93458</v>
      </c>
      <c r="I1245">
        <v>4788074</v>
      </c>
    </row>
    <row r="1246" spans="1:9">
      <c r="A1246" s="2">
        <v>1961</v>
      </c>
      <c r="B1246">
        <v>21</v>
      </c>
      <c r="C1246">
        <v>1.4499999999999999E-3</v>
      </c>
      <c r="D1246">
        <v>1.4499999999999999E-3</v>
      </c>
      <c r="E1246">
        <v>0.5</v>
      </c>
      <c r="F1246">
        <v>93382</v>
      </c>
      <c r="G1246">
        <v>136</v>
      </c>
      <c r="H1246">
        <v>93314</v>
      </c>
      <c r="I1246">
        <v>4694616</v>
      </c>
    </row>
    <row r="1247" spans="1:9">
      <c r="A1247" s="2">
        <v>1961</v>
      </c>
      <c r="B1247">
        <v>22</v>
      </c>
      <c r="C1247">
        <v>1.56E-3</v>
      </c>
      <c r="D1247">
        <v>1.56E-3</v>
      </c>
      <c r="E1247">
        <v>0.5</v>
      </c>
      <c r="F1247">
        <v>93246</v>
      </c>
      <c r="G1247">
        <v>145</v>
      </c>
      <c r="H1247">
        <v>93174</v>
      </c>
      <c r="I1247">
        <v>4601302</v>
      </c>
    </row>
    <row r="1248" spans="1:9">
      <c r="A1248" s="2">
        <v>1961</v>
      </c>
      <c r="B1248">
        <v>23</v>
      </c>
      <c r="C1248">
        <v>1.7099999999999999E-3</v>
      </c>
      <c r="D1248">
        <v>1.6999999999999999E-3</v>
      </c>
      <c r="E1248">
        <v>0.5</v>
      </c>
      <c r="F1248">
        <v>93101</v>
      </c>
      <c r="G1248">
        <v>159</v>
      </c>
      <c r="H1248">
        <v>93022</v>
      </c>
      <c r="I1248">
        <v>4508128</v>
      </c>
    </row>
    <row r="1249" spans="1:9">
      <c r="A1249" s="2">
        <v>1961</v>
      </c>
      <c r="B1249">
        <v>24</v>
      </c>
      <c r="C1249">
        <v>1.4599999999999999E-3</v>
      </c>
      <c r="D1249">
        <v>1.4599999999999999E-3</v>
      </c>
      <c r="E1249">
        <v>0.5</v>
      </c>
      <c r="F1249">
        <v>92942</v>
      </c>
      <c r="G1249">
        <v>136</v>
      </c>
      <c r="H1249">
        <v>92875</v>
      </c>
      <c r="I1249">
        <v>4415106</v>
      </c>
    </row>
    <row r="1250" spans="1:9">
      <c r="A1250" s="2">
        <v>1961</v>
      </c>
      <c r="B1250">
        <v>25</v>
      </c>
      <c r="C1250">
        <v>1.6199999999999999E-3</v>
      </c>
      <c r="D1250">
        <v>1.6199999999999999E-3</v>
      </c>
      <c r="E1250">
        <v>0.5</v>
      </c>
      <c r="F1250">
        <v>92807</v>
      </c>
      <c r="G1250">
        <v>150</v>
      </c>
      <c r="H1250">
        <v>92731</v>
      </c>
      <c r="I1250">
        <v>4322232</v>
      </c>
    </row>
    <row r="1251" spans="1:9">
      <c r="A1251" s="2">
        <v>1961</v>
      </c>
      <c r="B1251">
        <v>26</v>
      </c>
      <c r="C1251">
        <v>1.57E-3</v>
      </c>
      <c r="D1251">
        <v>1.57E-3</v>
      </c>
      <c r="E1251">
        <v>0.5</v>
      </c>
      <c r="F1251">
        <v>92656</v>
      </c>
      <c r="G1251">
        <v>145</v>
      </c>
      <c r="H1251">
        <v>92584</v>
      </c>
      <c r="I1251">
        <v>4229500</v>
      </c>
    </row>
    <row r="1252" spans="1:9">
      <c r="A1252" s="2">
        <v>1961</v>
      </c>
      <c r="B1252">
        <v>27</v>
      </c>
      <c r="C1252">
        <v>1.6000000000000001E-3</v>
      </c>
      <c r="D1252">
        <v>1.5900000000000001E-3</v>
      </c>
      <c r="E1252">
        <v>0.5</v>
      </c>
      <c r="F1252">
        <v>92511</v>
      </c>
      <c r="G1252">
        <v>147</v>
      </c>
      <c r="H1252">
        <v>92437</v>
      </c>
      <c r="I1252">
        <v>4136917</v>
      </c>
    </row>
    <row r="1253" spans="1:9">
      <c r="A1253" s="2">
        <v>1961</v>
      </c>
      <c r="B1253">
        <v>28</v>
      </c>
      <c r="C1253">
        <v>1.67E-3</v>
      </c>
      <c r="D1253">
        <v>1.67E-3</v>
      </c>
      <c r="E1253">
        <v>0.5</v>
      </c>
      <c r="F1253">
        <v>92363</v>
      </c>
      <c r="G1253">
        <v>154</v>
      </c>
      <c r="H1253">
        <v>92286</v>
      </c>
      <c r="I1253">
        <v>4044479</v>
      </c>
    </row>
    <row r="1254" spans="1:9">
      <c r="A1254" s="2">
        <v>1961</v>
      </c>
      <c r="B1254">
        <v>29</v>
      </c>
      <c r="C1254">
        <v>1.4599999999999999E-3</v>
      </c>
      <c r="D1254">
        <v>1.4599999999999999E-3</v>
      </c>
      <c r="E1254">
        <v>0.5</v>
      </c>
      <c r="F1254">
        <v>92209</v>
      </c>
      <c r="G1254">
        <v>135</v>
      </c>
      <c r="H1254">
        <v>92142</v>
      </c>
      <c r="I1254">
        <v>3952193</v>
      </c>
    </row>
    <row r="1255" spans="1:9">
      <c r="A1255" s="2">
        <v>1961</v>
      </c>
      <c r="B1255">
        <v>30</v>
      </c>
      <c r="C1255">
        <v>1.6199999999999999E-3</v>
      </c>
      <c r="D1255">
        <v>1.6199999999999999E-3</v>
      </c>
      <c r="E1255">
        <v>0.5</v>
      </c>
      <c r="F1255">
        <v>92075</v>
      </c>
      <c r="G1255">
        <v>149</v>
      </c>
      <c r="H1255">
        <v>92000</v>
      </c>
      <c r="I1255">
        <v>3860051</v>
      </c>
    </row>
    <row r="1256" spans="1:9">
      <c r="A1256" s="2">
        <v>1961</v>
      </c>
      <c r="B1256">
        <v>31</v>
      </c>
      <c r="C1256">
        <v>1.8799999999999999E-3</v>
      </c>
      <c r="D1256">
        <v>1.8799999999999999E-3</v>
      </c>
      <c r="E1256">
        <v>0.5</v>
      </c>
      <c r="F1256">
        <v>91925</v>
      </c>
      <c r="G1256">
        <v>172</v>
      </c>
      <c r="H1256">
        <v>91839</v>
      </c>
      <c r="I1256">
        <v>3768051</v>
      </c>
    </row>
    <row r="1257" spans="1:9">
      <c r="A1257" s="2">
        <v>1961</v>
      </c>
      <c r="B1257">
        <v>32</v>
      </c>
      <c r="C1257">
        <v>2.0899999999999998E-3</v>
      </c>
      <c r="D1257">
        <v>2.0899999999999998E-3</v>
      </c>
      <c r="E1257">
        <v>0.5</v>
      </c>
      <c r="F1257">
        <v>91753</v>
      </c>
      <c r="G1257">
        <v>192</v>
      </c>
      <c r="H1257">
        <v>91657</v>
      </c>
      <c r="I1257">
        <v>3676212</v>
      </c>
    </row>
    <row r="1258" spans="1:9">
      <c r="A1258" s="2">
        <v>1961</v>
      </c>
      <c r="B1258">
        <v>33</v>
      </c>
      <c r="C1258">
        <v>2.0999999999999999E-3</v>
      </c>
      <c r="D1258">
        <v>2.0999999999999999E-3</v>
      </c>
      <c r="E1258">
        <v>0.5</v>
      </c>
      <c r="F1258">
        <v>91561</v>
      </c>
      <c r="G1258">
        <v>192</v>
      </c>
      <c r="H1258">
        <v>91465</v>
      </c>
      <c r="I1258">
        <v>3584555</v>
      </c>
    </row>
    <row r="1259" spans="1:9">
      <c r="A1259" s="2">
        <v>1961</v>
      </c>
      <c r="B1259">
        <v>34</v>
      </c>
      <c r="C1259">
        <v>2.1099999999999999E-3</v>
      </c>
      <c r="D1259">
        <v>2.1099999999999999E-3</v>
      </c>
      <c r="E1259">
        <v>0.5</v>
      </c>
      <c r="F1259">
        <v>91369</v>
      </c>
      <c r="G1259">
        <v>192</v>
      </c>
      <c r="H1259">
        <v>91273</v>
      </c>
      <c r="I1259">
        <v>3493089</v>
      </c>
    </row>
    <row r="1260" spans="1:9">
      <c r="A1260" s="2">
        <v>1961</v>
      </c>
      <c r="B1260">
        <v>35</v>
      </c>
      <c r="C1260">
        <v>2.1900000000000001E-3</v>
      </c>
      <c r="D1260">
        <v>2.1900000000000001E-3</v>
      </c>
      <c r="E1260">
        <v>0.5</v>
      </c>
      <c r="F1260">
        <v>91177</v>
      </c>
      <c r="G1260">
        <v>200</v>
      </c>
      <c r="H1260">
        <v>91077</v>
      </c>
      <c r="I1260">
        <v>3401816</v>
      </c>
    </row>
    <row r="1261" spans="1:9">
      <c r="A1261" s="2">
        <v>1961</v>
      </c>
      <c r="B1261">
        <v>36</v>
      </c>
      <c r="C1261">
        <v>2.2799999999999999E-3</v>
      </c>
      <c r="D1261">
        <v>2.2799999999999999E-3</v>
      </c>
      <c r="E1261">
        <v>0.5</v>
      </c>
      <c r="F1261">
        <v>90977</v>
      </c>
      <c r="G1261">
        <v>207</v>
      </c>
      <c r="H1261">
        <v>90874</v>
      </c>
      <c r="I1261">
        <v>3310740</v>
      </c>
    </row>
    <row r="1262" spans="1:9">
      <c r="A1262" s="2">
        <v>1961</v>
      </c>
      <c r="B1262">
        <v>37</v>
      </c>
      <c r="C1262">
        <v>2.31E-3</v>
      </c>
      <c r="D1262">
        <v>2.3E-3</v>
      </c>
      <c r="E1262">
        <v>0.5</v>
      </c>
      <c r="F1262">
        <v>90770</v>
      </c>
      <c r="G1262">
        <v>209</v>
      </c>
      <c r="H1262">
        <v>90666</v>
      </c>
      <c r="I1262">
        <v>3219866</v>
      </c>
    </row>
    <row r="1263" spans="1:9">
      <c r="A1263" s="2">
        <v>1961</v>
      </c>
      <c r="B1263">
        <v>38</v>
      </c>
      <c r="C1263">
        <v>2.9099999999999998E-3</v>
      </c>
      <c r="D1263">
        <v>2.9099999999999998E-3</v>
      </c>
      <c r="E1263">
        <v>0.5</v>
      </c>
      <c r="F1263">
        <v>90561</v>
      </c>
      <c r="G1263">
        <v>263</v>
      </c>
      <c r="H1263">
        <v>90429</v>
      </c>
      <c r="I1263">
        <v>3129200</v>
      </c>
    </row>
    <row r="1264" spans="1:9">
      <c r="A1264" s="2">
        <v>1961</v>
      </c>
      <c r="B1264">
        <v>39</v>
      </c>
      <c r="C1264">
        <v>2.7100000000000002E-3</v>
      </c>
      <c r="D1264">
        <v>2.7100000000000002E-3</v>
      </c>
      <c r="E1264">
        <v>0.5</v>
      </c>
      <c r="F1264">
        <v>90298</v>
      </c>
      <c r="G1264">
        <v>244</v>
      </c>
      <c r="H1264">
        <v>90175</v>
      </c>
      <c r="I1264">
        <v>3038771</v>
      </c>
    </row>
    <row r="1265" spans="1:9">
      <c r="A1265" s="2">
        <v>1961</v>
      </c>
      <c r="B1265">
        <v>40</v>
      </c>
      <c r="C1265">
        <v>2.63E-3</v>
      </c>
      <c r="D1265">
        <v>2.6199999999999999E-3</v>
      </c>
      <c r="E1265">
        <v>0.5</v>
      </c>
      <c r="F1265">
        <v>90053</v>
      </c>
      <c r="G1265">
        <v>236</v>
      </c>
      <c r="H1265">
        <v>89935</v>
      </c>
      <c r="I1265">
        <v>2948596</v>
      </c>
    </row>
    <row r="1266" spans="1:9">
      <c r="A1266" s="2">
        <v>1961</v>
      </c>
      <c r="B1266">
        <v>41</v>
      </c>
      <c r="C1266">
        <v>3.8E-3</v>
      </c>
      <c r="D1266">
        <v>3.8E-3</v>
      </c>
      <c r="E1266">
        <v>0.5</v>
      </c>
      <c r="F1266">
        <v>89817</v>
      </c>
      <c r="G1266">
        <v>341</v>
      </c>
      <c r="H1266">
        <v>89647</v>
      </c>
      <c r="I1266">
        <v>2858660</v>
      </c>
    </row>
    <row r="1267" spans="1:9">
      <c r="A1267" s="2">
        <v>1961</v>
      </c>
      <c r="B1267">
        <v>42</v>
      </c>
      <c r="C1267">
        <v>2.9299999999999999E-3</v>
      </c>
      <c r="D1267">
        <v>2.9299999999999999E-3</v>
      </c>
      <c r="E1267">
        <v>0.5</v>
      </c>
      <c r="F1267">
        <v>89476</v>
      </c>
      <c r="G1267">
        <v>262</v>
      </c>
      <c r="H1267">
        <v>89345</v>
      </c>
      <c r="I1267">
        <v>2769014</v>
      </c>
    </row>
    <row r="1268" spans="1:9">
      <c r="A1268" s="2">
        <v>1961</v>
      </c>
      <c r="B1268">
        <v>43</v>
      </c>
      <c r="C1268">
        <v>3.3999999999999998E-3</v>
      </c>
      <c r="D1268">
        <v>3.3999999999999998E-3</v>
      </c>
      <c r="E1268">
        <v>0.5</v>
      </c>
      <c r="F1268">
        <v>89214</v>
      </c>
      <c r="G1268">
        <v>303</v>
      </c>
      <c r="H1268">
        <v>89063</v>
      </c>
      <c r="I1268">
        <v>2679669</v>
      </c>
    </row>
    <row r="1269" spans="1:9">
      <c r="A1269" s="2">
        <v>1961</v>
      </c>
      <c r="B1269">
        <v>44</v>
      </c>
      <c r="C1269">
        <v>3.4499999999999999E-3</v>
      </c>
      <c r="D1269">
        <v>3.4499999999999999E-3</v>
      </c>
      <c r="E1269">
        <v>0.5</v>
      </c>
      <c r="F1269">
        <v>88911</v>
      </c>
      <c r="G1269">
        <v>307</v>
      </c>
      <c r="H1269">
        <v>88758</v>
      </c>
      <c r="I1269">
        <v>2590606</v>
      </c>
    </row>
    <row r="1270" spans="1:9">
      <c r="A1270" s="2">
        <v>1961</v>
      </c>
      <c r="B1270">
        <v>45</v>
      </c>
      <c r="C1270">
        <v>3.46E-3</v>
      </c>
      <c r="D1270">
        <v>3.4499999999999999E-3</v>
      </c>
      <c r="E1270">
        <v>0.5</v>
      </c>
      <c r="F1270">
        <v>88605</v>
      </c>
      <c r="G1270">
        <v>306</v>
      </c>
      <c r="H1270">
        <v>88452</v>
      </c>
      <c r="I1270">
        <v>2501848</v>
      </c>
    </row>
    <row r="1271" spans="1:9">
      <c r="A1271" s="2">
        <v>1961</v>
      </c>
      <c r="B1271">
        <v>46</v>
      </c>
      <c r="C1271">
        <v>5.3400000000000001E-3</v>
      </c>
      <c r="D1271">
        <v>5.3200000000000001E-3</v>
      </c>
      <c r="E1271">
        <v>0.5</v>
      </c>
      <c r="F1271">
        <v>88299</v>
      </c>
      <c r="G1271">
        <v>470</v>
      </c>
      <c r="H1271">
        <v>88064</v>
      </c>
      <c r="I1271">
        <v>2413396</v>
      </c>
    </row>
    <row r="1272" spans="1:9">
      <c r="A1272" s="2">
        <v>1961</v>
      </c>
      <c r="B1272">
        <v>47</v>
      </c>
      <c r="C1272">
        <v>4.9899999999999996E-3</v>
      </c>
      <c r="D1272">
        <v>4.9699999999999996E-3</v>
      </c>
      <c r="E1272">
        <v>0.5</v>
      </c>
      <c r="F1272">
        <v>87829</v>
      </c>
      <c r="G1272">
        <v>437</v>
      </c>
      <c r="H1272">
        <v>87610</v>
      </c>
      <c r="I1272">
        <v>2325333</v>
      </c>
    </row>
    <row r="1273" spans="1:9">
      <c r="A1273" s="2">
        <v>1961</v>
      </c>
      <c r="B1273">
        <v>48</v>
      </c>
      <c r="C1273">
        <v>5.6699999999999997E-3</v>
      </c>
      <c r="D1273">
        <v>5.6600000000000001E-3</v>
      </c>
      <c r="E1273">
        <v>0.5</v>
      </c>
      <c r="F1273">
        <v>87392</v>
      </c>
      <c r="G1273">
        <v>494</v>
      </c>
      <c r="H1273">
        <v>87145</v>
      </c>
      <c r="I1273">
        <v>2237723</v>
      </c>
    </row>
    <row r="1274" spans="1:9">
      <c r="A1274" s="2">
        <v>1961</v>
      </c>
      <c r="B1274">
        <v>49</v>
      </c>
      <c r="C1274">
        <v>6.1199999999999996E-3</v>
      </c>
      <c r="D1274">
        <v>6.1000000000000004E-3</v>
      </c>
      <c r="E1274">
        <v>0.5</v>
      </c>
      <c r="F1274">
        <v>86898</v>
      </c>
      <c r="G1274">
        <v>530</v>
      </c>
      <c r="H1274">
        <v>86632</v>
      </c>
      <c r="I1274">
        <v>2150578</v>
      </c>
    </row>
    <row r="1275" spans="1:9">
      <c r="A1275" s="2">
        <v>1961</v>
      </c>
      <c r="B1275">
        <v>50</v>
      </c>
      <c r="C1275">
        <v>7.5399999999999998E-3</v>
      </c>
      <c r="D1275">
        <v>7.5100000000000002E-3</v>
      </c>
      <c r="E1275">
        <v>0.5</v>
      </c>
      <c r="F1275">
        <v>86367</v>
      </c>
      <c r="G1275">
        <v>648</v>
      </c>
      <c r="H1275">
        <v>86043</v>
      </c>
      <c r="I1275">
        <v>2063946</v>
      </c>
    </row>
    <row r="1276" spans="1:9">
      <c r="A1276" s="2">
        <v>1961</v>
      </c>
      <c r="B1276">
        <v>51</v>
      </c>
      <c r="C1276">
        <v>7.8300000000000002E-3</v>
      </c>
      <c r="D1276">
        <v>7.7999999999999996E-3</v>
      </c>
      <c r="E1276">
        <v>0.5</v>
      </c>
      <c r="F1276">
        <v>85719</v>
      </c>
      <c r="G1276">
        <v>669</v>
      </c>
      <c r="H1276">
        <v>85384</v>
      </c>
      <c r="I1276">
        <v>1977903</v>
      </c>
    </row>
    <row r="1277" spans="1:9">
      <c r="A1277" s="2">
        <v>1961</v>
      </c>
      <c r="B1277">
        <v>52</v>
      </c>
      <c r="C1277">
        <v>8.0099999999999998E-3</v>
      </c>
      <c r="D1277">
        <v>7.9799999999999992E-3</v>
      </c>
      <c r="E1277">
        <v>0.5</v>
      </c>
      <c r="F1277">
        <v>85050</v>
      </c>
      <c r="G1277">
        <v>679</v>
      </c>
      <c r="H1277">
        <v>84711</v>
      </c>
      <c r="I1277">
        <v>1892518</v>
      </c>
    </row>
    <row r="1278" spans="1:9">
      <c r="A1278" s="2">
        <v>1961</v>
      </c>
      <c r="B1278">
        <v>53</v>
      </c>
      <c r="C1278">
        <v>8.9899999999999997E-3</v>
      </c>
      <c r="D1278">
        <v>8.9499999999999996E-3</v>
      </c>
      <c r="E1278">
        <v>0.5</v>
      </c>
      <c r="F1278">
        <v>84371</v>
      </c>
      <c r="G1278">
        <v>755</v>
      </c>
      <c r="H1278">
        <v>83993</v>
      </c>
      <c r="I1278">
        <v>1807808</v>
      </c>
    </row>
    <row r="1279" spans="1:9">
      <c r="A1279" s="2">
        <v>1961</v>
      </c>
      <c r="B1279">
        <v>54</v>
      </c>
      <c r="C1279">
        <v>1.051E-2</v>
      </c>
      <c r="D1279">
        <v>1.0460000000000001E-2</v>
      </c>
      <c r="E1279">
        <v>0.5</v>
      </c>
      <c r="F1279">
        <v>83616</v>
      </c>
      <c r="G1279">
        <v>874</v>
      </c>
      <c r="H1279">
        <v>83179</v>
      </c>
      <c r="I1279">
        <v>1723814</v>
      </c>
    </row>
    <row r="1280" spans="1:9">
      <c r="A1280" s="2">
        <v>1961</v>
      </c>
      <c r="B1280">
        <v>55</v>
      </c>
      <c r="C1280">
        <v>1.1039999999999999E-2</v>
      </c>
      <c r="D1280">
        <v>1.098E-2</v>
      </c>
      <c r="E1280">
        <v>0.5</v>
      </c>
      <c r="F1280">
        <v>82742</v>
      </c>
      <c r="G1280">
        <v>909</v>
      </c>
      <c r="H1280">
        <v>82287</v>
      </c>
      <c r="I1280">
        <v>1640636</v>
      </c>
    </row>
    <row r="1281" spans="1:9">
      <c r="A1281" s="2">
        <v>1961</v>
      </c>
      <c r="B1281">
        <v>56</v>
      </c>
      <c r="C1281">
        <v>1.2999999999999999E-2</v>
      </c>
      <c r="D1281">
        <v>1.291E-2</v>
      </c>
      <c r="E1281">
        <v>0.5</v>
      </c>
      <c r="F1281">
        <v>81833</v>
      </c>
      <c r="G1281">
        <v>1057</v>
      </c>
      <c r="H1281">
        <v>81305</v>
      </c>
      <c r="I1281">
        <v>1558348</v>
      </c>
    </row>
    <row r="1282" spans="1:9">
      <c r="A1282" s="2">
        <v>1961</v>
      </c>
      <c r="B1282">
        <v>57</v>
      </c>
      <c r="C1282">
        <v>1.414E-2</v>
      </c>
      <c r="D1282">
        <v>1.404E-2</v>
      </c>
      <c r="E1282">
        <v>0.5</v>
      </c>
      <c r="F1282">
        <v>80776</v>
      </c>
      <c r="G1282">
        <v>1134</v>
      </c>
      <c r="H1282">
        <v>80209</v>
      </c>
      <c r="I1282">
        <v>1477044</v>
      </c>
    </row>
    <row r="1283" spans="1:9">
      <c r="A1283" s="2">
        <v>1961</v>
      </c>
      <c r="B1283">
        <v>58</v>
      </c>
      <c r="C1283">
        <v>1.575E-2</v>
      </c>
      <c r="D1283">
        <v>1.5630000000000002E-2</v>
      </c>
      <c r="E1283">
        <v>0.5</v>
      </c>
      <c r="F1283">
        <v>79642</v>
      </c>
      <c r="G1283">
        <v>1245</v>
      </c>
      <c r="H1283">
        <v>79020</v>
      </c>
      <c r="I1283">
        <v>1396835</v>
      </c>
    </row>
    <row r="1284" spans="1:9">
      <c r="A1284" s="2">
        <v>1961</v>
      </c>
      <c r="B1284">
        <v>59</v>
      </c>
      <c r="C1284">
        <v>1.7139999999999999E-2</v>
      </c>
      <c r="D1284">
        <v>1.6990000000000002E-2</v>
      </c>
      <c r="E1284">
        <v>0.5</v>
      </c>
      <c r="F1284">
        <v>78397</v>
      </c>
      <c r="G1284">
        <v>1332</v>
      </c>
      <c r="H1284">
        <v>77731</v>
      </c>
      <c r="I1284">
        <v>1317815</v>
      </c>
    </row>
    <row r="1285" spans="1:9">
      <c r="A1285" s="2">
        <v>1961</v>
      </c>
      <c r="B1285">
        <v>60</v>
      </c>
      <c r="C1285">
        <v>1.932E-2</v>
      </c>
      <c r="D1285">
        <v>1.9140000000000001E-2</v>
      </c>
      <c r="E1285">
        <v>0.5</v>
      </c>
      <c r="F1285">
        <v>77065</v>
      </c>
      <c r="G1285">
        <v>1475</v>
      </c>
      <c r="H1285">
        <v>76328</v>
      </c>
      <c r="I1285">
        <v>1240084</v>
      </c>
    </row>
    <row r="1286" spans="1:9">
      <c r="A1286" s="2">
        <v>1961</v>
      </c>
      <c r="B1286">
        <v>61</v>
      </c>
      <c r="C1286">
        <v>2.162E-2</v>
      </c>
      <c r="D1286">
        <v>2.1389999999999999E-2</v>
      </c>
      <c r="E1286">
        <v>0.5</v>
      </c>
      <c r="F1286">
        <v>75590</v>
      </c>
      <c r="G1286">
        <v>1617</v>
      </c>
      <c r="H1286">
        <v>74782</v>
      </c>
      <c r="I1286">
        <v>1163756</v>
      </c>
    </row>
    <row r="1287" spans="1:9">
      <c r="A1287" s="2">
        <v>1961</v>
      </c>
      <c r="B1287">
        <v>62</v>
      </c>
      <c r="C1287">
        <v>2.4060000000000002E-2</v>
      </c>
      <c r="D1287">
        <v>2.3779999999999999E-2</v>
      </c>
      <c r="E1287">
        <v>0.5</v>
      </c>
      <c r="F1287">
        <v>73974</v>
      </c>
      <c r="G1287">
        <v>1759</v>
      </c>
      <c r="H1287">
        <v>73094</v>
      </c>
      <c r="I1287">
        <v>1088974</v>
      </c>
    </row>
    <row r="1288" spans="1:9">
      <c r="A1288" s="2">
        <v>1961</v>
      </c>
      <c r="B1288">
        <v>63</v>
      </c>
      <c r="C1288">
        <v>2.5850000000000001E-2</v>
      </c>
      <c r="D1288">
        <v>2.5520000000000001E-2</v>
      </c>
      <c r="E1288">
        <v>0.5</v>
      </c>
      <c r="F1288">
        <v>72215</v>
      </c>
      <c r="G1288">
        <v>1843</v>
      </c>
      <c r="H1288">
        <v>71293</v>
      </c>
      <c r="I1288">
        <v>1015880</v>
      </c>
    </row>
    <row r="1289" spans="1:9">
      <c r="A1289" s="2">
        <v>1961</v>
      </c>
      <c r="B1289">
        <v>64</v>
      </c>
      <c r="C1289">
        <v>2.794E-2</v>
      </c>
      <c r="D1289">
        <v>2.7560000000000001E-2</v>
      </c>
      <c r="E1289">
        <v>0.5</v>
      </c>
      <c r="F1289">
        <v>70372</v>
      </c>
      <c r="G1289">
        <v>1939</v>
      </c>
      <c r="H1289">
        <v>69402</v>
      </c>
      <c r="I1289">
        <v>944586</v>
      </c>
    </row>
    <row r="1290" spans="1:9">
      <c r="A1290" s="2">
        <v>1961</v>
      </c>
      <c r="B1290">
        <v>65</v>
      </c>
      <c r="C1290">
        <v>3.0200000000000001E-2</v>
      </c>
      <c r="D1290">
        <v>2.9749999999999999E-2</v>
      </c>
      <c r="E1290">
        <v>0.5</v>
      </c>
      <c r="F1290">
        <v>68433</v>
      </c>
      <c r="G1290">
        <v>2036</v>
      </c>
      <c r="H1290">
        <v>67415</v>
      </c>
      <c r="I1290">
        <v>875184</v>
      </c>
    </row>
    <row r="1291" spans="1:9">
      <c r="A1291" s="2">
        <v>1961</v>
      </c>
      <c r="B1291">
        <v>66</v>
      </c>
      <c r="C1291">
        <v>3.3570000000000003E-2</v>
      </c>
      <c r="D1291">
        <v>3.3020000000000001E-2</v>
      </c>
      <c r="E1291">
        <v>0.5</v>
      </c>
      <c r="F1291">
        <v>66397</v>
      </c>
      <c r="G1291">
        <v>2192</v>
      </c>
      <c r="H1291">
        <v>65301</v>
      </c>
      <c r="I1291">
        <v>807769</v>
      </c>
    </row>
    <row r="1292" spans="1:9">
      <c r="A1292" s="2">
        <v>1961</v>
      </c>
      <c r="B1292">
        <v>67</v>
      </c>
      <c r="C1292">
        <v>3.7190000000000001E-2</v>
      </c>
      <c r="D1292">
        <v>3.6510000000000001E-2</v>
      </c>
      <c r="E1292">
        <v>0.5</v>
      </c>
      <c r="F1292">
        <v>64205</v>
      </c>
      <c r="G1292">
        <v>2344</v>
      </c>
      <c r="H1292">
        <v>63033</v>
      </c>
      <c r="I1292">
        <v>742469</v>
      </c>
    </row>
    <row r="1293" spans="1:9">
      <c r="A1293" s="2">
        <v>1961</v>
      </c>
      <c r="B1293">
        <v>68</v>
      </c>
      <c r="C1293">
        <v>3.9879999999999999E-2</v>
      </c>
      <c r="D1293">
        <v>3.9100000000000003E-2</v>
      </c>
      <c r="E1293">
        <v>0.5</v>
      </c>
      <c r="F1293">
        <v>61861</v>
      </c>
      <c r="G1293">
        <v>2419</v>
      </c>
      <c r="H1293">
        <v>60651</v>
      </c>
      <c r="I1293">
        <v>679436</v>
      </c>
    </row>
    <row r="1294" spans="1:9">
      <c r="A1294" s="2">
        <v>1961</v>
      </c>
      <c r="B1294">
        <v>69</v>
      </c>
      <c r="C1294">
        <v>4.2529999999999998E-2</v>
      </c>
      <c r="D1294">
        <v>4.1640000000000003E-2</v>
      </c>
      <c r="E1294">
        <v>0.5</v>
      </c>
      <c r="F1294">
        <v>59442</v>
      </c>
      <c r="G1294">
        <v>2475</v>
      </c>
      <c r="H1294">
        <v>58204</v>
      </c>
      <c r="I1294">
        <v>618785</v>
      </c>
    </row>
    <row r="1295" spans="1:9">
      <c r="A1295" s="2">
        <v>1961</v>
      </c>
      <c r="B1295">
        <v>70</v>
      </c>
      <c r="C1295">
        <v>4.8000000000000001E-2</v>
      </c>
      <c r="D1295">
        <v>4.6870000000000002E-2</v>
      </c>
      <c r="E1295">
        <v>0.5</v>
      </c>
      <c r="F1295">
        <v>56967</v>
      </c>
      <c r="G1295">
        <v>2670</v>
      </c>
      <c r="H1295">
        <v>55632</v>
      </c>
      <c r="I1295">
        <v>560581</v>
      </c>
    </row>
    <row r="1296" spans="1:9">
      <c r="A1296" s="2">
        <v>1961</v>
      </c>
      <c r="B1296">
        <v>71</v>
      </c>
      <c r="C1296">
        <v>5.4019999999999999E-2</v>
      </c>
      <c r="D1296">
        <v>5.2600000000000001E-2</v>
      </c>
      <c r="E1296">
        <v>0.5</v>
      </c>
      <c r="F1296">
        <v>54296</v>
      </c>
      <c r="G1296">
        <v>2856</v>
      </c>
      <c r="H1296">
        <v>52868</v>
      </c>
      <c r="I1296">
        <v>504949</v>
      </c>
    </row>
    <row r="1297" spans="1:9">
      <c r="A1297" s="2">
        <v>1961</v>
      </c>
      <c r="B1297">
        <v>72</v>
      </c>
      <c r="C1297">
        <v>5.765E-2</v>
      </c>
      <c r="D1297">
        <v>5.6030000000000003E-2</v>
      </c>
      <c r="E1297">
        <v>0.5</v>
      </c>
      <c r="F1297">
        <v>51440</v>
      </c>
      <c r="G1297">
        <v>2882</v>
      </c>
      <c r="H1297">
        <v>49999</v>
      </c>
      <c r="I1297">
        <v>452081</v>
      </c>
    </row>
    <row r="1298" spans="1:9">
      <c r="A1298" s="2">
        <v>1961</v>
      </c>
      <c r="B1298">
        <v>73</v>
      </c>
      <c r="C1298">
        <v>6.3560000000000005E-2</v>
      </c>
      <c r="D1298">
        <v>6.1600000000000002E-2</v>
      </c>
      <c r="E1298">
        <v>0.5</v>
      </c>
      <c r="F1298">
        <v>48558</v>
      </c>
      <c r="G1298">
        <v>2991</v>
      </c>
      <c r="H1298">
        <v>47062</v>
      </c>
      <c r="I1298">
        <v>402082</v>
      </c>
    </row>
    <row r="1299" spans="1:9">
      <c r="A1299" s="2">
        <v>1961</v>
      </c>
      <c r="B1299">
        <v>74</v>
      </c>
      <c r="C1299">
        <v>6.9940000000000002E-2</v>
      </c>
      <c r="D1299">
        <v>6.7580000000000001E-2</v>
      </c>
      <c r="E1299">
        <v>0.5</v>
      </c>
      <c r="F1299">
        <v>45567</v>
      </c>
      <c r="G1299">
        <v>3079</v>
      </c>
      <c r="H1299">
        <v>44027</v>
      </c>
      <c r="I1299">
        <v>355019</v>
      </c>
    </row>
    <row r="1300" spans="1:9">
      <c r="A1300" s="2">
        <v>1961</v>
      </c>
      <c r="B1300">
        <v>75</v>
      </c>
      <c r="C1300">
        <v>8.0439999999999998E-2</v>
      </c>
      <c r="D1300">
        <v>7.7329999999999996E-2</v>
      </c>
      <c r="E1300">
        <v>0.5</v>
      </c>
      <c r="F1300">
        <v>42488</v>
      </c>
      <c r="G1300">
        <v>3286</v>
      </c>
      <c r="H1300">
        <v>40845</v>
      </c>
      <c r="I1300">
        <v>310992</v>
      </c>
    </row>
    <row r="1301" spans="1:9">
      <c r="A1301" s="2">
        <v>1961</v>
      </c>
      <c r="B1301">
        <v>76</v>
      </c>
      <c r="C1301">
        <v>8.5730000000000001E-2</v>
      </c>
      <c r="D1301">
        <v>8.2210000000000005E-2</v>
      </c>
      <c r="E1301">
        <v>0.5</v>
      </c>
      <c r="F1301">
        <v>39202</v>
      </c>
      <c r="G1301">
        <v>3223</v>
      </c>
      <c r="H1301">
        <v>37591</v>
      </c>
      <c r="I1301">
        <v>270147</v>
      </c>
    </row>
    <row r="1302" spans="1:9">
      <c r="A1302" s="2">
        <v>1961</v>
      </c>
      <c r="B1302">
        <v>77</v>
      </c>
      <c r="C1302">
        <v>9.6439999999999998E-2</v>
      </c>
      <c r="D1302">
        <v>9.1999999999999998E-2</v>
      </c>
      <c r="E1302">
        <v>0.5</v>
      </c>
      <c r="F1302">
        <v>35979</v>
      </c>
      <c r="G1302">
        <v>3310</v>
      </c>
      <c r="H1302">
        <v>34324</v>
      </c>
      <c r="I1302">
        <v>232557</v>
      </c>
    </row>
    <row r="1303" spans="1:9">
      <c r="A1303" s="2">
        <v>1961</v>
      </c>
      <c r="B1303">
        <v>78</v>
      </c>
      <c r="C1303">
        <v>0.10574</v>
      </c>
      <c r="D1303">
        <v>0.10043000000000001</v>
      </c>
      <c r="E1303">
        <v>0.5</v>
      </c>
      <c r="F1303">
        <v>32669</v>
      </c>
      <c r="G1303">
        <v>3281</v>
      </c>
      <c r="H1303">
        <v>31029</v>
      </c>
      <c r="I1303">
        <v>198232</v>
      </c>
    </row>
    <row r="1304" spans="1:9">
      <c r="A1304" s="2">
        <v>1961</v>
      </c>
      <c r="B1304">
        <v>79</v>
      </c>
      <c r="C1304">
        <v>0.11658</v>
      </c>
      <c r="D1304">
        <v>0.11015999999999999</v>
      </c>
      <c r="E1304">
        <v>0.5</v>
      </c>
      <c r="F1304">
        <v>29388</v>
      </c>
      <c r="G1304">
        <v>3237</v>
      </c>
      <c r="H1304">
        <v>27769</v>
      </c>
      <c r="I1304">
        <v>167204</v>
      </c>
    </row>
    <row r="1305" spans="1:9">
      <c r="A1305" s="2">
        <v>1961</v>
      </c>
      <c r="B1305">
        <v>80</v>
      </c>
      <c r="C1305">
        <v>0.12174</v>
      </c>
      <c r="D1305">
        <v>0.11476</v>
      </c>
      <c r="E1305">
        <v>0.5</v>
      </c>
      <c r="F1305">
        <v>26151</v>
      </c>
      <c r="G1305">
        <v>3001</v>
      </c>
      <c r="H1305">
        <v>24650</v>
      </c>
      <c r="I1305">
        <v>139435</v>
      </c>
    </row>
    <row r="1306" spans="1:9">
      <c r="A1306" s="2">
        <v>1961</v>
      </c>
      <c r="B1306">
        <v>81</v>
      </c>
      <c r="C1306">
        <v>0.14333000000000001</v>
      </c>
      <c r="D1306">
        <v>0.13375000000000001</v>
      </c>
      <c r="E1306">
        <v>0.5</v>
      </c>
      <c r="F1306">
        <v>23150</v>
      </c>
      <c r="G1306">
        <v>3096</v>
      </c>
      <c r="H1306">
        <v>21602</v>
      </c>
      <c r="I1306">
        <v>114784</v>
      </c>
    </row>
    <row r="1307" spans="1:9">
      <c r="A1307" s="2">
        <v>1961</v>
      </c>
      <c r="B1307">
        <v>82</v>
      </c>
      <c r="C1307">
        <v>0.15789</v>
      </c>
      <c r="D1307">
        <v>0.14634</v>
      </c>
      <c r="E1307">
        <v>0.5</v>
      </c>
      <c r="F1307">
        <v>20053</v>
      </c>
      <c r="G1307">
        <v>2935</v>
      </c>
      <c r="H1307">
        <v>18586</v>
      </c>
      <c r="I1307">
        <v>93183</v>
      </c>
    </row>
    <row r="1308" spans="1:9">
      <c r="A1308" s="2">
        <v>1961</v>
      </c>
      <c r="B1308">
        <v>83</v>
      </c>
      <c r="C1308">
        <v>0.17330000000000001</v>
      </c>
      <c r="D1308">
        <v>0.15948000000000001</v>
      </c>
      <c r="E1308">
        <v>0.5</v>
      </c>
      <c r="F1308">
        <v>17119</v>
      </c>
      <c r="G1308">
        <v>2730</v>
      </c>
      <c r="H1308">
        <v>15754</v>
      </c>
      <c r="I1308">
        <v>74596</v>
      </c>
    </row>
    <row r="1309" spans="1:9">
      <c r="A1309" s="2">
        <v>1961</v>
      </c>
      <c r="B1309">
        <v>84</v>
      </c>
      <c r="C1309">
        <v>0.18628</v>
      </c>
      <c r="D1309">
        <v>0.17041000000000001</v>
      </c>
      <c r="E1309">
        <v>0.5</v>
      </c>
      <c r="F1309">
        <v>14389</v>
      </c>
      <c r="G1309">
        <v>2452</v>
      </c>
      <c r="H1309">
        <v>13163</v>
      </c>
      <c r="I1309">
        <v>58843</v>
      </c>
    </row>
    <row r="1310" spans="1:9">
      <c r="A1310" s="2">
        <v>1961</v>
      </c>
      <c r="B1310">
        <v>85</v>
      </c>
      <c r="C1310">
        <v>0.19899</v>
      </c>
      <c r="D1310">
        <v>0.18099000000000001</v>
      </c>
      <c r="E1310">
        <v>0.5</v>
      </c>
      <c r="F1310">
        <v>11937</v>
      </c>
      <c r="G1310">
        <v>2160</v>
      </c>
      <c r="H1310">
        <v>10857</v>
      </c>
      <c r="I1310">
        <v>45680</v>
      </c>
    </row>
    <row r="1311" spans="1:9">
      <c r="A1311" s="2">
        <v>1961</v>
      </c>
      <c r="B1311">
        <v>86</v>
      </c>
      <c r="C1311">
        <v>0.21970999999999999</v>
      </c>
      <c r="D1311">
        <v>0.19796</v>
      </c>
      <c r="E1311">
        <v>0.5</v>
      </c>
      <c r="F1311">
        <v>9776</v>
      </c>
      <c r="G1311">
        <v>1935</v>
      </c>
      <c r="H1311">
        <v>8809</v>
      </c>
      <c r="I1311">
        <v>34823</v>
      </c>
    </row>
    <row r="1312" spans="1:9">
      <c r="A1312" s="2">
        <v>1961</v>
      </c>
      <c r="B1312">
        <v>87</v>
      </c>
      <c r="C1312">
        <v>0.25078</v>
      </c>
      <c r="D1312">
        <v>0.22284000000000001</v>
      </c>
      <c r="E1312">
        <v>0.5</v>
      </c>
      <c r="F1312">
        <v>7841</v>
      </c>
      <c r="G1312">
        <v>1747</v>
      </c>
      <c r="H1312">
        <v>6967</v>
      </c>
      <c r="I1312">
        <v>26015</v>
      </c>
    </row>
    <row r="1313" spans="1:9">
      <c r="A1313" s="2">
        <v>1961</v>
      </c>
      <c r="B1313">
        <v>88</v>
      </c>
      <c r="C1313">
        <v>0.24102999999999999</v>
      </c>
      <c r="D1313">
        <v>0.21511</v>
      </c>
      <c r="E1313">
        <v>0.5</v>
      </c>
      <c r="F1313">
        <v>6094</v>
      </c>
      <c r="G1313">
        <v>1311</v>
      </c>
      <c r="H1313">
        <v>5438</v>
      </c>
      <c r="I1313">
        <v>19047</v>
      </c>
    </row>
    <row r="1314" spans="1:9">
      <c r="A1314" s="2">
        <v>1961</v>
      </c>
      <c r="B1314">
        <v>89</v>
      </c>
      <c r="C1314">
        <v>0.2853</v>
      </c>
      <c r="D1314">
        <v>0.24968000000000001</v>
      </c>
      <c r="E1314">
        <v>0.5</v>
      </c>
      <c r="F1314">
        <v>4783</v>
      </c>
      <c r="G1314">
        <v>1194</v>
      </c>
      <c r="H1314">
        <v>4186</v>
      </c>
      <c r="I1314">
        <v>13609</v>
      </c>
    </row>
    <row r="1315" spans="1:9">
      <c r="A1315" s="2">
        <v>1961</v>
      </c>
      <c r="B1315">
        <v>90</v>
      </c>
      <c r="C1315">
        <v>0.33349000000000001</v>
      </c>
      <c r="D1315">
        <v>0.28582999999999997</v>
      </c>
      <c r="E1315">
        <v>0.5</v>
      </c>
      <c r="F1315">
        <v>3589</v>
      </c>
      <c r="G1315">
        <v>1026</v>
      </c>
      <c r="H1315">
        <v>3076</v>
      </c>
      <c r="I1315">
        <v>9423</v>
      </c>
    </row>
    <row r="1316" spans="1:9">
      <c r="A1316" s="2">
        <v>1961</v>
      </c>
      <c r="B1316">
        <v>91</v>
      </c>
      <c r="C1316">
        <v>0.38105</v>
      </c>
      <c r="D1316">
        <v>0.32007000000000002</v>
      </c>
      <c r="E1316">
        <v>0.5</v>
      </c>
      <c r="F1316">
        <v>2563</v>
      </c>
      <c r="G1316">
        <v>820</v>
      </c>
      <c r="H1316">
        <v>2153</v>
      </c>
      <c r="I1316">
        <v>6347</v>
      </c>
    </row>
    <row r="1317" spans="1:9">
      <c r="A1317" s="2">
        <v>1961</v>
      </c>
      <c r="B1317">
        <v>92</v>
      </c>
      <c r="C1317">
        <v>0.37058999999999997</v>
      </c>
      <c r="D1317">
        <v>0.31265999999999999</v>
      </c>
      <c r="E1317">
        <v>0.5</v>
      </c>
      <c r="F1317">
        <v>1743</v>
      </c>
      <c r="G1317">
        <v>545</v>
      </c>
      <c r="H1317">
        <v>1470</v>
      </c>
      <c r="I1317">
        <v>4194</v>
      </c>
    </row>
    <row r="1318" spans="1:9">
      <c r="A1318" s="2">
        <v>1961</v>
      </c>
      <c r="B1318">
        <v>93</v>
      </c>
      <c r="C1318">
        <v>0.39530999999999999</v>
      </c>
      <c r="D1318">
        <v>0.33006999999999997</v>
      </c>
      <c r="E1318">
        <v>0.5</v>
      </c>
      <c r="F1318">
        <v>1198</v>
      </c>
      <c r="G1318">
        <v>395</v>
      </c>
      <c r="H1318">
        <v>1000</v>
      </c>
      <c r="I1318">
        <v>2724</v>
      </c>
    </row>
    <row r="1319" spans="1:9">
      <c r="A1319" s="2">
        <v>1961</v>
      </c>
      <c r="B1319">
        <v>94</v>
      </c>
      <c r="C1319">
        <v>0.42342000000000002</v>
      </c>
      <c r="D1319">
        <v>0.34943999999999997</v>
      </c>
      <c r="E1319">
        <v>0.5</v>
      </c>
      <c r="F1319">
        <v>802</v>
      </c>
      <c r="G1319">
        <v>280</v>
      </c>
      <c r="H1319">
        <v>662</v>
      </c>
      <c r="I1319">
        <v>1724</v>
      </c>
    </row>
    <row r="1320" spans="1:9">
      <c r="A1320" s="2">
        <v>1961</v>
      </c>
      <c r="B1320">
        <v>95</v>
      </c>
      <c r="C1320">
        <v>0.45204</v>
      </c>
      <c r="D1320">
        <v>0.36870000000000003</v>
      </c>
      <c r="E1320">
        <v>0.5</v>
      </c>
      <c r="F1320">
        <v>522</v>
      </c>
      <c r="G1320">
        <v>192</v>
      </c>
      <c r="H1320">
        <v>426</v>
      </c>
      <c r="I1320">
        <v>1062</v>
      </c>
    </row>
    <row r="1321" spans="1:9">
      <c r="A1321" s="2">
        <v>1961</v>
      </c>
      <c r="B1321">
        <v>96</v>
      </c>
      <c r="C1321">
        <v>0.48097000000000001</v>
      </c>
      <c r="D1321">
        <v>0.38773000000000002</v>
      </c>
      <c r="E1321">
        <v>0.5</v>
      </c>
      <c r="F1321">
        <v>330</v>
      </c>
      <c r="G1321">
        <v>128</v>
      </c>
      <c r="H1321">
        <v>266</v>
      </c>
      <c r="I1321">
        <v>636</v>
      </c>
    </row>
    <row r="1322" spans="1:9">
      <c r="A1322" s="2">
        <v>1961</v>
      </c>
      <c r="B1322">
        <v>97</v>
      </c>
      <c r="C1322">
        <v>0.51004000000000005</v>
      </c>
      <c r="D1322">
        <v>0.40639999999999998</v>
      </c>
      <c r="E1322">
        <v>0.5</v>
      </c>
      <c r="F1322">
        <v>202</v>
      </c>
      <c r="G1322">
        <v>82</v>
      </c>
      <c r="H1322">
        <v>161</v>
      </c>
      <c r="I1322">
        <v>370</v>
      </c>
    </row>
    <row r="1323" spans="1:9">
      <c r="A1323" s="2">
        <v>1961</v>
      </c>
      <c r="B1323">
        <v>98</v>
      </c>
      <c r="C1323">
        <v>0.53903000000000001</v>
      </c>
      <c r="D1323">
        <v>0.42459999999999998</v>
      </c>
      <c r="E1323">
        <v>0.5</v>
      </c>
      <c r="F1323">
        <v>120</v>
      </c>
      <c r="G1323">
        <v>51</v>
      </c>
      <c r="H1323">
        <v>94</v>
      </c>
      <c r="I1323">
        <v>210</v>
      </c>
    </row>
    <row r="1324" spans="1:9">
      <c r="A1324" s="2">
        <v>1961</v>
      </c>
      <c r="B1324">
        <v>99</v>
      </c>
      <c r="C1324">
        <v>0.56777</v>
      </c>
      <c r="D1324">
        <v>0.44223000000000001</v>
      </c>
      <c r="E1324">
        <v>0.5</v>
      </c>
      <c r="F1324">
        <v>69</v>
      </c>
      <c r="G1324">
        <v>30</v>
      </c>
      <c r="H1324">
        <v>54</v>
      </c>
      <c r="I1324">
        <v>115</v>
      </c>
    </row>
    <row r="1325" spans="1:9">
      <c r="A1325" s="2">
        <v>1961</v>
      </c>
      <c r="B1325">
        <v>100</v>
      </c>
      <c r="C1325">
        <v>0.59604999999999997</v>
      </c>
      <c r="D1325">
        <v>0.4592</v>
      </c>
      <c r="E1325">
        <v>0.5</v>
      </c>
      <c r="F1325">
        <v>38</v>
      </c>
      <c r="G1325">
        <v>18</v>
      </c>
      <c r="H1325">
        <v>30</v>
      </c>
      <c r="I1325">
        <v>62</v>
      </c>
    </row>
    <row r="1326" spans="1:9">
      <c r="A1326" s="2">
        <v>1961</v>
      </c>
      <c r="B1326">
        <v>101</v>
      </c>
      <c r="C1326">
        <v>0.62372000000000005</v>
      </c>
      <c r="D1326">
        <v>0.47543999999999997</v>
      </c>
      <c r="E1326">
        <v>0.5</v>
      </c>
      <c r="F1326">
        <v>21</v>
      </c>
      <c r="G1326">
        <v>10</v>
      </c>
      <c r="H1326">
        <v>16</v>
      </c>
      <c r="I1326">
        <v>32</v>
      </c>
    </row>
    <row r="1327" spans="1:9">
      <c r="A1327" s="2">
        <v>1961</v>
      </c>
      <c r="B1327">
        <v>102</v>
      </c>
      <c r="C1327">
        <v>0.65059</v>
      </c>
      <c r="D1327">
        <v>0.4909</v>
      </c>
      <c r="E1327">
        <v>0.5</v>
      </c>
      <c r="F1327">
        <v>11</v>
      </c>
      <c r="G1327">
        <v>5</v>
      </c>
      <c r="H1327">
        <v>8</v>
      </c>
      <c r="I1327">
        <v>16</v>
      </c>
    </row>
    <row r="1328" spans="1:9">
      <c r="A1328" s="2">
        <v>1961</v>
      </c>
      <c r="B1328">
        <v>103</v>
      </c>
      <c r="C1328">
        <v>0.67654999999999998</v>
      </c>
      <c r="D1328">
        <v>0.50553999999999999</v>
      </c>
      <c r="E1328">
        <v>0.5</v>
      </c>
      <c r="F1328">
        <v>6</v>
      </c>
      <c r="G1328">
        <v>3</v>
      </c>
      <c r="H1328">
        <v>4</v>
      </c>
      <c r="I1328">
        <v>8</v>
      </c>
    </row>
    <row r="1329" spans="1:9">
      <c r="A1329" s="2">
        <v>1961</v>
      </c>
      <c r="B1329">
        <v>104</v>
      </c>
      <c r="C1329">
        <v>0.70145999999999997</v>
      </c>
      <c r="D1329">
        <v>0.51932</v>
      </c>
      <c r="E1329">
        <v>0.5</v>
      </c>
      <c r="F1329">
        <v>3</v>
      </c>
      <c r="G1329">
        <v>1</v>
      </c>
      <c r="H1329">
        <v>2</v>
      </c>
      <c r="I1329">
        <v>4</v>
      </c>
    </row>
    <row r="1330" spans="1:9">
      <c r="A1330" s="2">
        <v>1961</v>
      </c>
      <c r="B1330">
        <v>105</v>
      </c>
      <c r="C1330">
        <v>0.72523000000000004</v>
      </c>
      <c r="D1330">
        <v>0.53222999999999998</v>
      </c>
      <c r="E1330">
        <v>0.5</v>
      </c>
      <c r="F1330">
        <v>1</v>
      </c>
      <c r="G1330">
        <v>1</v>
      </c>
      <c r="H1330">
        <v>1</v>
      </c>
      <c r="I1330">
        <v>2</v>
      </c>
    </row>
    <row r="1331" spans="1:9">
      <c r="A1331" s="2">
        <v>1961</v>
      </c>
      <c r="B1331">
        <v>106</v>
      </c>
      <c r="C1331">
        <v>0.74778999999999995</v>
      </c>
      <c r="D1331">
        <v>0.54427999999999999</v>
      </c>
      <c r="E1331">
        <v>0.5</v>
      </c>
      <c r="F1331">
        <v>1</v>
      </c>
      <c r="G1331">
        <v>0</v>
      </c>
      <c r="H1331">
        <v>0</v>
      </c>
      <c r="I1331">
        <v>1</v>
      </c>
    </row>
    <row r="1332" spans="1:9">
      <c r="A1332" s="2">
        <v>1961</v>
      </c>
      <c r="B1332">
        <v>107</v>
      </c>
      <c r="C1332">
        <v>0.76907999999999999</v>
      </c>
      <c r="D1332">
        <v>0.55547999999999997</v>
      </c>
      <c r="E1332">
        <v>0.5</v>
      </c>
      <c r="F1332">
        <v>0</v>
      </c>
      <c r="G1332">
        <v>0</v>
      </c>
      <c r="H1332">
        <v>0</v>
      </c>
      <c r="I1332">
        <v>0</v>
      </c>
    </row>
    <row r="1333" spans="1:9">
      <c r="A1333" s="2">
        <v>1961</v>
      </c>
      <c r="B1333">
        <v>108</v>
      </c>
      <c r="C1333">
        <v>0.78908999999999996</v>
      </c>
      <c r="D1333">
        <v>0.56584000000000001</v>
      </c>
      <c r="E1333">
        <v>0.5</v>
      </c>
      <c r="F1333">
        <v>0</v>
      </c>
      <c r="G1333">
        <v>0</v>
      </c>
      <c r="H1333">
        <v>0</v>
      </c>
      <c r="I1333">
        <v>0</v>
      </c>
    </row>
    <row r="1334" spans="1:9">
      <c r="A1334" s="2">
        <v>1961</v>
      </c>
      <c r="B1334">
        <v>109</v>
      </c>
      <c r="C1334">
        <v>0.80779999999999996</v>
      </c>
      <c r="D1334">
        <v>0.57538999999999996</v>
      </c>
      <c r="E1334">
        <v>0.5</v>
      </c>
      <c r="F1334">
        <v>0</v>
      </c>
      <c r="G1334">
        <v>0</v>
      </c>
      <c r="H1334">
        <v>0</v>
      </c>
      <c r="I1334">
        <v>0</v>
      </c>
    </row>
    <row r="1335" spans="1:9">
      <c r="A1335" s="2">
        <v>1961</v>
      </c>
      <c r="B1335" t="s">
        <v>26</v>
      </c>
      <c r="C1335">
        <v>0.82521</v>
      </c>
      <c r="D1335">
        <v>1</v>
      </c>
      <c r="E1335" s="3" t="s">
        <v>35</v>
      </c>
      <c r="F1335">
        <v>0</v>
      </c>
      <c r="G1335">
        <v>0</v>
      </c>
      <c r="H1335">
        <v>0</v>
      </c>
      <c r="I1335">
        <v>0</v>
      </c>
    </row>
    <row r="1336" spans="1:9">
      <c r="A1336" s="2">
        <v>1962</v>
      </c>
      <c r="B1336">
        <v>0</v>
      </c>
      <c r="C1336">
        <v>5.2580000000000002E-2</v>
      </c>
      <c r="D1336">
        <v>5.0459999999999998E-2</v>
      </c>
      <c r="E1336">
        <v>0.2</v>
      </c>
      <c r="F1336">
        <v>100000</v>
      </c>
      <c r="G1336">
        <v>5046</v>
      </c>
      <c r="H1336">
        <v>95962</v>
      </c>
      <c r="I1336">
        <v>6568069</v>
      </c>
    </row>
    <row r="1337" spans="1:9">
      <c r="A1337" s="2">
        <v>1962</v>
      </c>
      <c r="B1337">
        <v>1</v>
      </c>
      <c r="C1337">
        <v>4.3699999999999998E-3</v>
      </c>
      <c r="D1337">
        <v>4.3600000000000002E-3</v>
      </c>
      <c r="E1337">
        <v>0.5</v>
      </c>
      <c r="F1337">
        <v>94954</v>
      </c>
      <c r="G1337">
        <v>414</v>
      </c>
      <c r="H1337">
        <v>94747</v>
      </c>
      <c r="I1337">
        <v>6472107</v>
      </c>
    </row>
    <row r="1338" spans="1:9">
      <c r="A1338" s="2">
        <v>1962</v>
      </c>
      <c r="B1338">
        <v>2</v>
      </c>
      <c r="C1338">
        <v>1.5299999999999999E-3</v>
      </c>
      <c r="D1338">
        <v>1.5299999999999999E-3</v>
      </c>
      <c r="E1338">
        <v>0.5</v>
      </c>
      <c r="F1338">
        <v>94540</v>
      </c>
      <c r="G1338">
        <v>144</v>
      </c>
      <c r="H1338">
        <v>94468</v>
      </c>
      <c r="I1338">
        <v>6377359</v>
      </c>
    </row>
    <row r="1339" spans="1:9">
      <c r="A1339" s="2">
        <v>1962</v>
      </c>
      <c r="B1339">
        <v>3</v>
      </c>
      <c r="C1339">
        <v>8.9999999999999998E-4</v>
      </c>
      <c r="D1339">
        <v>8.9999999999999998E-4</v>
      </c>
      <c r="E1339">
        <v>0.5</v>
      </c>
      <c r="F1339">
        <v>94396</v>
      </c>
      <c r="G1339">
        <v>85</v>
      </c>
      <c r="H1339">
        <v>94353</v>
      </c>
      <c r="I1339">
        <v>6282891</v>
      </c>
    </row>
    <row r="1340" spans="1:9">
      <c r="A1340" s="2">
        <v>1962</v>
      </c>
      <c r="B1340">
        <v>4</v>
      </c>
      <c r="C1340">
        <v>7.2000000000000005E-4</v>
      </c>
      <c r="D1340">
        <v>7.2000000000000005E-4</v>
      </c>
      <c r="E1340">
        <v>0.5</v>
      </c>
      <c r="F1340">
        <v>94311</v>
      </c>
      <c r="G1340">
        <v>68</v>
      </c>
      <c r="H1340">
        <v>94277</v>
      </c>
      <c r="I1340">
        <v>6188538</v>
      </c>
    </row>
    <row r="1341" spans="1:9">
      <c r="A1341" s="2">
        <v>1962</v>
      </c>
      <c r="B1341">
        <v>5</v>
      </c>
      <c r="C1341">
        <v>5.4000000000000001E-4</v>
      </c>
      <c r="D1341">
        <v>5.4000000000000001E-4</v>
      </c>
      <c r="E1341">
        <v>0.5</v>
      </c>
      <c r="F1341">
        <v>94243</v>
      </c>
      <c r="G1341">
        <v>51</v>
      </c>
      <c r="H1341">
        <v>94218</v>
      </c>
      <c r="I1341">
        <v>6094261</v>
      </c>
    </row>
    <row r="1342" spans="1:9">
      <c r="A1342" s="2">
        <v>1962</v>
      </c>
      <c r="B1342">
        <v>6</v>
      </c>
      <c r="C1342">
        <v>5.5999999999999995E-4</v>
      </c>
      <c r="D1342">
        <v>5.5999999999999995E-4</v>
      </c>
      <c r="E1342">
        <v>0.5</v>
      </c>
      <c r="F1342">
        <v>94192</v>
      </c>
      <c r="G1342">
        <v>52</v>
      </c>
      <c r="H1342">
        <v>94166</v>
      </c>
      <c r="I1342">
        <v>6000043</v>
      </c>
    </row>
    <row r="1343" spans="1:9">
      <c r="A1343" s="2">
        <v>1962</v>
      </c>
      <c r="B1343">
        <v>7</v>
      </c>
      <c r="C1343">
        <v>5.1000000000000004E-4</v>
      </c>
      <c r="D1343">
        <v>5.1000000000000004E-4</v>
      </c>
      <c r="E1343">
        <v>0.5</v>
      </c>
      <c r="F1343">
        <v>94140</v>
      </c>
      <c r="G1343">
        <v>48</v>
      </c>
      <c r="H1343">
        <v>94116</v>
      </c>
      <c r="I1343">
        <v>5905877</v>
      </c>
    </row>
    <row r="1344" spans="1:9">
      <c r="A1344" s="2">
        <v>1962</v>
      </c>
      <c r="B1344">
        <v>8</v>
      </c>
      <c r="C1344">
        <v>5.1000000000000004E-4</v>
      </c>
      <c r="D1344">
        <v>5.1000000000000004E-4</v>
      </c>
      <c r="E1344">
        <v>0.5</v>
      </c>
      <c r="F1344">
        <v>94092</v>
      </c>
      <c r="G1344">
        <v>48</v>
      </c>
      <c r="H1344">
        <v>94068</v>
      </c>
      <c r="I1344">
        <v>5811760</v>
      </c>
    </row>
    <row r="1345" spans="1:9">
      <c r="A1345" s="2">
        <v>1962</v>
      </c>
      <c r="B1345">
        <v>9</v>
      </c>
      <c r="C1345">
        <v>4.8000000000000001E-4</v>
      </c>
      <c r="D1345">
        <v>4.8000000000000001E-4</v>
      </c>
      <c r="E1345">
        <v>0.5</v>
      </c>
      <c r="F1345">
        <v>94044</v>
      </c>
      <c r="G1345">
        <v>45</v>
      </c>
      <c r="H1345">
        <v>94022</v>
      </c>
      <c r="I1345">
        <v>5717692</v>
      </c>
    </row>
    <row r="1346" spans="1:9">
      <c r="A1346" s="2">
        <v>1962</v>
      </c>
      <c r="B1346">
        <v>10</v>
      </c>
      <c r="C1346">
        <v>5.0000000000000001E-4</v>
      </c>
      <c r="D1346">
        <v>5.0000000000000001E-4</v>
      </c>
      <c r="E1346">
        <v>0.5</v>
      </c>
      <c r="F1346">
        <v>94000</v>
      </c>
      <c r="G1346">
        <v>47</v>
      </c>
      <c r="H1346">
        <v>93976</v>
      </c>
      <c r="I1346">
        <v>5623670</v>
      </c>
    </row>
    <row r="1347" spans="1:9">
      <c r="A1347" s="2">
        <v>1962</v>
      </c>
      <c r="B1347">
        <v>11</v>
      </c>
      <c r="C1347">
        <v>4.4999999999999999E-4</v>
      </c>
      <c r="D1347">
        <v>4.4999999999999999E-4</v>
      </c>
      <c r="E1347">
        <v>0.5</v>
      </c>
      <c r="F1347">
        <v>93952</v>
      </c>
      <c r="G1347">
        <v>42</v>
      </c>
      <c r="H1347">
        <v>93931</v>
      </c>
      <c r="I1347">
        <v>5529694</v>
      </c>
    </row>
    <row r="1348" spans="1:9">
      <c r="A1348" s="2">
        <v>1962</v>
      </c>
      <c r="B1348">
        <v>12</v>
      </c>
      <c r="C1348">
        <v>6.3000000000000003E-4</v>
      </c>
      <c r="D1348">
        <v>6.3000000000000003E-4</v>
      </c>
      <c r="E1348">
        <v>0.5</v>
      </c>
      <c r="F1348">
        <v>93910</v>
      </c>
      <c r="G1348">
        <v>59</v>
      </c>
      <c r="H1348">
        <v>93881</v>
      </c>
      <c r="I1348">
        <v>5435763</v>
      </c>
    </row>
    <row r="1349" spans="1:9">
      <c r="A1349" s="2">
        <v>1962</v>
      </c>
      <c r="B1349">
        <v>13</v>
      </c>
      <c r="C1349">
        <v>5.5000000000000003E-4</v>
      </c>
      <c r="D1349">
        <v>5.5000000000000003E-4</v>
      </c>
      <c r="E1349">
        <v>0.5</v>
      </c>
      <c r="F1349">
        <v>93851</v>
      </c>
      <c r="G1349">
        <v>51</v>
      </c>
      <c r="H1349">
        <v>93826</v>
      </c>
      <c r="I1349">
        <v>5341882</v>
      </c>
    </row>
    <row r="1350" spans="1:9">
      <c r="A1350" s="2">
        <v>1962</v>
      </c>
      <c r="B1350">
        <v>14</v>
      </c>
      <c r="C1350">
        <v>6.7000000000000002E-4</v>
      </c>
      <c r="D1350">
        <v>6.7000000000000002E-4</v>
      </c>
      <c r="E1350">
        <v>0.5</v>
      </c>
      <c r="F1350">
        <v>93800</v>
      </c>
      <c r="G1350">
        <v>63</v>
      </c>
      <c r="H1350">
        <v>93769</v>
      </c>
      <c r="I1350">
        <v>5248057</v>
      </c>
    </row>
    <row r="1351" spans="1:9">
      <c r="A1351" s="2">
        <v>1962</v>
      </c>
      <c r="B1351">
        <v>15</v>
      </c>
      <c r="C1351">
        <v>6.8000000000000005E-4</v>
      </c>
      <c r="D1351">
        <v>6.8000000000000005E-4</v>
      </c>
      <c r="E1351">
        <v>0.5</v>
      </c>
      <c r="F1351">
        <v>93737</v>
      </c>
      <c r="G1351">
        <v>64</v>
      </c>
      <c r="H1351">
        <v>93705</v>
      </c>
      <c r="I1351">
        <v>5154288</v>
      </c>
    </row>
    <row r="1352" spans="1:9">
      <c r="A1352" s="2">
        <v>1962</v>
      </c>
      <c r="B1352">
        <v>16</v>
      </c>
      <c r="C1352">
        <v>8.8999999999999995E-4</v>
      </c>
      <c r="D1352">
        <v>8.8999999999999995E-4</v>
      </c>
      <c r="E1352">
        <v>0.5</v>
      </c>
      <c r="F1352">
        <v>93673</v>
      </c>
      <c r="G1352">
        <v>83</v>
      </c>
      <c r="H1352">
        <v>93631</v>
      </c>
      <c r="I1352">
        <v>5060583</v>
      </c>
    </row>
    <row r="1353" spans="1:9">
      <c r="A1353" s="2">
        <v>1962</v>
      </c>
      <c r="B1353">
        <v>17</v>
      </c>
      <c r="C1353">
        <v>1.1000000000000001E-3</v>
      </c>
      <c r="D1353">
        <v>1.1000000000000001E-3</v>
      </c>
      <c r="E1353">
        <v>0.5</v>
      </c>
      <c r="F1353">
        <v>93590</v>
      </c>
      <c r="G1353">
        <v>103</v>
      </c>
      <c r="H1353">
        <v>93538</v>
      </c>
      <c r="I1353">
        <v>4966951</v>
      </c>
    </row>
    <row r="1354" spans="1:9">
      <c r="A1354" s="2">
        <v>1962</v>
      </c>
      <c r="B1354">
        <v>18</v>
      </c>
      <c r="C1354">
        <v>1.31E-3</v>
      </c>
      <c r="D1354">
        <v>1.31E-3</v>
      </c>
      <c r="E1354">
        <v>0.5</v>
      </c>
      <c r="F1354">
        <v>93487</v>
      </c>
      <c r="G1354">
        <v>122</v>
      </c>
      <c r="H1354">
        <v>93426</v>
      </c>
      <c r="I1354">
        <v>4873413</v>
      </c>
    </row>
    <row r="1355" spans="1:9">
      <c r="A1355" s="2">
        <v>1962</v>
      </c>
      <c r="B1355">
        <v>19</v>
      </c>
      <c r="C1355">
        <v>1.5499999999999999E-3</v>
      </c>
      <c r="D1355">
        <v>1.5499999999999999E-3</v>
      </c>
      <c r="E1355">
        <v>0.5</v>
      </c>
      <c r="F1355">
        <v>93365</v>
      </c>
      <c r="G1355">
        <v>144</v>
      </c>
      <c r="H1355">
        <v>93293</v>
      </c>
      <c r="I1355">
        <v>4779987</v>
      </c>
    </row>
    <row r="1356" spans="1:9">
      <c r="A1356" s="2">
        <v>1962</v>
      </c>
      <c r="B1356">
        <v>20</v>
      </c>
      <c r="C1356">
        <v>1.47E-3</v>
      </c>
      <c r="D1356">
        <v>1.47E-3</v>
      </c>
      <c r="E1356">
        <v>0.5</v>
      </c>
      <c r="F1356">
        <v>93220</v>
      </c>
      <c r="G1356">
        <v>137</v>
      </c>
      <c r="H1356">
        <v>93152</v>
      </c>
      <c r="I1356">
        <v>4686694</v>
      </c>
    </row>
    <row r="1357" spans="1:9">
      <c r="A1357" s="2">
        <v>1962</v>
      </c>
      <c r="B1357">
        <v>21</v>
      </c>
      <c r="C1357">
        <v>1.48E-3</v>
      </c>
      <c r="D1357">
        <v>1.48E-3</v>
      </c>
      <c r="E1357">
        <v>0.5</v>
      </c>
      <c r="F1357">
        <v>93084</v>
      </c>
      <c r="G1357">
        <v>137</v>
      </c>
      <c r="H1357">
        <v>93015</v>
      </c>
      <c r="I1357">
        <v>4593542</v>
      </c>
    </row>
    <row r="1358" spans="1:9">
      <c r="A1358" s="2">
        <v>1962</v>
      </c>
      <c r="B1358">
        <v>22</v>
      </c>
      <c r="C1358">
        <v>1.56E-3</v>
      </c>
      <c r="D1358">
        <v>1.5499999999999999E-3</v>
      </c>
      <c r="E1358">
        <v>0.5</v>
      </c>
      <c r="F1358">
        <v>92946</v>
      </c>
      <c r="G1358">
        <v>144</v>
      </c>
      <c r="H1358">
        <v>92874</v>
      </c>
      <c r="I1358">
        <v>4500527</v>
      </c>
    </row>
    <row r="1359" spans="1:9">
      <c r="A1359" s="2">
        <v>1962</v>
      </c>
      <c r="B1359">
        <v>23</v>
      </c>
      <c r="C1359">
        <v>1.5499999999999999E-3</v>
      </c>
      <c r="D1359">
        <v>1.5399999999999999E-3</v>
      </c>
      <c r="E1359">
        <v>0.5</v>
      </c>
      <c r="F1359">
        <v>92802</v>
      </c>
      <c r="G1359">
        <v>143</v>
      </c>
      <c r="H1359">
        <v>92730</v>
      </c>
      <c r="I1359">
        <v>4407653</v>
      </c>
    </row>
    <row r="1360" spans="1:9">
      <c r="A1360" s="2">
        <v>1962</v>
      </c>
      <c r="B1360">
        <v>24</v>
      </c>
      <c r="C1360">
        <v>1.48E-3</v>
      </c>
      <c r="D1360">
        <v>1.48E-3</v>
      </c>
      <c r="E1360">
        <v>0.5</v>
      </c>
      <c r="F1360">
        <v>92658</v>
      </c>
      <c r="G1360">
        <v>137</v>
      </c>
      <c r="H1360">
        <v>92590</v>
      </c>
      <c r="I1360">
        <v>4314923</v>
      </c>
    </row>
    <row r="1361" spans="1:9">
      <c r="A1361" s="2">
        <v>1962</v>
      </c>
      <c r="B1361">
        <v>25</v>
      </c>
      <c r="C1361">
        <v>1.4300000000000001E-3</v>
      </c>
      <c r="D1361">
        <v>1.4300000000000001E-3</v>
      </c>
      <c r="E1361">
        <v>0.5</v>
      </c>
      <c r="F1361">
        <v>92522</v>
      </c>
      <c r="G1361">
        <v>132</v>
      </c>
      <c r="H1361">
        <v>92456</v>
      </c>
      <c r="I1361">
        <v>4222333</v>
      </c>
    </row>
    <row r="1362" spans="1:9">
      <c r="A1362" s="2">
        <v>1962</v>
      </c>
      <c r="B1362">
        <v>26</v>
      </c>
      <c r="C1362">
        <v>1.6900000000000001E-3</v>
      </c>
      <c r="D1362">
        <v>1.6800000000000001E-3</v>
      </c>
      <c r="E1362">
        <v>0.5</v>
      </c>
      <c r="F1362">
        <v>92389</v>
      </c>
      <c r="G1362">
        <v>156</v>
      </c>
      <c r="H1362">
        <v>92312</v>
      </c>
      <c r="I1362">
        <v>4129878</v>
      </c>
    </row>
    <row r="1363" spans="1:9">
      <c r="A1363" s="2">
        <v>1962</v>
      </c>
      <c r="B1363">
        <v>27</v>
      </c>
      <c r="C1363">
        <v>1.65E-3</v>
      </c>
      <c r="D1363">
        <v>1.64E-3</v>
      </c>
      <c r="E1363">
        <v>0.5</v>
      </c>
      <c r="F1363">
        <v>92234</v>
      </c>
      <c r="G1363">
        <v>152</v>
      </c>
      <c r="H1363">
        <v>92158</v>
      </c>
      <c r="I1363">
        <v>4037566</v>
      </c>
    </row>
    <row r="1364" spans="1:9">
      <c r="A1364" s="2">
        <v>1962</v>
      </c>
      <c r="B1364">
        <v>28</v>
      </c>
      <c r="C1364">
        <v>1.82E-3</v>
      </c>
      <c r="D1364">
        <v>1.81E-3</v>
      </c>
      <c r="E1364">
        <v>0.5</v>
      </c>
      <c r="F1364">
        <v>92082</v>
      </c>
      <c r="G1364">
        <v>167</v>
      </c>
      <c r="H1364">
        <v>91999</v>
      </c>
      <c r="I1364">
        <v>3945408</v>
      </c>
    </row>
    <row r="1365" spans="1:9">
      <c r="A1365" s="2">
        <v>1962</v>
      </c>
      <c r="B1365">
        <v>29</v>
      </c>
      <c r="C1365">
        <v>1.73E-3</v>
      </c>
      <c r="D1365">
        <v>1.73E-3</v>
      </c>
      <c r="E1365">
        <v>0.5</v>
      </c>
      <c r="F1365">
        <v>91915</v>
      </c>
      <c r="G1365">
        <v>159</v>
      </c>
      <c r="H1365">
        <v>91836</v>
      </c>
      <c r="I1365">
        <v>3853409</v>
      </c>
    </row>
    <row r="1366" spans="1:9">
      <c r="A1366" s="2">
        <v>1962</v>
      </c>
      <c r="B1366">
        <v>30</v>
      </c>
      <c r="C1366">
        <v>1.7099999999999999E-3</v>
      </c>
      <c r="D1366">
        <v>1.7099999999999999E-3</v>
      </c>
      <c r="E1366">
        <v>0.5</v>
      </c>
      <c r="F1366">
        <v>91756</v>
      </c>
      <c r="G1366">
        <v>157</v>
      </c>
      <c r="H1366">
        <v>91678</v>
      </c>
      <c r="I1366">
        <v>3761574</v>
      </c>
    </row>
    <row r="1367" spans="1:9">
      <c r="A1367" s="2">
        <v>1962</v>
      </c>
      <c r="B1367">
        <v>31</v>
      </c>
      <c r="C1367">
        <v>1.83E-3</v>
      </c>
      <c r="D1367">
        <v>1.83E-3</v>
      </c>
      <c r="E1367">
        <v>0.5</v>
      </c>
      <c r="F1367">
        <v>91600</v>
      </c>
      <c r="G1367">
        <v>168</v>
      </c>
      <c r="H1367">
        <v>91516</v>
      </c>
      <c r="I1367">
        <v>3669896</v>
      </c>
    </row>
    <row r="1368" spans="1:9">
      <c r="A1368" s="2">
        <v>1962</v>
      </c>
      <c r="B1368">
        <v>32</v>
      </c>
      <c r="C1368">
        <v>2.0799999999999998E-3</v>
      </c>
      <c r="D1368">
        <v>2.0799999999999998E-3</v>
      </c>
      <c r="E1368">
        <v>0.5</v>
      </c>
      <c r="F1368">
        <v>91432</v>
      </c>
      <c r="G1368">
        <v>190</v>
      </c>
      <c r="H1368">
        <v>91337</v>
      </c>
      <c r="I1368">
        <v>3578380</v>
      </c>
    </row>
    <row r="1369" spans="1:9">
      <c r="A1369" s="2">
        <v>1962</v>
      </c>
      <c r="B1369">
        <v>33</v>
      </c>
      <c r="C1369">
        <v>2E-3</v>
      </c>
      <c r="D1369">
        <v>2E-3</v>
      </c>
      <c r="E1369">
        <v>0.5</v>
      </c>
      <c r="F1369">
        <v>91242</v>
      </c>
      <c r="G1369">
        <v>182</v>
      </c>
      <c r="H1369">
        <v>91151</v>
      </c>
      <c r="I1369">
        <v>3487042</v>
      </c>
    </row>
    <row r="1370" spans="1:9">
      <c r="A1370" s="2">
        <v>1962</v>
      </c>
      <c r="B1370">
        <v>34</v>
      </c>
      <c r="C1370">
        <v>2.0799999999999998E-3</v>
      </c>
      <c r="D1370">
        <v>2.0799999999999998E-3</v>
      </c>
      <c r="E1370">
        <v>0.5</v>
      </c>
      <c r="F1370">
        <v>91060</v>
      </c>
      <c r="G1370">
        <v>189</v>
      </c>
      <c r="H1370">
        <v>90965</v>
      </c>
      <c r="I1370">
        <v>3395892</v>
      </c>
    </row>
    <row r="1371" spans="1:9">
      <c r="A1371" s="2">
        <v>1962</v>
      </c>
      <c r="B1371">
        <v>35</v>
      </c>
      <c r="C1371">
        <v>2.5200000000000001E-3</v>
      </c>
      <c r="D1371">
        <v>2.5100000000000001E-3</v>
      </c>
      <c r="E1371">
        <v>0.5</v>
      </c>
      <c r="F1371">
        <v>90871</v>
      </c>
      <c r="G1371">
        <v>228</v>
      </c>
      <c r="H1371">
        <v>90756</v>
      </c>
      <c r="I1371">
        <v>3304927</v>
      </c>
    </row>
    <row r="1372" spans="1:9">
      <c r="A1372" s="2">
        <v>1962</v>
      </c>
      <c r="B1372">
        <v>36</v>
      </c>
      <c r="C1372">
        <v>2.5899999999999999E-3</v>
      </c>
      <c r="D1372">
        <v>2.5799999999999998E-3</v>
      </c>
      <c r="E1372">
        <v>0.5</v>
      </c>
      <c r="F1372">
        <v>90642</v>
      </c>
      <c r="G1372">
        <v>234</v>
      </c>
      <c r="H1372">
        <v>90525</v>
      </c>
      <c r="I1372">
        <v>3214170</v>
      </c>
    </row>
    <row r="1373" spans="1:9">
      <c r="A1373" s="2">
        <v>1962</v>
      </c>
      <c r="B1373">
        <v>37</v>
      </c>
      <c r="C1373">
        <v>2.4399999999999999E-3</v>
      </c>
      <c r="D1373">
        <v>2.4299999999999999E-3</v>
      </c>
      <c r="E1373">
        <v>0.5</v>
      </c>
      <c r="F1373">
        <v>90408</v>
      </c>
      <c r="G1373">
        <v>220</v>
      </c>
      <c r="H1373">
        <v>90298</v>
      </c>
      <c r="I1373">
        <v>3123645</v>
      </c>
    </row>
    <row r="1374" spans="1:9">
      <c r="A1374" s="2">
        <v>1962</v>
      </c>
      <c r="B1374">
        <v>38</v>
      </c>
      <c r="C1374">
        <v>2.5500000000000002E-3</v>
      </c>
      <c r="D1374">
        <v>2.5500000000000002E-3</v>
      </c>
      <c r="E1374">
        <v>0.5</v>
      </c>
      <c r="F1374">
        <v>90188</v>
      </c>
      <c r="G1374">
        <v>230</v>
      </c>
      <c r="H1374">
        <v>90073</v>
      </c>
      <c r="I1374">
        <v>3033347</v>
      </c>
    </row>
    <row r="1375" spans="1:9">
      <c r="A1375" s="2">
        <v>1962</v>
      </c>
      <c r="B1375">
        <v>39</v>
      </c>
      <c r="C1375">
        <v>2.7299999999999998E-3</v>
      </c>
      <c r="D1375">
        <v>2.7200000000000002E-3</v>
      </c>
      <c r="E1375">
        <v>0.5</v>
      </c>
      <c r="F1375">
        <v>89958</v>
      </c>
      <c r="G1375">
        <v>245</v>
      </c>
      <c r="H1375">
        <v>89836</v>
      </c>
      <c r="I1375">
        <v>2943274</v>
      </c>
    </row>
    <row r="1376" spans="1:9">
      <c r="A1376" s="2">
        <v>1962</v>
      </c>
      <c r="B1376">
        <v>40</v>
      </c>
      <c r="C1376">
        <v>3.2299999999999998E-3</v>
      </c>
      <c r="D1376">
        <v>3.2299999999999998E-3</v>
      </c>
      <c r="E1376">
        <v>0.5</v>
      </c>
      <c r="F1376">
        <v>89713</v>
      </c>
      <c r="G1376">
        <v>290</v>
      </c>
      <c r="H1376">
        <v>89569</v>
      </c>
      <c r="I1376">
        <v>2853438</v>
      </c>
    </row>
    <row r="1377" spans="1:9">
      <c r="A1377" s="2">
        <v>1962</v>
      </c>
      <c r="B1377">
        <v>41</v>
      </c>
      <c r="C1377">
        <v>3.1199999999999999E-3</v>
      </c>
      <c r="D1377">
        <v>3.1099999999999999E-3</v>
      </c>
      <c r="E1377">
        <v>0.5</v>
      </c>
      <c r="F1377">
        <v>89424</v>
      </c>
      <c r="G1377">
        <v>278</v>
      </c>
      <c r="H1377">
        <v>89285</v>
      </c>
      <c r="I1377">
        <v>2763869</v>
      </c>
    </row>
    <row r="1378" spans="1:9">
      <c r="A1378" s="2">
        <v>1962</v>
      </c>
      <c r="B1378">
        <v>42</v>
      </c>
      <c r="C1378">
        <v>4.1700000000000001E-3</v>
      </c>
      <c r="D1378">
        <v>4.1599999999999996E-3</v>
      </c>
      <c r="E1378">
        <v>0.5</v>
      </c>
      <c r="F1378">
        <v>89145</v>
      </c>
      <c r="G1378">
        <v>371</v>
      </c>
      <c r="H1378">
        <v>88960</v>
      </c>
      <c r="I1378">
        <v>2674585</v>
      </c>
    </row>
    <row r="1379" spans="1:9">
      <c r="A1379" s="2">
        <v>1962</v>
      </c>
      <c r="B1379">
        <v>43</v>
      </c>
      <c r="C1379">
        <v>3.6099999999999999E-3</v>
      </c>
      <c r="D1379">
        <v>3.6099999999999999E-3</v>
      </c>
      <c r="E1379">
        <v>0.5</v>
      </c>
      <c r="F1379">
        <v>88774</v>
      </c>
      <c r="G1379">
        <v>320</v>
      </c>
      <c r="H1379">
        <v>88614</v>
      </c>
      <c r="I1379">
        <v>2585625</v>
      </c>
    </row>
    <row r="1380" spans="1:9">
      <c r="A1380" s="2">
        <v>1962</v>
      </c>
      <c r="B1380">
        <v>44</v>
      </c>
      <c r="C1380">
        <v>3.6800000000000001E-3</v>
      </c>
      <c r="D1380">
        <v>3.6800000000000001E-3</v>
      </c>
      <c r="E1380">
        <v>0.5</v>
      </c>
      <c r="F1380">
        <v>88454</v>
      </c>
      <c r="G1380">
        <v>325</v>
      </c>
      <c r="H1380">
        <v>88292</v>
      </c>
      <c r="I1380">
        <v>2497010</v>
      </c>
    </row>
    <row r="1381" spans="1:9">
      <c r="A1381" s="2">
        <v>1962</v>
      </c>
      <c r="B1381">
        <v>45</v>
      </c>
      <c r="C1381">
        <v>4.3899999999999998E-3</v>
      </c>
      <c r="D1381">
        <v>4.3800000000000002E-3</v>
      </c>
      <c r="E1381">
        <v>0.5</v>
      </c>
      <c r="F1381">
        <v>88129</v>
      </c>
      <c r="G1381">
        <v>386</v>
      </c>
      <c r="H1381">
        <v>87936</v>
      </c>
      <c r="I1381">
        <v>2408719</v>
      </c>
    </row>
    <row r="1382" spans="1:9">
      <c r="A1382" s="2">
        <v>1962</v>
      </c>
      <c r="B1382">
        <v>46</v>
      </c>
      <c r="C1382">
        <v>4.0899999999999999E-3</v>
      </c>
      <c r="D1382">
        <v>4.0800000000000003E-3</v>
      </c>
      <c r="E1382">
        <v>0.5</v>
      </c>
      <c r="F1382">
        <v>87743</v>
      </c>
      <c r="G1382">
        <v>358</v>
      </c>
      <c r="H1382">
        <v>87564</v>
      </c>
      <c r="I1382">
        <v>2320783</v>
      </c>
    </row>
    <row r="1383" spans="1:9">
      <c r="A1383" s="2">
        <v>1962</v>
      </c>
      <c r="B1383">
        <v>47</v>
      </c>
      <c r="C1383">
        <v>5.7400000000000003E-3</v>
      </c>
      <c r="D1383">
        <v>5.7200000000000003E-3</v>
      </c>
      <c r="E1383">
        <v>0.5</v>
      </c>
      <c r="F1383">
        <v>87385</v>
      </c>
      <c r="G1383">
        <v>500</v>
      </c>
      <c r="H1383">
        <v>87135</v>
      </c>
      <c r="I1383">
        <v>2233219</v>
      </c>
    </row>
    <row r="1384" spans="1:9">
      <c r="A1384" s="2">
        <v>1962</v>
      </c>
      <c r="B1384">
        <v>48</v>
      </c>
      <c r="C1384">
        <v>6.0099999999999997E-3</v>
      </c>
      <c r="D1384">
        <v>5.9899999999999997E-3</v>
      </c>
      <c r="E1384">
        <v>0.5</v>
      </c>
      <c r="F1384">
        <v>86884</v>
      </c>
      <c r="G1384">
        <v>521</v>
      </c>
      <c r="H1384">
        <v>86624</v>
      </c>
      <c r="I1384">
        <v>2146085</v>
      </c>
    </row>
    <row r="1385" spans="1:9">
      <c r="A1385" s="2">
        <v>1962</v>
      </c>
      <c r="B1385">
        <v>49</v>
      </c>
      <c r="C1385">
        <v>6.1799999999999997E-3</v>
      </c>
      <c r="D1385">
        <v>6.1599999999999997E-3</v>
      </c>
      <c r="E1385">
        <v>0.5</v>
      </c>
      <c r="F1385">
        <v>86364</v>
      </c>
      <c r="G1385">
        <v>532</v>
      </c>
      <c r="H1385">
        <v>86098</v>
      </c>
      <c r="I1385">
        <v>2059461</v>
      </c>
    </row>
    <row r="1386" spans="1:9">
      <c r="A1386" s="2">
        <v>1962</v>
      </c>
      <c r="B1386">
        <v>50</v>
      </c>
      <c r="C1386">
        <v>7.2199999999999999E-3</v>
      </c>
      <c r="D1386">
        <v>7.1999999999999998E-3</v>
      </c>
      <c r="E1386">
        <v>0.5</v>
      </c>
      <c r="F1386">
        <v>85832</v>
      </c>
      <c r="G1386">
        <v>618</v>
      </c>
      <c r="H1386">
        <v>85523</v>
      </c>
      <c r="I1386">
        <v>1973363</v>
      </c>
    </row>
    <row r="1387" spans="1:9">
      <c r="A1387" s="2">
        <v>1962</v>
      </c>
      <c r="B1387">
        <v>51</v>
      </c>
      <c r="C1387">
        <v>7.77E-3</v>
      </c>
      <c r="D1387">
        <v>7.7400000000000004E-3</v>
      </c>
      <c r="E1387">
        <v>0.5</v>
      </c>
      <c r="F1387">
        <v>85214</v>
      </c>
      <c r="G1387">
        <v>660</v>
      </c>
      <c r="H1387">
        <v>84884</v>
      </c>
      <c r="I1387">
        <v>1887840</v>
      </c>
    </row>
    <row r="1388" spans="1:9">
      <c r="A1388" s="2">
        <v>1962</v>
      </c>
      <c r="B1388">
        <v>52</v>
      </c>
      <c r="C1388">
        <v>8.77E-3</v>
      </c>
      <c r="D1388">
        <v>8.7299999999999999E-3</v>
      </c>
      <c r="E1388">
        <v>0.5</v>
      </c>
      <c r="F1388">
        <v>84554</v>
      </c>
      <c r="G1388">
        <v>738</v>
      </c>
      <c r="H1388">
        <v>84185</v>
      </c>
      <c r="I1388">
        <v>1802956</v>
      </c>
    </row>
    <row r="1389" spans="1:9">
      <c r="A1389" s="2">
        <v>1962</v>
      </c>
      <c r="B1389">
        <v>53</v>
      </c>
      <c r="C1389">
        <v>9.8399999999999998E-3</v>
      </c>
      <c r="D1389">
        <v>9.7900000000000001E-3</v>
      </c>
      <c r="E1389">
        <v>0.5</v>
      </c>
      <c r="F1389">
        <v>83816</v>
      </c>
      <c r="G1389">
        <v>820</v>
      </c>
      <c r="H1389">
        <v>83406</v>
      </c>
      <c r="I1389">
        <v>1718771</v>
      </c>
    </row>
    <row r="1390" spans="1:9">
      <c r="A1390" s="2">
        <v>1962</v>
      </c>
      <c r="B1390">
        <v>54</v>
      </c>
      <c r="C1390">
        <v>1.124E-2</v>
      </c>
      <c r="D1390">
        <v>1.1180000000000001E-2</v>
      </c>
      <c r="E1390">
        <v>0.5</v>
      </c>
      <c r="F1390">
        <v>82996</v>
      </c>
      <c r="G1390">
        <v>928</v>
      </c>
      <c r="H1390">
        <v>82532</v>
      </c>
      <c r="I1390">
        <v>1635365</v>
      </c>
    </row>
    <row r="1391" spans="1:9">
      <c r="A1391" s="2">
        <v>1962</v>
      </c>
      <c r="B1391">
        <v>55</v>
      </c>
      <c r="C1391">
        <v>1.2699999999999999E-2</v>
      </c>
      <c r="D1391">
        <v>1.2619999999999999E-2</v>
      </c>
      <c r="E1391">
        <v>0.5</v>
      </c>
      <c r="F1391">
        <v>82068</v>
      </c>
      <c r="G1391">
        <v>1036</v>
      </c>
      <c r="H1391">
        <v>81550</v>
      </c>
      <c r="I1391">
        <v>1552833</v>
      </c>
    </row>
    <row r="1392" spans="1:9">
      <c r="A1392" s="2">
        <v>1962</v>
      </c>
      <c r="B1392">
        <v>56</v>
      </c>
      <c r="C1392">
        <v>1.3559999999999999E-2</v>
      </c>
      <c r="D1392">
        <v>1.3469999999999999E-2</v>
      </c>
      <c r="E1392">
        <v>0.5</v>
      </c>
      <c r="F1392">
        <v>81032</v>
      </c>
      <c r="G1392">
        <v>1092</v>
      </c>
      <c r="H1392">
        <v>80486</v>
      </c>
      <c r="I1392">
        <v>1471284</v>
      </c>
    </row>
    <row r="1393" spans="1:9">
      <c r="A1393" s="2">
        <v>1962</v>
      </c>
      <c r="B1393">
        <v>57</v>
      </c>
      <c r="C1393">
        <v>1.5509999999999999E-2</v>
      </c>
      <c r="D1393">
        <v>1.5389999999999999E-2</v>
      </c>
      <c r="E1393">
        <v>0.5</v>
      </c>
      <c r="F1393">
        <v>79940</v>
      </c>
      <c r="G1393">
        <v>1230</v>
      </c>
      <c r="H1393">
        <v>79325</v>
      </c>
      <c r="I1393">
        <v>1390798</v>
      </c>
    </row>
    <row r="1394" spans="1:9">
      <c r="A1394" s="2">
        <v>1962</v>
      </c>
      <c r="B1394">
        <v>58</v>
      </c>
      <c r="C1394">
        <v>1.66E-2</v>
      </c>
      <c r="D1394">
        <v>1.6469999999999999E-2</v>
      </c>
      <c r="E1394">
        <v>0.5</v>
      </c>
      <c r="F1394">
        <v>78710</v>
      </c>
      <c r="G1394">
        <v>1296</v>
      </c>
      <c r="H1394">
        <v>78062</v>
      </c>
      <c r="I1394">
        <v>1311473</v>
      </c>
    </row>
    <row r="1395" spans="1:9">
      <c r="A1395" s="2">
        <v>1962</v>
      </c>
      <c r="B1395">
        <v>59</v>
      </c>
      <c r="C1395">
        <v>1.9290000000000002E-2</v>
      </c>
      <c r="D1395">
        <v>1.9109999999999999E-2</v>
      </c>
      <c r="E1395">
        <v>0.5</v>
      </c>
      <c r="F1395">
        <v>77414</v>
      </c>
      <c r="G1395">
        <v>1479</v>
      </c>
      <c r="H1395">
        <v>76674</v>
      </c>
      <c r="I1395">
        <v>1233411</v>
      </c>
    </row>
    <row r="1396" spans="1:9">
      <c r="A1396" s="2">
        <v>1962</v>
      </c>
      <c r="B1396">
        <v>60</v>
      </c>
      <c r="C1396">
        <v>2.138E-2</v>
      </c>
      <c r="D1396">
        <v>2.1160000000000002E-2</v>
      </c>
      <c r="E1396">
        <v>0.5</v>
      </c>
      <c r="F1396">
        <v>75934</v>
      </c>
      <c r="G1396">
        <v>1606</v>
      </c>
      <c r="H1396">
        <v>75131</v>
      </c>
      <c r="I1396">
        <v>1156737</v>
      </c>
    </row>
    <row r="1397" spans="1:9">
      <c r="A1397" s="2">
        <v>1962</v>
      </c>
      <c r="B1397">
        <v>61</v>
      </c>
      <c r="C1397">
        <v>2.2530000000000001E-2</v>
      </c>
      <c r="D1397">
        <v>2.2280000000000001E-2</v>
      </c>
      <c r="E1397">
        <v>0.5</v>
      </c>
      <c r="F1397">
        <v>74328</v>
      </c>
      <c r="G1397">
        <v>1656</v>
      </c>
      <c r="H1397">
        <v>73500</v>
      </c>
      <c r="I1397">
        <v>1081606</v>
      </c>
    </row>
    <row r="1398" spans="1:9">
      <c r="A1398" s="2">
        <v>1962</v>
      </c>
      <c r="B1398">
        <v>62</v>
      </c>
      <c r="C1398">
        <v>2.6950000000000002E-2</v>
      </c>
      <c r="D1398">
        <v>2.6599999999999999E-2</v>
      </c>
      <c r="E1398">
        <v>0.5</v>
      </c>
      <c r="F1398">
        <v>72672</v>
      </c>
      <c r="G1398">
        <v>1933</v>
      </c>
      <c r="H1398">
        <v>71706</v>
      </c>
      <c r="I1398">
        <v>1008105</v>
      </c>
    </row>
    <row r="1399" spans="1:9">
      <c r="A1399" s="2">
        <v>1962</v>
      </c>
      <c r="B1399">
        <v>63</v>
      </c>
      <c r="C1399">
        <v>2.8170000000000001E-2</v>
      </c>
      <c r="D1399">
        <v>2.7779999999999999E-2</v>
      </c>
      <c r="E1399">
        <v>0.5</v>
      </c>
      <c r="F1399">
        <v>70739</v>
      </c>
      <c r="G1399">
        <v>1965</v>
      </c>
      <c r="H1399">
        <v>69757</v>
      </c>
      <c r="I1399">
        <v>936400</v>
      </c>
    </row>
    <row r="1400" spans="1:9">
      <c r="A1400" s="2">
        <v>1962</v>
      </c>
      <c r="B1400">
        <v>64</v>
      </c>
      <c r="C1400">
        <v>2.955E-2</v>
      </c>
      <c r="D1400">
        <v>2.912E-2</v>
      </c>
      <c r="E1400">
        <v>0.5</v>
      </c>
      <c r="F1400">
        <v>68775</v>
      </c>
      <c r="G1400">
        <v>2003</v>
      </c>
      <c r="H1400">
        <v>67773</v>
      </c>
      <c r="I1400">
        <v>866643</v>
      </c>
    </row>
    <row r="1401" spans="1:9">
      <c r="A1401" s="2">
        <v>1962</v>
      </c>
      <c r="B1401">
        <v>65</v>
      </c>
      <c r="C1401">
        <v>3.4029999999999998E-2</v>
      </c>
      <c r="D1401">
        <v>3.3459999999999997E-2</v>
      </c>
      <c r="E1401">
        <v>0.5</v>
      </c>
      <c r="F1401">
        <v>66772</v>
      </c>
      <c r="G1401">
        <v>2234</v>
      </c>
      <c r="H1401">
        <v>65655</v>
      </c>
      <c r="I1401">
        <v>798869</v>
      </c>
    </row>
    <row r="1402" spans="1:9">
      <c r="A1402" s="2">
        <v>1962</v>
      </c>
      <c r="B1402">
        <v>66</v>
      </c>
      <c r="C1402">
        <v>3.6949999999999997E-2</v>
      </c>
      <c r="D1402">
        <v>3.628E-2</v>
      </c>
      <c r="E1402">
        <v>0.5</v>
      </c>
      <c r="F1402">
        <v>64538</v>
      </c>
      <c r="G1402">
        <v>2342</v>
      </c>
      <c r="H1402">
        <v>63367</v>
      </c>
      <c r="I1402">
        <v>733215</v>
      </c>
    </row>
    <row r="1403" spans="1:9">
      <c r="A1403" s="2">
        <v>1962</v>
      </c>
      <c r="B1403">
        <v>67</v>
      </c>
      <c r="C1403">
        <v>3.8789999999999998E-2</v>
      </c>
      <c r="D1403">
        <v>3.8059999999999997E-2</v>
      </c>
      <c r="E1403">
        <v>0.5</v>
      </c>
      <c r="F1403">
        <v>62196</v>
      </c>
      <c r="G1403">
        <v>2367</v>
      </c>
      <c r="H1403">
        <v>61013</v>
      </c>
      <c r="I1403">
        <v>669848</v>
      </c>
    </row>
    <row r="1404" spans="1:9">
      <c r="A1404" s="2">
        <v>1962</v>
      </c>
      <c r="B1404">
        <v>68</v>
      </c>
      <c r="C1404">
        <v>4.4350000000000001E-2</v>
      </c>
      <c r="D1404">
        <v>4.3389999999999998E-2</v>
      </c>
      <c r="E1404">
        <v>0.5</v>
      </c>
      <c r="F1404">
        <v>59829</v>
      </c>
      <c r="G1404">
        <v>2596</v>
      </c>
      <c r="H1404">
        <v>58531</v>
      </c>
      <c r="I1404">
        <v>608835</v>
      </c>
    </row>
    <row r="1405" spans="1:9">
      <c r="A1405" s="2">
        <v>1962</v>
      </c>
      <c r="B1405">
        <v>69</v>
      </c>
      <c r="C1405">
        <v>4.904E-2</v>
      </c>
      <c r="D1405">
        <v>4.7870000000000003E-2</v>
      </c>
      <c r="E1405">
        <v>0.5</v>
      </c>
      <c r="F1405">
        <v>57233</v>
      </c>
      <c r="G1405">
        <v>2740</v>
      </c>
      <c r="H1405">
        <v>55863</v>
      </c>
      <c r="I1405">
        <v>550304</v>
      </c>
    </row>
    <row r="1406" spans="1:9">
      <c r="A1406" s="2">
        <v>1962</v>
      </c>
      <c r="B1406">
        <v>70</v>
      </c>
      <c r="C1406">
        <v>5.4899999999999997E-2</v>
      </c>
      <c r="D1406">
        <v>5.3429999999999998E-2</v>
      </c>
      <c r="E1406">
        <v>0.5</v>
      </c>
      <c r="F1406">
        <v>54494</v>
      </c>
      <c r="G1406">
        <v>2912</v>
      </c>
      <c r="H1406">
        <v>53038</v>
      </c>
      <c r="I1406">
        <v>494441</v>
      </c>
    </row>
    <row r="1407" spans="1:9">
      <c r="A1407" s="2">
        <v>1962</v>
      </c>
      <c r="B1407">
        <v>71</v>
      </c>
      <c r="C1407">
        <v>5.79E-2</v>
      </c>
      <c r="D1407">
        <v>5.6279999999999997E-2</v>
      </c>
      <c r="E1407">
        <v>0.5</v>
      </c>
      <c r="F1407">
        <v>51582</v>
      </c>
      <c r="G1407">
        <v>2903</v>
      </c>
      <c r="H1407">
        <v>50130</v>
      </c>
      <c r="I1407">
        <v>441403</v>
      </c>
    </row>
    <row r="1408" spans="1:9">
      <c r="A1408" s="2">
        <v>1962</v>
      </c>
      <c r="B1408">
        <v>72</v>
      </c>
      <c r="C1408">
        <v>6.5769999999999995E-2</v>
      </c>
      <c r="D1408">
        <v>6.368E-2</v>
      </c>
      <c r="E1408">
        <v>0.5</v>
      </c>
      <c r="F1408">
        <v>48679</v>
      </c>
      <c r="G1408">
        <v>3100</v>
      </c>
      <c r="H1408">
        <v>47129</v>
      </c>
      <c r="I1408">
        <v>391273</v>
      </c>
    </row>
    <row r="1409" spans="1:9">
      <c r="A1409" s="2">
        <v>1962</v>
      </c>
      <c r="B1409">
        <v>73</v>
      </c>
      <c r="C1409">
        <v>7.1370000000000003E-2</v>
      </c>
      <c r="D1409">
        <v>6.8909999999999999E-2</v>
      </c>
      <c r="E1409">
        <v>0.5</v>
      </c>
      <c r="F1409">
        <v>45579</v>
      </c>
      <c r="G1409">
        <v>3141</v>
      </c>
      <c r="H1409">
        <v>44009</v>
      </c>
      <c r="I1409">
        <v>344144</v>
      </c>
    </row>
    <row r="1410" spans="1:9">
      <c r="A1410" s="2">
        <v>1962</v>
      </c>
      <c r="B1410">
        <v>74</v>
      </c>
      <c r="C1410">
        <v>8.0049999999999996E-2</v>
      </c>
      <c r="D1410">
        <v>7.6969999999999997E-2</v>
      </c>
      <c r="E1410">
        <v>0.5</v>
      </c>
      <c r="F1410">
        <v>42438</v>
      </c>
      <c r="G1410">
        <v>3267</v>
      </c>
      <c r="H1410">
        <v>40805</v>
      </c>
      <c r="I1410">
        <v>300135</v>
      </c>
    </row>
    <row r="1411" spans="1:9">
      <c r="A1411" s="2">
        <v>1962</v>
      </c>
      <c r="B1411">
        <v>75</v>
      </c>
      <c r="C1411">
        <v>9.2109999999999997E-2</v>
      </c>
      <c r="D1411">
        <v>8.8050000000000003E-2</v>
      </c>
      <c r="E1411">
        <v>0.5</v>
      </c>
      <c r="F1411">
        <v>39172</v>
      </c>
      <c r="G1411">
        <v>3449</v>
      </c>
      <c r="H1411">
        <v>37447</v>
      </c>
      <c r="I1411">
        <v>259330</v>
      </c>
    </row>
    <row r="1412" spans="1:9">
      <c r="A1412" s="2">
        <v>1962</v>
      </c>
      <c r="B1412">
        <v>76</v>
      </c>
      <c r="C1412">
        <v>0.10208</v>
      </c>
      <c r="D1412">
        <v>9.7119999999999998E-2</v>
      </c>
      <c r="E1412">
        <v>0.5</v>
      </c>
      <c r="F1412">
        <v>35723</v>
      </c>
      <c r="G1412">
        <v>3469</v>
      </c>
      <c r="H1412">
        <v>33988</v>
      </c>
      <c r="I1412">
        <v>221883</v>
      </c>
    </row>
    <row r="1413" spans="1:9">
      <c r="A1413" s="2">
        <v>1962</v>
      </c>
      <c r="B1413">
        <v>77</v>
      </c>
      <c r="C1413">
        <v>0.10920000000000001</v>
      </c>
      <c r="D1413">
        <v>0.10355</v>
      </c>
      <c r="E1413">
        <v>0.5</v>
      </c>
      <c r="F1413">
        <v>32253</v>
      </c>
      <c r="G1413">
        <v>3340</v>
      </c>
      <c r="H1413">
        <v>30583</v>
      </c>
      <c r="I1413">
        <v>187895</v>
      </c>
    </row>
    <row r="1414" spans="1:9">
      <c r="A1414" s="2">
        <v>1962</v>
      </c>
      <c r="B1414">
        <v>78</v>
      </c>
      <c r="C1414">
        <v>0.12194000000000001</v>
      </c>
      <c r="D1414">
        <v>0.11493</v>
      </c>
      <c r="E1414">
        <v>0.5</v>
      </c>
      <c r="F1414">
        <v>28913</v>
      </c>
      <c r="G1414">
        <v>3323</v>
      </c>
      <c r="H1414">
        <v>27252</v>
      </c>
      <c r="I1414">
        <v>157312</v>
      </c>
    </row>
    <row r="1415" spans="1:9">
      <c r="A1415" s="2">
        <v>1962</v>
      </c>
      <c r="B1415">
        <v>79</v>
      </c>
      <c r="C1415">
        <v>0.12339</v>
      </c>
      <c r="D1415">
        <v>0.11622</v>
      </c>
      <c r="E1415">
        <v>0.5</v>
      </c>
      <c r="F1415">
        <v>25590</v>
      </c>
      <c r="G1415">
        <v>2974</v>
      </c>
      <c r="H1415">
        <v>24103</v>
      </c>
      <c r="I1415">
        <v>130060</v>
      </c>
    </row>
    <row r="1416" spans="1:9">
      <c r="A1416" s="2">
        <v>1962</v>
      </c>
      <c r="B1416">
        <v>80</v>
      </c>
      <c r="C1416">
        <v>0.14526</v>
      </c>
      <c r="D1416">
        <v>0.13542000000000001</v>
      </c>
      <c r="E1416">
        <v>0.5</v>
      </c>
      <c r="F1416">
        <v>22616</v>
      </c>
      <c r="G1416">
        <v>3063</v>
      </c>
      <c r="H1416">
        <v>21085</v>
      </c>
      <c r="I1416">
        <v>105957</v>
      </c>
    </row>
    <row r="1417" spans="1:9">
      <c r="A1417" s="2">
        <v>1962</v>
      </c>
      <c r="B1417">
        <v>81</v>
      </c>
      <c r="C1417">
        <v>0.15465000000000001</v>
      </c>
      <c r="D1417">
        <v>0.14355000000000001</v>
      </c>
      <c r="E1417">
        <v>0.5</v>
      </c>
      <c r="F1417">
        <v>19554</v>
      </c>
      <c r="G1417">
        <v>2807</v>
      </c>
      <c r="H1417">
        <v>18150</v>
      </c>
      <c r="I1417">
        <v>84872</v>
      </c>
    </row>
    <row r="1418" spans="1:9">
      <c r="A1418" s="2">
        <v>1962</v>
      </c>
      <c r="B1418">
        <v>82</v>
      </c>
      <c r="C1418">
        <v>0.18945999999999999</v>
      </c>
      <c r="D1418">
        <v>0.17307</v>
      </c>
      <c r="E1418">
        <v>0.5</v>
      </c>
      <c r="F1418">
        <v>16747</v>
      </c>
      <c r="G1418">
        <v>2898</v>
      </c>
      <c r="H1418">
        <v>15297</v>
      </c>
      <c r="I1418">
        <v>66722</v>
      </c>
    </row>
    <row r="1419" spans="1:9">
      <c r="A1419" s="2">
        <v>1962</v>
      </c>
      <c r="B1419">
        <v>83</v>
      </c>
      <c r="C1419">
        <v>0.21015</v>
      </c>
      <c r="D1419">
        <v>0.19017000000000001</v>
      </c>
      <c r="E1419">
        <v>0.5</v>
      </c>
      <c r="F1419">
        <v>13848</v>
      </c>
      <c r="G1419">
        <v>2633</v>
      </c>
      <c r="H1419">
        <v>12532</v>
      </c>
      <c r="I1419">
        <v>51425</v>
      </c>
    </row>
    <row r="1420" spans="1:9">
      <c r="A1420" s="2">
        <v>1962</v>
      </c>
      <c r="B1420">
        <v>84</v>
      </c>
      <c r="C1420">
        <v>0.23044000000000001</v>
      </c>
      <c r="D1420">
        <v>0.20663000000000001</v>
      </c>
      <c r="E1420">
        <v>0.5</v>
      </c>
      <c r="F1420">
        <v>11215</v>
      </c>
      <c r="G1420">
        <v>2317</v>
      </c>
      <c r="H1420">
        <v>10056</v>
      </c>
      <c r="I1420">
        <v>38893</v>
      </c>
    </row>
    <row r="1421" spans="1:9">
      <c r="A1421" s="2">
        <v>1962</v>
      </c>
      <c r="B1421">
        <v>85</v>
      </c>
      <c r="C1421">
        <v>0.25635000000000002</v>
      </c>
      <c r="D1421">
        <v>0.22722999999999999</v>
      </c>
      <c r="E1421">
        <v>0.5</v>
      </c>
      <c r="F1421">
        <v>8897</v>
      </c>
      <c r="G1421">
        <v>2022</v>
      </c>
      <c r="H1421">
        <v>7887</v>
      </c>
      <c r="I1421">
        <v>28837</v>
      </c>
    </row>
    <row r="1422" spans="1:9">
      <c r="A1422" s="2">
        <v>1962</v>
      </c>
      <c r="B1422">
        <v>86</v>
      </c>
      <c r="C1422">
        <v>0.28505000000000003</v>
      </c>
      <c r="D1422">
        <v>0.24948999999999999</v>
      </c>
      <c r="E1422">
        <v>0.5</v>
      </c>
      <c r="F1422">
        <v>6876</v>
      </c>
      <c r="G1422">
        <v>1715</v>
      </c>
      <c r="H1422">
        <v>6018</v>
      </c>
      <c r="I1422">
        <v>20951</v>
      </c>
    </row>
    <row r="1423" spans="1:9">
      <c r="A1423" s="2">
        <v>1962</v>
      </c>
      <c r="B1423">
        <v>87</v>
      </c>
      <c r="C1423">
        <v>0.28802</v>
      </c>
      <c r="D1423">
        <v>0.25176999999999999</v>
      </c>
      <c r="E1423">
        <v>0.5</v>
      </c>
      <c r="F1423">
        <v>5160</v>
      </c>
      <c r="G1423">
        <v>1299</v>
      </c>
      <c r="H1423">
        <v>4511</v>
      </c>
      <c r="I1423">
        <v>14933</v>
      </c>
    </row>
    <row r="1424" spans="1:9">
      <c r="A1424" s="2">
        <v>1962</v>
      </c>
      <c r="B1424">
        <v>88</v>
      </c>
      <c r="C1424">
        <v>0.30410999999999999</v>
      </c>
      <c r="D1424">
        <v>0.26396999999999998</v>
      </c>
      <c r="E1424">
        <v>0.5</v>
      </c>
      <c r="F1424">
        <v>3861</v>
      </c>
      <c r="G1424">
        <v>1019</v>
      </c>
      <c r="H1424">
        <v>3351</v>
      </c>
      <c r="I1424">
        <v>10422</v>
      </c>
    </row>
    <row r="1425" spans="1:9">
      <c r="A1425" s="2">
        <v>1962</v>
      </c>
      <c r="B1425">
        <v>89</v>
      </c>
      <c r="C1425">
        <v>0.30934</v>
      </c>
      <c r="D1425">
        <v>0.26790000000000003</v>
      </c>
      <c r="E1425">
        <v>0.5</v>
      </c>
      <c r="F1425">
        <v>2842</v>
      </c>
      <c r="G1425">
        <v>761</v>
      </c>
      <c r="H1425">
        <v>2461</v>
      </c>
      <c r="I1425">
        <v>7070</v>
      </c>
    </row>
    <row r="1426" spans="1:9">
      <c r="A1426" s="2">
        <v>1962</v>
      </c>
      <c r="B1426">
        <v>90</v>
      </c>
      <c r="C1426">
        <v>0.40005000000000002</v>
      </c>
      <c r="D1426">
        <v>0.33337</v>
      </c>
      <c r="E1426">
        <v>0.5</v>
      </c>
      <c r="F1426">
        <v>2081</v>
      </c>
      <c r="G1426">
        <v>694</v>
      </c>
      <c r="H1426">
        <v>1734</v>
      </c>
      <c r="I1426">
        <v>4609</v>
      </c>
    </row>
    <row r="1427" spans="1:9">
      <c r="A1427" s="2">
        <v>1962</v>
      </c>
      <c r="B1427">
        <v>91</v>
      </c>
      <c r="C1427">
        <v>0.38745000000000002</v>
      </c>
      <c r="D1427">
        <v>0.32457000000000003</v>
      </c>
      <c r="E1427">
        <v>0.5</v>
      </c>
      <c r="F1427">
        <v>1387</v>
      </c>
      <c r="G1427">
        <v>450</v>
      </c>
      <c r="H1427">
        <v>1162</v>
      </c>
      <c r="I1427">
        <v>2875</v>
      </c>
    </row>
    <row r="1428" spans="1:9">
      <c r="A1428" s="2">
        <v>1962</v>
      </c>
      <c r="B1428">
        <v>92</v>
      </c>
      <c r="C1428">
        <v>0.52590000000000003</v>
      </c>
      <c r="D1428">
        <v>0.41639999999999999</v>
      </c>
      <c r="E1428">
        <v>0.5</v>
      </c>
      <c r="F1428">
        <v>937</v>
      </c>
      <c r="G1428">
        <v>390</v>
      </c>
      <c r="H1428">
        <v>742</v>
      </c>
      <c r="I1428">
        <v>1714</v>
      </c>
    </row>
    <row r="1429" spans="1:9">
      <c r="A1429" s="2">
        <v>1962</v>
      </c>
      <c r="B1429">
        <v>93</v>
      </c>
      <c r="C1429">
        <v>0.56211</v>
      </c>
      <c r="D1429">
        <v>0.43879000000000001</v>
      </c>
      <c r="E1429">
        <v>0.5</v>
      </c>
      <c r="F1429">
        <v>547</v>
      </c>
      <c r="G1429">
        <v>240</v>
      </c>
      <c r="H1429">
        <v>427</v>
      </c>
      <c r="I1429">
        <v>972</v>
      </c>
    </row>
    <row r="1430" spans="1:9">
      <c r="A1430" s="2">
        <v>1962</v>
      </c>
      <c r="B1430">
        <v>94</v>
      </c>
      <c r="C1430">
        <v>0.52553000000000005</v>
      </c>
      <c r="D1430">
        <v>0.41616999999999998</v>
      </c>
      <c r="E1430">
        <v>0.5</v>
      </c>
      <c r="F1430">
        <v>307</v>
      </c>
      <c r="G1430">
        <v>128</v>
      </c>
      <c r="H1430">
        <v>243</v>
      </c>
      <c r="I1430">
        <v>545</v>
      </c>
    </row>
    <row r="1431" spans="1:9">
      <c r="A1431" s="2">
        <v>1962</v>
      </c>
      <c r="B1431">
        <v>95</v>
      </c>
      <c r="C1431">
        <v>0.55867999999999995</v>
      </c>
      <c r="D1431">
        <v>0.43669999999999998</v>
      </c>
      <c r="E1431">
        <v>0.5</v>
      </c>
      <c r="F1431">
        <v>179</v>
      </c>
      <c r="G1431">
        <v>78</v>
      </c>
      <c r="H1431">
        <v>140</v>
      </c>
      <c r="I1431">
        <v>302</v>
      </c>
    </row>
    <row r="1432" spans="1:9">
      <c r="A1432" s="2">
        <v>1962</v>
      </c>
      <c r="B1432">
        <v>96</v>
      </c>
      <c r="C1432">
        <v>0.59131999999999996</v>
      </c>
      <c r="D1432">
        <v>0.45638000000000001</v>
      </c>
      <c r="E1432">
        <v>0.5</v>
      </c>
      <c r="F1432">
        <v>101</v>
      </c>
      <c r="G1432">
        <v>46</v>
      </c>
      <c r="H1432">
        <v>78</v>
      </c>
      <c r="I1432">
        <v>162</v>
      </c>
    </row>
    <row r="1433" spans="1:9">
      <c r="A1433" s="2">
        <v>1962</v>
      </c>
      <c r="B1433">
        <v>97</v>
      </c>
      <c r="C1433">
        <v>0.62317</v>
      </c>
      <c r="D1433">
        <v>0.47513</v>
      </c>
      <c r="E1433">
        <v>0.5</v>
      </c>
      <c r="F1433">
        <v>55</v>
      </c>
      <c r="G1433">
        <v>26</v>
      </c>
      <c r="H1433">
        <v>42</v>
      </c>
      <c r="I1433">
        <v>84</v>
      </c>
    </row>
    <row r="1434" spans="1:9">
      <c r="A1434" s="2">
        <v>1962</v>
      </c>
      <c r="B1434">
        <v>98</v>
      </c>
      <c r="C1434">
        <v>0.65398999999999996</v>
      </c>
      <c r="D1434">
        <v>0.49284</v>
      </c>
      <c r="E1434">
        <v>0.5</v>
      </c>
      <c r="F1434">
        <v>29</v>
      </c>
      <c r="G1434">
        <v>14</v>
      </c>
      <c r="H1434">
        <v>22</v>
      </c>
      <c r="I1434">
        <v>42</v>
      </c>
    </row>
    <row r="1435" spans="1:9">
      <c r="A1435" s="2">
        <v>1962</v>
      </c>
      <c r="B1435">
        <v>99</v>
      </c>
      <c r="C1435">
        <v>0.68357000000000001</v>
      </c>
      <c r="D1435">
        <v>0.50944999999999996</v>
      </c>
      <c r="E1435">
        <v>0.5</v>
      </c>
      <c r="F1435">
        <v>15</v>
      </c>
      <c r="G1435">
        <v>7</v>
      </c>
      <c r="H1435">
        <v>11</v>
      </c>
      <c r="I1435">
        <v>21</v>
      </c>
    </row>
    <row r="1436" spans="1:9">
      <c r="A1436" s="2">
        <v>1962</v>
      </c>
      <c r="B1436">
        <v>100</v>
      </c>
      <c r="C1436">
        <v>0.71174000000000004</v>
      </c>
      <c r="D1436">
        <v>0.52493000000000001</v>
      </c>
      <c r="E1436">
        <v>0.5</v>
      </c>
      <c r="F1436">
        <v>7</v>
      </c>
      <c r="G1436">
        <v>4</v>
      </c>
      <c r="H1436">
        <v>5</v>
      </c>
      <c r="I1436">
        <v>10</v>
      </c>
    </row>
    <row r="1437" spans="1:9">
      <c r="A1437" s="2">
        <v>1962</v>
      </c>
      <c r="B1437">
        <v>101</v>
      </c>
      <c r="C1437">
        <v>0.73836000000000002</v>
      </c>
      <c r="D1437">
        <v>0.53927000000000003</v>
      </c>
      <c r="E1437">
        <v>0.5</v>
      </c>
      <c r="F1437">
        <v>3</v>
      </c>
      <c r="G1437">
        <v>2</v>
      </c>
      <c r="H1437">
        <v>2</v>
      </c>
      <c r="I1437">
        <v>4</v>
      </c>
    </row>
    <row r="1438" spans="1:9">
      <c r="A1438" s="2">
        <v>1962</v>
      </c>
      <c r="B1438">
        <v>102</v>
      </c>
      <c r="C1438">
        <v>0.76332999999999995</v>
      </c>
      <c r="D1438">
        <v>0.55247000000000002</v>
      </c>
      <c r="E1438">
        <v>0.5</v>
      </c>
      <c r="F1438">
        <v>2</v>
      </c>
      <c r="G1438">
        <v>1</v>
      </c>
      <c r="H1438">
        <v>1</v>
      </c>
      <c r="I1438">
        <v>2</v>
      </c>
    </row>
    <row r="1439" spans="1:9">
      <c r="A1439" s="2">
        <v>1962</v>
      </c>
      <c r="B1439">
        <v>103</v>
      </c>
      <c r="C1439">
        <v>0.78661999999999999</v>
      </c>
      <c r="D1439">
        <v>0.56457000000000002</v>
      </c>
      <c r="E1439">
        <v>0.5</v>
      </c>
      <c r="F1439">
        <v>1</v>
      </c>
      <c r="G1439">
        <v>0</v>
      </c>
      <c r="H1439">
        <v>1</v>
      </c>
      <c r="I1439">
        <v>1</v>
      </c>
    </row>
    <row r="1440" spans="1:9">
      <c r="A1440" s="2">
        <v>1962</v>
      </c>
      <c r="B1440">
        <v>104</v>
      </c>
      <c r="C1440">
        <v>0.80818000000000001</v>
      </c>
      <c r="D1440">
        <v>0.57559000000000005</v>
      </c>
      <c r="E1440">
        <v>0.5</v>
      </c>
      <c r="F1440">
        <v>0</v>
      </c>
      <c r="G1440">
        <v>0</v>
      </c>
      <c r="H1440">
        <v>0</v>
      </c>
      <c r="I1440">
        <v>0</v>
      </c>
    </row>
    <row r="1441" spans="1:9">
      <c r="A1441" s="2">
        <v>1962</v>
      </c>
      <c r="B1441">
        <v>105</v>
      </c>
      <c r="C1441">
        <v>0.82804999999999995</v>
      </c>
      <c r="D1441">
        <v>0.58560000000000001</v>
      </c>
      <c r="E1441">
        <v>0.5</v>
      </c>
      <c r="F1441">
        <v>0</v>
      </c>
      <c r="G1441">
        <v>0</v>
      </c>
      <c r="H1441">
        <v>0</v>
      </c>
      <c r="I1441">
        <v>0</v>
      </c>
    </row>
    <row r="1442" spans="1:9">
      <c r="A1442" s="2">
        <v>1962</v>
      </c>
      <c r="B1442">
        <v>106</v>
      </c>
      <c r="C1442">
        <v>0.84624999999999995</v>
      </c>
      <c r="D1442">
        <v>0.59463999999999995</v>
      </c>
      <c r="E1442">
        <v>0.5</v>
      </c>
      <c r="F1442">
        <v>0</v>
      </c>
      <c r="G1442">
        <v>0</v>
      </c>
      <c r="H1442">
        <v>0</v>
      </c>
      <c r="I1442">
        <v>0</v>
      </c>
    </row>
    <row r="1443" spans="1:9">
      <c r="A1443" s="2">
        <v>1962</v>
      </c>
      <c r="B1443">
        <v>107</v>
      </c>
      <c r="C1443">
        <v>0.86284000000000005</v>
      </c>
      <c r="D1443">
        <v>0.60279000000000005</v>
      </c>
      <c r="E1443">
        <v>0.5</v>
      </c>
      <c r="F1443">
        <v>0</v>
      </c>
      <c r="G1443">
        <v>0</v>
      </c>
      <c r="H1443">
        <v>0</v>
      </c>
      <c r="I1443">
        <v>0</v>
      </c>
    </row>
    <row r="1444" spans="1:9">
      <c r="A1444" s="2">
        <v>1962</v>
      </c>
      <c r="B1444">
        <v>108</v>
      </c>
      <c r="C1444">
        <v>0.87790000000000001</v>
      </c>
      <c r="D1444">
        <v>0.61009999999999998</v>
      </c>
      <c r="E1444">
        <v>0.5</v>
      </c>
      <c r="F1444">
        <v>0</v>
      </c>
      <c r="G1444">
        <v>0</v>
      </c>
      <c r="H1444">
        <v>0</v>
      </c>
      <c r="I1444">
        <v>0</v>
      </c>
    </row>
    <row r="1445" spans="1:9">
      <c r="A1445" s="2">
        <v>1962</v>
      </c>
      <c r="B1445">
        <v>109</v>
      </c>
      <c r="C1445">
        <v>0.89151000000000002</v>
      </c>
      <c r="D1445">
        <v>0.61663999999999997</v>
      </c>
      <c r="E1445">
        <v>0.5</v>
      </c>
      <c r="F1445">
        <v>0</v>
      </c>
      <c r="G1445">
        <v>0</v>
      </c>
      <c r="H1445">
        <v>0</v>
      </c>
      <c r="I1445">
        <v>0</v>
      </c>
    </row>
    <row r="1446" spans="1:9">
      <c r="A1446" s="2">
        <v>1962</v>
      </c>
      <c r="B1446" t="s">
        <v>26</v>
      </c>
      <c r="C1446">
        <v>0.90376999999999996</v>
      </c>
      <c r="D1446">
        <v>1</v>
      </c>
      <c r="E1446" s="3" t="s">
        <v>36</v>
      </c>
      <c r="F1446">
        <v>0</v>
      </c>
      <c r="G1446">
        <v>0</v>
      </c>
      <c r="H1446">
        <v>0</v>
      </c>
      <c r="I1446">
        <v>0</v>
      </c>
    </row>
    <row r="1447" spans="1:9">
      <c r="A1447" s="2">
        <v>1963</v>
      </c>
      <c r="B1447">
        <v>0</v>
      </c>
      <c r="C1447">
        <v>4.9209999999999997E-2</v>
      </c>
      <c r="D1447">
        <v>4.7320000000000001E-2</v>
      </c>
      <c r="E1447">
        <v>0.19</v>
      </c>
      <c r="F1447">
        <v>100000</v>
      </c>
      <c r="G1447">
        <v>4732</v>
      </c>
      <c r="H1447">
        <v>96161</v>
      </c>
      <c r="I1447">
        <v>6660448</v>
      </c>
    </row>
    <row r="1448" spans="1:9">
      <c r="A1448" s="2">
        <v>1963</v>
      </c>
      <c r="B1448">
        <v>1</v>
      </c>
      <c r="C1448">
        <v>3.3E-3</v>
      </c>
      <c r="D1448">
        <v>3.29E-3</v>
      </c>
      <c r="E1448">
        <v>0.5</v>
      </c>
      <c r="F1448">
        <v>95268</v>
      </c>
      <c r="G1448">
        <v>314</v>
      </c>
      <c r="H1448">
        <v>95111</v>
      </c>
      <c r="I1448">
        <v>6564287</v>
      </c>
    </row>
    <row r="1449" spans="1:9">
      <c r="A1449" s="2">
        <v>1963</v>
      </c>
      <c r="B1449">
        <v>2</v>
      </c>
      <c r="C1449">
        <v>1.1999999999999999E-3</v>
      </c>
      <c r="D1449">
        <v>1.1999999999999999E-3</v>
      </c>
      <c r="E1449">
        <v>0.5</v>
      </c>
      <c r="F1449">
        <v>94955</v>
      </c>
      <c r="G1449">
        <v>114</v>
      </c>
      <c r="H1449">
        <v>94898</v>
      </c>
      <c r="I1449">
        <v>6469175</v>
      </c>
    </row>
    <row r="1450" spans="1:9">
      <c r="A1450" s="2">
        <v>1963</v>
      </c>
      <c r="B1450">
        <v>3</v>
      </c>
      <c r="C1450">
        <v>8.7000000000000001E-4</v>
      </c>
      <c r="D1450">
        <v>8.7000000000000001E-4</v>
      </c>
      <c r="E1450">
        <v>0.5</v>
      </c>
      <c r="F1450">
        <v>94841</v>
      </c>
      <c r="G1450">
        <v>82</v>
      </c>
      <c r="H1450">
        <v>94800</v>
      </c>
      <c r="I1450">
        <v>6374278</v>
      </c>
    </row>
    <row r="1451" spans="1:9">
      <c r="A1451" s="2">
        <v>1963</v>
      </c>
      <c r="B1451">
        <v>4</v>
      </c>
      <c r="C1451">
        <v>6.8000000000000005E-4</v>
      </c>
      <c r="D1451">
        <v>6.8000000000000005E-4</v>
      </c>
      <c r="E1451">
        <v>0.5</v>
      </c>
      <c r="F1451">
        <v>94759</v>
      </c>
      <c r="G1451">
        <v>64</v>
      </c>
      <c r="H1451">
        <v>94726</v>
      </c>
      <c r="I1451">
        <v>6279478</v>
      </c>
    </row>
    <row r="1452" spans="1:9">
      <c r="A1452" s="2">
        <v>1963</v>
      </c>
      <c r="B1452">
        <v>5</v>
      </c>
      <c r="C1452">
        <v>4.8000000000000001E-4</v>
      </c>
      <c r="D1452">
        <v>4.8000000000000001E-4</v>
      </c>
      <c r="E1452">
        <v>0.5</v>
      </c>
      <c r="F1452">
        <v>94694</v>
      </c>
      <c r="G1452">
        <v>45</v>
      </c>
      <c r="H1452">
        <v>94672</v>
      </c>
      <c r="I1452">
        <v>6184751</v>
      </c>
    </row>
    <row r="1453" spans="1:9">
      <c r="A1453" s="2">
        <v>1963</v>
      </c>
      <c r="B1453">
        <v>6</v>
      </c>
      <c r="C1453">
        <v>6.2E-4</v>
      </c>
      <c r="D1453">
        <v>6.2E-4</v>
      </c>
      <c r="E1453">
        <v>0.5</v>
      </c>
      <c r="F1453">
        <v>94649</v>
      </c>
      <c r="G1453">
        <v>59</v>
      </c>
      <c r="H1453">
        <v>94620</v>
      </c>
      <c r="I1453">
        <v>6090080</v>
      </c>
    </row>
    <row r="1454" spans="1:9">
      <c r="A1454" s="2">
        <v>1963</v>
      </c>
      <c r="B1454">
        <v>7</v>
      </c>
      <c r="C1454">
        <v>4.4000000000000002E-4</v>
      </c>
      <c r="D1454">
        <v>4.4000000000000002E-4</v>
      </c>
      <c r="E1454">
        <v>0.5</v>
      </c>
      <c r="F1454">
        <v>94590</v>
      </c>
      <c r="G1454">
        <v>42</v>
      </c>
      <c r="H1454">
        <v>94569</v>
      </c>
      <c r="I1454">
        <v>5995460</v>
      </c>
    </row>
    <row r="1455" spans="1:9">
      <c r="A1455" s="2">
        <v>1963</v>
      </c>
      <c r="B1455">
        <v>8</v>
      </c>
      <c r="C1455">
        <v>4.2999999999999999E-4</v>
      </c>
      <c r="D1455">
        <v>4.2999999999999999E-4</v>
      </c>
      <c r="E1455">
        <v>0.5</v>
      </c>
      <c r="F1455">
        <v>94549</v>
      </c>
      <c r="G1455">
        <v>41</v>
      </c>
      <c r="H1455">
        <v>94528</v>
      </c>
      <c r="I1455">
        <v>5900891</v>
      </c>
    </row>
    <row r="1456" spans="1:9">
      <c r="A1456" s="2">
        <v>1963</v>
      </c>
      <c r="B1456">
        <v>9</v>
      </c>
      <c r="C1456">
        <v>4.4000000000000002E-4</v>
      </c>
      <c r="D1456">
        <v>4.4000000000000002E-4</v>
      </c>
      <c r="E1456">
        <v>0.5</v>
      </c>
      <c r="F1456">
        <v>94508</v>
      </c>
      <c r="G1456">
        <v>41</v>
      </c>
      <c r="H1456">
        <v>94487</v>
      </c>
      <c r="I1456">
        <v>5806362</v>
      </c>
    </row>
    <row r="1457" spans="1:9">
      <c r="A1457" s="2">
        <v>1963</v>
      </c>
      <c r="B1457">
        <v>10</v>
      </c>
      <c r="C1457">
        <v>3.5E-4</v>
      </c>
      <c r="D1457">
        <v>3.5E-4</v>
      </c>
      <c r="E1457">
        <v>0.5</v>
      </c>
      <c r="F1457">
        <v>94466</v>
      </c>
      <c r="G1457">
        <v>33</v>
      </c>
      <c r="H1457">
        <v>94450</v>
      </c>
      <c r="I1457">
        <v>5711875</v>
      </c>
    </row>
    <row r="1458" spans="1:9">
      <c r="A1458" s="2">
        <v>1963</v>
      </c>
      <c r="B1458">
        <v>11</v>
      </c>
      <c r="C1458">
        <v>4.8999999999999998E-4</v>
      </c>
      <c r="D1458">
        <v>4.8999999999999998E-4</v>
      </c>
      <c r="E1458">
        <v>0.5</v>
      </c>
      <c r="F1458">
        <v>94434</v>
      </c>
      <c r="G1458">
        <v>46</v>
      </c>
      <c r="H1458">
        <v>94411</v>
      </c>
      <c r="I1458">
        <v>5617425</v>
      </c>
    </row>
    <row r="1459" spans="1:9">
      <c r="A1459" s="2">
        <v>1963</v>
      </c>
      <c r="B1459">
        <v>12</v>
      </c>
      <c r="C1459">
        <v>4.2000000000000002E-4</v>
      </c>
      <c r="D1459">
        <v>4.2000000000000002E-4</v>
      </c>
      <c r="E1459">
        <v>0.5</v>
      </c>
      <c r="F1459">
        <v>94387</v>
      </c>
      <c r="G1459">
        <v>39</v>
      </c>
      <c r="H1459">
        <v>94368</v>
      </c>
      <c r="I1459">
        <v>5523014</v>
      </c>
    </row>
    <row r="1460" spans="1:9">
      <c r="A1460" s="2">
        <v>1963</v>
      </c>
      <c r="B1460">
        <v>13</v>
      </c>
      <c r="C1460">
        <v>6.7000000000000002E-4</v>
      </c>
      <c r="D1460">
        <v>6.7000000000000002E-4</v>
      </c>
      <c r="E1460">
        <v>0.5</v>
      </c>
      <c r="F1460">
        <v>94348</v>
      </c>
      <c r="G1460">
        <v>63</v>
      </c>
      <c r="H1460">
        <v>94316</v>
      </c>
      <c r="I1460">
        <v>5428647</v>
      </c>
    </row>
    <row r="1461" spans="1:9">
      <c r="A1461" s="2">
        <v>1963</v>
      </c>
      <c r="B1461">
        <v>14</v>
      </c>
      <c r="C1461">
        <v>8.7000000000000001E-4</v>
      </c>
      <c r="D1461">
        <v>8.7000000000000001E-4</v>
      </c>
      <c r="E1461">
        <v>0.5</v>
      </c>
      <c r="F1461">
        <v>94285</v>
      </c>
      <c r="G1461">
        <v>82</v>
      </c>
      <c r="H1461">
        <v>94243</v>
      </c>
      <c r="I1461">
        <v>5334330</v>
      </c>
    </row>
    <row r="1462" spans="1:9">
      <c r="A1462" s="2">
        <v>1963</v>
      </c>
      <c r="B1462">
        <v>15</v>
      </c>
      <c r="C1462">
        <v>6.9999999999999999E-4</v>
      </c>
      <c r="D1462">
        <v>6.9999999999999999E-4</v>
      </c>
      <c r="E1462">
        <v>0.5</v>
      </c>
      <c r="F1462">
        <v>94202</v>
      </c>
      <c r="G1462">
        <v>66</v>
      </c>
      <c r="H1462">
        <v>94169</v>
      </c>
      <c r="I1462">
        <v>5240087</v>
      </c>
    </row>
    <row r="1463" spans="1:9">
      <c r="A1463" s="2">
        <v>1963</v>
      </c>
      <c r="B1463">
        <v>16</v>
      </c>
      <c r="C1463">
        <v>1.1100000000000001E-3</v>
      </c>
      <c r="D1463">
        <v>1.1100000000000001E-3</v>
      </c>
      <c r="E1463">
        <v>0.5</v>
      </c>
      <c r="F1463">
        <v>94136</v>
      </c>
      <c r="G1463">
        <v>105</v>
      </c>
      <c r="H1463">
        <v>94084</v>
      </c>
      <c r="I1463">
        <v>5145917</v>
      </c>
    </row>
    <row r="1464" spans="1:9">
      <c r="A1464" s="2">
        <v>1963</v>
      </c>
      <c r="B1464">
        <v>17</v>
      </c>
      <c r="C1464">
        <v>1.1299999999999999E-3</v>
      </c>
      <c r="D1464">
        <v>1.1299999999999999E-3</v>
      </c>
      <c r="E1464">
        <v>0.5</v>
      </c>
      <c r="F1464">
        <v>94031</v>
      </c>
      <c r="G1464">
        <v>106</v>
      </c>
      <c r="H1464">
        <v>93978</v>
      </c>
      <c r="I1464">
        <v>5051834</v>
      </c>
    </row>
    <row r="1465" spans="1:9">
      <c r="A1465" s="2">
        <v>1963</v>
      </c>
      <c r="B1465">
        <v>18</v>
      </c>
      <c r="C1465">
        <v>1.2600000000000001E-3</v>
      </c>
      <c r="D1465">
        <v>1.2600000000000001E-3</v>
      </c>
      <c r="E1465">
        <v>0.5</v>
      </c>
      <c r="F1465">
        <v>93925</v>
      </c>
      <c r="G1465">
        <v>118</v>
      </c>
      <c r="H1465">
        <v>93866</v>
      </c>
      <c r="I1465">
        <v>4957855</v>
      </c>
    </row>
    <row r="1466" spans="1:9">
      <c r="A1466" s="2">
        <v>1963</v>
      </c>
      <c r="B1466">
        <v>19</v>
      </c>
      <c r="C1466">
        <v>1.6800000000000001E-3</v>
      </c>
      <c r="D1466">
        <v>1.6800000000000001E-3</v>
      </c>
      <c r="E1466">
        <v>0.5</v>
      </c>
      <c r="F1466">
        <v>93807</v>
      </c>
      <c r="G1466">
        <v>158</v>
      </c>
      <c r="H1466">
        <v>93728</v>
      </c>
      <c r="I1466">
        <v>4863989</v>
      </c>
    </row>
    <row r="1467" spans="1:9">
      <c r="A1467" s="2">
        <v>1963</v>
      </c>
      <c r="B1467">
        <v>20</v>
      </c>
      <c r="C1467">
        <v>1.6199999999999999E-3</v>
      </c>
      <c r="D1467">
        <v>1.6100000000000001E-3</v>
      </c>
      <c r="E1467">
        <v>0.5</v>
      </c>
      <c r="F1467">
        <v>93649</v>
      </c>
      <c r="G1467">
        <v>151</v>
      </c>
      <c r="H1467">
        <v>93574</v>
      </c>
      <c r="I1467">
        <v>4770261</v>
      </c>
    </row>
    <row r="1468" spans="1:9">
      <c r="A1468" s="2">
        <v>1963</v>
      </c>
      <c r="B1468">
        <v>21</v>
      </c>
      <c r="C1468">
        <v>1.5399999999999999E-3</v>
      </c>
      <c r="D1468">
        <v>1.5399999999999999E-3</v>
      </c>
      <c r="E1468">
        <v>0.5</v>
      </c>
      <c r="F1468">
        <v>93498</v>
      </c>
      <c r="G1468">
        <v>144</v>
      </c>
      <c r="H1468">
        <v>93426</v>
      </c>
      <c r="I1468">
        <v>4676687</v>
      </c>
    </row>
    <row r="1469" spans="1:9">
      <c r="A1469" s="2">
        <v>1963</v>
      </c>
      <c r="B1469">
        <v>22</v>
      </c>
      <c r="C1469">
        <v>1.67E-3</v>
      </c>
      <c r="D1469">
        <v>1.67E-3</v>
      </c>
      <c r="E1469">
        <v>0.5</v>
      </c>
      <c r="F1469">
        <v>93354</v>
      </c>
      <c r="G1469">
        <v>156</v>
      </c>
      <c r="H1469">
        <v>93276</v>
      </c>
      <c r="I1469">
        <v>4583261</v>
      </c>
    </row>
    <row r="1470" spans="1:9">
      <c r="A1470" s="2">
        <v>1963</v>
      </c>
      <c r="B1470">
        <v>23</v>
      </c>
      <c r="C1470">
        <v>1.5E-3</v>
      </c>
      <c r="D1470">
        <v>1.5E-3</v>
      </c>
      <c r="E1470">
        <v>0.5</v>
      </c>
      <c r="F1470">
        <v>93198</v>
      </c>
      <c r="G1470">
        <v>140</v>
      </c>
      <c r="H1470">
        <v>93128</v>
      </c>
      <c r="I1470">
        <v>4489985</v>
      </c>
    </row>
    <row r="1471" spans="1:9">
      <c r="A1471" s="2">
        <v>1963</v>
      </c>
      <c r="B1471">
        <v>24</v>
      </c>
      <c r="C1471">
        <v>1.56E-3</v>
      </c>
      <c r="D1471">
        <v>1.56E-3</v>
      </c>
      <c r="E1471">
        <v>0.5</v>
      </c>
      <c r="F1471">
        <v>93058</v>
      </c>
      <c r="G1471">
        <v>145</v>
      </c>
      <c r="H1471">
        <v>92986</v>
      </c>
      <c r="I1471">
        <v>4396857</v>
      </c>
    </row>
    <row r="1472" spans="1:9">
      <c r="A1472" s="2">
        <v>1963</v>
      </c>
      <c r="B1472">
        <v>25</v>
      </c>
      <c r="C1472">
        <v>1.6299999999999999E-3</v>
      </c>
      <c r="D1472">
        <v>1.6299999999999999E-3</v>
      </c>
      <c r="E1472">
        <v>0.5</v>
      </c>
      <c r="F1472">
        <v>92913</v>
      </c>
      <c r="G1472">
        <v>151</v>
      </c>
      <c r="H1472">
        <v>92837</v>
      </c>
      <c r="I1472">
        <v>4303871</v>
      </c>
    </row>
    <row r="1473" spans="1:9">
      <c r="A1473" s="2">
        <v>1963</v>
      </c>
      <c r="B1473">
        <v>26</v>
      </c>
      <c r="C1473">
        <v>1.6800000000000001E-3</v>
      </c>
      <c r="D1473">
        <v>1.6800000000000001E-3</v>
      </c>
      <c r="E1473">
        <v>0.5</v>
      </c>
      <c r="F1473">
        <v>92761</v>
      </c>
      <c r="G1473">
        <v>156</v>
      </c>
      <c r="H1473">
        <v>92683</v>
      </c>
      <c r="I1473">
        <v>4211034</v>
      </c>
    </row>
    <row r="1474" spans="1:9">
      <c r="A1474" s="2">
        <v>1963</v>
      </c>
      <c r="B1474">
        <v>27</v>
      </c>
      <c r="C1474">
        <v>1.3799999999999999E-3</v>
      </c>
      <c r="D1474">
        <v>1.3799999999999999E-3</v>
      </c>
      <c r="E1474">
        <v>0.5</v>
      </c>
      <c r="F1474">
        <v>92606</v>
      </c>
      <c r="G1474">
        <v>128</v>
      </c>
      <c r="H1474">
        <v>92542</v>
      </c>
      <c r="I1474">
        <v>4118351</v>
      </c>
    </row>
    <row r="1475" spans="1:9">
      <c r="A1475" s="2">
        <v>1963</v>
      </c>
      <c r="B1475">
        <v>28</v>
      </c>
      <c r="C1475">
        <v>1.6900000000000001E-3</v>
      </c>
      <c r="D1475">
        <v>1.6900000000000001E-3</v>
      </c>
      <c r="E1475">
        <v>0.5</v>
      </c>
      <c r="F1475">
        <v>92478</v>
      </c>
      <c r="G1475">
        <v>156</v>
      </c>
      <c r="H1475">
        <v>92400</v>
      </c>
      <c r="I1475">
        <v>4025809</v>
      </c>
    </row>
    <row r="1476" spans="1:9">
      <c r="A1476" s="2">
        <v>1963</v>
      </c>
      <c r="B1476">
        <v>29</v>
      </c>
      <c r="C1476">
        <v>1.72E-3</v>
      </c>
      <c r="D1476">
        <v>1.72E-3</v>
      </c>
      <c r="E1476">
        <v>0.5</v>
      </c>
      <c r="F1476">
        <v>92321</v>
      </c>
      <c r="G1476">
        <v>158</v>
      </c>
      <c r="H1476">
        <v>92242</v>
      </c>
      <c r="I1476">
        <v>3933409</v>
      </c>
    </row>
    <row r="1477" spans="1:9">
      <c r="A1477" s="2">
        <v>1963</v>
      </c>
      <c r="B1477">
        <v>30</v>
      </c>
      <c r="C1477">
        <v>1.5900000000000001E-3</v>
      </c>
      <c r="D1477">
        <v>1.5900000000000001E-3</v>
      </c>
      <c r="E1477">
        <v>0.5</v>
      </c>
      <c r="F1477">
        <v>92163</v>
      </c>
      <c r="G1477">
        <v>146</v>
      </c>
      <c r="H1477">
        <v>92090</v>
      </c>
      <c r="I1477">
        <v>3841167</v>
      </c>
    </row>
    <row r="1478" spans="1:9">
      <c r="A1478" s="2">
        <v>1963</v>
      </c>
      <c r="B1478">
        <v>31</v>
      </c>
      <c r="C1478">
        <v>2.0200000000000001E-3</v>
      </c>
      <c r="D1478">
        <v>2.0200000000000001E-3</v>
      </c>
      <c r="E1478">
        <v>0.5</v>
      </c>
      <c r="F1478">
        <v>92017</v>
      </c>
      <c r="G1478">
        <v>186</v>
      </c>
      <c r="H1478">
        <v>91924</v>
      </c>
      <c r="I1478">
        <v>3749077</v>
      </c>
    </row>
    <row r="1479" spans="1:9">
      <c r="A1479" s="2">
        <v>1963</v>
      </c>
      <c r="B1479">
        <v>32</v>
      </c>
      <c r="C1479">
        <v>2.0699999999999998E-3</v>
      </c>
      <c r="D1479">
        <v>2.0699999999999998E-3</v>
      </c>
      <c r="E1479">
        <v>0.5</v>
      </c>
      <c r="F1479">
        <v>91831</v>
      </c>
      <c r="G1479">
        <v>190</v>
      </c>
      <c r="H1479">
        <v>91736</v>
      </c>
      <c r="I1479">
        <v>3657154</v>
      </c>
    </row>
    <row r="1480" spans="1:9">
      <c r="A1480" s="2">
        <v>1963</v>
      </c>
      <c r="B1480">
        <v>33</v>
      </c>
      <c r="C1480">
        <v>2.3700000000000001E-3</v>
      </c>
      <c r="D1480">
        <v>2.3700000000000001E-3</v>
      </c>
      <c r="E1480">
        <v>0.5</v>
      </c>
      <c r="F1480">
        <v>91641</v>
      </c>
      <c r="G1480">
        <v>217</v>
      </c>
      <c r="H1480">
        <v>91533</v>
      </c>
      <c r="I1480">
        <v>3565418</v>
      </c>
    </row>
    <row r="1481" spans="1:9">
      <c r="A1481" s="2">
        <v>1963</v>
      </c>
      <c r="B1481">
        <v>34</v>
      </c>
      <c r="C1481">
        <v>2.0500000000000002E-3</v>
      </c>
      <c r="D1481">
        <v>2.0400000000000001E-3</v>
      </c>
      <c r="E1481">
        <v>0.5</v>
      </c>
      <c r="F1481">
        <v>91424</v>
      </c>
      <c r="G1481">
        <v>187</v>
      </c>
      <c r="H1481">
        <v>91331</v>
      </c>
      <c r="I1481">
        <v>3473885</v>
      </c>
    </row>
    <row r="1482" spans="1:9">
      <c r="A1482" s="2">
        <v>1963</v>
      </c>
      <c r="B1482">
        <v>35</v>
      </c>
      <c r="C1482">
        <v>2.1900000000000001E-3</v>
      </c>
      <c r="D1482">
        <v>2.1900000000000001E-3</v>
      </c>
      <c r="E1482">
        <v>0.5</v>
      </c>
      <c r="F1482">
        <v>91237</v>
      </c>
      <c r="G1482">
        <v>200</v>
      </c>
      <c r="H1482">
        <v>91137</v>
      </c>
      <c r="I1482">
        <v>3382554</v>
      </c>
    </row>
    <row r="1483" spans="1:9">
      <c r="A1483" s="2">
        <v>1963</v>
      </c>
      <c r="B1483">
        <v>36</v>
      </c>
      <c r="C1483">
        <v>2.6900000000000001E-3</v>
      </c>
      <c r="D1483">
        <v>2.6900000000000001E-3</v>
      </c>
      <c r="E1483">
        <v>0.5</v>
      </c>
      <c r="F1483">
        <v>91037</v>
      </c>
      <c r="G1483">
        <v>244</v>
      </c>
      <c r="H1483">
        <v>90915</v>
      </c>
      <c r="I1483">
        <v>3291417</v>
      </c>
    </row>
    <row r="1484" spans="1:9">
      <c r="A1484" s="2">
        <v>1963</v>
      </c>
      <c r="B1484">
        <v>37</v>
      </c>
      <c r="C1484">
        <v>2.7200000000000002E-3</v>
      </c>
      <c r="D1484">
        <v>2.7100000000000002E-3</v>
      </c>
      <c r="E1484">
        <v>0.5</v>
      </c>
      <c r="F1484">
        <v>90793</v>
      </c>
      <c r="G1484">
        <v>246</v>
      </c>
      <c r="H1484">
        <v>90670</v>
      </c>
      <c r="I1484">
        <v>3200502</v>
      </c>
    </row>
    <row r="1485" spans="1:9">
      <c r="A1485" s="2">
        <v>1963</v>
      </c>
      <c r="B1485">
        <v>38</v>
      </c>
      <c r="C1485">
        <v>2.65E-3</v>
      </c>
      <c r="D1485">
        <v>2.64E-3</v>
      </c>
      <c r="E1485">
        <v>0.5</v>
      </c>
      <c r="F1485">
        <v>90547</v>
      </c>
      <c r="G1485">
        <v>239</v>
      </c>
      <c r="H1485">
        <v>90427</v>
      </c>
      <c r="I1485">
        <v>3109832</v>
      </c>
    </row>
    <row r="1486" spans="1:9">
      <c r="A1486" s="2">
        <v>1963</v>
      </c>
      <c r="B1486">
        <v>39</v>
      </c>
      <c r="C1486">
        <v>2.99E-3</v>
      </c>
      <c r="D1486">
        <v>2.99E-3</v>
      </c>
      <c r="E1486">
        <v>0.5</v>
      </c>
      <c r="F1486">
        <v>90307</v>
      </c>
      <c r="G1486">
        <v>270</v>
      </c>
      <c r="H1486">
        <v>90172</v>
      </c>
      <c r="I1486">
        <v>3019405</v>
      </c>
    </row>
    <row r="1487" spans="1:9">
      <c r="A1487" s="2">
        <v>1963</v>
      </c>
      <c r="B1487">
        <v>40</v>
      </c>
      <c r="C1487">
        <v>2.8999999999999998E-3</v>
      </c>
      <c r="D1487">
        <v>2.8999999999999998E-3</v>
      </c>
      <c r="E1487">
        <v>0.5</v>
      </c>
      <c r="F1487">
        <v>90038</v>
      </c>
      <c r="G1487">
        <v>261</v>
      </c>
      <c r="H1487">
        <v>89907</v>
      </c>
      <c r="I1487">
        <v>2929233</v>
      </c>
    </row>
    <row r="1488" spans="1:9">
      <c r="A1488" s="2">
        <v>1963</v>
      </c>
      <c r="B1488">
        <v>41</v>
      </c>
      <c r="C1488">
        <v>3.0999999999999999E-3</v>
      </c>
      <c r="D1488">
        <v>3.0999999999999999E-3</v>
      </c>
      <c r="E1488">
        <v>0.5</v>
      </c>
      <c r="F1488">
        <v>89777</v>
      </c>
      <c r="G1488">
        <v>278</v>
      </c>
      <c r="H1488">
        <v>89638</v>
      </c>
      <c r="I1488">
        <v>2839325</v>
      </c>
    </row>
    <row r="1489" spans="1:9">
      <c r="A1489" s="2">
        <v>1963</v>
      </c>
      <c r="B1489">
        <v>42</v>
      </c>
      <c r="C1489">
        <v>3.3800000000000002E-3</v>
      </c>
      <c r="D1489">
        <v>3.3800000000000002E-3</v>
      </c>
      <c r="E1489">
        <v>0.5</v>
      </c>
      <c r="F1489">
        <v>89499</v>
      </c>
      <c r="G1489">
        <v>302</v>
      </c>
      <c r="H1489">
        <v>89348</v>
      </c>
      <c r="I1489">
        <v>2749687</v>
      </c>
    </row>
    <row r="1490" spans="1:9">
      <c r="A1490" s="2">
        <v>1963</v>
      </c>
      <c r="B1490">
        <v>43</v>
      </c>
      <c r="C1490">
        <v>4.1900000000000001E-3</v>
      </c>
      <c r="D1490">
        <v>4.1799999999999997E-3</v>
      </c>
      <c r="E1490">
        <v>0.5</v>
      </c>
      <c r="F1490">
        <v>89196</v>
      </c>
      <c r="G1490">
        <v>373</v>
      </c>
      <c r="H1490">
        <v>89010</v>
      </c>
      <c r="I1490">
        <v>2660340</v>
      </c>
    </row>
    <row r="1491" spans="1:9">
      <c r="A1491" s="2">
        <v>1963</v>
      </c>
      <c r="B1491">
        <v>44</v>
      </c>
      <c r="C1491">
        <v>3.3700000000000002E-3</v>
      </c>
      <c r="D1491">
        <v>3.3700000000000002E-3</v>
      </c>
      <c r="E1491">
        <v>0.5</v>
      </c>
      <c r="F1491">
        <v>88824</v>
      </c>
      <c r="G1491">
        <v>299</v>
      </c>
      <c r="H1491">
        <v>88674</v>
      </c>
      <c r="I1491">
        <v>2571330</v>
      </c>
    </row>
    <row r="1492" spans="1:9">
      <c r="A1492" s="2">
        <v>1963</v>
      </c>
      <c r="B1492">
        <v>45</v>
      </c>
      <c r="C1492">
        <v>4.4400000000000004E-3</v>
      </c>
      <c r="D1492">
        <v>4.4299999999999999E-3</v>
      </c>
      <c r="E1492">
        <v>0.5</v>
      </c>
      <c r="F1492">
        <v>88525</v>
      </c>
      <c r="G1492">
        <v>392</v>
      </c>
      <c r="H1492">
        <v>88329</v>
      </c>
      <c r="I1492">
        <v>2482655</v>
      </c>
    </row>
    <row r="1493" spans="1:9">
      <c r="A1493" s="2">
        <v>1963</v>
      </c>
      <c r="B1493">
        <v>46</v>
      </c>
      <c r="C1493">
        <v>4.9899999999999996E-3</v>
      </c>
      <c r="D1493">
        <v>4.9800000000000001E-3</v>
      </c>
      <c r="E1493">
        <v>0.5</v>
      </c>
      <c r="F1493">
        <v>88133</v>
      </c>
      <c r="G1493">
        <v>439</v>
      </c>
      <c r="H1493">
        <v>87914</v>
      </c>
      <c r="I1493">
        <v>2394326</v>
      </c>
    </row>
    <row r="1494" spans="1:9">
      <c r="A1494" s="2">
        <v>1963</v>
      </c>
      <c r="B1494">
        <v>47</v>
      </c>
      <c r="C1494">
        <v>5.4200000000000003E-3</v>
      </c>
      <c r="D1494">
        <v>5.4099999999999999E-3</v>
      </c>
      <c r="E1494">
        <v>0.5</v>
      </c>
      <c r="F1494">
        <v>87694</v>
      </c>
      <c r="G1494">
        <v>474</v>
      </c>
      <c r="H1494">
        <v>87457</v>
      </c>
      <c r="I1494">
        <v>2306413</v>
      </c>
    </row>
    <row r="1495" spans="1:9">
      <c r="A1495" s="2">
        <v>1963</v>
      </c>
      <c r="B1495">
        <v>48</v>
      </c>
      <c r="C1495">
        <v>5.8300000000000001E-3</v>
      </c>
      <c r="D1495">
        <v>5.8100000000000001E-3</v>
      </c>
      <c r="E1495">
        <v>0.5</v>
      </c>
      <c r="F1495">
        <v>87220</v>
      </c>
      <c r="G1495">
        <v>507</v>
      </c>
      <c r="H1495">
        <v>86967</v>
      </c>
      <c r="I1495">
        <v>2218956</v>
      </c>
    </row>
    <row r="1496" spans="1:9">
      <c r="A1496" s="2">
        <v>1963</v>
      </c>
      <c r="B1496">
        <v>49</v>
      </c>
      <c r="C1496">
        <v>5.9199999999999999E-3</v>
      </c>
      <c r="D1496">
        <v>5.8999999999999999E-3</v>
      </c>
      <c r="E1496">
        <v>0.5</v>
      </c>
      <c r="F1496">
        <v>86713</v>
      </c>
      <c r="G1496">
        <v>512</v>
      </c>
      <c r="H1496">
        <v>86457</v>
      </c>
      <c r="I1496">
        <v>2131989</v>
      </c>
    </row>
    <row r="1497" spans="1:9">
      <c r="A1497" s="2">
        <v>1963</v>
      </c>
      <c r="B1497">
        <v>50</v>
      </c>
      <c r="C1497">
        <v>6.7200000000000003E-3</v>
      </c>
      <c r="D1497">
        <v>6.7000000000000002E-3</v>
      </c>
      <c r="E1497">
        <v>0.5</v>
      </c>
      <c r="F1497">
        <v>86201</v>
      </c>
      <c r="G1497">
        <v>578</v>
      </c>
      <c r="H1497">
        <v>85912</v>
      </c>
      <c r="I1497">
        <v>2045532</v>
      </c>
    </row>
    <row r="1498" spans="1:9">
      <c r="A1498" s="2">
        <v>1963</v>
      </c>
      <c r="B1498">
        <v>51</v>
      </c>
      <c r="C1498">
        <v>7.7600000000000004E-3</v>
      </c>
      <c r="D1498">
        <v>7.7299999999999999E-3</v>
      </c>
      <c r="E1498">
        <v>0.5</v>
      </c>
      <c r="F1498">
        <v>85624</v>
      </c>
      <c r="G1498">
        <v>662</v>
      </c>
      <c r="H1498">
        <v>85293</v>
      </c>
      <c r="I1498">
        <v>1959619</v>
      </c>
    </row>
    <row r="1499" spans="1:9">
      <c r="A1499" s="2">
        <v>1963</v>
      </c>
      <c r="B1499">
        <v>52</v>
      </c>
      <c r="C1499">
        <v>7.9100000000000004E-3</v>
      </c>
      <c r="D1499">
        <v>7.8799999999999999E-3</v>
      </c>
      <c r="E1499">
        <v>0.5</v>
      </c>
      <c r="F1499">
        <v>84962</v>
      </c>
      <c r="G1499">
        <v>669</v>
      </c>
      <c r="H1499">
        <v>84627</v>
      </c>
      <c r="I1499">
        <v>1874326</v>
      </c>
    </row>
    <row r="1500" spans="1:9">
      <c r="A1500" s="2">
        <v>1963</v>
      </c>
      <c r="B1500">
        <v>53</v>
      </c>
      <c r="C1500">
        <v>9.4299999999999991E-3</v>
      </c>
      <c r="D1500">
        <v>9.3799999999999994E-3</v>
      </c>
      <c r="E1500">
        <v>0.5</v>
      </c>
      <c r="F1500">
        <v>84293</v>
      </c>
      <c r="G1500">
        <v>791</v>
      </c>
      <c r="H1500">
        <v>83897</v>
      </c>
      <c r="I1500">
        <v>1789699</v>
      </c>
    </row>
    <row r="1501" spans="1:9">
      <c r="A1501" s="2">
        <v>1963</v>
      </c>
      <c r="B1501">
        <v>54</v>
      </c>
      <c r="C1501">
        <v>1.076E-2</v>
      </c>
      <c r="D1501">
        <v>1.0699999999999999E-2</v>
      </c>
      <c r="E1501">
        <v>0.5</v>
      </c>
      <c r="F1501">
        <v>83502</v>
      </c>
      <c r="G1501">
        <v>893</v>
      </c>
      <c r="H1501">
        <v>83055</v>
      </c>
      <c r="I1501">
        <v>1705802</v>
      </c>
    </row>
    <row r="1502" spans="1:9">
      <c r="A1502" s="2">
        <v>1963</v>
      </c>
      <c r="B1502">
        <v>55</v>
      </c>
      <c r="C1502">
        <v>1.1769999999999999E-2</v>
      </c>
      <c r="D1502">
        <v>1.17E-2</v>
      </c>
      <c r="E1502">
        <v>0.5</v>
      </c>
      <c r="F1502">
        <v>82608</v>
      </c>
      <c r="G1502">
        <v>967</v>
      </c>
      <c r="H1502">
        <v>82125</v>
      </c>
      <c r="I1502">
        <v>1622747</v>
      </c>
    </row>
    <row r="1503" spans="1:9">
      <c r="A1503" s="2">
        <v>1963</v>
      </c>
      <c r="B1503">
        <v>56</v>
      </c>
      <c r="C1503">
        <v>1.366E-2</v>
      </c>
      <c r="D1503">
        <v>1.357E-2</v>
      </c>
      <c r="E1503">
        <v>0.5</v>
      </c>
      <c r="F1503">
        <v>81641</v>
      </c>
      <c r="G1503">
        <v>1108</v>
      </c>
      <c r="H1503">
        <v>81087</v>
      </c>
      <c r="I1503">
        <v>1540622</v>
      </c>
    </row>
    <row r="1504" spans="1:9">
      <c r="A1504" s="2">
        <v>1963</v>
      </c>
      <c r="B1504">
        <v>57</v>
      </c>
      <c r="C1504">
        <v>1.4460000000000001E-2</v>
      </c>
      <c r="D1504">
        <v>1.436E-2</v>
      </c>
      <c r="E1504">
        <v>0.5</v>
      </c>
      <c r="F1504">
        <v>80534</v>
      </c>
      <c r="G1504">
        <v>1157</v>
      </c>
      <c r="H1504">
        <v>79955</v>
      </c>
      <c r="I1504">
        <v>1459535</v>
      </c>
    </row>
    <row r="1505" spans="1:9">
      <c r="A1505" s="2">
        <v>1963</v>
      </c>
      <c r="B1505">
        <v>58</v>
      </c>
      <c r="C1505">
        <v>1.6930000000000001E-2</v>
      </c>
      <c r="D1505">
        <v>1.678E-2</v>
      </c>
      <c r="E1505">
        <v>0.5</v>
      </c>
      <c r="F1505">
        <v>79377</v>
      </c>
      <c r="G1505">
        <v>1332</v>
      </c>
      <c r="H1505">
        <v>78711</v>
      </c>
      <c r="I1505">
        <v>1379580</v>
      </c>
    </row>
    <row r="1506" spans="1:9">
      <c r="A1506" s="2">
        <v>1963</v>
      </c>
      <c r="B1506">
        <v>59</v>
      </c>
      <c r="C1506">
        <v>1.7899999999999999E-2</v>
      </c>
      <c r="D1506">
        <v>1.7739999999999999E-2</v>
      </c>
      <c r="E1506">
        <v>0.5</v>
      </c>
      <c r="F1506">
        <v>78045</v>
      </c>
      <c r="G1506">
        <v>1385</v>
      </c>
      <c r="H1506">
        <v>77352</v>
      </c>
      <c r="I1506">
        <v>1300869</v>
      </c>
    </row>
    <row r="1507" spans="1:9">
      <c r="A1507" s="2">
        <v>1963</v>
      </c>
      <c r="B1507">
        <v>60</v>
      </c>
      <c r="C1507">
        <v>1.856E-2</v>
      </c>
      <c r="D1507">
        <v>1.839E-2</v>
      </c>
      <c r="E1507">
        <v>0.5</v>
      </c>
      <c r="F1507">
        <v>76660</v>
      </c>
      <c r="G1507">
        <v>1409</v>
      </c>
      <c r="H1507">
        <v>75955</v>
      </c>
      <c r="I1507">
        <v>1223516</v>
      </c>
    </row>
    <row r="1508" spans="1:9">
      <c r="A1508" s="2">
        <v>1963</v>
      </c>
      <c r="B1508">
        <v>61</v>
      </c>
      <c r="C1508">
        <v>2.2159999999999999E-2</v>
      </c>
      <c r="D1508">
        <v>2.1919999999999999E-2</v>
      </c>
      <c r="E1508">
        <v>0.5</v>
      </c>
      <c r="F1508">
        <v>75251</v>
      </c>
      <c r="G1508">
        <v>1649</v>
      </c>
      <c r="H1508">
        <v>74426</v>
      </c>
      <c r="I1508">
        <v>1147561</v>
      </c>
    </row>
    <row r="1509" spans="1:9">
      <c r="A1509" s="2">
        <v>1963</v>
      </c>
      <c r="B1509">
        <v>62</v>
      </c>
      <c r="C1509">
        <v>2.3810000000000001E-2</v>
      </c>
      <c r="D1509">
        <v>2.3529999999999999E-2</v>
      </c>
      <c r="E1509">
        <v>0.5</v>
      </c>
      <c r="F1509">
        <v>73601</v>
      </c>
      <c r="G1509">
        <v>1732</v>
      </c>
      <c r="H1509">
        <v>72736</v>
      </c>
      <c r="I1509">
        <v>1073135</v>
      </c>
    </row>
    <row r="1510" spans="1:9">
      <c r="A1510" s="2">
        <v>1963</v>
      </c>
      <c r="B1510">
        <v>63</v>
      </c>
      <c r="C1510">
        <v>2.751E-2</v>
      </c>
      <c r="D1510">
        <v>2.7130000000000001E-2</v>
      </c>
      <c r="E1510">
        <v>0.5</v>
      </c>
      <c r="F1510">
        <v>71870</v>
      </c>
      <c r="G1510">
        <v>1950</v>
      </c>
      <c r="H1510">
        <v>70895</v>
      </c>
      <c r="I1510">
        <v>1000400</v>
      </c>
    </row>
    <row r="1511" spans="1:9">
      <c r="A1511" s="2">
        <v>1963</v>
      </c>
      <c r="B1511">
        <v>64</v>
      </c>
      <c r="C1511">
        <v>2.9049999999999999E-2</v>
      </c>
      <c r="D1511">
        <v>2.8629999999999999E-2</v>
      </c>
      <c r="E1511">
        <v>0.5</v>
      </c>
      <c r="F1511">
        <v>69920</v>
      </c>
      <c r="G1511">
        <v>2002</v>
      </c>
      <c r="H1511">
        <v>68919</v>
      </c>
      <c r="I1511">
        <v>929505</v>
      </c>
    </row>
    <row r="1512" spans="1:9">
      <c r="A1512" s="2">
        <v>1963</v>
      </c>
      <c r="B1512">
        <v>65</v>
      </c>
      <c r="C1512">
        <v>3.1570000000000001E-2</v>
      </c>
      <c r="D1512">
        <v>3.108E-2</v>
      </c>
      <c r="E1512">
        <v>0.5</v>
      </c>
      <c r="F1512">
        <v>67918</v>
      </c>
      <c r="G1512">
        <v>2111</v>
      </c>
      <c r="H1512">
        <v>66862</v>
      </c>
      <c r="I1512">
        <v>860586</v>
      </c>
    </row>
    <row r="1513" spans="1:9">
      <c r="A1513" s="2">
        <v>1963</v>
      </c>
      <c r="B1513">
        <v>66</v>
      </c>
      <c r="C1513">
        <v>3.4459999999999998E-2</v>
      </c>
      <c r="D1513">
        <v>3.388E-2</v>
      </c>
      <c r="E1513">
        <v>0.5</v>
      </c>
      <c r="F1513">
        <v>65807</v>
      </c>
      <c r="G1513">
        <v>2229</v>
      </c>
      <c r="H1513">
        <v>64692</v>
      </c>
      <c r="I1513">
        <v>793724</v>
      </c>
    </row>
    <row r="1514" spans="1:9">
      <c r="A1514" s="2">
        <v>1963</v>
      </c>
      <c r="B1514">
        <v>67</v>
      </c>
      <c r="C1514">
        <v>3.7830000000000003E-2</v>
      </c>
      <c r="D1514">
        <v>3.7130000000000003E-2</v>
      </c>
      <c r="E1514">
        <v>0.5</v>
      </c>
      <c r="F1514">
        <v>63578</v>
      </c>
      <c r="G1514">
        <v>2360</v>
      </c>
      <c r="H1514">
        <v>62397</v>
      </c>
      <c r="I1514">
        <v>729031</v>
      </c>
    </row>
    <row r="1515" spans="1:9">
      <c r="A1515" s="2">
        <v>1963</v>
      </c>
      <c r="B1515">
        <v>68</v>
      </c>
      <c r="C1515">
        <v>4.0939999999999997E-2</v>
      </c>
      <c r="D1515">
        <v>4.0120000000000003E-2</v>
      </c>
      <c r="E1515">
        <v>0.5</v>
      </c>
      <c r="F1515">
        <v>61217</v>
      </c>
      <c r="G1515">
        <v>2456</v>
      </c>
      <c r="H1515">
        <v>59989</v>
      </c>
      <c r="I1515">
        <v>666634</v>
      </c>
    </row>
    <row r="1516" spans="1:9">
      <c r="A1516" s="2">
        <v>1963</v>
      </c>
      <c r="B1516">
        <v>69</v>
      </c>
      <c r="C1516">
        <v>4.394E-2</v>
      </c>
      <c r="D1516">
        <v>4.2999999999999997E-2</v>
      </c>
      <c r="E1516">
        <v>0.5</v>
      </c>
      <c r="F1516">
        <v>58761</v>
      </c>
      <c r="G1516">
        <v>2527</v>
      </c>
      <c r="H1516">
        <v>57498</v>
      </c>
      <c r="I1516">
        <v>606644</v>
      </c>
    </row>
    <row r="1517" spans="1:9">
      <c r="A1517" s="2">
        <v>1963</v>
      </c>
      <c r="B1517">
        <v>70</v>
      </c>
      <c r="C1517">
        <v>4.913E-2</v>
      </c>
      <c r="D1517">
        <v>4.795E-2</v>
      </c>
      <c r="E1517">
        <v>0.5</v>
      </c>
      <c r="F1517">
        <v>56235</v>
      </c>
      <c r="G1517">
        <v>2697</v>
      </c>
      <c r="H1517">
        <v>54886</v>
      </c>
      <c r="I1517">
        <v>549146</v>
      </c>
    </row>
    <row r="1518" spans="1:9">
      <c r="A1518" s="2">
        <v>1963</v>
      </c>
      <c r="B1518">
        <v>71</v>
      </c>
      <c r="C1518">
        <v>5.561E-2</v>
      </c>
      <c r="D1518">
        <v>5.4109999999999998E-2</v>
      </c>
      <c r="E1518">
        <v>0.5</v>
      </c>
      <c r="F1518">
        <v>53538</v>
      </c>
      <c r="G1518">
        <v>2897</v>
      </c>
      <c r="H1518">
        <v>52090</v>
      </c>
      <c r="I1518">
        <v>494260</v>
      </c>
    </row>
    <row r="1519" spans="1:9">
      <c r="A1519" s="2">
        <v>1963</v>
      </c>
      <c r="B1519">
        <v>72</v>
      </c>
      <c r="C1519">
        <v>6.132E-2</v>
      </c>
      <c r="D1519">
        <v>5.9490000000000001E-2</v>
      </c>
      <c r="E1519">
        <v>0.5</v>
      </c>
      <c r="F1519">
        <v>50641</v>
      </c>
      <c r="G1519">
        <v>3013</v>
      </c>
      <c r="H1519">
        <v>49135</v>
      </c>
      <c r="I1519">
        <v>442170</v>
      </c>
    </row>
    <row r="1520" spans="1:9">
      <c r="A1520" s="2">
        <v>1963</v>
      </c>
      <c r="B1520">
        <v>73</v>
      </c>
      <c r="C1520">
        <v>6.3920000000000005E-2</v>
      </c>
      <c r="D1520">
        <v>6.1940000000000002E-2</v>
      </c>
      <c r="E1520">
        <v>0.5</v>
      </c>
      <c r="F1520">
        <v>47628</v>
      </c>
      <c r="G1520">
        <v>2950</v>
      </c>
      <c r="H1520">
        <v>46153</v>
      </c>
      <c r="I1520">
        <v>393036</v>
      </c>
    </row>
    <row r="1521" spans="1:9">
      <c r="A1521" s="2">
        <v>1963</v>
      </c>
      <c r="B1521">
        <v>74</v>
      </c>
      <c r="C1521">
        <v>7.0910000000000001E-2</v>
      </c>
      <c r="D1521">
        <v>6.8479999999999999E-2</v>
      </c>
      <c r="E1521">
        <v>0.5</v>
      </c>
      <c r="F1521">
        <v>44678</v>
      </c>
      <c r="G1521">
        <v>3060</v>
      </c>
      <c r="H1521">
        <v>43148</v>
      </c>
      <c r="I1521">
        <v>346882</v>
      </c>
    </row>
    <row r="1522" spans="1:9">
      <c r="A1522" s="2">
        <v>1963</v>
      </c>
      <c r="B1522">
        <v>75</v>
      </c>
      <c r="C1522">
        <v>7.6280000000000001E-2</v>
      </c>
      <c r="D1522">
        <v>7.3480000000000004E-2</v>
      </c>
      <c r="E1522">
        <v>0.5</v>
      </c>
      <c r="F1522">
        <v>41619</v>
      </c>
      <c r="G1522">
        <v>3058</v>
      </c>
      <c r="H1522">
        <v>40090</v>
      </c>
      <c r="I1522">
        <v>303734</v>
      </c>
    </row>
    <row r="1523" spans="1:9">
      <c r="A1523" s="2">
        <v>1963</v>
      </c>
      <c r="B1523">
        <v>76</v>
      </c>
      <c r="C1523">
        <v>8.6610000000000006E-2</v>
      </c>
      <c r="D1523">
        <v>8.3019999999999997E-2</v>
      </c>
      <c r="E1523">
        <v>0.5</v>
      </c>
      <c r="F1523">
        <v>38561</v>
      </c>
      <c r="G1523">
        <v>3201</v>
      </c>
      <c r="H1523">
        <v>36960</v>
      </c>
      <c r="I1523">
        <v>263644</v>
      </c>
    </row>
    <row r="1524" spans="1:9">
      <c r="A1524" s="2">
        <v>1963</v>
      </c>
      <c r="B1524">
        <v>77</v>
      </c>
      <c r="C1524">
        <v>9.7309999999999994E-2</v>
      </c>
      <c r="D1524">
        <v>9.2799999999999994E-2</v>
      </c>
      <c r="E1524">
        <v>0.5</v>
      </c>
      <c r="F1524">
        <v>35359</v>
      </c>
      <c r="G1524">
        <v>3281</v>
      </c>
      <c r="H1524">
        <v>33719</v>
      </c>
      <c r="I1524">
        <v>226684</v>
      </c>
    </row>
    <row r="1525" spans="1:9">
      <c r="A1525" s="2">
        <v>1963</v>
      </c>
      <c r="B1525">
        <v>78</v>
      </c>
      <c r="C1525">
        <v>0.10732</v>
      </c>
      <c r="D1525">
        <v>0.10185</v>
      </c>
      <c r="E1525">
        <v>0.5</v>
      </c>
      <c r="F1525">
        <v>32078</v>
      </c>
      <c r="G1525">
        <v>3267</v>
      </c>
      <c r="H1525">
        <v>30445</v>
      </c>
      <c r="I1525">
        <v>192965</v>
      </c>
    </row>
    <row r="1526" spans="1:9">
      <c r="A1526" s="2">
        <v>1963</v>
      </c>
      <c r="B1526">
        <v>79</v>
      </c>
      <c r="C1526">
        <v>0.12528</v>
      </c>
      <c r="D1526">
        <v>0.11788999999999999</v>
      </c>
      <c r="E1526">
        <v>0.5</v>
      </c>
      <c r="F1526">
        <v>28811</v>
      </c>
      <c r="G1526">
        <v>3397</v>
      </c>
      <c r="H1526">
        <v>27113</v>
      </c>
      <c r="I1526">
        <v>162521</v>
      </c>
    </row>
    <row r="1527" spans="1:9">
      <c r="A1527" s="2">
        <v>1963</v>
      </c>
      <c r="B1527">
        <v>80</v>
      </c>
      <c r="C1527">
        <v>0.12539</v>
      </c>
      <c r="D1527">
        <v>0.11799</v>
      </c>
      <c r="E1527">
        <v>0.5</v>
      </c>
      <c r="F1527">
        <v>25414</v>
      </c>
      <c r="G1527">
        <v>2999</v>
      </c>
      <c r="H1527">
        <v>23915</v>
      </c>
      <c r="I1527">
        <v>135408</v>
      </c>
    </row>
    <row r="1528" spans="1:9">
      <c r="A1528" s="2">
        <v>1963</v>
      </c>
      <c r="B1528">
        <v>81</v>
      </c>
      <c r="C1528">
        <v>0.13988999999999999</v>
      </c>
      <c r="D1528">
        <v>0.13075000000000001</v>
      </c>
      <c r="E1528">
        <v>0.5</v>
      </c>
      <c r="F1528">
        <v>22416</v>
      </c>
      <c r="G1528">
        <v>2931</v>
      </c>
      <c r="H1528">
        <v>20950</v>
      </c>
      <c r="I1528">
        <v>111493</v>
      </c>
    </row>
    <row r="1529" spans="1:9">
      <c r="A1529" s="2">
        <v>1963</v>
      </c>
      <c r="B1529">
        <v>82</v>
      </c>
      <c r="C1529">
        <v>0.15537999999999999</v>
      </c>
      <c r="D1529">
        <v>0.14418</v>
      </c>
      <c r="E1529">
        <v>0.5</v>
      </c>
      <c r="F1529">
        <v>19485</v>
      </c>
      <c r="G1529">
        <v>2809</v>
      </c>
      <c r="H1529">
        <v>18080</v>
      </c>
      <c r="I1529">
        <v>90543</v>
      </c>
    </row>
    <row r="1530" spans="1:9">
      <c r="A1530" s="2">
        <v>1963</v>
      </c>
      <c r="B1530">
        <v>83</v>
      </c>
      <c r="C1530">
        <v>0.17047000000000001</v>
      </c>
      <c r="D1530">
        <v>0.15708</v>
      </c>
      <c r="E1530">
        <v>0.5</v>
      </c>
      <c r="F1530">
        <v>16676</v>
      </c>
      <c r="G1530">
        <v>2619</v>
      </c>
      <c r="H1530">
        <v>15366</v>
      </c>
      <c r="I1530">
        <v>72463</v>
      </c>
    </row>
    <row r="1531" spans="1:9">
      <c r="A1531" s="2">
        <v>1963</v>
      </c>
      <c r="B1531">
        <v>84</v>
      </c>
      <c r="C1531">
        <v>0.18048</v>
      </c>
      <c r="D1531">
        <v>0.16553999999999999</v>
      </c>
      <c r="E1531">
        <v>0.5</v>
      </c>
      <c r="F1531">
        <v>14056</v>
      </c>
      <c r="G1531">
        <v>2327</v>
      </c>
      <c r="H1531">
        <v>12893</v>
      </c>
      <c r="I1531">
        <v>57097</v>
      </c>
    </row>
    <row r="1532" spans="1:9">
      <c r="A1532" s="2">
        <v>1963</v>
      </c>
      <c r="B1532">
        <v>85</v>
      </c>
      <c r="C1532">
        <v>0.19761999999999999</v>
      </c>
      <c r="D1532">
        <v>0.17985000000000001</v>
      </c>
      <c r="E1532">
        <v>0.5</v>
      </c>
      <c r="F1532">
        <v>11729</v>
      </c>
      <c r="G1532">
        <v>2109</v>
      </c>
      <c r="H1532">
        <v>10675</v>
      </c>
      <c r="I1532">
        <v>44204</v>
      </c>
    </row>
    <row r="1533" spans="1:9">
      <c r="A1533" s="2">
        <v>1963</v>
      </c>
      <c r="B1533">
        <v>86</v>
      </c>
      <c r="C1533">
        <v>0.23891999999999999</v>
      </c>
      <c r="D1533">
        <v>0.21343000000000001</v>
      </c>
      <c r="E1533">
        <v>0.5</v>
      </c>
      <c r="F1533">
        <v>9620</v>
      </c>
      <c r="G1533">
        <v>2053</v>
      </c>
      <c r="H1533">
        <v>8593</v>
      </c>
      <c r="I1533">
        <v>33529</v>
      </c>
    </row>
    <row r="1534" spans="1:9">
      <c r="A1534" s="2">
        <v>1963</v>
      </c>
      <c r="B1534">
        <v>87</v>
      </c>
      <c r="C1534">
        <v>0.26385999999999998</v>
      </c>
      <c r="D1534">
        <v>0.23311000000000001</v>
      </c>
      <c r="E1534">
        <v>0.5</v>
      </c>
      <c r="F1534">
        <v>7567</v>
      </c>
      <c r="G1534">
        <v>1764</v>
      </c>
      <c r="H1534">
        <v>6685</v>
      </c>
      <c r="I1534">
        <v>24936</v>
      </c>
    </row>
    <row r="1535" spans="1:9">
      <c r="A1535" s="2">
        <v>1963</v>
      </c>
      <c r="B1535">
        <v>88</v>
      </c>
      <c r="C1535">
        <v>0.27045000000000002</v>
      </c>
      <c r="D1535">
        <v>0.23824000000000001</v>
      </c>
      <c r="E1535">
        <v>0.5</v>
      </c>
      <c r="F1535">
        <v>5803</v>
      </c>
      <c r="G1535">
        <v>1382</v>
      </c>
      <c r="H1535">
        <v>5112</v>
      </c>
      <c r="I1535">
        <v>18251</v>
      </c>
    </row>
    <row r="1536" spans="1:9">
      <c r="A1536" s="2">
        <v>1963</v>
      </c>
      <c r="B1536">
        <v>89</v>
      </c>
      <c r="C1536">
        <v>0.30535000000000001</v>
      </c>
      <c r="D1536">
        <v>0.26490999999999998</v>
      </c>
      <c r="E1536">
        <v>0.5</v>
      </c>
      <c r="F1536">
        <v>4420</v>
      </c>
      <c r="G1536">
        <v>1171</v>
      </c>
      <c r="H1536">
        <v>3835</v>
      </c>
      <c r="I1536">
        <v>13140</v>
      </c>
    </row>
    <row r="1537" spans="1:9">
      <c r="A1537" s="2">
        <v>1963</v>
      </c>
      <c r="B1537">
        <v>90</v>
      </c>
      <c r="C1537">
        <v>0.28972999999999999</v>
      </c>
      <c r="D1537">
        <v>0.25307000000000002</v>
      </c>
      <c r="E1537">
        <v>0.5</v>
      </c>
      <c r="F1537">
        <v>3249</v>
      </c>
      <c r="G1537">
        <v>822</v>
      </c>
      <c r="H1537">
        <v>2838</v>
      </c>
      <c r="I1537">
        <v>9305</v>
      </c>
    </row>
    <row r="1538" spans="1:9">
      <c r="A1538" s="2">
        <v>1963</v>
      </c>
      <c r="B1538">
        <v>91</v>
      </c>
      <c r="C1538">
        <v>0.32261000000000001</v>
      </c>
      <c r="D1538">
        <v>0.27779999999999999</v>
      </c>
      <c r="E1538">
        <v>0.5</v>
      </c>
      <c r="F1538">
        <v>2427</v>
      </c>
      <c r="G1538">
        <v>674</v>
      </c>
      <c r="H1538">
        <v>2090</v>
      </c>
      <c r="I1538">
        <v>6467</v>
      </c>
    </row>
    <row r="1539" spans="1:9">
      <c r="A1539" s="2">
        <v>1963</v>
      </c>
      <c r="B1539">
        <v>92</v>
      </c>
      <c r="C1539">
        <v>0.32672000000000001</v>
      </c>
      <c r="D1539">
        <v>0.28083999999999998</v>
      </c>
      <c r="E1539">
        <v>0.5</v>
      </c>
      <c r="F1539">
        <v>1753</v>
      </c>
      <c r="G1539">
        <v>492</v>
      </c>
      <c r="H1539">
        <v>1507</v>
      </c>
      <c r="I1539">
        <v>4377</v>
      </c>
    </row>
    <row r="1540" spans="1:9">
      <c r="A1540" s="2">
        <v>1963</v>
      </c>
      <c r="B1540">
        <v>93</v>
      </c>
      <c r="C1540">
        <v>0.39495999999999998</v>
      </c>
      <c r="D1540">
        <v>0.32983000000000001</v>
      </c>
      <c r="E1540">
        <v>0.5</v>
      </c>
      <c r="F1540">
        <v>1261</v>
      </c>
      <c r="G1540">
        <v>416</v>
      </c>
      <c r="H1540">
        <v>1053</v>
      </c>
      <c r="I1540">
        <v>2870</v>
      </c>
    </row>
    <row r="1541" spans="1:9">
      <c r="A1541" s="2">
        <v>1963</v>
      </c>
      <c r="B1541">
        <v>94</v>
      </c>
      <c r="C1541">
        <v>0.42298000000000002</v>
      </c>
      <c r="D1541">
        <v>0.34914000000000001</v>
      </c>
      <c r="E1541">
        <v>0.5</v>
      </c>
      <c r="F1541">
        <v>845</v>
      </c>
      <c r="G1541">
        <v>295</v>
      </c>
      <c r="H1541">
        <v>697</v>
      </c>
      <c r="I1541">
        <v>1817</v>
      </c>
    </row>
    <row r="1542" spans="1:9">
      <c r="A1542" s="2">
        <v>1963</v>
      </c>
      <c r="B1542">
        <v>95</v>
      </c>
      <c r="C1542">
        <v>0.45150000000000001</v>
      </c>
      <c r="D1542">
        <v>0.36835000000000001</v>
      </c>
      <c r="E1542">
        <v>0.5</v>
      </c>
      <c r="F1542">
        <v>550</v>
      </c>
      <c r="G1542">
        <v>203</v>
      </c>
      <c r="H1542">
        <v>449</v>
      </c>
      <c r="I1542">
        <v>1120</v>
      </c>
    </row>
    <row r="1543" spans="1:9">
      <c r="A1543" s="2">
        <v>1963</v>
      </c>
      <c r="B1543">
        <v>96</v>
      </c>
      <c r="C1543">
        <v>0.48035</v>
      </c>
      <c r="D1543">
        <v>0.38732</v>
      </c>
      <c r="E1543">
        <v>0.5</v>
      </c>
      <c r="F1543">
        <v>347</v>
      </c>
      <c r="G1543">
        <v>135</v>
      </c>
      <c r="H1543">
        <v>280</v>
      </c>
      <c r="I1543">
        <v>671</v>
      </c>
    </row>
    <row r="1544" spans="1:9">
      <c r="A1544" s="2">
        <v>1963</v>
      </c>
      <c r="B1544">
        <v>97</v>
      </c>
      <c r="C1544">
        <v>0.50931999999999999</v>
      </c>
      <c r="D1544">
        <v>0.40594999999999998</v>
      </c>
      <c r="E1544">
        <v>0.5</v>
      </c>
      <c r="F1544">
        <v>213</v>
      </c>
      <c r="G1544">
        <v>86</v>
      </c>
      <c r="H1544">
        <v>170</v>
      </c>
      <c r="I1544">
        <v>391</v>
      </c>
    </row>
    <row r="1545" spans="1:9">
      <c r="A1545" s="2">
        <v>1963</v>
      </c>
      <c r="B1545">
        <v>98</v>
      </c>
      <c r="C1545">
        <v>0.53824000000000005</v>
      </c>
      <c r="D1545">
        <v>0.42409999999999998</v>
      </c>
      <c r="E1545">
        <v>0.5</v>
      </c>
      <c r="F1545">
        <v>126</v>
      </c>
      <c r="G1545">
        <v>54</v>
      </c>
      <c r="H1545">
        <v>100</v>
      </c>
      <c r="I1545">
        <v>222</v>
      </c>
    </row>
    <row r="1546" spans="1:9">
      <c r="A1546" s="2">
        <v>1963</v>
      </c>
      <c r="B1546">
        <v>99</v>
      </c>
      <c r="C1546">
        <v>0.56689999999999996</v>
      </c>
      <c r="D1546">
        <v>0.44169999999999998</v>
      </c>
      <c r="E1546">
        <v>0.5</v>
      </c>
      <c r="F1546">
        <v>73</v>
      </c>
      <c r="G1546">
        <v>32</v>
      </c>
      <c r="H1546">
        <v>57</v>
      </c>
      <c r="I1546">
        <v>122</v>
      </c>
    </row>
    <row r="1547" spans="1:9">
      <c r="A1547" s="2">
        <v>1963</v>
      </c>
      <c r="B1547">
        <v>100</v>
      </c>
      <c r="C1547">
        <v>0.59511999999999998</v>
      </c>
      <c r="D1547">
        <v>0.45863999999999999</v>
      </c>
      <c r="E1547">
        <v>0.5</v>
      </c>
      <c r="F1547">
        <v>41</v>
      </c>
      <c r="G1547">
        <v>19</v>
      </c>
      <c r="H1547">
        <v>31</v>
      </c>
      <c r="I1547">
        <v>65</v>
      </c>
    </row>
    <row r="1548" spans="1:9">
      <c r="A1548" s="2">
        <v>1963</v>
      </c>
      <c r="B1548">
        <v>101</v>
      </c>
      <c r="C1548">
        <v>0.62272000000000005</v>
      </c>
      <c r="D1548">
        <v>0.47487000000000001</v>
      </c>
      <c r="E1548">
        <v>0.5</v>
      </c>
      <c r="F1548">
        <v>22</v>
      </c>
      <c r="G1548">
        <v>10</v>
      </c>
      <c r="H1548">
        <v>17</v>
      </c>
      <c r="I1548">
        <v>34</v>
      </c>
    </row>
    <row r="1549" spans="1:9">
      <c r="A1549" s="2">
        <v>1963</v>
      </c>
      <c r="B1549">
        <v>102</v>
      </c>
      <c r="C1549">
        <v>0.64954999999999996</v>
      </c>
      <c r="D1549">
        <v>0.49031000000000002</v>
      </c>
      <c r="E1549">
        <v>0.5</v>
      </c>
      <c r="F1549">
        <v>12</v>
      </c>
      <c r="G1549">
        <v>6</v>
      </c>
      <c r="H1549">
        <v>9</v>
      </c>
      <c r="I1549">
        <v>17</v>
      </c>
    </row>
    <row r="1550" spans="1:9">
      <c r="A1550" s="2">
        <v>1963</v>
      </c>
      <c r="B1550">
        <v>103</v>
      </c>
      <c r="C1550">
        <v>0.67545999999999995</v>
      </c>
      <c r="D1550">
        <v>0.50492999999999999</v>
      </c>
      <c r="E1550">
        <v>0.5</v>
      </c>
      <c r="F1550">
        <v>6</v>
      </c>
      <c r="G1550">
        <v>3</v>
      </c>
      <c r="H1550">
        <v>4</v>
      </c>
      <c r="I1550">
        <v>8</v>
      </c>
    </row>
    <row r="1551" spans="1:9">
      <c r="A1551" s="2">
        <v>1963</v>
      </c>
      <c r="B1551">
        <v>104</v>
      </c>
      <c r="C1551">
        <v>0.70035000000000003</v>
      </c>
      <c r="D1551">
        <v>0.51871</v>
      </c>
      <c r="E1551">
        <v>0.5</v>
      </c>
      <c r="F1551">
        <v>3</v>
      </c>
      <c r="G1551">
        <v>2</v>
      </c>
      <c r="H1551">
        <v>2</v>
      </c>
      <c r="I1551">
        <v>4</v>
      </c>
    </row>
    <row r="1552" spans="1:9">
      <c r="A1552" s="2">
        <v>1963</v>
      </c>
      <c r="B1552">
        <v>105</v>
      </c>
      <c r="C1552">
        <v>0.72409999999999997</v>
      </c>
      <c r="D1552">
        <v>0.53163000000000005</v>
      </c>
      <c r="E1552">
        <v>0.5</v>
      </c>
      <c r="F1552">
        <v>1</v>
      </c>
      <c r="G1552">
        <v>1</v>
      </c>
      <c r="H1552">
        <v>1</v>
      </c>
      <c r="I1552">
        <v>2</v>
      </c>
    </row>
    <row r="1553" spans="1:9">
      <c r="A1553" s="2">
        <v>1963</v>
      </c>
      <c r="B1553">
        <v>106</v>
      </c>
      <c r="C1553">
        <v>0.74665999999999999</v>
      </c>
      <c r="D1553">
        <v>0.54368000000000005</v>
      </c>
      <c r="E1553">
        <v>0.5</v>
      </c>
      <c r="F1553">
        <v>1</v>
      </c>
      <c r="G1553">
        <v>0</v>
      </c>
      <c r="H1553">
        <v>0</v>
      </c>
      <c r="I1553">
        <v>1</v>
      </c>
    </row>
    <row r="1554" spans="1:9">
      <c r="A1554" s="2">
        <v>1963</v>
      </c>
      <c r="B1554">
        <v>107</v>
      </c>
      <c r="C1554">
        <v>0.76795999999999998</v>
      </c>
      <c r="D1554">
        <v>0.55488999999999999</v>
      </c>
      <c r="E1554">
        <v>0.5</v>
      </c>
      <c r="F1554">
        <v>0</v>
      </c>
      <c r="G1554">
        <v>0</v>
      </c>
      <c r="H1554">
        <v>0</v>
      </c>
      <c r="I1554">
        <v>0</v>
      </c>
    </row>
    <row r="1555" spans="1:9">
      <c r="A1555" s="2">
        <v>1963</v>
      </c>
      <c r="B1555">
        <v>108</v>
      </c>
      <c r="C1555">
        <v>0.78796999999999995</v>
      </c>
      <c r="D1555">
        <v>0.56527000000000005</v>
      </c>
      <c r="E1555">
        <v>0.5</v>
      </c>
      <c r="F1555">
        <v>0</v>
      </c>
      <c r="G1555">
        <v>0</v>
      </c>
      <c r="H1555">
        <v>0</v>
      </c>
      <c r="I1555">
        <v>0</v>
      </c>
    </row>
    <row r="1556" spans="1:9">
      <c r="A1556" s="2">
        <v>1963</v>
      </c>
      <c r="B1556">
        <v>109</v>
      </c>
      <c r="C1556">
        <v>0.80669999999999997</v>
      </c>
      <c r="D1556">
        <v>0.57484000000000002</v>
      </c>
      <c r="E1556">
        <v>0.5</v>
      </c>
      <c r="F1556">
        <v>0</v>
      </c>
      <c r="G1556">
        <v>0</v>
      </c>
      <c r="H1556">
        <v>0</v>
      </c>
      <c r="I1556">
        <v>0</v>
      </c>
    </row>
    <row r="1557" spans="1:9">
      <c r="A1557" s="2">
        <v>1963</v>
      </c>
      <c r="B1557" t="s">
        <v>26</v>
      </c>
      <c r="C1557">
        <v>0.82413999999999998</v>
      </c>
      <c r="D1557">
        <v>1</v>
      </c>
      <c r="E1557" s="3" t="s">
        <v>35</v>
      </c>
      <c r="F1557">
        <v>0</v>
      </c>
      <c r="G1557">
        <v>0</v>
      </c>
      <c r="H1557">
        <v>0</v>
      </c>
      <c r="I1557">
        <v>0</v>
      </c>
    </row>
    <row r="1558" spans="1:9">
      <c r="A1558" s="2">
        <v>1964</v>
      </c>
      <c r="B1558">
        <v>0</v>
      </c>
      <c r="C1558">
        <v>4.58E-2</v>
      </c>
      <c r="D1558">
        <v>4.4139999999999999E-2</v>
      </c>
      <c r="E1558">
        <v>0.18</v>
      </c>
      <c r="F1558">
        <v>100000</v>
      </c>
      <c r="G1558">
        <v>4414</v>
      </c>
      <c r="H1558">
        <v>96370</v>
      </c>
      <c r="I1558">
        <v>6700215</v>
      </c>
    </row>
    <row r="1559" spans="1:9">
      <c r="A1559" s="2">
        <v>1964</v>
      </c>
      <c r="B1559">
        <v>1</v>
      </c>
      <c r="C1559">
        <v>2.5899999999999999E-3</v>
      </c>
      <c r="D1559">
        <v>2.5899999999999999E-3</v>
      </c>
      <c r="E1559">
        <v>0.5</v>
      </c>
      <c r="F1559">
        <v>95586</v>
      </c>
      <c r="G1559">
        <v>248</v>
      </c>
      <c r="H1559">
        <v>95462</v>
      </c>
      <c r="I1559">
        <v>6603845</v>
      </c>
    </row>
    <row r="1560" spans="1:9">
      <c r="A1560" s="2">
        <v>1964</v>
      </c>
      <c r="B1560">
        <v>2</v>
      </c>
      <c r="C1560">
        <v>1.1999999999999999E-3</v>
      </c>
      <c r="D1560">
        <v>1.1999999999999999E-3</v>
      </c>
      <c r="E1560">
        <v>0.5</v>
      </c>
      <c r="F1560">
        <v>95338</v>
      </c>
      <c r="G1560">
        <v>114</v>
      </c>
      <c r="H1560">
        <v>95281</v>
      </c>
      <c r="I1560">
        <v>6508383</v>
      </c>
    </row>
    <row r="1561" spans="1:9">
      <c r="A1561" s="2">
        <v>1964</v>
      </c>
      <c r="B1561">
        <v>3</v>
      </c>
      <c r="C1561">
        <v>8.0000000000000004E-4</v>
      </c>
      <c r="D1561">
        <v>8.0000000000000004E-4</v>
      </c>
      <c r="E1561">
        <v>0.5</v>
      </c>
      <c r="F1561">
        <v>95224</v>
      </c>
      <c r="G1561">
        <v>76</v>
      </c>
      <c r="H1561">
        <v>95186</v>
      </c>
      <c r="I1561">
        <v>6413101</v>
      </c>
    </row>
    <row r="1562" spans="1:9">
      <c r="A1562" s="2">
        <v>1964</v>
      </c>
      <c r="B1562">
        <v>4</v>
      </c>
      <c r="C1562">
        <v>5.6999999999999998E-4</v>
      </c>
      <c r="D1562">
        <v>5.6999999999999998E-4</v>
      </c>
      <c r="E1562">
        <v>0.5</v>
      </c>
      <c r="F1562">
        <v>95148</v>
      </c>
      <c r="G1562">
        <v>54</v>
      </c>
      <c r="H1562">
        <v>95121</v>
      </c>
      <c r="I1562">
        <v>6317915</v>
      </c>
    </row>
    <row r="1563" spans="1:9">
      <c r="A1563" s="2">
        <v>1964</v>
      </c>
      <c r="B1563">
        <v>5</v>
      </c>
      <c r="C1563">
        <v>4.0000000000000002E-4</v>
      </c>
      <c r="D1563">
        <v>4.0000000000000002E-4</v>
      </c>
      <c r="E1563">
        <v>0.5</v>
      </c>
      <c r="F1563">
        <v>95094</v>
      </c>
      <c r="G1563">
        <v>38</v>
      </c>
      <c r="H1563">
        <v>95075</v>
      </c>
      <c r="I1563">
        <v>6222794</v>
      </c>
    </row>
    <row r="1564" spans="1:9">
      <c r="A1564" s="2">
        <v>1964</v>
      </c>
      <c r="B1564">
        <v>6</v>
      </c>
      <c r="C1564">
        <v>4.8000000000000001E-4</v>
      </c>
      <c r="D1564">
        <v>4.8000000000000001E-4</v>
      </c>
      <c r="E1564">
        <v>0.5</v>
      </c>
      <c r="F1564">
        <v>95056</v>
      </c>
      <c r="G1564">
        <v>45</v>
      </c>
      <c r="H1564">
        <v>95034</v>
      </c>
      <c r="I1564">
        <v>6127719</v>
      </c>
    </row>
    <row r="1565" spans="1:9">
      <c r="A1565" s="2">
        <v>1964</v>
      </c>
      <c r="B1565">
        <v>7</v>
      </c>
      <c r="C1565">
        <v>6.3000000000000003E-4</v>
      </c>
      <c r="D1565">
        <v>6.3000000000000003E-4</v>
      </c>
      <c r="E1565">
        <v>0.5</v>
      </c>
      <c r="F1565">
        <v>95011</v>
      </c>
      <c r="G1565">
        <v>60</v>
      </c>
      <c r="H1565">
        <v>94981</v>
      </c>
      <c r="I1565">
        <v>6032685</v>
      </c>
    </row>
    <row r="1566" spans="1:9">
      <c r="A1566" s="2">
        <v>1964</v>
      </c>
      <c r="B1566">
        <v>8</v>
      </c>
      <c r="C1566">
        <v>4.2999999999999999E-4</v>
      </c>
      <c r="D1566">
        <v>4.2999999999999999E-4</v>
      </c>
      <c r="E1566">
        <v>0.5</v>
      </c>
      <c r="F1566">
        <v>94951</v>
      </c>
      <c r="G1566">
        <v>41</v>
      </c>
      <c r="H1566">
        <v>94930</v>
      </c>
      <c r="I1566">
        <v>5937704</v>
      </c>
    </row>
    <row r="1567" spans="1:9">
      <c r="A1567" s="2">
        <v>1964</v>
      </c>
      <c r="B1567">
        <v>9</v>
      </c>
      <c r="C1567">
        <v>3.4000000000000002E-4</v>
      </c>
      <c r="D1567">
        <v>3.4000000000000002E-4</v>
      </c>
      <c r="E1567">
        <v>0.5</v>
      </c>
      <c r="F1567">
        <v>94910</v>
      </c>
      <c r="G1567">
        <v>33</v>
      </c>
      <c r="H1567">
        <v>94894</v>
      </c>
      <c r="I1567">
        <v>5842774</v>
      </c>
    </row>
    <row r="1568" spans="1:9">
      <c r="A1568" s="2">
        <v>1964</v>
      </c>
      <c r="B1568">
        <v>10</v>
      </c>
      <c r="C1568">
        <v>3.3E-4</v>
      </c>
      <c r="D1568">
        <v>3.3E-4</v>
      </c>
      <c r="E1568">
        <v>0.5</v>
      </c>
      <c r="F1568">
        <v>94877</v>
      </c>
      <c r="G1568">
        <v>31</v>
      </c>
      <c r="H1568">
        <v>94862</v>
      </c>
      <c r="I1568">
        <v>5747880</v>
      </c>
    </row>
    <row r="1569" spans="1:9">
      <c r="A1569" s="2">
        <v>1964</v>
      </c>
      <c r="B1569">
        <v>11</v>
      </c>
      <c r="C1569">
        <v>4.0000000000000002E-4</v>
      </c>
      <c r="D1569">
        <v>4.0000000000000002E-4</v>
      </c>
      <c r="E1569">
        <v>0.5</v>
      </c>
      <c r="F1569">
        <v>94846</v>
      </c>
      <c r="G1569">
        <v>38</v>
      </c>
      <c r="H1569">
        <v>94827</v>
      </c>
      <c r="I1569">
        <v>5653018</v>
      </c>
    </row>
    <row r="1570" spans="1:9">
      <c r="A1570" s="2">
        <v>1964</v>
      </c>
      <c r="B1570">
        <v>12</v>
      </c>
      <c r="C1570">
        <v>2.9999999999999997E-4</v>
      </c>
      <c r="D1570">
        <v>2.9999999999999997E-4</v>
      </c>
      <c r="E1570">
        <v>0.5</v>
      </c>
      <c r="F1570">
        <v>94808</v>
      </c>
      <c r="G1570">
        <v>29</v>
      </c>
      <c r="H1570">
        <v>94794</v>
      </c>
      <c r="I1570">
        <v>5558192</v>
      </c>
    </row>
    <row r="1571" spans="1:9">
      <c r="A1571" s="2">
        <v>1964</v>
      </c>
      <c r="B1571">
        <v>13</v>
      </c>
      <c r="C1571">
        <v>4.6000000000000001E-4</v>
      </c>
      <c r="D1571">
        <v>4.6000000000000001E-4</v>
      </c>
      <c r="E1571">
        <v>0.5</v>
      </c>
      <c r="F1571">
        <v>94779</v>
      </c>
      <c r="G1571">
        <v>44</v>
      </c>
      <c r="H1571">
        <v>94757</v>
      </c>
      <c r="I1571">
        <v>5463398</v>
      </c>
    </row>
    <row r="1572" spans="1:9">
      <c r="A1572" s="2">
        <v>1964</v>
      </c>
      <c r="B1572">
        <v>14</v>
      </c>
      <c r="C1572">
        <v>6.2E-4</v>
      </c>
      <c r="D1572">
        <v>6.2E-4</v>
      </c>
      <c r="E1572">
        <v>0.5</v>
      </c>
      <c r="F1572">
        <v>94735</v>
      </c>
      <c r="G1572">
        <v>59</v>
      </c>
      <c r="H1572">
        <v>94706</v>
      </c>
      <c r="I1572">
        <v>5368641</v>
      </c>
    </row>
    <row r="1573" spans="1:9">
      <c r="A1573" s="2">
        <v>1964</v>
      </c>
      <c r="B1573">
        <v>15</v>
      </c>
      <c r="C1573">
        <v>7.2000000000000005E-4</v>
      </c>
      <c r="D1573">
        <v>7.2000000000000005E-4</v>
      </c>
      <c r="E1573">
        <v>0.5</v>
      </c>
      <c r="F1573">
        <v>94677</v>
      </c>
      <c r="G1573">
        <v>68</v>
      </c>
      <c r="H1573">
        <v>94643</v>
      </c>
      <c r="I1573">
        <v>5273935</v>
      </c>
    </row>
    <row r="1574" spans="1:9">
      <c r="A1574" s="2">
        <v>1964</v>
      </c>
      <c r="B1574">
        <v>16</v>
      </c>
      <c r="C1574">
        <v>8.4999999999999995E-4</v>
      </c>
      <c r="D1574">
        <v>8.4999999999999995E-4</v>
      </c>
      <c r="E1574">
        <v>0.5</v>
      </c>
      <c r="F1574">
        <v>94608</v>
      </c>
      <c r="G1574">
        <v>80</v>
      </c>
      <c r="H1574">
        <v>94568</v>
      </c>
      <c r="I1574">
        <v>5179292</v>
      </c>
    </row>
    <row r="1575" spans="1:9">
      <c r="A1575" s="2">
        <v>1964</v>
      </c>
      <c r="B1575">
        <v>17</v>
      </c>
      <c r="C1575">
        <v>1.24E-3</v>
      </c>
      <c r="D1575">
        <v>1.24E-3</v>
      </c>
      <c r="E1575">
        <v>0.5</v>
      </c>
      <c r="F1575">
        <v>94528</v>
      </c>
      <c r="G1575">
        <v>117</v>
      </c>
      <c r="H1575">
        <v>94469</v>
      </c>
      <c r="I1575">
        <v>5084724</v>
      </c>
    </row>
    <row r="1576" spans="1:9">
      <c r="A1576" s="2">
        <v>1964</v>
      </c>
      <c r="B1576">
        <v>18</v>
      </c>
      <c r="C1576">
        <v>1.24E-3</v>
      </c>
      <c r="D1576">
        <v>1.24E-3</v>
      </c>
      <c r="E1576">
        <v>0.5</v>
      </c>
      <c r="F1576">
        <v>94411</v>
      </c>
      <c r="G1576">
        <v>117</v>
      </c>
      <c r="H1576">
        <v>94352</v>
      </c>
      <c r="I1576">
        <v>4990255</v>
      </c>
    </row>
    <row r="1577" spans="1:9">
      <c r="A1577" s="2">
        <v>1964</v>
      </c>
      <c r="B1577">
        <v>19</v>
      </c>
      <c r="C1577">
        <v>1.41E-3</v>
      </c>
      <c r="D1577">
        <v>1.41E-3</v>
      </c>
      <c r="E1577">
        <v>0.5</v>
      </c>
      <c r="F1577">
        <v>94293</v>
      </c>
      <c r="G1577">
        <v>133</v>
      </c>
      <c r="H1577">
        <v>94227</v>
      </c>
      <c r="I1577">
        <v>4895903</v>
      </c>
    </row>
    <row r="1578" spans="1:9">
      <c r="A1578" s="2">
        <v>1964</v>
      </c>
      <c r="B1578">
        <v>20</v>
      </c>
      <c r="C1578">
        <v>1.7099999999999999E-3</v>
      </c>
      <c r="D1578">
        <v>1.7099999999999999E-3</v>
      </c>
      <c r="E1578">
        <v>0.5</v>
      </c>
      <c r="F1578">
        <v>94161</v>
      </c>
      <c r="G1578">
        <v>161</v>
      </c>
      <c r="H1578">
        <v>94080</v>
      </c>
      <c r="I1578">
        <v>4801675</v>
      </c>
    </row>
    <row r="1579" spans="1:9">
      <c r="A1579" s="2">
        <v>1964</v>
      </c>
      <c r="B1579">
        <v>21</v>
      </c>
      <c r="C1579">
        <v>1.2899999999999999E-3</v>
      </c>
      <c r="D1579">
        <v>1.2800000000000001E-3</v>
      </c>
      <c r="E1579">
        <v>0.5</v>
      </c>
      <c r="F1579">
        <v>94000</v>
      </c>
      <c r="G1579">
        <v>121</v>
      </c>
      <c r="H1579">
        <v>93939</v>
      </c>
      <c r="I1579">
        <v>4707595</v>
      </c>
    </row>
    <row r="1580" spans="1:9">
      <c r="A1580" s="2">
        <v>1964</v>
      </c>
      <c r="B1580">
        <v>22</v>
      </c>
      <c r="C1580">
        <v>1.72E-3</v>
      </c>
      <c r="D1580">
        <v>1.72E-3</v>
      </c>
      <c r="E1580">
        <v>0.5</v>
      </c>
      <c r="F1580">
        <v>93879</v>
      </c>
      <c r="G1580">
        <v>161</v>
      </c>
      <c r="H1580">
        <v>93798</v>
      </c>
      <c r="I1580">
        <v>4613656</v>
      </c>
    </row>
    <row r="1581" spans="1:9">
      <c r="A1581" s="2">
        <v>1964</v>
      </c>
      <c r="B1581">
        <v>23</v>
      </c>
      <c r="C1581">
        <v>1.6199999999999999E-3</v>
      </c>
      <c r="D1581">
        <v>1.6199999999999999E-3</v>
      </c>
      <c r="E1581">
        <v>0.5</v>
      </c>
      <c r="F1581">
        <v>93717</v>
      </c>
      <c r="G1581">
        <v>152</v>
      </c>
      <c r="H1581">
        <v>93641</v>
      </c>
      <c r="I1581">
        <v>4519858</v>
      </c>
    </row>
    <row r="1582" spans="1:9">
      <c r="A1582" s="2">
        <v>1964</v>
      </c>
      <c r="B1582">
        <v>24</v>
      </c>
      <c r="C1582">
        <v>1.6900000000000001E-3</v>
      </c>
      <c r="D1582">
        <v>1.6900000000000001E-3</v>
      </c>
      <c r="E1582">
        <v>0.5</v>
      </c>
      <c r="F1582">
        <v>93565</v>
      </c>
      <c r="G1582">
        <v>158</v>
      </c>
      <c r="H1582">
        <v>93486</v>
      </c>
      <c r="I1582">
        <v>4426216</v>
      </c>
    </row>
    <row r="1583" spans="1:9">
      <c r="A1583" s="2">
        <v>1964</v>
      </c>
      <c r="B1583">
        <v>25</v>
      </c>
      <c r="C1583">
        <v>1.6299999999999999E-3</v>
      </c>
      <c r="D1583">
        <v>1.6299999999999999E-3</v>
      </c>
      <c r="E1583">
        <v>0.5</v>
      </c>
      <c r="F1583">
        <v>93407</v>
      </c>
      <c r="G1583">
        <v>152</v>
      </c>
      <c r="H1583">
        <v>93331</v>
      </c>
      <c r="I1583">
        <v>4332730</v>
      </c>
    </row>
    <row r="1584" spans="1:9">
      <c r="A1584" s="2">
        <v>1964</v>
      </c>
      <c r="B1584">
        <v>26</v>
      </c>
      <c r="C1584">
        <v>1.6000000000000001E-3</v>
      </c>
      <c r="D1584">
        <v>1.6000000000000001E-3</v>
      </c>
      <c r="E1584">
        <v>0.5</v>
      </c>
      <c r="F1584">
        <v>93255</v>
      </c>
      <c r="G1584">
        <v>149</v>
      </c>
      <c r="H1584">
        <v>93181</v>
      </c>
      <c r="I1584">
        <v>4239399</v>
      </c>
    </row>
    <row r="1585" spans="1:9">
      <c r="A1585" s="2">
        <v>1964</v>
      </c>
      <c r="B1585">
        <v>27</v>
      </c>
      <c r="C1585">
        <v>1.7899999999999999E-3</v>
      </c>
      <c r="D1585">
        <v>1.7899999999999999E-3</v>
      </c>
      <c r="E1585">
        <v>0.5</v>
      </c>
      <c r="F1585">
        <v>93106</v>
      </c>
      <c r="G1585">
        <v>167</v>
      </c>
      <c r="H1585">
        <v>93023</v>
      </c>
      <c r="I1585">
        <v>4146218</v>
      </c>
    </row>
    <row r="1586" spans="1:9">
      <c r="A1586" s="2">
        <v>1964</v>
      </c>
      <c r="B1586">
        <v>28</v>
      </c>
      <c r="C1586">
        <v>1.5200000000000001E-3</v>
      </c>
      <c r="D1586">
        <v>1.5200000000000001E-3</v>
      </c>
      <c r="E1586">
        <v>0.5</v>
      </c>
      <c r="F1586">
        <v>92939</v>
      </c>
      <c r="G1586">
        <v>141</v>
      </c>
      <c r="H1586">
        <v>92869</v>
      </c>
      <c r="I1586">
        <v>4053195</v>
      </c>
    </row>
    <row r="1587" spans="1:9">
      <c r="A1587" s="2">
        <v>1964</v>
      </c>
      <c r="B1587">
        <v>29</v>
      </c>
      <c r="C1587">
        <v>1.81E-3</v>
      </c>
      <c r="D1587">
        <v>1.81E-3</v>
      </c>
      <c r="E1587">
        <v>0.5</v>
      </c>
      <c r="F1587">
        <v>92798</v>
      </c>
      <c r="G1587">
        <v>168</v>
      </c>
      <c r="H1587">
        <v>92714</v>
      </c>
      <c r="I1587">
        <v>3960326</v>
      </c>
    </row>
    <row r="1588" spans="1:9">
      <c r="A1588" s="2">
        <v>1964</v>
      </c>
      <c r="B1588">
        <v>30</v>
      </c>
      <c r="C1588">
        <v>1.8699999999999999E-3</v>
      </c>
      <c r="D1588">
        <v>1.8600000000000001E-3</v>
      </c>
      <c r="E1588">
        <v>0.5</v>
      </c>
      <c r="F1588">
        <v>92630</v>
      </c>
      <c r="G1588">
        <v>173</v>
      </c>
      <c r="H1588">
        <v>92544</v>
      </c>
      <c r="I1588">
        <v>3867612</v>
      </c>
    </row>
    <row r="1589" spans="1:9">
      <c r="A1589" s="2">
        <v>1964</v>
      </c>
      <c r="B1589">
        <v>31</v>
      </c>
      <c r="C1589">
        <v>1.75E-3</v>
      </c>
      <c r="D1589">
        <v>1.75E-3</v>
      </c>
      <c r="E1589">
        <v>0.5</v>
      </c>
      <c r="F1589">
        <v>92457</v>
      </c>
      <c r="G1589">
        <v>162</v>
      </c>
      <c r="H1589">
        <v>92376</v>
      </c>
      <c r="I1589">
        <v>3775069</v>
      </c>
    </row>
    <row r="1590" spans="1:9">
      <c r="A1590" s="2">
        <v>1964</v>
      </c>
      <c r="B1590">
        <v>32</v>
      </c>
      <c r="C1590">
        <v>1.6999999999999999E-3</v>
      </c>
      <c r="D1590">
        <v>1.6999999999999999E-3</v>
      </c>
      <c r="E1590">
        <v>0.5</v>
      </c>
      <c r="F1590">
        <v>92296</v>
      </c>
      <c r="G1590">
        <v>157</v>
      </c>
      <c r="H1590">
        <v>92217</v>
      </c>
      <c r="I1590">
        <v>3682692</v>
      </c>
    </row>
    <row r="1591" spans="1:9">
      <c r="A1591" s="2">
        <v>1964</v>
      </c>
      <c r="B1591">
        <v>33</v>
      </c>
      <c r="C1591">
        <v>2.2000000000000001E-3</v>
      </c>
      <c r="D1591">
        <v>2.1900000000000001E-3</v>
      </c>
      <c r="E1591">
        <v>0.5</v>
      </c>
      <c r="F1591">
        <v>92139</v>
      </c>
      <c r="G1591">
        <v>202</v>
      </c>
      <c r="H1591">
        <v>92038</v>
      </c>
      <c r="I1591">
        <v>3590475</v>
      </c>
    </row>
    <row r="1592" spans="1:9">
      <c r="A1592" s="2">
        <v>1964</v>
      </c>
      <c r="B1592">
        <v>34</v>
      </c>
      <c r="C1592">
        <v>1.91E-3</v>
      </c>
      <c r="D1592">
        <v>1.91E-3</v>
      </c>
      <c r="E1592">
        <v>0.5</v>
      </c>
      <c r="F1592">
        <v>91937</v>
      </c>
      <c r="G1592">
        <v>176</v>
      </c>
      <c r="H1592">
        <v>91849</v>
      </c>
      <c r="I1592">
        <v>3498437</v>
      </c>
    </row>
    <row r="1593" spans="1:9">
      <c r="A1593" s="2">
        <v>1964</v>
      </c>
      <c r="B1593">
        <v>35</v>
      </c>
      <c r="C1593">
        <v>2.0500000000000002E-3</v>
      </c>
      <c r="D1593">
        <v>2.0500000000000002E-3</v>
      </c>
      <c r="E1593">
        <v>0.5</v>
      </c>
      <c r="F1593">
        <v>91761</v>
      </c>
      <c r="G1593">
        <v>188</v>
      </c>
      <c r="H1593">
        <v>91667</v>
      </c>
      <c r="I1593">
        <v>3406588</v>
      </c>
    </row>
    <row r="1594" spans="1:9">
      <c r="A1594" s="2">
        <v>1964</v>
      </c>
      <c r="B1594">
        <v>36</v>
      </c>
      <c r="C1594">
        <v>2.2000000000000001E-3</v>
      </c>
      <c r="D1594">
        <v>2.2000000000000001E-3</v>
      </c>
      <c r="E1594">
        <v>0.5</v>
      </c>
      <c r="F1594">
        <v>91573</v>
      </c>
      <c r="G1594">
        <v>201</v>
      </c>
      <c r="H1594">
        <v>91473</v>
      </c>
      <c r="I1594">
        <v>3314921</v>
      </c>
    </row>
    <row r="1595" spans="1:9">
      <c r="A1595" s="2">
        <v>1964</v>
      </c>
      <c r="B1595">
        <v>37</v>
      </c>
      <c r="C1595">
        <v>2.5600000000000002E-3</v>
      </c>
      <c r="D1595">
        <v>2.5500000000000002E-3</v>
      </c>
      <c r="E1595">
        <v>0.5</v>
      </c>
      <c r="F1595">
        <v>91372</v>
      </c>
      <c r="G1595">
        <v>233</v>
      </c>
      <c r="H1595">
        <v>91255</v>
      </c>
      <c r="I1595">
        <v>3223448</v>
      </c>
    </row>
    <row r="1596" spans="1:9">
      <c r="A1596" s="2">
        <v>1964</v>
      </c>
      <c r="B1596">
        <v>38</v>
      </c>
      <c r="C1596">
        <v>2.82E-3</v>
      </c>
      <c r="D1596">
        <v>2.81E-3</v>
      </c>
      <c r="E1596">
        <v>0.5</v>
      </c>
      <c r="F1596">
        <v>91139</v>
      </c>
      <c r="G1596">
        <v>256</v>
      </c>
      <c r="H1596">
        <v>91010</v>
      </c>
      <c r="I1596">
        <v>3132193</v>
      </c>
    </row>
    <row r="1597" spans="1:9">
      <c r="A1597" s="2">
        <v>1964</v>
      </c>
      <c r="B1597">
        <v>39</v>
      </c>
      <c r="C1597">
        <v>3.0400000000000002E-3</v>
      </c>
      <c r="D1597">
        <v>3.0400000000000002E-3</v>
      </c>
      <c r="E1597">
        <v>0.5</v>
      </c>
      <c r="F1597">
        <v>90882</v>
      </c>
      <c r="G1597">
        <v>276</v>
      </c>
      <c r="H1597">
        <v>90744</v>
      </c>
      <c r="I1597">
        <v>3041182</v>
      </c>
    </row>
    <row r="1598" spans="1:9">
      <c r="A1598" s="2">
        <v>1964</v>
      </c>
      <c r="B1598">
        <v>40</v>
      </c>
      <c r="C1598">
        <v>3.0599999999999998E-3</v>
      </c>
      <c r="D1598">
        <v>3.0500000000000002E-3</v>
      </c>
      <c r="E1598">
        <v>0.5</v>
      </c>
      <c r="F1598">
        <v>90606</v>
      </c>
      <c r="G1598">
        <v>276</v>
      </c>
      <c r="H1598">
        <v>90468</v>
      </c>
      <c r="I1598">
        <v>2950438</v>
      </c>
    </row>
    <row r="1599" spans="1:9">
      <c r="A1599" s="2">
        <v>1964</v>
      </c>
      <c r="B1599">
        <v>41</v>
      </c>
      <c r="C1599">
        <v>3.0500000000000002E-3</v>
      </c>
      <c r="D1599">
        <v>3.0400000000000002E-3</v>
      </c>
      <c r="E1599">
        <v>0.5</v>
      </c>
      <c r="F1599">
        <v>90330</v>
      </c>
      <c r="G1599">
        <v>275</v>
      </c>
      <c r="H1599">
        <v>90192</v>
      </c>
      <c r="I1599">
        <v>2859970</v>
      </c>
    </row>
    <row r="1600" spans="1:9">
      <c r="A1600" s="2">
        <v>1964</v>
      </c>
      <c r="B1600">
        <v>42</v>
      </c>
      <c r="C1600">
        <v>3.2799999999999999E-3</v>
      </c>
      <c r="D1600">
        <v>3.2799999999999999E-3</v>
      </c>
      <c r="E1600">
        <v>0.5</v>
      </c>
      <c r="F1600">
        <v>90055</v>
      </c>
      <c r="G1600">
        <v>295</v>
      </c>
      <c r="H1600">
        <v>89907</v>
      </c>
      <c r="I1600">
        <v>2769778</v>
      </c>
    </row>
    <row r="1601" spans="1:9">
      <c r="A1601" s="2">
        <v>1964</v>
      </c>
      <c r="B1601">
        <v>43</v>
      </c>
      <c r="C1601">
        <v>3.5100000000000001E-3</v>
      </c>
      <c r="D1601">
        <v>3.5000000000000001E-3</v>
      </c>
      <c r="E1601">
        <v>0.5</v>
      </c>
      <c r="F1601">
        <v>89760</v>
      </c>
      <c r="G1601">
        <v>315</v>
      </c>
      <c r="H1601">
        <v>89603</v>
      </c>
      <c r="I1601">
        <v>2679870</v>
      </c>
    </row>
    <row r="1602" spans="1:9">
      <c r="A1602" s="2">
        <v>1964</v>
      </c>
      <c r="B1602">
        <v>44</v>
      </c>
      <c r="C1602">
        <v>3.8899999999999998E-3</v>
      </c>
      <c r="D1602">
        <v>3.8800000000000002E-3</v>
      </c>
      <c r="E1602">
        <v>0.5</v>
      </c>
      <c r="F1602">
        <v>89445</v>
      </c>
      <c r="G1602">
        <v>347</v>
      </c>
      <c r="H1602">
        <v>89272</v>
      </c>
      <c r="I1602">
        <v>2590268</v>
      </c>
    </row>
    <row r="1603" spans="1:9">
      <c r="A1603" s="2">
        <v>1964</v>
      </c>
      <c r="B1603">
        <v>45</v>
      </c>
      <c r="C1603">
        <v>3.8300000000000001E-3</v>
      </c>
      <c r="D1603">
        <v>3.82E-3</v>
      </c>
      <c r="E1603">
        <v>0.5</v>
      </c>
      <c r="F1603">
        <v>89098</v>
      </c>
      <c r="G1603">
        <v>341</v>
      </c>
      <c r="H1603">
        <v>88928</v>
      </c>
      <c r="I1603">
        <v>2500996</v>
      </c>
    </row>
    <row r="1604" spans="1:9">
      <c r="A1604" s="2">
        <v>1964</v>
      </c>
      <c r="B1604">
        <v>46</v>
      </c>
      <c r="C1604">
        <v>5.4400000000000004E-3</v>
      </c>
      <c r="D1604">
        <v>5.4299999999999999E-3</v>
      </c>
      <c r="E1604">
        <v>0.5</v>
      </c>
      <c r="F1604">
        <v>88757</v>
      </c>
      <c r="G1604">
        <v>482</v>
      </c>
      <c r="H1604">
        <v>88516</v>
      </c>
      <c r="I1604">
        <v>2412068</v>
      </c>
    </row>
    <row r="1605" spans="1:9">
      <c r="A1605" s="2">
        <v>1964</v>
      </c>
      <c r="B1605">
        <v>47</v>
      </c>
      <c r="C1605">
        <v>4.6100000000000004E-3</v>
      </c>
      <c r="D1605">
        <v>4.5999999999999999E-3</v>
      </c>
      <c r="E1605">
        <v>0.5</v>
      </c>
      <c r="F1605">
        <v>88276</v>
      </c>
      <c r="G1605">
        <v>406</v>
      </c>
      <c r="H1605">
        <v>88073</v>
      </c>
      <c r="I1605">
        <v>2323552</v>
      </c>
    </row>
    <row r="1606" spans="1:9">
      <c r="A1606" s="2">
        <v>1964</v>
      </c>
      <c r="B1606">
        <v>48</v>
      </c>
      <c r="C1606">
        <v>5.4000000000000003E-3</v>
      </c>
      <c r="D1606">
        <v>5.3899999999999998E-3</v>
      </c>
      <c r="E1606">
        <v>0.5</v>
      </c>
      <c r="F1606">
        <v>87869</v>
      </c>
      <c r="G1606">
        <v>473</v>
      </c>
      <c r="H1606">
        <v>87633</v>
      </c>
      <c r="I1606">
        <v>2235479</v>
      </c>
    </row>
    <row r="1607" spans="1:9">
      <c r="A1607" s="2">
        <v>1964</v>
      </c>
      <c r="B1607">
        <v>49</v>
      </c>
      <c r="C1607">
        <v>6.5599999999999999E-3</v>
      </c>
      <c r="D1607">
        <v>6.5399999999999998E-3</v>
      </c>
      <c r="E1607">
        <v>0.5</v>
      </c>
      <c r="F1607">
        <v>87396</v>
      </c>
      <c r="G1607">
        <v>572</v>
      </c>
      <c r="H1607">
        <v>87110</v>
      </c>
      <c r="I1607">
        <v>2147847</v>
      </c>
    </row>
    <row r="1608" spans="1:9">
      <c r="A1608" s="2">
        <v>1964</v>
      </c>
      <c r="B1608">
        <v>50</v>
      </c>
      <c r="C1608">
        <v>6.6800000000000002E-3</v>
      </c>
      <c r="D1608">
        <v>6.6600000000000001E-3</v>
      </c>
      <c r="E1608">
        <v>0.5</v>
      </c>
      <c r="F1608">
        <v>86824</v>
      </c>
      <c r="G1608">
        <v>578</v>
      </c>
      <c r="H1608">
        <v>86535</v>
      </c>
      <c r="I1608">
        <v>2060736</v>
      </c>
    </row>
    <row r="1609" spans="1:9">
      <c r="A1609" s="2">
        <v>1964</v>
      </c>
      <c r="B1609">
        <v>51</v>
      </c>
      <c r="C1609">
        <v>7.8899999999999994E-3</v>
      </c>
      <c r="D1609">
        <v>7.8600000000000007E-3</v>
      </c>
      <c r="E1609">
        <v>0.5</v>
      </c>
      <c r="F1609">
        <v>86246</v>
      </c>
      <c r="G1609">
        <v>678</v>
      </c>
      <c r="H1609">
        <v>85908</v>
      </c>
      <c r="I1609">
        <v>1974201</v>
      </c>
    </row>
    <row r="1610" spans="1:9">
      <c r="A1610" s="2">
        <v>1964</v>
      </c>
      <c r="B1610">
        <v>52</v>
      </c>
      <c r="C1610">
        <v>8.09E-3</v>
      </c>
      <c r="D1610">
        <v>8.0599999999999995E-3</v>
      </c>
      <c r="E1610">
        <v>0.5</v>
      </c>
      <c r="F1610">
        <v>85569</v>
      </c>
      <c r="G1610">
        <v>690</v>
      </c>
      <c r="H1610">
        <v>85224</v>
      </c>
      <c r="I1610">
        <v>1888293</v>
      </c>
    </row>
    <row r="1611" spans="1:9">
      <c r="A1611" s="2">
        <v>1964</v>
      </c>
      <c r="B1611">
        <v>53</v>
      </c>
      <c r="C1611">
        <v>8.8699999999999994E-3</v>
      </c>
      <c r="D1611">
        <v>8.8299999999999993E-3</v>
      </c>
      <c r="E1611">
        <v>0.5</v>
      </c>
      <c r="F1611">
        <v>84879</v>
      </c>
      <c r="G1611">
        <v>750</v>
      </c>
      <c r="H1611">
        <v>84504</v>
      </c>
      <c r="I1611">
        <v>1803069</v>
      </c>
    </row>
    <row r="1612" spans="1:9">
      <c r="A1612" s="2">
        <v>1964</v>
      </c>
      <c r="B1612">
        <v>54</v>
      </c>
      <c r="C1612">
        <v>1.0120000000000001E-2</v>
      </c>
      <c r="D1612">
        <v>1.0059999999999999E-2</v>
      </c>
      <c r="E1612">
        <v>0.5</v>
      </c>
      <c r="F1612">
        <v>84129</v>
      </c>
      <c r="G1612">
        <v>847</v>
      </c>
      <c r="H1612">
        <v>83706</v>
      </c>
      <c r="I1612">
        <v>1718565</v>
      </c>
    </row>
    <row r="1613" spans="1:9">
      <c r="A1613" s="2">
        <v>1964</v>
      </c>
      <c r="B1613">
        <v>55</v>
      </c>
      <c r="C1613">
        <v>1.095E-2</v>
      </c>
      <c r="D1613">
        <v>1.089E-2</v>
      </c>
      <c r="E1613">
        <v>0.5</v>
      </c>
      <c r="F1613">
        <v>83283</v>
      </c>
      <c r="G1613">
        <v>907</v>
      </c>
      <c r="H1613">
        <v>82829</v>
      </c>
      <c r="I1613">
        <v>1634859</v>
      </c>
    </row>
    <row r="1614" spans="1:9">
      <c r="A1614" s="2">
        <v>1964</v>
      </c>
      <c r="B1614">
        <v>56</v>
      </c>
      <c r="C1614">
        <v>1.257E-2</v>
      </c>
      <c r="D1614">
        <v>1.2489999999999999E-2</v>
      </c>
      <c r="E1614">
        <v>0.5</v>
      </c>
      <c r="F1614">
        <v>82376</v>
      </c>
      <c r="G1614">
        <v>1029</v>
      </c>
      <c r="H1614">
        <v>81861</v>
      </c>
      <c r="I1614">
        <v>1552029</v>
      </c>
    </row>
    <row r="1615" spans="1:9">
      <c r="A1615" s="2">
        <v>1964</v>
      </c>
      <c r="B1615">
        <v>57</v>
      </c>
      <c r="C1615">
        <v>1.482E-2</v>
      </c>
      <c r="D1615">
        <v>1.4710000000000001E-2</v>
      </c>
      <c r="E1615">
        <v>0.5</v>
      </c>
      <c r="F1615">
        <v>81347</v>
      </c>
      <c r="G1615">
        <v>1196</v>
      </c>
      <c r="H1615">
        <v>80749</v>
      </c>
      <c r="I1615">
        <v>1470168</v>
      </c>
    </row>
    <row r="1616" spans="1:9">
      <c r="A1616" s="2">
        <v>1964</v>
      </c>
      <c r="B1616">
        <v>58</v>
      </c>
      <c r="C1616">
        <v>1.6369999999999999E-2</v>
      </c>
      <c r="D1616">
        <v>1.6240000000000001E-2</v>
      </c>
      <c r="E1616">
        <v>0.5</v>
      </c>
      <c r="F1616">
        <v>80150</v>
      </c>
      <c r="G1616">
        <v>1302</v>
      </c>
      <c r="H1616">
        <v>79500</v>
      </c>
      <c r="I1616">
        <v>1389419</v>
      </c>
    </row>
    <row r="1617" spans="1:9">
      <c r="A1617" s="2">
        <v>1964</v>
      </c>
      <c r="B1617">
        <v>59</v>
      </c>
      <c r="C1617">
        <v>1.729E-2</v>
      </c>
      <c r="D1617">
        <v>1.7139999999999999E-2</v>
      </c>
      <c r="E1617">
        <v>0.5</v>
      </c>
      <c r="F1617">
        <v>78849</v>
      </c>
      <c r="G1617">
        <v>1351</v>
      </c>
      <c r="H1617">
        <v>78173</v>
      </c>
      <c r="I1617">
        <v>1309920</v>
      </c>
    </row>
    <row r="1618" spans="1:9">
      <c r="A1618" s="2">
        <v>1964</v>
      </c>
      <c r="B1618">
        <v>60</v>
      </c>
      <c r="C1618">
        <v>2.0279999999999999E-2</v>
      </c>
      <c r="D1618">
        <v>2.0080000000000001E-2</v>
      </c>
      <c r="E1618">
        <v>0.5</v>
      </c>
      <c r="F1618">
        <v>77498</v>
      </c>
      <c r="G1618">
        <v>1556</v>
      </c>
      <c r="H1618">
        <v>76720</v>
      </c>
      <c r="I1618">
        <v>1231747</v>
      </c>
    </row>
    <row r="1619" spans="1:9">
      <c r="A1619" s="2">
        <v>1964</v>
      </c>
      <c r="B1619">
        <v>61</v>
      </c>
      <c r="C1619">
        <v>2.215E-2</v>
      </c>
      <c r="D1619">
        <v>2.1909999999999999E-2</v>
      </c>
      <c r="E1619">
        <v>0.5</v>
      </c>
      <c r="F1619">
        <v>75942</v>
      </c>
      <c r="G1619">
        <v>1664</v>
      </c>
      <c r="H1619">
        <v>75110</v>
      </c>
      <c r="I1619">
        <v>1155027</v>
      </c>
    </row>
    <row r="1620" spans="1:9">
      <c r="A1620" s="2">
        <v>1964</v>
      </c>
      <c r="B1620">
        <v>62</v>
      </c>
      <c r="C1620">
        <v>2.3630000000000002E-2</v>
      </c>
      <c r="D1620">
        <v>2.3359999999999999E-2</v>
      </c>
      <c r="E1620">
        <v>0.5</v>
      </c>
      <c r="F1620">
        <v>74278</v>
      </c>
      <c r="G1620">
        <v>1735</v>
      </c>
      <c r="H1620">
        <v>73410</v>
      </c>
      <c r="I1620">
        <v>1079917</v>
      </c>
    </row>
    <row r="1621" spans="1:9">
      <c r="A1621" s="2">
        <v>1964</v>
      </c>
      <c r="B1621">
        <v>63</v>
      </c>
      <c r="C1621">
        <v>2.7459999999999998E-2</v>
      </c>
      <c r="D1621">
        <v>2.7089999999999999E-2</v>
      </c>
      <c r="E1621">
        <v>0.5</v>
      </c>
      <c r="F1621">
        <v>72543</v>
      </c>
      <c r="G1621">
        <v>1965</v>
      </c>
      <c r="H1621">
        <v>71560</v>
      </c>
      <c r="I1621">
        <v>1006507</v>
      </c>
    </row>
    <row r="1622" spans="1:9">
      <c r="A1622" s="2">
        <v>1964</v>
      </c>
      <c r="B1622">
        <v>64</v>
      </c>
      <c r="C1622">
        <v>2.8209999999999999E-2</v>
      </c>
      <c r="D1622">
        <v>2.7810000000000001E-2</v>
      </c>
      <c r="E1622">
        <v>0.5</v>
      </c>
      <c r="F1622">
        <v>70578</v>
      </c>
      <c r="G1622">
        <v>1963</v>
      </c>
      <c r="H1622">
        <v>69596</v>
      </c>
      <c r="I1622">
        <v>934946</v>
      </c>
    </row>
    <row r="1623" spans="1:9">
      <c r="A1623" s="2">
        <v>1964</v>
      </c>
      <c r="B1623">
        <v>65</v>
      </c>
      <c r="C1623">
        <v>3.2980000000000002E-2</v>
      </c>
      <c r="D1623">
        <v>3.2439999999999997E-2</v>
      </c>
      <c r="E1623">
        <v>0.5</v>
      </c>
      <c r="F1623">
        <v>68615</v>
      </c>
      <c r="G1623">
        <v>2226</v>
      </c>
      <c r="H1623">
        <v>67502</v>
      </c>
      <c r="I1623">
        <v>865350</v>
      </c>
    </row>
    <row r="1624" spans="1:9">
      <c r="A1624" s="2">
        <v>1964</v>
      </c>
      <c r="B1624">
        <v>66</v>
      </c>
      <c r="C1624">
        <v>3.5680000000000003E-2</v>
      </c>
      <c r="D1624">
        <v>3.5049999999999998E-2</v>
      </c>
      <c r="E1624">
        <v>0.5</v>
      </c>
      <c r="F1624">
        <v>66389</v>
      </c>
      <c r="G1624">
        <v>2327</v>
      </c>
      <c r="H1624">
        <v>65225</v>
      </c>
      <c r="I1624">
        <v>797848</v>
      </c>
    </row>
    <row r="1625" spans="1:9">
      <c r="A1625" s="2">
        <v>1964</v>
      </c>
      <c r="B1625">
        <v>67</v>
      </c>
      <c r="C1625">
        <v>3.7760000000000002E-2</v>
      </c>
      <c r="D1625">
        <v>3.7060000000000003E-2</v>
      </c>
      <c r="E1625">
        <v>0.5</v>
      </c>
      <c r="F1625">
        <v>64062</v>
      </c>
      <c r="G1625">
        <v>2374</v>
      </c>
      <c r="H1625">
        <v>62875</v>
      </c>
      <c r="I1625">
        <v>732623</v>
      </c>
    </row>
    <row r="1626" spans="1:9">
      <c r="A1626" s="2">
        <v>1964</v>
      </c>
      <c r="B1626">
        <v>68</v>
      </c>
      <c r="C1626">
        <v>4.1189999999999997E-2</v>
      </c>
      <c r="D1626">
        <v>4.036E-2</v>
      </c>
      <c r="E1626">
        <v>0.5</v>
      </c>
      <c r="F1626">
        <v>61688</v>
      </c>
      <c r="G1626">
        <v>2490</v>
      </c>
      <c r="H1626">
        <v>60443</v>
      </c>
      <c r="I1626">
        <v>669748</v>
      </c>
    </row>
    <row r="1627" spans="1:9">
      <c r="A1627" s="2">
        <v>1964</v>
      </c>
      <c r="B1627">
        <v>69</v>
      </c>
      <c r="C1627">
        <v>4.829E-2</v>
      </c>
      <c r="D1627">
        <v>4.7149999999999997E-2</v>
      </c>
      <c r="E1627">
        <v>0.5</v>
      </c>
      <c r="F1627">
        <v>59198</v>
      </c>
      <c r="G1627">
        <v>2791</v>
      </c>
      <c r="H1627">
        <v>57802</v>
      </c>
      <c r="I1627">
        <v>609305</v>
      </c>
    </row>
    <row r="1628" spans="1:9">
      <c r="A1628" s="2">
        <v>1964</v>
      </c>
      <c r="B1628">
        <v>70</v>
      </c>
      <c r="C1628">
        <v>5.008E-2</v>
      </c>
      <c r="D1628">
        <v>4.8860000000000001E-2</v>
      </c>
      <c r="E1628">
        <v>0.5</v>
      </c>
      <c r="F1628">
        <v>56407</v>
      </c>
      <c r="G1628">
        <v>2756</v>
      </c>
      <c r="H1628">
        <v>55029</v>
      </c>
      <c r="I1628">
        <v>551503</v>
      </c>
    </row>
    <row r="1629" spans="1:9">
      <c r="A1629" s="2">
        <v>1964</v>
      </c>
      <c r="B1629">
        <v>71</v>
      </c>
      <c r="C1629">
        <v>5.6279999999999997E-2</v>
      </c>
      <c r="D1629">
        <v>5.4739999999999997E-2</v>
      </c>
      <c r="E1629">
        <v>0.5</v>
      </c>
      <c r="F1629">
        <v>53651</v>
      </c>
      <c r="G1629">
        <v>2937</v>
      </c>
      <c r="H1629">
        <v>52182</v>
      </c>
      <c r="I1629">
        <v>496474</v>
      </c>
    </row>
    <row r="1630" spans="1:9">
      <c r="A1630" s="2">
        <v>1964</v>
      </c>
      <c r="B1630">
        <v>72</v>
      </c>
      <c r="C1630">
        <v>5.9380000000000002E-2</v>
      </c>
      <c r="D1630">
        <v>5.7669999999999999E-2</v>
      </c>
      <c r="E1630">
        <v>0.5</v>
      </c>
      <c r="F1630">
        <v>50714</v>
      </c>
      <c r="G1630">
        <v>2924</v>
      </c>
      <c r="H1630">
        <v>49252</v>
      </c>
      <c r="I1630">
        <v>444292</v>
      </c>
    </row>
    <row r="1631" spans="1:9">
      <c r="A1631" s="2">
        <v>1964</v>
      </c>
      <c r="B1631">
        <v>73</v>
      </c>
      <c r="C1631">
        <v>6.5960000000000005E-2</v>
      </c>
      <c r="D1631">
        <v>6.386E-2</v>
      </c>
      <c r="E1631">
        <v>0.5</v>
      </c>
      <c r="F1631">
        <v>47789</v>
      </c>
      <c r="G1631">
        <v>3052</v>
      </c>
      <c r="H1631">
        <v>46263</v>
      </c>
      <c r="I1631">
        <v>395040</v>
      </c>
    </row>
    <row r="1632" spans="1:9">
      <c r="A1632" s="2">
        <v>1964</v>
      </c>
      <c r="B1632">
        <v>74</v>
      </c>
      <c r="C1632">
        <v>7.1669999999999998E-2</v>
      </c>
      <c r="D1632">
        <v>6.9190000000000002E-2</v>
      </c>
      <c r="E1632">
        <v>0.5</v>
      </c>
      <c r="F1632">
        <v>44738</v>
      </c>
      <c r="G1632">
        <v>3095</v>
      </c>
      <c r="H1632">
        <v>43190</v>
      </c>
      <c r="I1632">
        <v>348777</v>
      </c>
    </row>
    <row r="1633" spans="1:9">
      <c r="A1633" s="2">
        <v>1964</v>
      </c>
      <c r="B1633">
        <v>75</v>
      </c>
      <c r="C1633">
        <v>7.5950000000000004E-2</v>
      </c>
      <c r="D1633">
        <v>7.3169999999999999E-2</v>
      </c>
      <c r="E1633">
        <v>0.5</v>
      </c>
      <c r="F1633">
        <v>41642</v>
      </c>
      <c r="G1633">
        <v>3047</v>
      </c>
      <c r="H1633">
        <v>40119</v>
      </c>
      <c r="I1633">
        <v>305587</v>
      </c>
    </row>
    <row r="1634" spans="1:9">
      <c r="A1634" s="2">
        <v>1964</v>
      </c>
      <c r="B1634">
        <v>76</v>
      </c>
      <c r="C1634">
        <v>8.5720000000000005E-2</v>
      </c>
      <c r="D1634">
        <v>8.2199999999999995E-2</v>
      </c>
      <c r="E1634">
        <v>0.5</v>
      </c>
      <c r="F1634">
        <v>38595</v>
      </c>
      <c r="G1634">
        <v>3173</v>
      </c>
      <c r="H1634">
        <v>37009</v>
      </c>
      <c r="I1634">
        <v>265468</v>
      </c>
    </row>
    <row r="1635" spans="1:9">
      <c r="A1635" s="2">
        <v>1964</v>
      </c>
      <c r="B1635">
        <v>77</v>
      </c>
      <c r="C1635">
        <v>9.6990000000000007E-2</v>
      </c>
      <c r="D1635">
        <v>9.2499999999999999E-2</v>
      </c>
      <c r="E1635">
        <v>0.5</v>
      </c>
      <c r="F1635">
        <v>35423</v>
      </c>
      <c r="G1635">
        <v>3277</v>
      </c>
      <c r="H1635">
        <v>33784</v>
      </c>
      <c r="I1635">
        <v>228459</v>
      </c>
    </row>
    <row r="1636" spans="1:9">
      <c r="A1636" s="2">
        <v>1964</v>
      </c>
      <c r="B1636">
        <v>78</v>
      </c>
      <c r="C1636">
        <v>0.1085</v>
      </c>
      <c r="D1636">
        <v>0.10292</v>
      </c>
      <c r="E1636">
        <v>0.5</v>
      </c>
      <c r="F1636">
        <v>32146</v>
      </c>
      <c r="G1636">
        <v>3308</v>
      </c>
      <c r="H1636">
        <v>30492</v>
      </c>
      <c r="I1636">
        <v>194675</v>
      </c>
    </row>
    <row r="1637" spans="1:9">
      <c r="A1637" s="2">
        <v>1964</v>
      </c>
      <c r="B1637">
        <v>79</v>
      </c>
      <c r="C1637">
        <v>0.11075</v>
      </c>
      <c r="D1637">
        <v>0.10494000000000001</v>
      </c>
      <c r="E1637">
        <v>0.5</v>
      </c>
      <c r="F1637">
        <v>28838</v>
      </c>
      <c r="G1637">
        <v>3026</v>
      </c>
      <c r="H1637">
        <v>27325</v>
      </c>
      <c r="I1637">
        <v>164183</v>
      </c>
    </row>
    <row r="1638" spans="1:9">
      <c r="A1638" s="2">
        <v>1964</v>
      </c>
      <c r="B1638">
        <v>80</v>
      </c>
      <c r="C1638">
        <v>0.13253999999999999</v>
      </c>
      <c r="D1638">
        <v>0.12429999999999999</v>
      </c>
      <c r="E1638">
        <v>0.5</v>
      </c>
      <c r="F1638">
        <v>25811</v>
      </c>
      <c r="G1638">
        <v>3208</v>
      </c>
      <c r="H1638">
        <v>24207</v>
      </c>
      <c r="I1638">
        <v>136858</v>
      </c>
    </row>
    <row r="1639" spans="1:9">
      <c r="A1639" s="2">
        <v>1964</v>
      </c>
      <c r="B1639">
        <v>81</v>
      </c>
      <c r="C1639">
        <v>0.14474000000000001</v>
      </c>
      <c r="D1639">
        <v>0.13497000000000001</v>
      </c>
      <c r="E1639">
        <v>0.5</v>
      </c>
      <c r="F1639">
        <v>22603</v>
      </c>
      <c r="G1639">
        <v>3051</v>
      </c>
      <c r="H1639">
        <v>21078</v>
      </c>
      <c r="I1639">
        <v>112651</v>
      </c>
    </row>
    <row r="1640" spans="1:9">
      <c r="A1640" s="2">
        <v>1964</v>
      </c>
      <c r="B1640">
        <v>82</v>
      </c>
      <c r="C1640">
        <v>0.15239</v>
      </c>
      <c r="D1640">
        <v>0.1416</v>
      </c>
      <c r="E1640">
        <v>0.5</v>
      </c>
      <c r="F1640">
        <v>19552</v>
      </c>
      <c r="G1640">
        <v>2769</v>
      </c>
      <c r="H1640">
        <v>18168</v>
      </c>
      <c r="I1640">
        <v>91573</v>
      </c>
    </row>
    <row r="1641" spans="1:9">
      <c r="A1641" s="2">
        <v>1964</v>
      </c>
      <c r="B1641">
        <v>83</v>
      </c>
      <c r="C1641">
        <v>0.14965000000000001</v>
      </c>
      <c r="D1641">
        <v>0.13922999999999999</v>
      </c>
      <c r="E1641">
        <v>0.5</v>
      </c>
      <c r="F1641">
        <v>16784</v>
      </c>
      <c r="G1641">
        <v>2337</v>
      </c>
      <c r="H1641">
        <v>15615</v>
      </c>
      <c r="I1641">
        <v>73405</v>
      </c>
    </row>
    <row r="1642" spans="1:9">
      <c r="A1642" s="2">
        <v>1964</v>
      </c>
      <c r="B1642">
        <v>84</v>
      </c>
      <c r="C1642">
        <v>0.18769</v>
      </c>
      <c r="D1642">
        <v>0.17158999999999999</v>
      </c>
      <c r="E1642">
        <v>0.5</v>
      </c>
      <c r="F1642">
        <v>14447</v>
      </c>
      <c r="G1642">
        <v>2479</v>
      </c>
      <c r="H1642">
        <v>13207</v>
      </c>
      <c r="I1642">
        <v>57790</v>
      </c>
    </row>
    <row r="1643" spans="1:9">
      <c r="A1643" s="2">
        <v>1964</v>
      </c>
      <c r="B1643">
        <v>85</v>
      </c>
      <c r="C1643">
        <v>0.20624000000000001</v>
      </c>
      <c r="D1643">
        <v>0.18695999999999999</v>
      </c>
      <c r="E1643">
        <v>0.5</v>
      </c>
      <c r="F1643">
        <v>11968</v>
      </c>
      <c r="G1643">
        <v>2238</v>
      </c>
      <c r="H1643">
        <v>10849</v>
      </c>
      <c r="I1643">
        <v>44583</v>
      </c>
    </row>
    <row r="1644" spans="1:9">
      <c r="A1644" s="2">
        <v>1964</v>
      </c>
      <c r="B1644">
        <v>86</v>
      </c>
      <c r="C1644">
        <v>0.24401999999999999</v>
      </c>
      <c r="D1644">
        <v>0.21748999999999999</v>
      </c>
      <c r="E1644">
        <v>0.5</v>
      </c>
      <c r="F1644">
        <v>9731</v>
      </c>
      <c r="G1644">
        <v>2116</v>
      </c>
      <c r="H1644">
        <v>8672</v>
      </c>
      <c r="I1644">
        <v>33733</v>
      </c>
    </row>
    <row r="1645" spans="1:9">
      <c r="A1645" s="2">
        <v>1964</v>
      </c>
      <c r="B1645">
        <v>87</v>
      </c>
      <c r="C1645">
        <v>0.24703</v>
      </c>
      <c r="D1645">
        <v>0.21987000000000001</v>
      </c>
      <c r="E1645">
        <v>0.5</v>
      </c>
      <c r="F1645">
        <v>7614</v>
      </c>
      <c r="G1645">
        <v>1674</v>
      </c>
      <c r="H1645">
        <v>6777</v>
      </c>
      <c r="I1645">
        <v>25061</v>
      </c>
    </row>
    <row r="1646" spans="1:9">
      <c r="A1646" s="2">
        <v>1964</v>
      </c>
      <c r="B1646">
        <v>88</v>
      </c>
      <c r="C1646">
        <v>0.28617999999999999</v>
      </c>
      <c r="D1646">
        <v>0.25036000000000003</v>
      </c>
      <c r="E1646">
        <v>0.5</v>
      </c>
      <c r="F1646">
        <v>5940</v>
      </c>
      <c r="G1646">
        <v>1487</v>
      </c>
      <c r="H1646">
        <v>5197</v>
      </c>
      <c r="I1646">
        <v>18284</v>
      </c>
    </row>
    <row r="1647" spans="1:9">
      <c r="A1647" s="2">
        <v>1964</v>
      </c>
      <c r="B1647">
        <v>89</v>
      </c>
      <c r="C1647">
        <v>0.29285</v>
      </c>
      <c r="D1647">
        <v>0.25545000000000001</v>
      </c>
      <c r="E1647">
        <v>0.5</v>
      </c>
      <c r="F1647">
        <v>4453</v>
      </c>
      <c r="G1647">
        <v>1138</v>
      </c>
      <c r="H1647">
        <v>3884</v>
      </c>
      <c r="I1647">
        <v>13087</v>
      </c>
    </row>
    <row r="1648" spans="1:9">
      <c r="A1648" s="2">
        <v>1964</v>
      </c>
      <c r="B1648">
        <v>90</v>
      </c>
      <c r="C1648">
        <v>0.33773999999999998</v>
      </c>
      <c r="D1648">
        <v>0.28894999999999998</v>
      </c>
      <c r="E1648">
        <v>0.5</v>
      </c>
      <c r="F1648">
        <v>3315</v>
      </c>
      <c r="G1648">
        <v>958</v>
      </c>
      <c r="H1648">
        <v>2836</v>
      </c>
      <c r="I1648">
        <v>9203</v>
      </c>
    </row>
    <row r="1649" spans="1:9">
      <c r="A1649" s="2">
        <v>1964</v>
      </c>
      <c r="B1649">
        <v>91</v>
      </c>
      <c r="C1649">
        <v>0.31247000000000003</v>
      </c>
      <c r="D1649">
        <v>0.27024999999999999</v>
      </c>
      <c r="E1649">
        <v>0.5</v>
      </c>
      <c r="F1649">
        <v>2357</v>
      </c>
      <c r="G1649">
        <v>637</v>
      </c>
      <c r="H1649">
        <v>2039</v>
      </c>
      <c r="I1649">
        <v>6367</v>
      </c>
    </row>
    <row r="1650" spans="1:9">
      <c r="A1650" s="2">
        <v>1964</v>
      </c>
      <c r="B1650">
        <v>92</v>
      </c>
      <c r="C1650">
        <v>0.32599</v>
      </c>
      <c r="D1650">
        <v>0.28029999999999999</v>
      </c>
      <c r="E1650">
        <v>0.5</v>
      </c>
      <c r="F1650">
        <v>1720</v>
      </c>
      <c r="G1650">
        <v>482</v>
      </c>
      <c r="H1650">
        <v>1479</v>
      </c>
      <c r="I1650">
        <v>4328</v>
      </c>
    </row>
    <row r="1651" spans="1:9">
      <c r="A1651" s="2">
        <v>1964</v>
      </c>
      <c r="B1651">
        <v>93</v>
      </c>
      <c r="C1651">
        <v>0.39084000000000002</v>
      </c>
      <c r="D1651">
        <v>0.32695000000000002</v>
      </c>
      <c r="E1651">
        <v>0.5</v>
      </c>
      <c r="F1651">
        <v>1238</v>
      </c>
      <c r="G1651">
        <v>405</v>
      </c>
      <c r="H1651">
        <v>1036</v>
      </c>
      <c r="I1651">
        <v>2849</v>
      </c>
    </row>
    <row r="1652" spans="1:9">
      <c r="A1652" s="2">
        <v>1964</v>
      </c>
      <c r="B1652">
        <v>94</v>
      </c>
      <c r="C1652">
        <v>0.41813</v>
      </c>
      <c r="D1652">
        <v>0.34583000000000003</v>
      </c>
      <c r="E1652">
        <v>0.5</v>
      </c>
      <c r="F1652">
        <v>833</v>
      </c>
      <c r="G1652">
        <v>288</v>
      </c>
      <c r="H1652">
        <v>689</v>
      </c>
      <c r="I1652">
        <v>1813</v>
      </c>
    </row>
    <row r="1653" spans="1:9">
      <c r="A1653" s="2">
        <v>1964</v>
      </c>
      <c r="B1653">
        <v>95</v>
      </c>
      <c r="C1653">
        <v>0.44594</v>
      </c>
      <c r="D1653">
        <v>0.36463000000000001</v>
      </c>
      <c r="E1653">
        <v>0.5</v>
      </c>
      <c r="F1653">
        <v>545</v>
      </c>
      <c r="G1653">
        <v>199</v>
      </c>
      <c r="H1653">
        <v>446</v>
      </c>
      <c r="I1653">
        <v>1124</v>
      </c>
    </row>
    <row r="1654" spans="1:9">
      <c r="A1654" s="2">
        <v>1964</v>
      </c>
      <c r="B1654">
        <v>96</v>
      </c>
      <c r="C1654">
        <v>0.47408</v>
      </c>
      <c r="D1654">
        <v>0.38324000000000003</v>
      </c>
      <c r="E1654">
        <v>0.5</v>
      </c>
      <c r="F1654">
        <v>346</v>
      </c>
      <c r="G1654">
        <v>133</v>
      </c>
      <c r="H1654">
        <v>280</v>
      </c>
      <c r="I1654">
        <v>678</v>
      </c>
    </row>
    <row r="1655" spans="1:9">
      <c r="A1655" s="2">
        <v>1964</v>
      </c>
      <c r="B1655">
        <v>97</v>
      </c>
      <c r="C1655">
        <v>0.50239</v>
      </c>
      <c r="D1655">
        <v>0.40153</v>
      </c>
      <c r="E1655">
        <v>0.5</v>
      </c>
      <c r="F1655">
        <v>214</v>
      </c>
      <c r="G1655">
        <v>86</v>
      </c>
      <c r="H1655">
        <v>171</v>
      </c>
      <c r="I1655">
        <v>398</v>
      </c>
    </row>
    <row r="1656" spans="1:9">
      <c r="A1656" s="2">
        <v>1964</v>
      </c>
      <c r="B1656">
        <v>98</v>
      </c>
      <c r="C1656">
        <v>0.53069</v>
      </c>
      <c r="D1656">
        <v>0.4194</v>
      </c>
      <c r="E1656">
        <v>0.5</v>
      </c>
      <c r="F1656">
        <v>128</v>
      </c>
      <c r="G1656">
        <v>54</v>
      </c>
      <c r="H1656">
        <v>101</v>
      </c>
      <c r="I1656">
        <v>227</v>
      </c>
    </row>
    <row r="1657" spans="1:9">
      <c r="A1657" s="2">
        <v>1964</v>
      </c>
      <c r="B1657">
        <v>99</v>
      </c>
      <c r="C1657">
        <v>0.55879000000000001</v>
      </c>
      <c r="D1657">
        <v>0.43675999999999998</v>
      </c>
      <c r="E1657">
        <v>0.5</v>
      </c>
      <c r="F1657">
        <v>74</v>
      </c>
      <c r="G1657">
        <v>32</v>
      </c>
      <c r="H1657">
        <v>58</v>
      </c>
      <c r="I1657">
        <v>126</v>
      </c>
    </row>
    <row r="1658" spans="1:9">
      <c r="A1658" s="2">
        <v>1964</v>
      </c>
      <c r="B1658">
        <v>100</v>
      </c>
      <c r="C1658">
        <v>0.58652000000000004</v>
      </c>
      <c r="D1658">
        <v>0.45351999999999998</v>
      </c>
      <c r="E1658">
        <v>0.5</v>
      </c>
      <c r="F1658">
        <v>42</v>
      </c>
      <c r="G1658">
        <v>19</v>
      </c>
      <c r="H1658">
        <v>32</v>
      </c>
      <c r="I1658">
        <v>68</v>
      </c>
    </row>
    <row r="1659" spans="1:9">
      <c r="A1659" s="2">
        <v>1964</v>
      </c>
      <c r="B1659">
        <v>101</v>
      </c>
      <c r="C1659">
        <v>0.61370999999999998</v>
      </c>
      <c r="D1659">
        <v>0.46961000000000003</v>
      </c>
      <c r="E1659">
        <v>0.5</v>
      </c>
      <c r="F1659">
        <v>23</v>
      </c>
      <c r="G1659">
        <v>11</v>
      </c>
      <c r="H1659">
        <v>17</v>
      </c>
      <c r="I1659">
        <v>36</v>
      </c>
    </row>
    <row r="1660" spans="1:9">
      <c r="A1660" s="2">
        <v>1964</v>
      </c>
      <c r="B1660">
        <v>102</v>
      </c>
      <c r="C1660">
        <v>0.64020999999999995</v>
      </c>
      <c r="D1660">
        <v>0.48497000000000001</v>
      </c>
      <c r="E1660">
        <v>0.5</v>
      </c>
      <c r="F1660">
        <v>12</v>
      </c>
      <c r="G1660">
        <v>6</v>
      </c>
      <c r="H1660">
        <v>9</v>
      </c>
      <c r="I1660">
        <v>18</v>
      </c>
    </row>
    <row r="1661" spans="1:9">
      <c r="A1661" s="2">
        <v>1964</v>
      </c>
      <c r="B1661">
        <v>103</v>
      </c>
      <c r="C1661">
        <v>0.66588000000000003</v>
      </c>
      <c r="D1661">
        <v>0.49956</v>
      </c>
      <c r="E1661">
        <v>0.5</v>
      </c>
      <c r="F1661">
        <v>6</v>
      </c>
      <c r="G1661">
        <v>3</v>
      </c>
      <c r="H1661">
        <v>5</v>
      </c>
      <c r="I1661">
        <v>9</v>
      </c>
    </row>
    <row r="1662" spans="1:9">
      <c r="A1662" s="2">
        <v>1964</v>
      </c>
      <c r="B1662">
        <v>104</v>
      </c>
      <c r="C1662">
        <v>0.69060999999999995</v>
      </c>
      <c r="D1662">
        <v>0.51334999999999997</v>
      </c>
      <c r="E1662">
        <v>0.5</v>
      </c>
      <c r="F1662">
        <v>3</v>
      </c>
      <c r="G1662">
        <v>2</v>
      </c>
      <c r="H1662">
        <v>2</v>
      </c>
      <c r="I1662">
        <v>4</v>
      </c>
    </row>
    <row r="1663" spans="1:9">
      <c r="A1663" s="2">
        <v>1964</v>
      </c>
      <c r="B1663">
        <v>105</v>
      </c>
      <c r="C1663">
        <v>0.71428999999999998</v>
      </c>
      <c r="D1663">
        <v>0.52632000000000001</v>
      </c>
      <c r="E1663">
        <v>0.5</v>
      </c>
      <c r="F1663">
        <v>2</v>
      </c>
      <c r="G1663">
        <v>1</v>
      </c>
      <c r="H1663">
        <v>1</v>
      </c>
      <c r="I1663">
        <v>2</v>
      </c>
    </row>
    <row r="1664" spans="1:9">
      <c r="A1664" s="2">
        <v>1964</v>
      </c>
      <c r="B1664">
        <v>106</v>
      </c>
      <c r="C1664">
        <v>0.73685</v>
      </c>
      <c r="D1664">
        <v>0.53846000000000005</v>
      </c>
      <c r="E1664">
        <v>0.5</v>
      </c>
      <c r="F1664">
        <v>1</v>
      </c>
      <c r="G1664">
        <v>0</v>
      </c>
      <c r="H1664">
        <v>1</v>
      </c>
      <c r="I1664">
        <v>1</v>
      </c>
    </row>
    <row r="1665" spans="1:9">
      <c r="A1665" s="2">
        <v>1964</v>
      </c>
      <c r="B1665">
        <v>107</v>
      </c>
      <c r="C1665">
        <v>0.75822999999999996</v>
      </c>
      <c r="D1665">
        <v>0.54979</v>
      </c>
      <c r="E1665">
        <v>0.5</v>
      </c>
      <c r="F1665">
        <v>0</v>
      </c>
      <c r="G1665">
        <v>0</v>
      </c>
      <c r="H1665">
        <v>0</v>
      </c>
      <c r="I1665">
        <v>0</v>
      </c>
    </row>
    <row r="1666" spans="1:9">
      <c r="A1666" s="2">
        <v>1964</v>
      </c>
      <c r="B1666">
        <v>108</v>
      </c>
      <c r="C1666">
        <v>0.77839000000000003</v>
      </c>
      <c r="D1666">
        <v>0.56032000000000004</v>
      </c>
      <c r="E1666">
        <v>0.5</v>
      </c>
      <c r="F1666">
        <v>0</v>
      </c>
      <c r="G1666">
        <v>0</v>
      </c>
      <c r="H1666">
        <v>0</v>
      </c>
      <c r="I1666">
        <v>0</v>
      </c>
    </row>
    <row r="1667" spans="1:9">
      <c r="A1667" s="2">
        <v>1964</v>
      </c>
      <c r="B1667">
        <v>109</v>
      </c>
      <c r="C1667">
        <v>0.79732999999999998</v>
      </c>
      <c r="D1667">
        <v>0.57006000000000001</v>
      </c>
      <c r="E1667">
        <v>0.5</v>
      </c>
      <c r="F1667">
        <v>0</v>
      </c>
      <c r="G1667">
        <v>0</v>
      </c>
      <c r="H1667">
        <v>0</v>
      </c>
      <c r="I1667">
        <v>0</v>
      </c>
    </row>
    <row r="1668" spans="1:9">
      <c r="A1668" s="2">
        <v>1964</v>
      </c>
      <c r="B1668" t="s">
        <v>26</v>
      </c>
      <c r="C1668">
        <v>0.81503000000000003</v>
      </c>
      <c r="D1668">
        <v>1</v>
      </c>
      <c r="E1668" s="3" t="s">
        <v>31</v>
      </c>
      <c r="F1668">
        <v>0</v>
      </c>
      <c r="G1668">
        <v>0</v>
      </c>
      <c r="H1668">
        <v>0</v>
      </c>
      <c r="I1668">
        <v>0</v>
      </c>
    </row>
    <row r="1669" spans="1:9">
      <c r="A1669" s="2">
        <v>1965</v>
      </c>
      <c r="B1669">
        <v>0</v>
      </c>
      <c r="C1669">
        <v>4.487E-2</v>
      </c>
      <c r="D1669">
        <v>4.326E-2</v>
      </c>
      <c r="E1669">
        <v>0.17</v>
      </c>
      <c r="F1669">
        <v>100000</v>
      </c>
      <c r="G1669">
        <v>4326</v>
      </c>
      <c r="H1669">
        <v>96429</v>
      </c>
      <c r="I1669">
        <v>6669758</v>
      </c>
    </row>
    <row r="1670" spans="1:9">
      <c r="A1670" s="2">
        <v>1965</v>
      </c>
      <c r="B1670">
        <v>1</v>
      </c>
      <c r="C1670">
        <v>2.7399999999999998E-3</v>
      </c>
      <c r="D1670">
        <v>2.7399999999999998E-3</v>
      </c>
      <c r="E1670">
        <v>0.5</v>
      </c>
      <c r="F1670">
        <v>95674</v>
      </c>
      <c r="G1670">
        <v>262</v>
      </c>
      <c r="H1670">
        <v>95543</v>
      </c>
      <c r="I1670">
        <v>6573329</v>
      </c>
    </row>
    <row r="1671" spans="1:9">
      <c r="A1671" s="2">
        <v>1965</v>
      </c>
      <c r="B1671">
        <v>2</v>
      </c>
      <c r="C1671">
        <v>1.5499999999999999E-3</v>
      </c>
      <c r="D1671">
        <v>1.5499999999999999E-3</v>
      </c>
      <c r="E1671">
        <v>0.5</v>
      </c>
      <c r="F1671">
        <v>95411</v>
      </c>
      <c r="G1671">
        <v>148</v>
      </c>
      <c r="H1671">
        <v>95338</v>
      </c>
      <c r="I1671">
        <v>6477786</v>
      </c>
    </row>
    <row r="1672" spans="1:9">
      <c r="A1672" s="2">
        <v>1965</v>
      </c>
      <c r="B1672">
        <v>3</v>
      </c>
      <c r="C1672">
        <v>9.6000000000000002E-4</v>
      </c>
      <c r="D1672">
        <v>9.5E-4</v>
      </c>
      <c r="E1672">
        <v>0.5</v>
      </c>
      <c r="F1672">
        <v>95264</v>
      </c>
      <c r="G1672">
        <v>91</v>
      </c>
      <c r="H1672">
        <v>95218</v>
      </c>
      <c r="I1672">
        <v>6382448</v>
      </c>
    </row>
    <row r="1673" spans="1:9">
      <c r="A1673" s="2">
        <v>1965</v>
      </c>
      <c r="B1673">
        <v>4</v>
      </c>
      <c r="C1673">
        <v>6.0999999999999997E-4</v>
      </c>
      <c r="D1673">
        <v>6.0999999999999997E-4</v>
      </c>
      <c r="E1673">
        <v>0.5</v>
      </c>
      <c r="F1673">
        <v>95173</v>
      </c>
      <c r="G1673">
        <v>58</v>
      </c>
      <c r="H1673">
        <v>95144</v>
      </c>
      <c r="I1673">
        <v>6287230</v>
      </c>
    </row>
    <row r="1674" spans="1:9">
      <c r="A1674" s="2">
        <v>1965</v>
      </c>
      <c r="B1674">
        <v>5</v>
      </c>
      <c r="C1674">
        <v>5.1999999999999995E-4</v>
      </c>
      <c r="D1674">
        <v>5.1999999999999995E-4</v>
      </c>
      <c r="E1674">
        <v>0.5</v>
      </c>
      <c r="F1674">
        <v>95114</v>
      </c>
      <c r="G1674">
        <v>50</v>
      </c>
      <c r="H1674">
        <v>95090</v>
      </c>
      <c r="I1674">
        <v>6192086</v>
      </c>
    </row>
    <row r="1675" spans="1:9">
      <c r="A1675" s="2">
        <v>1965</v>
      </c>
      <c r="B1675">
        <v>6</v>
      </c>
      <c r="C1675">
        <v>5.4000000000000001E-4</v>
      </c>
      <c r="D1675">
        <v>5.4000000000000001E-4</v>
      </c>
      <c r="E1675">
        <v>0.5</v>
      </c>
      <c r="F1675">
        <v>95065</v>
      </c>
      <c r="G1675">
        <v>52</v>
      </c>
      <c r="H1675">
        <v>95039</v>
      </c>
      <c r="I1675">
        <v>6096997</v>
      </c>
    </row>
    <row r="1676" spans="1:9">
      <c r="A1676" s="2">
        <v>1965</v>
      </c>
      <c r="B1676">
        <v>7</v>
      </c>
      <c r="C1676">
        <v>5.8E-4</v>
      </c>
      <c r="D1676">
        <v>5.8E-4</v>
      </c>
      <c r="E1676">
        <v>0.5</v>
      </c>
      <c r="F1676">
        <v>95013</v>
      </c>
      <c r="G1676">
        <v>55</v>
      </c>
      <c r="H1676">
        <v>94985</v>
      </c>
      <c r="I1676">
        <v>6001958</v>
      </c>
    </row>
    <row r="1677" spans="1:9">
      <c r="A1677" s="2">
        <v>1965</v>
      </c>
      <c r="B1677">
        <v>8</v>
      </c>
      <c r="C1677">
        <v>4.2000000000000002E-4</v>
      </c>
      <c r="D1677">
        <v>4.2000000000000002E-4</v>
      </c>
      <c r="E1677">
        <v>0.5</v>
      </c>
      <c r="F1677">
        <v>94958</v>
      </c>
      <c r="G1677">
        <v>40</v>
      </c>
      <c r="H1677">
        <v>94938</v>
      </c>
      <c r="I1677">
        <v>5906973</v>
      </c>
    </row>
    <row r="1678" spans="1:9">
      <c r="A1678" s="2">
        <v>1965</v>
      </c>
      <c r="B1678">
        <v>9</v>
      </c>
      <c r="C1678">
        <v>4.8000000000000001E-4</v>
      </c>
      <c r="D1678">
        <v>4.8000000000000001E-4</v>
      </c>
      <c r="E1678">
        <v>0.5</v>
      </c>
      <c r="F1678">
        <v>94918</v>
      </c>
      <c r="G1678">
        <v>46</v>
      </c>
      <c r="H1678">
        <v>94895</v>
      </c>
      <c r="I1678">
        <v>5812035</v>
      </c>
    </row>
    <row r="1679" spans="1:9">
      <c r="A1679" s="2">
        <v>1965</v>
      </c>
      <c r="B1679">
        <v>10</v>
      </c>
      <c r="C1679">
        <v>2.9999999999999997E-4</v>
      </c>
      <c r="D1679">
        <v>2.9999999999999997E-4</v>
      </c>
      <c r="E1679">
        <v>0.5</v>
      </c>
      <c r="F1679">
        <v>94872</v>
      </c>
      <c r="G1679">
        <v>28</v>
      </c>
      <c r="H1679">
        <v>94858</v>
      </c>
      <c r="I1679">
        <v>5717140</v>
      </c>
    </row>
    <row r="1680" spans="1:9">
      <c r="A1680" s="2">
        <v>1965</v>
      </c>
      <c r="B1680">
        <v>11</v>
      </c>
      <c r="C1680">
        <v>3.6000000000000002E-4</v>
      </c>
      <c r="D1680">
        <v>3.6000000000000002E-4</v>
      </c>
      <c r="E1680">
        <v>0.5</v>
      </c>
      <c r="F1680">
        <v>94844</v>
      </c>
      <c r="G1680">
        <v>34</v>
      </c>
      <c r="H1680">
        <v>94827</v>
      </c>
      <c r="I1680">
        <v>5622282</v>
      </c>
    </row>
    <row r="1681" spans="1:9">
      <c r="A1681" s="2">
        <v>1965</v>
      </c>
      <c r="B1681">
        <v>12</v>
      </c>
      <c r="C1681">
        <v>3.5E-4</v>
      </c>
      <c r="D1681">
        <v>3.5E-4</v>
      </c>
      <c r="E1681">
        <v>0.5</v>
      </c>
      <c r="F1681">
        <v>94810</v>
      </c>
      <c r="G1681">
        <v>33</v>
      </c>
      <c r="H1681">
        <v>94794</v>
      </c>
      <c r="I1681">
        <v>5527455</v>
      </c>
    </row>
    <row r="1682" spans="1:9">
      <c r="A1682" s="2">
        <v>1965</v>
      </c>
      <c r="B1682">
        <v>13</v>
      </c>
      <c r="C1682">
        <v>5.4000000000000001E-4</v>
      </c>
      <c r="D1682">
        <v>5.4000000000000001E-4</v>
      </c>
      <c r="E1682">
        <v>0.5</v>
      </c>
      <c r="F1682">
        <v>94777</v>
      </c>
      <c r="G1682">
        <v>51</v>
      </c>
      <c r="H1682">
        <v>94752</v>
      </c>
      <c r="I1682">
        <v>5432662</v>
      </c>
    </row>
    <row r="1683" spans="1:9">
      <c r="A1683" s="2">
        <v>1965</v>
      </c>
      <c r="B1683">
        <v>14</v>
      </c>
      <c r="C1683">
        <v>7.6000000000000004E-4</v>
      </c>
      <c r="D1683">
        <v>7.6000000000000004E-4</v>
      </c>
      <c r="E1683">
        <v>0.5</v>
      </c>
      <c r="F1683">
        <v>94726</v>
      </c>
      <c r="G1683">
        <v>72</v>
      </c>
      <c r="H1683">
        <v>94690</v>
      </c>
      <c r="I1683">
        <v>5337910</v>
      </c>
    </row>
    <row r="1684" spans="1:9">
      <c r="A1684" s="2">
        <v>1965</v>
      </c>
      <c r="B1684">
        <v>15</v>
      </c>
      <c r="C1684">
        <v>6.0999999999999997E-4</v>
      </c>
      <c r="D1684">
        <v>6.0999999999999997E-4</v>
      </c>
      <c r="E1684">
        <v>0.5</v>
      </c>
      <c r="F1684">
        <v>94655</v>
      </c>
      <c r="G1684">
        <v>58</v>
      </c>
      <c r="H1684">
        <v>94626</v>
      </c>
      <c r="I1684">
        <v>5243219</v>
      </c>
    </row>
    <row r="1685" spans="1:9">
      <c r="A1685" s="2">
        <v>1965</v>
      </c>
      <c r="B1685">
        <v>16</v>
      </c>
      <c r="C1685">
        <v>7.5000000000000002E-4</v>
      </c>
      <c r="D1685">
        <v>7.5000000000000002E-4</v>
      </c>
      <c r="E1685">
        <v>0.5</v>
      </c>
      <c r="F1685">
        <v>94597</v>
      </c>
      <c r="G1685">
        <v>71</v>
      </c>
      <c r="H1685">
        <v>94562</v>
      </c>
      <c r="I1685">
        <v>5148594</v>
      </c>
    </row>
    <row r="1686" spans="1:9">
      <c r="A1686" s="2">
        <v>1965</v>
      </c>
      <c r="B1686">
        <v>17</v>
      </c>
      <c r="C1686">
        <v>7.6999999999999996E-4</v>
      </c>
      <c r="D1686">
        <v>7.6999999999999996E-4</v>
      </c>
      <c r="E1686">
        <v>0.5</v>
      </c>
      <c r="F1686">
        <v>94526</v>
      </c>
      <c r="G1686">
        <v>72</v>
      </c>
      <c r="H1686">
        <v>94490</v>
      </c>
      <c r="I1686">
        <v>5054032</v>
      </c>
    </row>
    <row r="1687" spans="1:9">
      <c r="A1687" s="2">
        <v>1965</v>
      </c>
      <c r="B1687">
        <v>18</v>
      </c>
      <c r="C1687">
        <v>8.8000000000000003E-4</v>
      </c>
      <c r="D1687">
        <v>8.8000000000000003E-4</v>
      </c>
      <c r="E1687">
        <v>0.5</v>
      </c>
      <c r="F1687">
        <v>94454</v>
      </c>
      <c r="G1687">
        <v>83</v>
      </c>
      <c r="H1687">
        <v>94412</v>
      </c>
      <c r="I1687">
        <v>4959542</v>
      </c>
    </row>
    <row r="1688" spans="1:9">
      <c r="A1688" s="2">
        <v>1965</v>
      </c>
      <c r="B1688">
        <v>19</v>
      </c>
      <c r="C1688">
        <v>1.5E-3</v>
      </c>
      <c r="D1688">
        <v>1.5E-3</v>
      </c>
      <c r="E1688">
        <v>0.5</v>
      </c>
      <c r="F1688">
        <v>94371</v>
      </c>
      <c r="G1688">
        <v>141</v>
      </c>
      <c r="H1688">
        <v>94300</v>
      </c>
      <c r="I1688">
        <v>4865129</v>
      </c>
    </row>
    <row r="1689" spans="1:9">
      <c r="A1689" s="2">
        <v>1965</v>
      </c>
      <c r="B1689">
        <v>20</v>
      </c>
      <c r="C1689">
        <v>1.34E-3</v>
      </c>
      <c r="D1689">
        <v>1.34E-3</v>
      </c>
      <c r="E1689">
        <v>0.5</v>
      </c>
      <c r="F1689">
        <v>94230</v>
      </c>
      <c r="G1689">
        <v>126</v>
      </c>
      <c r="H1689">
        <v>94166</v>
      </c>
      <c r="I1689">
        <v>4770829</v>
      </c>
    </row>
    <row r="1690" spans="1:9">
      <c r="A1690" s="2">
        <v>1965</v>
      </c>
      <c r="B1690">
        <v>21</v>
      </c>
      <c r="C1690">
        <v>1.32E-3</v>
      </c>
      <c r="D1690">
        <v>1.32E-3</v>
      </c>
      <c r="E1690">
        <v>0.5</v>
      </c>
      <c r="F1690">
        <v>94103</v>
      </c>
      <c r="G1690">
        <v>124</v>
      </c>
      <c r="H1690">
        <v>94041</v>
      </c>
      <c r="I1690">
        <v>4676663</v>
      </c>
    </row>
    <row r="1691" spans="1:9">
      <c r="A1691" s="2">
        <v>1965</v>
      </c>
      <c r="B1691">
        <v>22</v>
      </c>
      <c r="C1691">
        <v>1.39E-3</v>
      </c>
      <c r="D1691">
        <v>1.39E-3</v>
      </c>
      <c r="E1691">
        <v>0.5</v>
      </c>
      <c r="F1691">
        <v>93979</v>
      </c>
      <c r="G1691">
        <v>131</v>
      </c>
      <c r="H1691">
        <v>93914</v>
      </c>
      <c r="I1691">
        <v>4582622</v>
      </c>
    </row>
    <row r="1692" spans="1:9">
      <c r="A1692" s="2">
        <v>1965</v>
      </c>
      <c r="B1692">
        <v>23</v>
      </c>
      <c r="C1692">
        <v>1.4499999999999999E-3</v>
      </c>
      <c r="D1692">
        <v>1.4499999999999999E-3</v>
      </c>
      <c r="E1692">
        <v>0.5</v>
      </c>
      <c r="F1692">
        <v>93848</v>
      </c>
      <c r="G1692">
        <v>136</v>
      </c>
      <c r="H1692">
        <v>93780</v>
      </c>
      <c r="I1692">
        <v>4488708</v>
      </c>
    </row>
    <row r="1693" spans="1:9">
      <c r="A1693" s="2">
        <v>1965</v>
      </c>
      <c r="B1693">
        <v>24</v>
      </c>
      <c r="C1693">
        <v>1.4300000000000001E-3</v>
      </c>
      <c r="D1693">
        <v>1.4300000000000001E-3</v>
      </c>
      <c r="E1693">
        <v>0.5</v>
      </c>
      <c r="F1693">
        <v>93712</v>
      </c>
      <c r="G1693">
        <v>134</v>
      </c>
      <c r="H1693">
        <v>93645</v>
      </c>
      <c r="I1693">
        <v>4394928</v>
      </c>
    </row>
    <row r="1694" spans="1:9">
      <c r="A1694" s="2">
        <v>1965</v>
      </c>
      <c r="B1694">
        <v>25</v>
      </c>
      <c r="C1694">
        <v>1.3500000000000001E-3</v>
      </c>
      <c r="D1694">
        <v>1.3500000000000001E-3</v>
      </c>
      <c r="E1694">
        <v>0.5</v>
      </c>
      <c r="F1694">
        <v>93578</v>
      </c>
      <c r="G1694">
        <v>127</v>
      </c>
      <c r="H1694">
        <v>93515</v>
      </c>
      <c r="I1694">
        <v>4301283</v>
      </c>
    </row>
    <row r="1695" spans="1:9">
      <c r="A1695" s="2">
        <v>1965</v>
      </c>
      <c r="B1695">
        <v>26</v>
      </c>
      <c r="C1695">
        <v>1.58E-3</v>
      </c>
      <c r="D1695">
        <v>1.58E-3</v>
      </c>
      <c r="E1695">
        <v>0.5</v>
      </c>
      <c r="F1695">
        <v>93451</v>
      </c>
      <c r="G1695">
        <v>148</v>
      </c>
      <c r="H1695">
        <v>93377</v>
      </c>
      <c r="I1695">
        <v>4207768</v>
      </c>
    </row>
    <row r="1696" spans="1:9">
      <c r="A1696" s="2">
        <v>1965</v>
      </c>
      <c r="B1696">
        <v>27</v>
      </c>
      <c r="C1696">
        <v>1.4599999999999999E-3</v>
      </c>
      <c r="D1696">
        <v>1.4599999999999999E-3</v>
      </c>
      <c r="E1696">
        <v>0.5</v>
      </c>
      <c r="F1696">
        <v>93303</v>
      </c>
      <c r="G1696">
        <v>136</v>
      </c>
      <c r="H1696">
        <v>93235</v>
      </c>
      <c r="I1696">
        <v>4114391</v>
      </c>
    </row>
    <row r="1697" spans="1:9">
      <c r="A1697" s="2">
        <v>1965</v>
      </c>
      <c r="B1697">
        <v>28</v>
      </c>
      <c r="C1697">
        <v>1.5900000000000001E-3</v>
      </c>
      <c r="D1697">
        <v>1.5900000000000001E-3</v>
      </c>
      <c r="E1697">
        <v>0.5</v>
      </c>
      <c r="F1697">
        <v>93167</v>
      </c>
      <c r="G1697">
        <v>148</v>
      </c>
      <c r="H1697">
        <v>93093</v>
      </c>
      <c r="I1697">
        <v>4021155</v>
      </c>
    </row>
    <row r="1698" spans="1:9">
      <c r="A1698" s="2">
        <v>1965</v>
      </c>
      <c r="B1698">
        <v>29</v>
      </c>
      <c r="C1698">
        <v>1.2899999999999999E-3</v>
      </c>
      <c r="D1698">
        <v>1.2899999999999999E-3</v>
      </c>
      <c r="E1698">
        <v>0.5</v>
      </c>
      <c r="F1698">
        <v>93019</v>
      </c>
      <c r="G1698">
        <v>120</v>
      </c>
      <c r="H1698">
        <v>92959</v>
      </c>
      <c r="I1698">
        <v>3928062</v>
      </c>
    </row>
    <row r="1699" spans="1:9">
      <c r="A1699" s="2">
        <v>1965</v>
      </c>
      <c r="B1699">
        <v>30</v>
      </c>
      <c r="C1699">
        <v>1.74E-3</v>
      </c>
      <c r="D1699">
        <v>1.74E-3</v>
      </c>
      <c r="E1699">
        <v>0.5</v>
      </c>
      <c r="F1699">
        <v>92899</v>
      </c>
      <c r="G1699">
        <v>162</v>
      </c>
      <c r="H1699">
        <v>92818</v>
      </c>
      <c r="I1699">
        <v>3835103</v>
      </c>
    </row>
    <row r="1700" spans="1:9">
      <c r="A1700" s="2">
        <v>1965</v>
      </c>
      <c r="B1700">
        <v>31</v>
      </c>
      <c r="C1700">
        <v>2.0300000000000001E-3</v>
      </c>
      <c r="D1700">
        <v>2.0300000000000001E-3</v>
      </c>
      <c r="E1700">
        <v>0.5</v>
      </c>
      <c r="F1700">
        <v>92737</v>
      </c>
      <c r="G1700">
        <v>188</v>
      </c>
      <c r="H1700">
        <v>92643</v>
      </c>
      <c r="I1700">
        <v>3742285</v>
      </c>
    </row>
    <row r="1701" spans="1:9">
      <c r="A1701" s="2">
        <v>1965</v>
      </c>
      <c r="B1701">
        <v>32</v>
      </c>
      <c r="C1701">
        <v>2.0400000000000001E-3</v>
      </c>
      <c r="D1701">
        <v>2.0400000000000001E-3</v>
      </c>
      <c r="E1701">
        <v>0.5</v>
      </c>
      <c r="F1701">
        <v>92549</v>
      </c>
      <c r="G1701">
        <v>188</v>
      </c>
      <c r="H1701">
        <v>92455</v>
      </c>
      <c r="I1701">
        <v>3649642</v>
      </c>
    </row>
    <row r="1702" spans="1:9">
      <c r="A1702" s="2">
        <v>1965</v>
      </c>
      <c r="B1702">
        <v>33</v>
      </c>
      <c r="C1702">
        <v>2.0899999999999998E-3</v>
      </c>
      <c r="D1702">
        <v>2.0799999999999998E-3</v>
      </c>
      <c r="E1702">
        <v>0.5</v>
      </c>
      <c r="F1702">
        <v>92361</v>
      </c>
      <c r="G1702">
        <v>193</v>
      </c>
      <c r="H1702">
        <v>92265</v>
      </c>
      <c r="I1702">
        <v>3557187</v>
      </c>
    </row>
    <row r="1703" spans="1:9">
      <c r="A1703" s="2">
        <v>1965</v>
      </c>
      <c r="B1703">
        <v>34</v>
      </c>
      <c r="C1703">
        <v>2.1700000000000001E-3</v>
      </c>
      <c r="D1703">
        <v>2.1700000000000001E-3</v>
      </c>
      <c r="E1703">
        <v>0.5</v>
      </c>
      <c r="F1703">
        <v>92168</v>
      </c>
      <c r="G1703">
        <v>200</v>
      </c>
      <c r="H1703">
        <v>92068</v>
      </c>
      <c r="I1703">
        <v>3464922</v>
      </c>
    </row>
    <row r="1704" spans="1:9">
      <c r="A1704" s="2">
        <v>1965</v>
      </c>
      <c r="B1704">
        <v>35</v>
      </c>
      <c r="C1704">
        <v>2.0300000000000001E-3</v>
      </c>
      <c r="D1704">
        <v>2.0200000000000001E-3</v>
      </c>
      <c r="E1704">
        <v>0.5</v>
      </c>
      <c r="F1704">
        <v>91969</v>
      </c>
      <c r="G1704">
        <v>186</v>
      </c>
      <c r="H1704">
        <v>91875</v>
      </c>
      <c r="I1704">
        <v>3372853</v>
      </c>
    </row>
    <row r="1705" spans="1:9">
      <c r="A1705" s="2">
        <v>1965</v>
      </c>
      <c r="B1705">
        <v>36</v>
      </c>
      <c r="C1705">
        <v>2.2899999999999999E-3</v>
      </c>
      <c r="D1705">
        <v>2.2899999999999999E-3</v>
      </c>
      <c r="E1705">
        <v>0.5</v>
      </c>
      <c r="F1705">
        <v>91782</v>
      </c>
      <c r="G1705">
        <v>210</v>
      </c>
      <c r="H1705">
        <v>91677</v>
      </c>
      <c r="I1705">
        <v>3280978</v>
      </c>
    </row>
    <row r="1706" spans="1:9">
      <c r="A1706" s="2">
        <v>1965</v>
      </c>
      <c r="B1706">
        <v>37</v>
      </c>
      <c r="C1706">
        <v>2.64E-3</v>
      </c>
      <c r="D1706">
        <v>2.63E-3</v>
      </c>
      <c r="E1706">
        <v>0.5</v>
      </c>
      <c r="F1706">
        <v>91573</v>
      </c>
      <c r="G1706">
        <v>241</v>
      </c>
      <c r="H1706">
        <v>91452</v>
      </c>
      <c r="I1706">
        <v>3189300</v>
      </c>
    </row>
    <row r="1707" spans="1:9">
      <c r="A1707" s="2">
        <v>1965</v>
      </c>
      <c r="B1707">
        <v>38</v>
      </c>
      <c r="C1707">
        <v>2.7299999999999998E-3</v>
      </c>
      <c r="D1707">
        <v>2.7299999999999998E-3</v>
      </c>
      <c r="E1707">
        <v>0.5</v>
      </c>
      <c r="F1707">
        <v>91331</v>
      </c>
      <c r="G1707">
        <v>249</v>
      </c>
      <c r="H1707">
        <v>91207</v>
      </c>
      <c r="I1707">
        <v>3097848</v>
      </c>
    </row>
    <row r="1708" spans="1:9">
      <c r="A1708" s="2">
        <v>1965</v>
      </c>
      <c r="B1708">
        <v>39</v>
      </c>
      <c r="C1708">
        <v>3.3600000000000001E-3</v>
      </c>
      <c r="D1708">
        <v>3.3500000000000001E-3</v>
      </c>
      <c r="E1708">
        <v>0.5</v>
      </c>
      <c r="F1708">
        <v>91082</v>
      </c>
      <c r="G1708">
        <v>305</v>
      </c>
      <c r="H1708">
        <v>90930</v>
      </c>
      <c r="I1708">
        <v>3006642</v>
      </c>
    </row>
    <row r="1709" spans="1:9">
      <c r="A1709" s="2">
        <v>1965</v>
      </c>
      <c r="B1709">
        <v>40</v>
      </c>
      <c r="C1709">
        <v>3.0000000000000001E-3</v>
      </c>
      <c r="D1709">
        <v>2.99E-3</v>
      </c>
      <c r="E1709">
        <v>0.5</v>
      </c>
      <c r="F1709">
        <v>90777</v>
      </c>
      <c r="G1709">
        <v>272</v>
      </c>
      <c r="H1709">
        <v>90641</v>
      </c>
      <c r="I1709">
        <v>2915712</v>
      </c>
    </row>
    <row r="1710" spans="1:9">
      <c r="A1710" s="2">
        <v>1965</v>
      </c>
      <c r="B1710">
        <v>41</v>
      </c>
      <c r="C1710">
        <v>3.7200000000000002E-3</v>
      </c>
      <c r="D1710">
        <v>3.7200000000000002E-3</v>
      </c>
      <c r="E1710">
        <v>0.5</v>
      </c>
      <c r="F1710">
        <v>90506</v>
      </c>
      <c r="G1710">
        <v>336</v>
      </c>
      <c r="H1710">
        <v>90337</v>
      </c>
      <c r="I1710">
        <v>2825070</v>
      </c>
    </row>
    <row r="1711" spans="1:9">
      <c r="A1711" s="2">
        <v>1965</v>
      </c>
      <c r="B1711">
        <v>42</v>
      </c>
      <c r="C1711">
        <v>3.2799999999999999E-3</v>
      </c>
      <c r="D1711">
        <v>3.2699999999999999E-3</v>
      </c>
      <c r="E1711">
        <v>0.5</v>
      </c>
      <c r="F1711">
        <v>90169</v>
      </c>
      <c r="G1711">
        <v>295</v>
      </c>
      <c r="H1711">
        <v>90022</v>
      </c>
      <c r="I1711">
        <v>2734733</v>
      </c>
    </row>
    <row r="1712" spans="1:9">
      <c r="A1712" s="2">
        <v>1965</v>
      </c>
      <c r="B1712">
        <v>43</v>
      </c>
      <c r="C1712">
        <v>3.98E-3</v>
      </c>
      <c r="D1712">
        <v>3.9699999999999996E-3</v>
      </c>
      <c r="E1712">
        <v>0.5</v>
      </c>
      <c r="F1712">
        <v>89874</v>
      </c>
      <c r="G1712">
        <v>357</v>
      </c>
      <c r="H1712">
        <v>89696</v>
      </c>
      <c r="I1712">
        <v>2644711</v>
      </c>
    </row>
    <row r="1713" spans="1:9">
      <c r="A1713" s="2">
        <v>1965</v>
      </c>
      <c r="B1713">
        <v>44</v>
      </c>
      <c r="C1713">
        <v>3.7200000000000002E-3</v>
      </c>
      <c r="D1713">
        <v>3.7200000000000002E-3</v>
      </c>
      <c r="E1713">
        <v>0.5</v>
      </c>
      <c r="F1713">
        <v>89517</v>
      </c>
      <c r="G1713">
        <v>333</v>
      </c>
      <c r="H1713">
        <v>89351</v>
      </c>
      <c r="I1713">
        <v>2555016</v>
      </c>
    </row>
    <row r="1714" spans="1:9">
      <c r="A1714" s="2">
        <v>1965</v>
      </c>
      <c r="B1714">
        <v>45</v>
      </c>
      <c r="C1714">
        <v>4.9899999999999996E-3</v>
      </c>
      <c r="D1714">
        <v>4.9800000000000001E-3</v>
      </c>
      <c r="E1714">
        <v>0.5</v>
      </c>
      <c r="F1714">
        <v>89184</v>
      </c>
      <c r="G1714">
        <v>444</v>
      </c>
      <c r="H1714">
        <v>88962</v>
      </c>
      <c r="I1714">
        <v>2465665</v>
      </c>
    </row>
    <row r="1715" spans="1:9">
      <c r="A1715" s="2">
        <v>1965</v>
      </c>
      <c r="B1715">
        <v>46</v>
      </c>
      <c r="C1715">
        <v>4.3800000000000002E-3</v>
      </c>
      <c r="D1715">
        <v>4.3699999999999998E-3</v>
      </c>
      <c r="E1715">
        <v>0.5</v>
      </c>
      <c r="F1715">
        <v>88740</v>
      </c>
      <c r="G1715">
        <v>388</v>
      </c>
      <c r="H1715">
        <v>88546</v>
      </c>
      <c r="I1715">
        <v>2376703</v>
      </c>
    </row>
    <row r="1716" spans="1:9">
      <c r="A1716" s="2">
        <v>1965</v>
      </c>
      <c r="B1716">
        <v>47</v>
      </c>
      <c r="C1716">
        <v>4.7499999999999999E-3</v>
      </c>
      <c r="D1716">
        <v>4.7400000000000003E-3</v>
      </c>
      <c r="E1716">
        <v>0.5</v>
      </c>
      <c r="F1716">
        <v>88352</v>
      </c>
      <c r="G1716">
        <v>419</v>
      </c>
      <c r="H1716">
        <v>88143</v>
      </c>
      <c r="I1716">
        <v>2288157</v>
      </c>
    </row>
    <row r="1717" spans="1:9">
      <c r="A1717" s="2">
        <v>1965</v>
      </c>
      <c r="B1717">
        <v>48</v>
      </c>
      <c r="C1717">
        <v>5.3400000000000001E-3</v>
      </c>
      <c r="D1717">
        <v>5.3200000000000001E-3</v>
      </c>
      <c r="E1717">
        <v>0.5</v>
      </c>
      <c r="F1717">
        <v>87933</v>
      </c>
      <c r="G1717">
        <v>468</v>
      </c>
      <c r="H1717">
        <v>87699</v>
      </c>
      <c r="I1717">
        <v>2200014</v>
      </c>
    </row>
    <row r="1718" spans="1:9">
      <c r="A1718" s="2">
        <v>1965</v>
      </c>
      <c r="B1718">
        <v>49</v>
      </c>
      <c r="C1718">
        <v>5.8799999999999998E-3</v>
      </c>
      <c r="D1718">
        <v>5.8700000000000002E-3</v>
      </c>
      <c r="E1718">
        <v>0.5</v>
      </c>
      <c r="F1718">
        <v>87465</v>
      </c>
      <c r="G1718">
        <v>513</v>
      </c>
      <c r="H1718">
        <v>87209</v>
      </c>
      <c r="I1718">
        <v>2112314</v>
      </c>
    </row>
    <row r="1719" spans="1:9">
      <c r="A1719" s="2">
        <v>1965</v>
      </c>
      <c r="B1719">
        <v>50</v>
      </c>
      <c r="C1719">
        <v>7.3600000000000002E-3</v>
      </c>
      <c r="D1719">
        <v>7.3400000000000002E-3</v>
      </c>
      <c r="E1719">
        <v>0.5</v>
      </c>
      <c r="F1719">
        <v>86952</v>
      </c>
      <c r="G1719">
        <v>638</v>
      </c>
      <c r="H1719">
        <v>86633</v>
      </c>
      <c r="I1719">
        <v>2025105</v>
      </c>
    </row>
    <row r="1720" spans="1:9">
      <c r="A1720" s="2">
        <v>1965</v>
      </c>
      <c r="B1720">
        <v>51</v>
      </c>
      <c r="C1720">
        <v>7.45E-3</v>
      </c>
      <c r="D1720">
        <v>7.4200000000000004E-3</v>
      </c>
      <c r="E1720">
        <v>0.5</v>
      </c>
      <c r="F1720">
        <v>86314</v>
      </c>
      <c r="G1720">
        <v>641</v>
      </c>
      <c r="H1720">
        <v>85994</v>
      </c>
      <c r="I1720">
        <v>1938472</v>
      </c>
    </row>
    <row r="1721" spans="1:9">
      <c r="A1721" s="2">
        <v>1965</v>
      </c>
      <c r="B1721">
        <v>52</v>
      </c>
      <c r="C1721">
        <v>8.7500000000000008E-3</v>
      </c>
      <c r="D1721">
        <v>8.7100000000000007E-3</v>
      </c>
      <c r="E1721">
        <v>0.5</v>
      </c>
      <c r="F1721">
        <v>85674</v>
      </c>
      <c r="G1721">
        <v>746</v>
      </c>
      <c r="H1721">
        <v>85301</v>
      </c>
      <c r="I1721">
        <v>1852478</v>
      </c>
    </row>
    <row r="1722" spans="1:9">
      <c r="A1722" s="2">
        <v>1965</v>
      </c>
      <c r="B1722">
        <v>53</v>
      </c>
      <c r="C1722">
        <v>9.2399999999999999E-3</v>
      </c>
      <c r="D1722">
        <v>9.1999999999999998E-3</v>
      </c>
      <c r="E1722">
        <v>0.5</v>
      </c>
      <c r="F1722">
        <v>84927</v>
      </c>
      <c r="G1722">
        <v>781</v>
      </c>
      <c r="H1722">
        <v>84537</v>
      </c>
      <c r="I1722">
        <v>1767178</v>
      </c>
    </row>
    <row r="1723" spans="1:9">
      <c r="A1723" s="2">
        <v>1965</v>
      </c>
      <c r="B1723">
        <v>54</v>
      </c>
      <c r="C1723">
        <v>1.022E-2</v>
      </c>
      <c r="D1723">
        <v>1.017E-2</v>
      </c>
      <c r="E1723">
        <v>0.5</v>
      </c>
      <c r="F1723">
        <v>84146</v>
      </c>
      <c r="G1723">
        <v>856</v>
      </c>
      <c r="H1723">
        <v>83718</v>
      </c>
      <c r="I1723">
        <v>1682641</v>
      </c>
    </row>
    <row r="1724" spans="1:9">
      <c r="A1724" s="2">
        <v>1965</v>
      </c>
      <c r="B1724">
        <v>55</v>
      </c>
      <c r="C1724">
        <v>1.1809999999999999E-2</v>
      </c>
      <c r="D1724">
        <v>1.174E-2</v>
      </c>
      <c r="E1724">
        <v>0.5</v>
      </c>
      <c r="F1724">
        <v>83290</v>
      </c>
      <c r="G1724">
        <v>978</v>
      </c>
      <c r="H1724">
        <v>82801</v>
      </c>
      <c r="I1724">
        <v>1598923</v>
      </c>
    </row>
    <row r="1725" spans="1:9">
      <c r="A1725" s="2">
        <v>1965</v>
      </c>
      <c r="B1725">
        <v>56</v>
      </c>
      <c r="C1725">
        <v>1.316E-2</v>
      </c>
      <c r="D1725">
        <v>1.308E-2</v>
      </c>
      <c r="E1725">
        <v>0.5</v>
      </c>
      <c r="F1725">
        <v>82312</v>
      </c>
      <c r="G1725">
        <v>1076</v>
      </c>
      <c r="H1725">
        <v>81774</v>
      </c>
      <c r="I1725">
        <v>1516121</v>
      </c>
    </row>
    <row r="1726" spans="1:9">
      <c r="A1726" s="2">
        <v>1965</v>
      </c>
      <c r="B1726">
        <v>57</v>
      </c>
      <c r="C1726">
        <v>1.4160000000000001E-2</v>
      </c>
      <c r="D1726">
        <v>1.406E-2</v>
      </c>
      <c r="E1726">
        <v>0.5</v>
      </c>
      <c r="F1726">
        <v>81236</v>
      </c>
      <c r="G1726">
        <v>1142</v>
      </c>
      <c r="H1726">
        <v>80665</v>
      </c>
      <c r="I1726">
        <v>1434347</v>
      </c>
    </row>
    <row r="1727" spans="1:9">
      <c r="A1727" s="2">
        <v>1965</v>
      </c>
      <c r="B1727">
        <v>58</v>
      </c>
      <c r="C1727">
        <v>1.7340000000000001E-2</v>
      </c>
      <c r="D1727">
        <v>1.719E-2</v>
      </c>
      <c r="E1727">
        <v>0.5</v>
      </c>
      <c r="F1727">
        <v>80094</v>
      </c>
      <c r="G1727">
        <v>1377</v>
      </c>
      <c r="H1727">
        <v>79405</v>
      </c>
      <c r="I1727">
        <v>1353682</v>
      </c>
    </row>
    <row r="1728" spans="1:9">
      <c r="A1728" s="2">
        <v>1965</v>
      </c>
      <c r="B1728">
        <v>59</v>
      </c>
      <c r="C1728">
        <v>1.728E-2</v>
      </c>
      <c r="D1728">
        <v>1.7129999999999999E-2</v>
      </c>
      <c r="E1728">
        <v>0.5</v>
      </c>
      <c r="F1728">
        <v>78717</v>
      </c>
      <c r="G1728">
        <v>1348</v>
      </c>
      <c r="H1728">
        <v>78043</v>
      </c>
      <c r="I1728">
        <v>1274277</v>
      </c>
    </row>
    <row r="1729" spans="1:9">
      <c r="A1729" s="2">
        <v>1965</v>
      </c>
      <c r="B1729">
        <v>60</v>
      </c>
      <c r="C1729">
        <v>2.0389999999999998E-2</v>
      </c>
      <c r="D1729">
        <v>2.018E-2</v>
      </c>
      <c r="E1729">
        <v>0.5</v>
      </c>
      <c r="F1729">
        <v>77369</v>
      </c>
      <c r="G1729">
        <v>1562</v>
      </c>
      <c r="H1729">
        <v>76588</v>
      </c>
      <c r="I1729">
        <v>1196234</v>
      </c>
    </row>
    <row r="1730" spans="1:9">
      <c r="A1730" s="2">
        <v>1965</v>
      </c>
      <c r="B1730">
        <v>61</v>
      </c>
      <c r="C1730">
        <v>2.188E-2</v>
      </c>
      <c r="D1730">
        <v>2.1649999999999999E-2</v>
      </c>
      <c r="E1730">
        <v>0.5</v>
      </c>
      <c r="F1730">
        <v>75807</v>
      </c>
      <c r="G1730">
        <v>1641</v>
      </c>
      <c r="H1730">
        <v>74987</v>
      </c>
      <c r="I1730">
        <v>1119646</v>
      </c>
    </row>
    <row r="1731" spans="1:9">
      <c r="A1731" s="2">
        <v>1965</v>
      </c>
      <c r="B1731">
        <v>62</v>
      </c>
      <c r="C1731">
        <v>2.4389999999999998E-2</v>
      </c>
      <c r="D1731">
        <v>2.41E-2</v>
      </c>
      <c r="E1731">
        <v>0.5</v>
      </c>
      <c r="F1731">
        <v>74166</v>
      </c>
      <c r="G1731">
        <v>1787</v>
      </c>
      <c r="H1731">
        <v>73273</v>
      </c>
      <c r="I1731">
        <v>1044660</v>
      </c>
    </row>
    <row r="1732" spans="1:9">
      <c r="A1732" s="2">
        <v>1965</v>
      </c>
      <c r="B1732">
        <v>63</v>
      </c>
      <c r="C1732">
        <v>2.6349999999999998E-2</v>
      </c>
      <c r="D1732">
        <v>2.5999999999999999E-2</v>
      </c>
      <c r="E1732">
        <v>0.5</v>
      </c>
      <c r="F1732">
        <v>72379</v>
      </c>
      <c r="G1732">
        <v>1882</v>
      </c>
      <c r="H1732">
        <v>71438</v>
      </c>
      <c r="I1732">
        <v>971387</v>
      </c>
    </row>
    <row r="1733" spans="1:9">
      <c r="A1733" s="2">
        <v>1965</v>
      </c>
      <c r="B1733">
        <v>64</v>
      </c>
      <c r="C1733">
        <v>2.9669999999999998E-2</v>
      </c>
      <c r="D1733">
        <v>2.9239999999999999E-2</v>
      </c>
      <c r="E1733">
        <v>0.5</v>
      </c>
      <c r="F1733">
        <v>70497</v>
      </c>
      <c r="G1733">
        <v>2061</v>
      </c>
      <c r="H1733">
        <v>69466</v>
      </c>
      <c r="I1733">
        <v>899949</v>
      </c>
    </row>
    <row r="1734" spans="1:9">
      <c r="A1734" s="2">
        <v>1965</v>
      </c>
      <c r="B1734">
        <v>65</v>
      </c>
      <c r="C1734">
        <v>3.2419999999999997E-2</v>
      </c>
      <c r="D1734">
        <v>3.1910000000000001E-2</v>
      </c>
      <c r="E1734">
        <v>0.5</v>
      </c>
      <c r="F1734">
        <v>68436</v>
      </c>
      <c r="G1734">
        <v>2184</v>
      </c>
      <c r="H1734">
        <v>67344</v>
      </c>
      <c r="I1734">
        <v>830483</v>
      </c>
    </row>
    <row r="1735" spans="1:9">
      <c r="A1735" s="2">
        <v>1965</v>
      </c>
      <c r="B1735">
        <v>66</v>
      </c>
      <c r="C1735">
        <v>3.6920000000000001E-2</v>
      </c>
      <c r="D1735">
        <v>3.6249999999999998E-2</v>
      </c>
      <c r="E1735">
        <v>0.5</v>
      </c>
      <c r="F1735">
        <v>66252</v>
      </c>
      <c r="G1735">
        <v>2402</v>
      </c>
      <c r="H1735">
        <v>65051</v>
      </c>
      <c r="I1735">
        <v>763139</v>
      </c>
    </row>
    <row r="1736" spans="1:9">
      <c r="A1736" s="2">
        <v>1965</v>
      </c>
      <c r="B1736">
        <v>67</v>
      </c>
      <c r="C1736">
        <v>3.61E-2</v>
      </c>
      <c r="D1736">
        <v>3.5459999999999998E-2</v>
      </c>
      <c r="E1736">
        <v>0.5</v>
      </c>
      <c r="F1736">
        <v>63850</v>
      </c>
      <c r="G1736">
        <v>2264</v>
      </c>
      <c r="H1736">
        <v>62718</v>
      </c>
      <c r="I1736">
        <v>698088</v>
      </c>
    </row>
    <row r="1737" spans="1:9">
      <c r="A1737" s="2">
        <v>1965</v>
      </c>
      <c r="B1737">
        <v>68</v>
      </c>
      <c r="C1737">
        <v>4.4819999999999999E-2</v>
      </c>
      <c r="D1737">
        <v>4.3839999999999997E-2</v>
      </c>
      <c r="E1737">
        <v>0.5</v>
      </c>
      <c r="F1737">
        <v>61586</v>
      </c>
      <c r="G1737">
        <v>2700</v>
      </c>
      <c r="H1737">
        <v>60236</v>
      </c>
      <c r="I1737">
        <v>635370</v>
      </c>
    </row>
    <row r="1738" spans="1:9">
      <c r="A1738" s="2">
        <v>1965</v>
      </c>
      <c r="B1738">
        <v>69</v>
      </c>
      <c r="C1738">
        <v>4.8559999999999999E-2</v>
      </c>
      <c r="D1738">
        <v>4.7410000000000001E-2</v>
      </c>
      <c r="E1738">
        <v>0.5</v>
      </c>
      <c r="F1738">
        <v>58886</v>
      </c>
      <c r="G1738">
        <v>2792</v>
      </c>
      <c r="H1738">
        <v>57491</v>
      </c>
      <c r="I1738">
        <v>575134</v>
      </c>
    </row>
    <row r="1739" spans="1:9">
      <c r="A1739" s="2">
        <v>1965</v>
      </c>
      <c r="B1739">
        <v>70</v>
      </c>
      <c r="C1739">
        <v>5.7680000000000002E-2</v>
      </c>
      <c r="D1739">
        <v>5.6070000000000002E-2</v>
      </c>
      <c r="E1739">
        <v>0.5</v>
      </c>
      <c r="F1739">
        <v>56095</v>
      </c>
      <c r="G1739">
        <v>3145</v>
      </c>
      <c r="H1739">
        <v>54522</v>
      </c>
      <c r="I1739">
        <v>517643</v>
      </c>
    </row>
    <row r="1740" spans="1:9">
      <c r="A1740" s="2">
        <v>1965</v>
      </c>
      <c r="B1740">
        <v>71</v>
      </c>
      <c r="C1740">
        <v>5.9049999999999998E-2</v>
      </c>
      <c r="D1740">
        <v>5.7349999999999998E-2</v>
      </c>
      <c r="E1740">
        <v>0.5</v>
      </c>
      <c r="F1740">
        <v>52950</v>
      </c>
      <c r="G1740">
        <v>3037</v>
      </c>
      <c r="H1740">
        <v>51431</v>
      </c>
      <c r="I1740">
        <v>463121</v>
      </c>
    </row>
    <row r="1741" spans="1:9">
      <c r="A1741" s="2">
        <v>1965</v>
      </c>
      <c r="B1741">
        <v>72</v>
      </c>
      <c r="C1741">
        <v>6.4769999999999994E-2</v>
      </c>
      <c r="D1741">
        <v>6.2740000000000004E-2</v>
      </c>
      <c r="E1741">
        <v>0.5</v>
      </c>
      <c r="F1741">
        <v>49913</v>
      </c>
      <c r="G1741">
        <v>3131</v>
      </c>
      <c r="H1741">
        <v>48347</v>
      </c>
      <c r="I1741">
        <v>411690</v>
      </c>
    </row>
    <row r="1742" spans="1:9">
      <c r="A1742" s="2">
        <v>1965</v>
      </c>
      <c r="B1742">
        <v>73</v>
      </c>
      <c r="C1742">
        <v>7.3380000000000001E-2</v>
      </c>
      <c r="D1742">
        <v>7.0790000000000006E-2</v>
      </c>
      <c r="E1742">
        <v>0.5</v>
      </c>
      <c r="F1742">
        <v>46782</v>
      </c>
      <c r="G1742">
        <v>3312</v>
      </c>
      <c r="H1742">
        <v>45126</v>
      </c>
      <c r="I1742">
        <v>363342</v>
      </c>
    </row>
    <row r="1743" spans="1:9">
      <c r="A1743" s="2">
        <v>1965</v>
      </c>
      <c r="B1743">
        <v>74</v>
      </c>
      <c r="C1743">
        <v>7.5340000000000004E-2</v>
      </c>
      <c r="D1743">
        <v>7.2599999999999998E-2</v>
      </c>
      <c r="E1743">
        <v>0.5</v>
      </c>
      <c r="F1743">
        <v>43470</v>
      </c>
      <c r="G1743">
        <v>3156</v>
      </c>
      <c r="H1743">
        <v>41892</v>
      </c>
      <c r="I1743">
        <v>318217</v>
      </c>
    </row>
    <row r="1744" spans="1:9">
      <c r="A1744" s="2">
        <v>1965</v>
      </c>
      <c r="B1744">
        <v>75</v>
      </c>
      <c r="C1744">
        <v>8.9219999999999994E-2</v>
      </c>
      <c r="D1744">
        <v>8.541E-2</v>
      </c>
      <c r="E1744">
        <v>0.5</v>
      </c>
      <c r="F1744">
        <v>40314</v>
      </c>
      <c r="G1744">
        <v>3443</v>
      </c>
      <c r="H1744">
        <v>38592</v>
      </c>
      <c r="I1744">
        <v>276325</v>
      </c>
    </row>
    <row r="1745" spans="1:9">
      <c r="A1745" s="2">
        <v>1965</v>
      </c>
      <c r="B1745">
        <v>76</v>
      </c>
      <c r="C1745">
        <v>9.1819999999999999E-2</v>
      </c>
      <c r="D1745">
        <v>8.7790000000000007E-2</v>
      </c>
      <c r="E1745">
        <v>0.5</v>
      </c>
      <c r="F1745">
        <v>36871</v>
      </c>
      <c r="G1745">
        <v>3237</v>
      </c>
      <c r="H1745">
        <v>35253</v>
      </c>
      <c r="I1745">
        <v>237732</v>
      </c>
    </row>
    <row r="1746" spans="1:9">
      <c r="A1746" s="2">
        <v>1965</v>
      </c>
      <c r="B1746">
        <v>77</v>
      </c>
      <c r="C1746">
        <v>0.1043</v>
      </c>
      <c r="D1746">
        <v>9.9129999999999996E-2</v>
      </c>
      <c r="E1746">
        <v>0.5</v>
      </c>
      <c r="F1746">
        <v>33634</v>
      </c>
      <c r="G1746">
        <v>3334</v>
      </c>
      <c r="H1746">
        <v>31967</v>
      </c>
      <c r="I1746">
        <v>202480</v>
      </c>
    </row>
    <row r="1747" spans="1:9">
      <c r="A1747" s="2">
        <v>1965</v>
      </c>
      <c r="B1747">
        <v>78</v>
      </c>
      <c r="C1747">
        <v>0.11688</v>
      </c>
      <c r="D1747">
        <v>0.11042</v>
      </c>
      <c r="E1747">
        <v>0.5</v>
      </c>
      <c r="F1747">
        <v>30300</v>
      </c>
      <c r="G1747">
        <v>3346</v>
      </c>
      <c r="H1747">
        <v>28627</v>
      </c>
      <c r="I1747">
        <v>170513</v>
      </c>
    </row>
    <row r="1748" spans="1:9">
      <c r="A1748" s="2">
        <v>1965</v>
      </c>
      <c r="B1748">
        <v>79</v>
      </c>
      <c r="C1748">
        <v>0.13053999999999999</v>
      </c>
      <c r="D1748">
        <v>0.12254</v>
      </c>
      <c r="E1748">
        <v>0.5</v>
      </c>
      <c r="F1748">
        <v>26954</v>
      </c>
      <c r="G1748">
        <v>3303</v>
      </c>
      <c r="H1748">
        <v>25303</v>
      </c>
      <c r="I1748">
        <v>141886</v>
      </c>
    </row>
    <row r="1749" spans="1:9">
      <c r="A1749" s="2">
        <v>1965</v>
      </c>
      <c r="B1749">
        <v>80</v>
      </c>
      <c r="C1749">
        <v>0.13969000000000001</v>
      </c>
      <c r="D1749">
        <v>0.13056999999999999</v>
      </c>
      <c r="E1749">
        <v>0.5</v>
      </c>
      <c r="F1749">
        <v>23651</v>
      </c>
      <c r="G1749">
        <v>3088</v>
      </c>
      <c r="H1749">
        <v>22107</v>
      </c>
      <c r="I1749">
        <v>116583</v>
      </c>
    </row>
    <row r="1750" spans="1:9">
      <c r="A1750" s="2">
        <v>1965</v>
      </c>
      <c r="B1750">
        <v>81</v>
      </c>
      <c r="C1750">
        <v>0.15639</v>
      </c>
      <c r="D1750">
        <v>0.14505000000000001</v>
      </c>
      <c r="E1750">
        <v>0.5</v>
      </c>
      <c r="F1750">
        <v>20563</v>
      </c>
      <c r="G1750">
        <v>2983</v>
      </c>
      <c r="H1750">
        <v>19072</v>
      </c>
      <c r="I1750">
        <v>94476</v>
      </c>
    </row>
    <row r="1751" spans="1:9">
      <c r="A1751" s="2">
        <v>1965</v>
      </c>
      <c r="B1751">
        <v>82</v>
      </c>
      <c r="C1751">
        <v>0.16952</v>
      </c>
      <c r="D1751">
        <v>0.15626999999999999</v>
      </c>
      <c r="E1751">
        <v>0.5</v>
      </c>
      <c r="F1751">
        <v>17580</v>
      </c>
      <c r="G1751">
        <v>2747</v>
      </c>
      <c r="H1751">
        <v>16207</v>
      </c>
      <c r="I1751">
        <v>75404</v>
      </c>
    </row>
    <row r="1752" spans="1:9">
      <c r="A1752" s="2">
        <v>1965</v>
      </c>
      <c r="B1752">
        <v>83</v>
      </c>
      <c r="C1752">
        <v>0.19599</v>
      </c>
      <c r="D1752">
        <v>0.17849999999999999</v>
      </c>
      <c r="E1752">
        <v>0.5</v>
      </c>
      <c r="F1752">
        <v>14833</v>
      </c>
      <c r="G1752">
        <v>2648</v>
      </c>
      <c r="H1752">
        <v>13509</v>
      </c>
      <c r="I1752">
        <v>59197</v>
      </c>
    </row>
    <row r="1753" spans="1:9">
      <c r="A1753" s="2">
        <v>1965</v>
      </c>
      <c r="B1753">
        <v>84</v>
      </c>
      <c r="C1753">
        <v>0.20954</v>
      </c>
      <c r="D1753">
        <v>0.18967000000000001</v>
      </c>
      <c r="E1753">
        <v>0.5</v>
      </c>
      <c r="F1753">
        <v>12185</v>
      </c>
      <c r="G1753">
        <v>2311</v>
      </c>
      <c r="H1753">
        <v>11030</v>
      </c>
      <c r="I1753">
        <v>45688</v>
      </c>
    </row>
    <row r="1754" spans="1:9">
      <c r="A1754" s="2">
        <v>1965</v>
      </c>
      <c r="B1754">
        <v>85</v>
      </c>
      <c r="C1754">
        <v>0.23730000000000001</v>
      </c>
      <c r="D1754">
        <v>0.21213000000000001</v>
      </c>
      <c r="E1754">
        <v>0.5</v>
      </c>
      <c r="F1754">
        <v>9874</v>
      </c>
      <c r="G1754">
        <v>2095</v>
      </c>
      <c r="H1754">
        <v>8827</v>
      </c>
      <c r="I1754">
        <v>34659</v>
      </c>
    </row>
    <row r="1755" spans="1:9">
      <c r="A1755" s="2">
        <v>1965</v>
      </c>
      <c r="B1755">
        <v>86</v>
      </c>
      <c r="C1755">
        <v>0.24740999999999999</v>
      </c>
      <c r="D1755">
        <v>0.22017999999999999</v>
      </c>
      <c r="E1755">
        <v>0.5</v>
      </c>
      <c r="F1755">
        <v>7779</v>
      </c>
      <c r="G1755">
        <v>1713</v>
      </c>
      <c r="H1755">
        <v>6923</v>
      </c>
      <c r="I1755">
        <v>25832</v>
      </c>
    </row>
    <row r="1756" spans="1:9">
      <c r="A1756" s="2">
        <v>1965</v>
      </c>
      <c r="B1756">
        <v>87</v>
      </c>
      <c r="C1756">
        <v>0.27594999999999997</v>
      </c>
      <c r="D1756">
        <v>0.24249000000000001</v>
      </c>
      <c r="E1756">
        <v>0.5</v>
      </c>
      <c r="F1756">
        <v>6067</v>
      </c>
      <c r="G1756">
        <v>1471</v>
      </c>
      <c r="H1756">
        <v>5331</v>
      </c>
      <c r="I1756">
        <v>18909</v>
      </c>
    </row>
    <row r="1757" spans="1:9">
      <c r="A1757" s="2">
        <v>1965</v>
      </c>
      <c r="B1757">
        <v>88</v>
      </c>
      <c r="C1757">
        <v>0.27453</v>
      </c>
      <c r="D1757">
        <v>0.2414</v>
      </c>
      <c r="E1757">
        <v>0.5</v>
      </c>
      <c r="F1757">
        <v>4596</v>
      </c>
      <c r="G1757">
        <v>1109</v>
      </c>
      <c r="H1757">
        <v>4041</v>
      </c>
      <c r="I1757">
        <v>13578</v>
      </c>
    </row>
    <row r="1758" spans="1:9">
      <c r="A1758" s="2">
        <v>1965</v>
      </c>
      <c r="B1758">
        <v>89</v>
      </c>
      <c r="C1758">
        <v>0.31492999999999999</v>
      </c>
      <c r="D1758">
        <v>0.27209</v>
      </c>
      <c r="E1758">
        <v>0.5</v>
      </c>
      <c r="F1758">
        <v>3486</v>
      </c>
      <c r="G1758">
        <v>949</v>
      </c>
      <c r="H1758">
        <v>3012</v>
      </c>
      <c r="I1758">
        <v>9537</v>
      </c>
    </row>
    <row r="1759" spans="1:9">
      <c r="A1759" s="2">
        <v>1965</v>
      </c>
      <c r="B1759">
        <v>90</v>
      </c>
      <c r="C1759">
        <v>0.34000999999999998</v>
      </c>
      <c r="D1759">
        <v>0.29060000000000002</v>
      </c>
      <c r="E1759">
        <v>0.5</v>
      </c>
      <c r="F1759">
        <v>2538</v>
      </c>
      <c r="G1759">
        <v>737</v>
      </c>
      <c r="H1759">
        <v>2169</v>
      </c>
      <c r="I1759">
        <v>6525</v>
      </c>
    </row>
    <row r="1760" spans="1:9">
      <c r="A1760" s="2">
        <v>1965</v>
      </c>
      <c r="B1760">
        <v>91</v>
      </c>
      <c r="C1760">
        <v>0.36342000000000002</v>
      </c>
      <c r="D1760">
        <v>0.30753000000000003</v>
      </c>
      <c r="E1760">
        <v>0.5</v>
      </c>
      <c r="F1760">
        <v>1800</v>
      </c>
      <c r="G1760">
        <v>554</v>
      </c>
      <c r="H1760">
        <v>1523</v>
      </c>
      <c r="I1760">
        <v>4356</v>
      </c>
    </row>
    <row r="1761" spans="1:9">
      <c r="A1761" s="2">
        <v>1965</v>
      </c>
      <c r="B1761">
        <v>92</v>
      </c>
      <c r="C1761">
        <v>0.39102999999999999</v>
      </c>
      <c r="D1761">
        <v>0.32707999999999998</v>
      </c>
      <c r="E1761">
        <v>0.5</v>
      </c>
      <c r="F1761">
        <v>1247</v>
      </c>
      <c r="G1761">
        <v>408</v>
      </c>
      <c r="H1761">
        <v>1043</v>
      </c>
      <c r="I1761">
        <v>2833</v>
      </c>
    </row>
    <row r="1762" spans="1:9">
      <c r="A1762" s="2">
        <v>1965</v>
      </c>
      <c r="B1762">
        <v>93</v>
      </c>
      <c r="C1762">
        <v>0.42610999999999999</v>
      </c>
      <c r="D1762">
        <v>0.35127000000000003</v>
      </c>
      <c r="E1762">
        <v>0.5</v>
      </c>
      <c r="F1762">
        <v>839</v>
      </c>
      <c r="G1762">
        <v>295</v>
      </c>
      <c r="H1762">
        <v>692</v>
      </c>
      <c r="I1762">
        <v>1790</v>
      </c>
    </row>
    <row r="1763" spans="1:9">
      <c r="A1763" s="2">
        <v>1965</v>
      </c>
      <c r="B1763">
        <v>94</v>
      </c>
      <c r="C1763">
        <v>0.45632</v>
      </c>
      <c r="D1763">
        <v>0.37154999999999999</v>
      </c>
      <c r="E1763">
        <v>0.5</v>
      </c>
      <c r="F1763">
        <v>544</v>
      </c>
      <c r="G1763">
        <v>202</v>
      </c>
      <c r="H1763">
        <v>443</v>
      </c>
      <c r="I1763">
        <v>1098</v>
      </c>
    </row>
    <row r="1764" spans="1:9">
      <c r="A1764" s="2">
        <v>1965</v>
      </c>
      <c r="B1764">
        <v>95</v>
      </c>
      <c r="C1764">
        <v>0.48522999999999999</v>
      </c>
      <c r="D1764">
        <v>0.39049</v>
      </c>
      <c r="E1764">
        <v>0.5</v>
      </c>
      <c r="F1764">
        <v>342</v>
      </c>
      <c r="G1764">
        <v>134</v>
      </c>
      <c r="H1764">
        <v>275</v>
      </c>
      <c r="I1764">
        <v>655</v>
      </c>
    </row>
    <row r="1765" spans="1:9">
      <c r="A1765" s="2">
        <v>1965</v>
      </c>
      <c r="B1765">
        <v>96</v>
      </c>
      <c r="C1765">
        <v>0.51424999999999998</v>
      </c>
      <c r="D1765">
        <v>0.40906999999999999</v>
      </c>
      <c r="E1765">
        <v>0.5</v>
      </c>
      <c r="F1765">
        <v>208</v>
      </c>
      <c r="G1765">
        <v>85</v>
      </c>
      <c r="H1765">
        <v>166</v>
      </c>
      <c r="I1765">
        <v>380</v>
      </c>
    </row>
    <row r="1766" spans="1:9">
      <c r="A1766" s="2">
        <v>1965</v>
      </c>
      <c r="B1766">
        <v>97</v>
      </c>
      <c r="C1766">
        <v>0.54317000000000004</v>
      </c>
      <c r="D1766">
        <v>0.42715999999999998</v>
      </c>
      <c r="E1766">
        <v>0.5</v>
      </c>
      <c r="F1766">
        <v>123</v>
      </c>
      <c r="G1766">
        <v>53</v>
      </c>
      <c r="H1766">
        <v>97</v>
      </c>
      <c r="I1766">
        <v>214</v>
      </c>
    </row>
    <row r="1767" spans="1:9">
      <c r="A1767" s="2">
        <v>1965</v>
      </c>
      <c r="B1767">
        <v>98</v>
      </c>
      <c r="C1767">
        <v>0.57179999999999997</v>
      </c>
      <c r="D1767">
        <v>0.44467000000000001</v>
      </c>
      <c r="E1767">
        <v>0.5</v>
      </c>
      <c r="F1767">
        <v>71</v>
      </c>
      <c r="G1767">
        <v>31</v>
      </c>
      <c r="H1767">
        <v>55</v>
      </c>
      <c r="I1767">
        <v>117</v>
      </c>
    </row>
    <row r="1768" spans="1:9">
      <c r="A1768" s="2">
        <v>1965</v>
      </c>
      <c r="B1768">
        <v>99</v>
      </c>
      <c r="C1768">
        <v>0.59996000000000005</v>
      </c>
      <c r="D1768">
        <v>0.46150999999999998</v>
      </c>
      <c r="E1768">
        <v>0.5</v>
      </c>
      <c r="F1768">
        <v>39</v>
      </c>
      <c r="G1768">
        <v>18</v>
      </c>
      <c r="H1768">
        <v>30</v>
      </c>
      <c r="I1768">
        <v>62</v>
      </c>
    </row>
    <row r="1769" spans="1:9">
      <c r="A1769" s="2">
        <v>1965</v>
      </c>
      <c r="B1769">
        <v>100</v>
      </c>
      <c r="C1769">
        <v>0.62746999999999997</v>
      </c>
      <c r="D1769">
        <v>0.47761999999999999</v>
      </c>
      <c r="E1769">
        <v>0.5</v>
      </c>
      <c r="F1769">
        <v>21</v>
      </c>
      <c r="G1769">
        <v>10</v>
      </c>
      <c r="H1769">
        <v>16</v>
      </c>
      <c r="I1769">
        <v>32</v>
      </c>
    </row>
    <row r="1770" spans="1:9">
      <c r="A1770" s="2">
        <v>1965</v>
      </c>
      <c r="B1770">
        <v>101</v>
      </c>
      <c r="C1770">
        <v>0.65417999999999998</v>
      </c>
      <c r="D1770">
        <v>0.49293999999999999</v>
      </c>
      <c r="E1770">
        <v>0.5</v>
      </c>
      <c r="F1770">
        <v>11</v>
      </c>
      <c r="G1770">
        <v>5</v>
      </c>
      <c r="H1770">
        <v>8</v>
      </c>
      <c r="I1770">
        <v>16</v>
      </c>
    </row>
    <row r="1771" spans="1:9">
      <c r="A1771" s="2">
        <v>1965</v>
      </c>
      <c r="B1771">
        <v>102</v>
      </c>
      <c r="C1771">
        <v>0.67996000000000001</v>
      </c>
      <c r="D1771">
        <v>0.50744</v>
      </c>
      <c r="E1771">
        <v>0.5</v>
      </c>
      <c r="F1771">
        <v>6</v>
      </c>
      <c r="G1771">
        <v>3</v>
      </c>
      <c r="H1771">
        <v>4</v>
      </c>
      <c r="I1771">
        <v>8</v>
      </c>
    </row>
    <row r="1772" spans="1:9">
      <c r="A1772" s="2">
        <v>1965</v>
      </c>
      <c r="B1772">
        <v>103</v>
      </c>
      <c r="C1772">
        <v>0.70467999999999997</v>
      </c>
      <c r="D1772">
        <v>0.52107999999999999</v>
      </c>
      <c r="E1772">
        <v>0.5</v>
      </c>
      <c r="F1772">
        <v>3</v>
      </c>
      <c r="G1772">
        <v>1</v>
      </c>
      <c r="H1772">
        <v>2</v>
      </c>
      <c r="I1772">
        <v>4</v>
      </c>
    </row>
    <row r="1773" spans="1:9">
      <c r="A1773" s="2">
        <v>1965</v>
      </c>
      <c r="B1773">
        <v>104</v>
      </c>
      <c r="C1773">
        <v>0.72824999999999995</v>
      </c>
      <c r="D1773">
        <v>0.53386</v>
      </c>
      <c r="E1773">
        <v>0.5</v>
      </c>
      <c r="F1773">
        <v>1</v>
      </c>
      <c r="G1773">
        <v>1</v>
      </c>
      <c r="H1773">
        <v>1</v>
      </c>
      <c r="I1773">
        <v>2</v>
      </c>
    </row>
    <row r="1774" spans="1:9">
      <c r="A1774" s="2">
        <v>1965</v>
      </c>
      <c r="B1774">
        <v>105</v>
      </c>
      <c r="C1774">
        <v>0.75061</v>
      </c>
      <c r="D1774">
        <v>0.54578000000000004</v>
      </c>
      <c r="E1774">
        <v>0.5</v>
      </c>
      <c r="F1774">
        <v>1</v>
      </c>
      <c r="G1774">
        <v>0</v>
      </c>
      <c r="H1774">
        <v>0</v>
      </c>
      <c r="I1774">
        <v>1</v>
      </c>
    </row>
    <row r="1775" spans="1:9">
      <c r="A1775" s="2">
        <v>1965</v>
      </c>
      <c r="B1775">
        <v>106</v>
      </c>
      <c r="C1775">
        <v>0.77170000000000005</v>
      </c>
      <c r="D1775">
        <v>0.55684</v>
      </c>
      <c r="E1775">
        <v>0.5</v>
      </c>
      <c r="F1775">
        <v>0</v>
      </c>
      <c r="G1775">
        <v>0</v>
      </c>
      <c r="H1775">
        <v>0</v>
      </c>
      <c r="I1775">
        <v>0</v>
      </c>
    </row>
    <row r="1776" spans="1:9">
      <c r="A1776" s="2">
        <v>1965</v>
      </c>
      <c r="B1776">
        <v>107</v>
      </c>
      <c r="C1776">
        <v>0.79151000000000005</v>
      </c>
      <c r="D1776">
        <v>0.56708000000000003</v>
      </c>
      <c r="E1776">
        <v>0.5</v>
      </c>
      <c r="F1776">
        <v>0</v>
      </c>
      <c r="G1776">
        <v>0</v>
      </c>
      <c r="H1776">
        <v>0</v>
      </c>
      <c r="I1776">
        <v>0</v>
      </c>
    </row>
    <row r="1777" spans="1:9">
      <c r="A1777" s="2">
        <v>1965</v>
      </c>
      <c r="B1777">
        <v>108</v>
      </c>
      <c r="C1777">
        <v>0.81001999999999996</v>
      </c>
      <c r="D1777">
        <v>0.57652000000000003</v>
      </c>
      <c r="E1777">
        <v>0.5</v>
      </c>
      <c r="F1777">
        <v>0</v>
      </c>
      <c r="G1777">
        <v>0</v>
      </c>
      <c r="H1777">
        <v>0</v>
      </c>
      <c r="I1777">
        <v>0</v>
      </c>
    </row>
    <row r="1778" spans="1:9">
      <c r="A1778" s="2">
        <v>1965</v>
      </c>
      <c r="B1778">
        <v>109</v>
      </c>
      <c r="C1778">
        <v>0.82723999999999998</v>
      </c>
      <c r="D1778">
        <v>0.58518999999999999</v>
      </c>
      <c r="E1778">
        <v>0.5</v>
      </c>
      <c r="F1778">
        <v>0</v>
      </c>
      <c r="G1778">
        <v>0</v>
      </c>
      <c r="H1778">
        <v>0</v>
      </c>
      <c r="I1778">
        <v>0</v>
      </c>
    </row>
    <row r="1779" spans="1:9">
      <c r="A1779" s="2">
        <v>1965</v>
      </c>
      <c r="B1779" t="s">
        <v>26</v>
      </c>
      <c r="C1779">
        <v>0.84321000000000002</v>
      </c>
      <c r="D1779">
        <v>1</v>
      </c>
      <c r="E1779" s="3" t="s">
        <v>32</v>
      </c>
      <c r="F1779">
        <v>0</v>
      </c>
      <c r="G1779">
        <v>0</v>
      </c>
      <c r="H1779">
        <v>0</v>
      </c>
      <c r="I1779">
        <v>0</v>
      </c>
    </row>
    <row r="1780" spans="1:9">
      <c r="A1780" s="2">
        <v>1966</v>
      </c>
      <c r="B1780">
        <v>0</v>
      </c>
      <c r="C1780">
        <v>4.428E-2</v>
      </c>
      <c r="D1780">
        <v>4.2720000000000001E-2</v>
      </c>
      <c r="E1780">
        <v>0.17</v>
      </c>
      <c r="F1780">
        <v>100000</v>
      </c>
      <c r="G1780">
        <v>4272</v>
      </c>
      <c r="H1780">
        <v>96466</v>
      </c>
      <c r="I1780">
        <v>6748821</v>
      </c>
    </row>
    <row r="1781" spans="1:9">
      <c r="A1781" s="2">
        <v>1966</v>
      </c>
      <c r="B1781">
        <v>1</v>
      </c>
      <c r="C1781">
        <v>2.4199999999999998E-3</v>
      </c>
      <c r="D1781">
        <v>2.4199999999999998E-3</v>
      </c>
      <c r="E1781">
        <v>0.5</v>
      </c>
      <c r="F1781">
        <v>95728</v>
      </c>
      <c r="G1781">
        <v>231</v>
      </c>
      <c r="H1781">
        <v>95613</v>
      </c>
      <c r="I1781">
        <v>6652356</v>
      </c>
    </row>
    <row r="1782" spans="1:9">
      <c r="A1782" s="2">
        <v>1966</v>
      </c>
      <c r="B1782">
        <v>2</v>
      </c>
      <c r="C1782">
        <v>1.01E-3</v>
      </c>
      <c r="D1782">
        <v>1.01E-3</v>
      </c>
      <c r="E1782">
        <v>0.5</v>
      </c>
      <c r="F1782">
        <v>95497</v>
      </c>
      <c r="G1782">
        <v>97</v>
      </c>
      <c r="H1782">
        <v>95449</v>
      </c>
      <c r="I1782">
        <v>6556743</v>
      </c>
    </row>
    <row r="1783" spans="1:9">
      <c r="A1783" s="2">
        <v>1966</v>
      </c>
      <c r="B1783">
        <v>3</v>
      </c>
      <c r="C1783">
        <v>8.0999999999999996E-4</v>
      </c>
      <c r="D1783">
        <v>8.0999999999999996E-4</v>
      </c>
      <c r="E1783">
        <v>0.5</v>
      </c>
      <c r="F1783">
        <v>95400</v>
      </c>
      <c r="G1783">
        <v>78</v>
      </c>
      <c r="H1783">
        <v>95361</v>
      </c>
      <c r="I1783">
        <v>6461294</v>
      </c>
    </row>
    <row r="1784" spans="1:9">
      <c r="A1784" s="2">
        <v>1966</v>
      </c>
      <c r="B1784">
        <v>4</v>
      </c>
      <c r="C1784">
        <v>6.8000000000000005E-4</v>
      </c>
      <c r="D1784">
        <v>6.8000000000000005E-4</v>
      </c>
      <c r="E1784">
        <v>0.5</v>
      </c>
      <c r="F1784">
        <v>95323</v>
      </c>
      <c r="G1784">
        <v>65</v>
      </c>
      <c r="H1784">
        <v>95290</v>
      </c>
      <c r="I1784">
        <v>6365933</v>
      </c>
    </row>
    <row r="1785" spans="1:9">
      <c r="A1785" s="2">
        <v>1966</v>
      </c>
      <c r="B1785">
        <v>5</v>
      </c>
      <c r="C1785">
        <v>6.0999999999999997E-4</v>
      </c>
      <c r="D1785">
        <v>6.0999999999999997E-4</v>
      </c>
      <c r="E1785">
        <v>0.5</v>
      </c>
      <c r="F1785">
        <v>95258</v>
      </c>
      <c r="G1785">
        <v>59</v>
      </c>
      <c r="H1785">
        <v>95228</v>
      </c>
      <c r="I1785">
        <v>6270643</v>
      </c>
    </row>
    <row r="1786" spans="1:9">
      <c r="A1786" s="2">
        <v>1966</v>
      </c>
      <c r="B1786">
        <v>6</v>
      </c>
      <c r="C1786">
        <v>3.2000000000000003E-4</v>
      </c>
      <c r="D1786">
        <v>3.2000000000000003E-4</v>
      </c>
      <c r="E1786">
        <v>0.5</v>
      </c>
      <c r="F1786">
        <v>95199</v>
      </c>
      <c r="G1786">
        <v>30</v>
      </c>
      <c r="H1786">
        <v>95184</v>
      </c>
      <c r="I1786">
        <v>6175414</v>
      </c>
    </row>
    <row r="1787" spans="1:9">
      <c r="A1787" s="2">
        <v>1966</v>
      </c>
      <c r="B1787">
        <v>7</v>
      </c>
      <c r="C1787">
        <v>4.8000000000000001E-4</v>
      </c>
      <c r="D1787">
        <v>4.8000000000000001E-4</v>
      </c>
      <c r="E1787">
        <v>0.5</v>
      </c>
      <c r="F1787">
        <v>95169</v>
      </c>
      <c r="G1787">
        <v>46</v>
      </c>
      <c r="H1787">
        <v>95146</v>
      </c>
      <c r="I1787">
        <v>6080230</v>
      </c>
    </row>
    <row r="1788" spans="1:9">
      <c r="A1788" s="2">
        <v>1966</v>
      </c>
      <c r="B1788">
        <v>8</v>
      </c>
      <c r="C1788">
        <v>4.4000000000000002E-4</v>
      </c>
      <c r="D1788">
        <v>4.4000000000000002E-4</v>
      </c>
      <c r="E1788">
        <v>0.5</v>
      </c>
      <c r="F1788">
        <v>95123</v>
      </c>
      <c r="G1788">
        <v>42</v>
      </c>
      <c r="H1788">
        <v>95102</v>
      </c>
      <c r="I1788">
        <v>5985084</v>
      </c>
    </row>
    <row r="1789" spans="1:9">
      <c r="A1789" s="2">
        <v>1966</v>
      </c>
      <c r="B1789">
        <v>9</v>
      </c>
      <c r="C1789">
        <v>4.0000000000000002E-4</v>
      </c>
      <c r="D1789">
        <v>4.0000000000000002E-4</v>
      </c>
      <c r="E1789">
        <v>0.5</v>
      </c>
      <c r="F1789">
        <v>95081</v>
      </c>
      <c r="G1789">
        <v>38</v>
      </c>
      <c r="H1789">
        <v>95062</v>
      </c>
      <c r="I1789">
        <v>5889982</v>
      </c>
    </row>
    <row r="1790" spans="1:9">
      <c r="A1790" s="2">
        <v>1966</v>
      </c>
      <c r="B1790">
        <v>10</v>
      </c>
      <c r="C1790">
        <v>4.4000000000000002E-4</v>
      </c>
      <c r="D1790">
        <v>4.4000000000000002E-4</v>
      </c>
      <c r="E1790">
        <v>0.5</v>
      </c>
      <c r="F1790">
        <v>95044</v>
      </c>
      <c r="G1790">
        <v>42</v>
      </c>
      <c r="H1790">
        <v>95023</v>
      </c>
      <c r="I1790">
        <v>5794919</v>
      </c>
    </row>
    <row r="1791" spans="1:9">
      <c r="A1791" s="2">
        <v>1966</v>
      </c>
      <c r="B1791">
        <v>11</v>
      </c>
      <c r="C1791">
        <v>3.5E-4</v>
      </c>
      <c r="D1791">
        <v>3.5E-4</v>
      </c>
      <c r="E1791">
        <v>0.5</v>
      </c>
      <c r="F1791">
        <v>95002</v>
      </c>
      <c r="G1791">
        <v>34</v>
      </c>
      <c r="H1791">
        <v>94985</v>
      </c>
      <c r="I1791">
        <v>5699897</v>
      </c>
    </row>
    <row r="1792" spans="1:9">
      <c r="A1792" s="2">
        <v>1966</v>
      </c>
      <c r="B1792">
        <v>12</v>
      </c>
      <c r="C1792">
        <v>4.2999999999999999E-4</v>
      </c>
      <c r="D1792">
        <v>4.2999999999999999E-4</v>
      </c>
      <c r="E1792">
        <v>0.5</v>
      </c>
      <c r="F1792">
        <v>94968</v>
      </c>
      <c r="G1792">
        <v>41</v>
      </c>
      <c r="H1792">
        <v>94948</v>
      </c>
      <c r="I1792">
        <v>5604912</v>
      </c>
    </row>
    <row r="1793" spans="1:9">
      <c r="A1793" s="2">
        <v>1966</v>
      </c>
      <c r="B1793">
        <v>13</v>
      </c>
      <c r="C1793">
        <v>4.2000000000000002E-4</v>
      </c>
      <c r="D1793">
        <v>4.2000000000000002E-4</v>
      </c>
      <c r="E1793">
        <v>0.5</v>
      </c>
      <c r="F1793">
        <v>94928</v>
      </c>
      <c r="G1793">
        <v>40</v>
      </c>
      <c r="H1793">
        <v>94908</v>
      </c>
      <c r="I1793">
        <v>5509964</v>
      </c>
    </row>
    <row r="1794" spans="1:9">
      <c r="A1794" s="2">
        <v>1966</v>
      </c>
      <c r="B1794">
        <v>14</v>
      </c>
      <c r="C1794">
        <v>5.5000000000000003E-4</v>
      </c>
      <c r="D1794">
        <v>5.5000000000000003E-4</v>
      </c>
      <c r="E1794">
        <v>0.5</v>
      </c>
      <c r="F1794">
        <v>94888</v>
      </c>
      <c r="G1794">
        <v>52</v>
      </c>
      <c r="H1794">
        <v>94862</v>
      </c>
      <c r="I1794">
        <v>5415056</v>
      </c>
    </row>
    <row r="1795" spans="1:9">
      <c r="A1795" s="2">
        <v>1966</v>
      </c>
      <c r="B1795">
        <v>15</v>
      </c>
      <c r="C1795">
        <v>5.1000000000000004E-4</v>
      </c>
      <c r="D1795">
        <v>5.1000000000000004E-4</v>
      </c>
      <c r="E1795">
        <v>0.5</v>
      </c>
      <c r="F1795">
        <v>94836</v>
      </c>
      <c r="G1795">
        <v>48</v>
      </c>
      <c r="H1795">
        <v>94811</v>
      </c>
      <c r="I1795">
        <v>5320195</v>
      </c>
    </row>
    <row r="1796" spans="1:9">
      <c r="A1796" s="2">
        <v>1966</v>
      </c>
      <c r="B1796">
        <v>16</v>
      </c>
      <c r="C1796">
        <v>6.4999999999999997E-4</v>
      </c>
      <c r="D1796">
        <v>6.4999999999999997E-4</v>
      </c>
      <c r="E1796">
        <v>0.5</v>
      </c>
      <c r="F1796">
        <v>94787</v>
      </c>
      <c r="G1796">
        <v>62</v>
      </c>
      <c r="H1796">
        <v>94756</v>
      </c>
      <c r="I1796">
        <v>5225383</v>
      </c>
    </row>
    <row r="1797" spans="1:9">
      <c r="A1797" s="2">
        <v>1966</v>
      </c>
      <c r="B1797">
        <v>17</v>
      </c>
      <c r="C1797">
        <v>9.8999999999999999E-4</v>
      </c>
      <c r="D1797">
        <v>9.8999999999999999E-4</v>
      </c>
      <c r="E1797">
        <v>0.5</v>
      </c>
      <c r="F1797">
        <v>94725</v>
      </c>
      <c r="G1797">
        <v>94</v>
      </c>
      <c r="H1797">
        <v>94678</v>
      </c>
      <c r="I1797">
        <v>5130627</v>
      </c>
    </row>
    <row r="1798" spans="1:9">
      <c r="A1798" s="2">
        <v>1966</v>
      </c>
      <c r="B1798">
        <v>18</v>
      </c>
      <c r="C1798">
        <v>1.2700000000000001E-3</v>
      </c>
      <c r="D1798">
        <v>1.2700000000000001E-3</v>
      </c>
      <c r="E1798">
        <v>0.5</v>
      </c>
      <c r="F1798">
        <v>94631</v>
      </c>
      <c r="G1798">
        <v>120</v>
      </c>
      <c r="H1798">
        <v>94571</v>
      </c>
      <c r="I1798">
        <v>5035948</v>
      </c>
    </row>
    <row r="1799" spans="1:9">
      <c r="A1799" s="2">
        <v>1966</v>
      </c>
      <c r="B1799">
        <v>19</v>
      </c>
      <c r="C1799">
        <v>1.2099999999999999E-3</v>
      </c>
      <c r="D1799">
        <v>1.2099999999999999E-3</v>
      </c>
      <c r="E1799">
        <v>0.5</v>
      </c>
      <c r="F1799">
        <v>94511</v>
      </c>
      <c r="G1799">
        <v>114</v>
      </c>
      <c r="H1799">
        <v>94454</v>
      </c>
      <c r="I1799">
        <v>4941377</v>
      </c>
    </row>
    <row r="1800" spans="1:9">
      <c r="A1800" s="2">
        <v>1966</v>
      </c>
      <c r="B1800">
        <v>20</v>
      </c>
      <c r="C1800">
        <v>1.15E-3</v>
      </c>
      <c r="D1800">
        <v>1.15E-3</v>
      </c>
      <c r="E1800">
        <v>0.5</v>
      </c>
      <c r="F1800">
        <v>94397</v>
      </c>
      <c r="G1800">
        <v>108</v>
      </c>
      <c r="H1800">
        <v>94343</v>
      </c>
      <c r="I1800">
        <v>4846923</v>
      </c>
    </row>
    <row r="1801" spans="1:9">
      <c r="A1801" s="2">
        <v>1966</v>
      </c>
      <c r="B1801">
        <v>21</v>
      </c>
      <c r="C1801">
        <v>1.48E-3</v>
      </c>
      <c r="D1801">
        <v>1.48E-3</v>
      </c>
      <c r="E1801">
        <v>0.5</v>
      </c>
      <c r="F1801">
        <v>94288</v>
      </c>
      <c r="G1801">
        <v>139</v>
      </c>
      <c r="H1801">
        <v>94219</v>
      </c>
      <c r="I1801">
        <v>4752581</v>
      </c>
    </row>
    <row r="1802" spans="1:9">
      <c r="A1802" s="2">
        <v>1966</v>
      </c>
      <c r="B1802">
        <v>22</v>
      </c>
      <c r="C1802">
        <v>1.6199999999999999E-3</v>
      </c>
      <c r="D1802">
        <v>1.6199999999999999E-3</v>
      </c>
      <c r="E1802">
        <v>0.5</v>
      </c>
      <c r="F1802">
        <v>94149</v>
      </c>
      <c r="G1802">
        <v>152</v>
      </c>
      <c r="H1802">
        <v>94073</v>
      </c>
      <c r="I1802">
        <v>4658362</v>
      </c>
    </row>
    <row r="1803" spans="1:9">
      <c r="A1803" s="2">
        <v>1966</v>
      </c>
      <c r="B1803">
        <v>23</v>
      </c>
      <c r="C1803">
        <v>1.2800000000000001E-3</v>
      </c>
      <c r="D1803">
        <v>1.2800000000000001E-3</v>
      </c>
      <c r="E1803">
        <v>0.5</v>
      </c>
      <c r="F1803">
        <v>93997</v>
      </c>
      <c r="G1803">
        <v>120</v>
      </c>
      <c r="H1803">
        <v>93937</v>
      </c>
      <c r="I1803">
        <v>4564289</v>
      </c>
    </row>
    <row r="1804" spans="1:9">
      <c r="A1804" s="2">
        <v>1966</v>
      </c>
      <c r="B1804">
        <v>24</v>
      </c>
      <c r="C1804">
        <v>1.3600000000000001E-3</v>
      </c>
      <c r="D1804">
        <v>1.3600000000000001E-3</v>
      </c>
      <c r="E1804">
        <v>0.5</v>
      </c>
      <c r="F1804">
        <v>93877</v>
      </c>
      <c r="G1804">
        <v>127</v>
      </c>
      <c r="H1804">
        <v>93813</v>
      </c>
      <c r="I1804">
        <v>4470352</v>
      </c>
    </row>
    <row r="1805" spans="1:9">
      <c r="A1805" s="2">
        <v>1966</v>
      </c>
      <c r="B1805">
        <v>25</v>
      </c>
      <c r="C1805">
        <v>1.2800000000000001E-3</v>
      </c>
      <c r="D1805">
        <v>1.2800000000000001E-3</v>
      </c>
      <c r="E1805">
        <v>0.5</v>
      </c>
      <c r="F1805">
        <v>93750</v>
      </c>
      <c r="G1805">
        <v>120</v>
      </c>
      <c r="H1805">
        <v>93690</v>
      </c>
      <c r="I1805">
        <v>4376538</v>
      </c>
    </row>
    <row r="1806" spans="1:9">
      <c r="A1806" s="2">
        <v>1966</v>
      </c>
      <c r="B1806">
        <v>26</v>
      </c>
      <c r="C1806">
        <v>1.49E-3</v>
      </c>
      <c r="D1806">
        <v>1.48E-3</v>
      </c>
      <c r="E1806">
        <v>0.5</v>
      </c>
      <c r="F1806">
        <v>93629</v>
      </c>
      <c r="G1806">
        <v>139</v>
      </c>
      <c r="H1806">
        <v>93560</v>
      </c>
      <c r="I1806">
        <v>4282849</v>
      </c>
    </row>
    <row r="1807" spans="1:9">
      <c r="A1807" s="2">
        <v>1966</v>
      </c>
      <c r="B1807">
        <v>27</v>
      </c>
      <c r="C1807">
        <v>1.5E-3</v>
      </c>
      <c r="D1807">
        <v>1.5E-3</v>
      </c>
      <c r="E1807">
        <v>0.5</v>
      </c>
      <c r="F1807">
        <v>93490</v>
      </c>
      <c r="G1807">
        <v>140</v>
      </c>
      <c r="H1807">
        <v>93420</v>
      </c>
      <c r="I1807">
        <v>4189289</v>
      </c>
    </row>
    <row r="1808" spans="1:9">
      <c r="A1808" s="2">
        <v>1966</v>
      </c>
      <c r="B1808">
        <v>28</v>
      </c>
      <c r="C1808">
        <v>1.4300000000000001E-3</v>
      </c>
      <c r="D1808">
        <v>1.4300000000000001E-3</v>
      </c>
      <c r="E1808">
        <v>0.5</v>
      </c>
      <c r="F1808">
        <v>93350</v>
      </c>
      <c r="G1808">
        <v>134</v>
      </c>
      <c r="H1808">
        <v>93284</v>
      </c>
      <c r="I1808">
        <v>4095868</v>
      </c>
    </row>
    <row r="1809" spans="1:9">
      <c r="A1809" s="2">
        <v>1966</v>
      </c>
      <c r="B1809">
        <v>29</v>
      </c>
      <c r="C1809">
        <v>1.5E-3</v>
      </c>
      <c r="D1809">
        <v>1.49E-3</v>
      </c>
      <c r="E1809">
        <v>0.5</v>
      </c>
      <c r="F1809">
        <v>93217</v>
      </c>
      <c r="G1809">
        <v>139</v>
      </c>
      <c r="H1809">
        <v>93147</v>
      </c>
      <c r="I1809">
        <v>4002585</v>
      </c>
    </row>
    <row r="1810" spans="1:9">
      <c r="A1810" s="2">
        <v>1966</v>
      </c>
      <c r="B1810">
        <v>30</v>
      </c>
      <c r="C1810">
        <v>1.6199999999999999E-3</v>
      </c>
      <c r="D1810">
        <v>1.6199999999999999E-3</v>
      </c>
      <c r="E1810">
        <v>0.5</v>
      </c>
      <c r="F1810">
        <v>93078</v>
      </c>
      <c r="G1810">
        <v>150</v>
      </c>
      <c r="H1810">
        <v>93002</v>
      </c>
      <c r="I1810">
        <v>3909438</v>
      </c>
    </row>
    <row r="1811" spans="1:9">
      <c r="A1811" s="2">
        <v>1966</v>
      </c>
      <c r="B1811">
        <v>31</v>
      </c>
      <c r="C1811">
        <v>1.67E-3</v>
      </c>
      <c r="D1811">
        <v>1.67E-3</v>
      </c>
      <c r="E1811">
        <v>0.5</v>
      </c>
      <c r="F1811">
        <v>92927</v>
      </c>
      <c r="G1811">
        <v>155</v>
      </c>
      <c r="H1811">
        <v>92850</v>
      </c>
      <c r="I1811">
        <v>3816435</v>
      </c>
    </row>
    <row r="1812" spans="1:9">
      <c r="A1812" s="2">
        <v>1966</v>
      </c>
      <c r="B1812">
        <v>32</v>
      </c>
      <c r="C1812">
        <v>1.81E-3</v>
      </c>
      <c r="D1812">
        <v>1.81E-3</v>
      </c>
      <c r="E1812">
        <v>0.5</v>
      </c>
      <c r="F1812">
        <v>92772</v>
      </c>
      <c r="G1812">
        <v>168</v>
      </c>
      <c r="H1812">
        <v>92688</v>
      </c>
      <c r="I1812">
        <v>3723586</v>
      </c>
    </row>
    <row r="1813" spans="1:9">
      <c r="A1813" s="2">
        <v>1966</v>
      </c>
      <c r="B1813">
        <v>33</v>
      </c>
      <c r="C1813">
        <v>1.9599999999999999E-3</v>
      </c>
      <c r="D1813">
        <v>1.9499999999999999E-3</v>
      </c>
      <c r="E1813">
        <v>0.5</v>
      </c>
      <c r="F1813">
        <v>92604</v>
      </c>
      <c r="G1813">
        <v>181</v>
      </c>
      <c r="H1813">
        <v>92514</v>
      </c>
      <c r="I1813">
        <v>3630898</v>
      </c>
    </row>
    <row r="1814" spans="1:9">
      <c r="A1814" s="2">
        <v>1966</v>
      </c>
      <c r="B1814">
        <v>34</v>
      </c>
      <c r="C1814">
        <v>2E-3</v>
      </c>
      <c r="D1814">
        <v>2E-3</v>
      </c>
      <c r="E1814">
        <v>0.5</v>
      </c>
      <c r="F1814">
        <v>92423</v>
      </c>
      <c r="G1814">
        <v>185</v>
      </c>
      <c r="H1814">
        <v>92331</v>
      </c>
      <c r="I1814">
        <v>3538384</v>
      </c>
    </row>
    <row r="1815" spans="1:9">
      <c r="A1815" s="2">
        <v>1966</v>
      </c>
      <c r="B1815">
        <v>35</v>
      </c>
      <c r="C1815">
        <v>2.4099999999999998E-3</v>
      </c>
      <c r="D1815">
        <v>2.4099999999999998E-3</v>
      </c>
      <c r="E1815">
        <v>0.5</v>
      </c>
      <c r="F1815">
        <v>92238</v>
      </c>
      <c r="G1815">
        <v>222</v>
      </c>
      <c r="H1815">
        <v>92127</v>
      </c>
      <c r="I1815">
        <v>3446054</v>
      </c>
    </row>
    <row r="1816" spans="1:9">
      <c r="A1816" s="2">
        <v>1966</v>
      </c>
      <c r="B1816">
        <v>36</v>
      </c>
      <c r="C1816">
        <v>2.2899999999999999E-3</v>
      </c>
      <c r="D1816">
        <v>2.2899999999999999E-3</v>
      </c>
      <c r="E1816">
        <v>0.5</v>
      </c>
      <c r="F1816">
        <v>92016</v>
      </c>
      <c r="G1816">
        <v>210</v>
      </c>
      <c r="H1816">
        <v>91911</v>
      </c>
      <c r="I1816">
        <v>3353927</v>
      </c>
    </row>
    <row r="1817" spans="1:9">
      <c r="A1817" s="2">
        <v>1966</v>
      </c>
      <c r="B1817">
        <v>37</v>
      </c>
      <c r="C1817">
        <v>2.64E-3</v>
      </c>
      <c r="D1817">
        <v>2.64E-3</v>
      </c>
      <c r="E1817">
        <v>0.5</v>
      </c>
      <c r="F1817">
        <v>91805</v>
      </c>
      <c r="G1817">
        <v>242</v>
      </c>
      <c r="H1817">
        <v>91684</v>
      </c>
      <c r="I1817">
        <v>3262016</v>
      </c>
    </row>
    <row r="1818" spans="1:9">
      <c r="A1818" s="2">
        <v>1966</v>
      </c>
      <c r="B1818">
        <v>38</v>
      </c>
      <c r="C1818">
        <v>2.66E-3</v>
      </c>
      <c r="D1818">
        <v>2.65E-3</v>
      </c>
      <c r="E1818">
        <v>0.5</v>
      </c>
      <c r="F1818">
        <v>91563</v>
      </c>
      <c r="G1818">
        <v>243</v>
      </c>
      <c r="H1818">
        <v>91442</v>
      </c>
      <c r="I1818">
        <v>3170332</v>
      </c>
    </row>
    <row r="1819" spans="1:9">
      <c r="A1819" s="2">
        <v>1966</v>
      </c>
      <c r="B1819">
        <v>39</v>
      </c>
      <c r="C1819">
        <v>2.7499999999999998E-3</v>
      </c>
      <c r="D1819">
        <v>2.7499999999999998E-3</v>
      </c>
      <c r="E1819">
        <v>0.5</v>
      </c>
      <c r="F1819">
        <v>91320</v>
      </c>
      <c r="G1819">
        <v>251</v>
      </c>
      <c r="H1819">
        <v>91195</v>
      </c>
      <c r="I1819">
        <v>3078890</v>
      </c>
    </row>
    <row r="1820" spans="1:9">
      <c r="A1820" s="2">
        <v>1966</v>
      </c>
      <c r="B1820">
        <v>40</v>
      </c>
      <c r="C1820">
        <v>3.0100000000000001E-3</v>
      </c>
      <c r="D1820">
        <v>3.0100000000000001E-3</v>
      </c>
      <c r="E1820">
        <v>0.5</v>
      </c>
      <c r="F1820">
        <v>91069</v>
      </c>
      <c r="G1820">
        <v>274</v>
      </c>
      <c r="H1820">
        <v>90932</v>
      </c>
      <c r="I1820">
        <v>2987695</v>
      </c>
    </row>
    <row r="1821" spans="1:9">
      <c r="A1821" s="2">
        <v>1966</v>
      </c>
      <c r="B1821">
        <v>41</v>
      </c>
      <c r="C1821">
        <v>3.1900000000000001E-3</v>
      </c>
      <c r="D1821">
        <v>3.1800000000000001E-3</v>
      </c>
      <c r="E1821">
        <v>0.5</v>
      </c>
      <c r="F1821">
        <v>90795</v>
      </c>
      <c r="G1821">
        <v>289</v>
      </c>
      <c r="H1821">
        <v>90651</v>
      </c>
      <c r="I1821">
        <v>2896763</v>
      </c>
    </row>
    <row r="1822" spans="1:9">
      <c r="A1822" s="2">
        <v>1966</v>
      </c>
      <c r="B1822">
        <v>42</v>
      </c>
      <c r="C1822">
        <v>3.2599999999999999E-3</v>
      </c>
      <c r="D1822">
        <v>3.2499999999999999E-3</v>
      </c>
      <c r="E1822">
        <v>0.5</v>
      </c>
      <c r="F1822">
        <v>90507</v>
      </c>
      <c r="G1822">
        <v>294</v>
      </c>
      <c r="H1822">
        <v>90359</v>
      </c>
      <c r="I1822">
        <v>2806112</v>
      </c>
    </row>
    <row r="1823" spans="1:9">
      <c r="A1823" s="2">
        <v>1966</v>
      </c>
      <c r="B1823">
        <v>43</v>
      </c>
      <c r="C1823">
        <v>3.5699999999999998E-3</v>
      </c>
      <c r="D1823">
        <v>3.5599999999999998E-3</v>
      </c>
      <c r="E1823">
        <v>0.5</v>
      </c>
      <c r="F1823">
        <v>90212</v>
      </c>
      <c r="G1823">
        <v>321</v>
      </c>
      <c r="H1823">
        <v>90051</v>
      </c>
      <c r="I1823">
        <v>2715753</v>
      </c>
    </row>
    <row r="1824" spans="1:9">
      <c r="A1824" s="2">
        <v>1966</v>
      </c>
      <c r="B1824">
        <v>44</v>
      </c>
      <c r="C1824">
        <v>3.98E-3</v>
      </c>
      <c r="D1824">
        <v>3.9699999999999996E-3</v>
      </c>
      <c r="E1824">
        <v>0.5</v>
      </c>
      <c r="F1824">
        <v>89891</v>
      </c>
      <c r="G1824">
        <v>357</v>
      </c>
      <c r="H1824">
        <v>89712</v>
      </c>
      <c r="I1824">
        <v>2625701</v>
      </c>
    </row>
    <row r="1825" spans="1:9">
      <c r="A1825" s="2">
        <v>1966</v>
      </c>
      <c r="B1825">
        <v>45</v>
      </c>
      <c r="C1825">
        <v>3.8800000000000002E-3</v>
      </c>
      <c r="D1825">
        <v>3.8800000000000002E-3</v>
      </c>
      <c r="E1825">
        <v>0.5</v>
      </c>
      <c r="F1825">
        <v>89534</v>
      </c>
      <c r="G1825">
        <v>347</v>
      </c>
      <c r="H1825">
        <v>89360</v>
      </c>
      <c r="I1825">
        <v>2535989</v>
      </c>
    </row>
    <row r="1826" spans="1:9">
      <c r="A1826" s="2">
        <v>1966</v>
      </c>
      <c r="B1826">
        <v>46</v>
      </c>
      <c r="C1826">
        <v>4.9800000000000001E-3</v>
      </c>
      <c r="D1826">
        <v>4.9699999999999996E-3</v>
      </c>
      <c r="E1826">
        <v>0.5</v>
      </c>
      <c r="F1826">
        <v>89187</v>
      </c>
      <c r="G1826">
        <v>443</v>
      </c>
      <c r="H1826">
        <v>88965</v>
      </c>
      <c r="I1826">
        <v>2446629</v>
      </c>
    </row>
    <row r="1827" spans="1:9">
      <c r="A1827" s="2">
        <v>1966</v>
      </c>
      <c r="B1827">
        <v>47</v>
      </c>
      <c r="C1827">
        <v>4.4600000000000004E-3</v>
      </c>
      <c r="D1827">
        <v>4.45E-3</v>
      </c>
      <c r="E1827">
        <v>0.5</v>
      </c>
      <c r="F1827">
        <v>88743</v>
      </c>
      <c r="G1827">
        <v>395</v>
      </c>
      <c r="H1827">
        <v>88545</v>
      </c>
      <c r="I1827">
        <v>2357664</v>
      </c>
    </row>
    <row r="1828" spans="1:9">
      <c r="A1828" s="2">
        <v>1966</v>
      </c>
      <c r="B1828">
        <v>48</v>
      </c>
      <c r="C1828">
        <v>6.0400000000000002E-3</v>
      </c>
      <c r="D1828">
        <v>6.0200000000000002E-3</v>
      </c>
      <c r="E1828">
        <v>0.5</v>
      </c>
      <c r="F1828">
        <v>88348</v>
      </c>
      <c r="G1828">
        <v>532</v>
      </c>
      <c r="H1828">
        <v>88082</v>
      </c>
      <c r="I1828">
        <v>2269119</v>
      </c>
    </row>
    <row r="1829" spans="1:9">
      <c r="A1829" s="2">
        <v>1966</v>
      </c>
      <c r="B1829">
        <v>49</v>
      </c>
      <c r="C1829">
        <v>5.8700000000000002E-3</v>
      </c>
      <c r="D1829">
        <v>5.8500000000000002E-3</v>
      </c>
      <c r="E1829">
        <v>0.5</v>
      </c>
      <c r="F1829">
        <v>87816</v>
      </c>
      <c r="G1829">
        <v>514</v>
      </c>
      <c r="H1829">
        <v>87559</v>
      </c>
      <c r="I1829">
        <v>2181037</v>
      </c>
    </row>
    <row r="1830" spans="1:9">
      <c r="A1830" s="2">
        <v>1966</v>
      </c>
      <c r="B1830">
        <v>50</v>
      </c>
      <c r="C1830">
        <v>5.9699999999999996E-3</v>
      </c>
      <c r="D1830">
        <v>5.9500000000000004E-3</v>
      </c>
      <c r="E1830">
        <v>0.5</v>
      </c>
      <c r="F1830">
        <v>87302</v>
      </c>
      <c r="G1830">
        <v>520</v>
      </c>
      <c r="H1830">
        <v>87042</v>
      </c>
      <c r="I1830">
        <v>2093478</v>
      </c>
    </row>
    <row r="1831" spans="1:9">
      <c r="A1831" s="2">
        <v>1966</v>
      </c>
      <c r="B1831">
        <v>51</v>
      </c>
      <c r="C1831">
        <v>7.6699999999999997E-3</v>
      </c>
      <c r="D1831">
        <v>7.6400000000000001E-3</v>
      </c>
      <c r="E1831">
        <v>0.5</v>
      </c>
      <c r="F1831">
        <v>86782</v>
      </c>
      <c r="G1831">
        <v>663</v>
      </c>
      <c r="H1831">
        <v>86450</v>
      </c>
      <c r="I1831">
        <v>2006436</v>
      </c>
    </row>
    <row r="1832" spans="1:9">
      <c r="A1832" s="2">
        <v>1966</v>
      </c>
      <c r="B1832">
        <v>52</v>
      </c>
      <c r="C1832">
        <v>8.3000000000000001E-3</v>
      </c>
      <c r="D1832">
        <v>8.2699999999999996E-3</v>
      </c>
      <c r="E1832">
        <v>0.5</v>
      </c>
      <c r="F1832">
        <v>86119</v>
      </c>
      <c r="G1832">
        <v>712</v>
      </c>
      <c r="H1832">
        <v>85763</v>
      </c>
      <c r="I1832">
        <v>1919986</v>
      </c>
    </row>
    <row r="1833" spans="1:9">
      <c r="A1833" s="2">
        <v>1966</v>
      </c>
      <c r="B1833">
        <v>53</v>
      </c>
      <c r="C1833">
        <v>9.4999999999999998E-3</v>
      </c>
      <c r="D1833">
        <v>9.4500000000000001E-3</v>
      </c>
      <c r="E1833">
        <v>0.5</v>
      </c>
      <c r="F1833">
        <v>85407</v>
      </c>
      <c r="G1833">
        <v>807</v>
      </c>
      <c r="H1833">
        <v>85003</v>
      </c>
      <c r="I1833">
        <v>1834224</v>
      </c>
    </row>
    <row r="1834" spans="1:9">
      <c r="A1834" s="2">
        <v>1966</v>
      </c>
      <c r="B1834">
        <v>54</v>
      </c>
      <c r="C1834">
        <v>1.0319999999999999E-2</v>
      </c>
      <c r="D1834">
        <v>1.027E-2</v>
      </c>
      <c r="E1834">
        <v>0.5</v>
      </c>
      <c r="F1834">
        <v>84599</v>
      </c>
      <c r="G1834">
        <v>869</v>
      </c>
      <c r="H1834">
        <v>84165</v>
      </c>
      <c r="I1834">
        <v>1749221</v>
      </c>
    </row>
    <row r="1835" spans="1:9">
      <c r="A1835" s="2">
        <v>1966</v>
      </c>
      <c r="B1835">
        <v>55</v>
      </c>
      <c r="C1835">
        <v>1.086E-2</v>
      </c>
      <c r="D1835">
        <v>1.081E-2</v>
      </c>
      <c r="E1835">
        <v>0.5</v>
      </c>
      <c r="F1835">
        <v>83730</v>
      </c>
      <c r="G1835">
        <v>905</v>
      </c>
      <c r="H1835">
        <v>83278</v>
      </c>
      <c r="I1835">
        <v>1665056</v>
      </c>
    </row>
    <row r="1836" spans="1:9">
      <c r="A1836" s="2">
        <v>1966</v>
      </c>
      <c r="B1836">
        <v>56</v>
      </c>
      <c r="C1836">
        <v>1.304E-2</v>
      </c>
      <c r="D1836">
        <v>1.2959999999999999E-2</v>
      </c>
      <c r="E1836">
        <v>0.5</v>
      </c>
      <c r="F1836">
        <v>82826</v>
      </c>
      <c r="G1836">
        <v>1073</v>
      </c>
      <c r="H1836">
        <v>82289</v>
      </c>
      <c r="I1836">
        <v>1581778</v>
      </c>
    </row>
    <row r="1837" spans="1:9">
      <c r="A1837" s="2">
        <v>1966</v>
      </c>
      <c r="B1837">
        <v>57</v>
      </c>
      <c r="C1837">
        <v>1.387E-2</v>
      </c>
      <c r="D1837">
        <v>1.3780000000000001E-2</v>
      </c>
      <c r="E1837">
        <v>0.5</v>
      </c>
      <c r="F1837">
        <v>81753</v>
      </c>
      <c r="G1837">
        <v>1126</v>
      </c>
      <c r="H1837">
        <v>81189</v>
      </c>
      <c r="I1837">
        <v>1499489</v>
      </c>
    </row>
    <row r="1838" spans="1:9">
      <c r="A1838" s="2">
        <v>1966</v>
      </c>
      <c r="B1838">
        <v>58</v>
      </c>
      <c r="C1838">
        <v>1.4789999999999999E-2</v>
      </c>
      <c r="D1838">
        <v>1.468E-2</v>
      </c>
      <c r="E1838">
        <v>0.5</v>
      </c>
      <c r="F1838">
        <v>80626</v>
      </c>
      <c r="G1838">
        <v>1184</v>
      </c>
      <c r="H1838">
        <v>80034</v>
      </c>
      <c r="I1838">
        <v>1418299</v>
      </c>
    </row>
    <row r="1839" spans="1:9">
      <c r="A1839" s="2">
        <v>1966</v>
      </c>
      <c r="B1839">
        <v>59</v>
      </c>
      <c r="C1839">
        <v>1.6899999999999998E-2</v>
      </c>
      <c r="D1839">
        <v>1.6760000000000001E-2</v>
      </c>
      <c r="E1839">
        <v>0.5</v>
      </c>
      <c r="F1839">
        <v>79443</v>
      </c>
      <c r="G1839">
        <v>1331</v>
      </c>
      <c r="H1839">
        <v>78777</v>
      </c>
      <c r="I1839">
        <v>1338265</v>
      </c>
    </row>
    <row r="1840" spans="1:9">
      <c r="A1840" s="2">
        <v>1966</v>
      </c>
      <c r="B1840">
        <v>60</v>
      </c>
      <c r="C1840">
        <v>1.7919999999999998E-2</v>
      </c>
      <c r="D1840">
        <v>1.7760000000000001E-2</v>
      </c>
      <c r="E1840">
        <v>0.5</v>
      </c>
      <c r="F1840">
        <v>78111</v>
      </c>
      <c r="G1840">
        <v>1388</v>
      </c>
      <c r="H1840">
        <v>77418</v>
      </c>
      <c r="I1840">
        <v>1259488</v>
      </c>
    </row>
    <row r="1841" spans="1:9">
      <c r="A1841" s="2">
        <v>1966</v>
      </c>
      <c r="B1841">
        <v>61</v>
      </c>
      <c r="C1841">
        <v>2.1700000000000001E-2</v>
      </c>
      <c r="D1841">
        <v>2.147E-2</v>
      </c>
      <c r="E1841">
        <v>0.5</v>
      </c>
      <c r="F1841">
        <v>76724</v>
      </c>
      <c r="G1841">
        <v>1647</v>
      </c>
      <c r="H1841">
        <v>75900</v>
      </c>
      <c r="I1841">
        <v>1182070</v>
      </c>
    </row>
    <row r="1842" spans="1:9">
      <c r="A1842" s="2">
        <v>1966</v>
      </c>
      <c r="B1842">
        <v>62</v>
      </c>
      <c r="C1842">
        <v>2.248E-2</v>
      </c>
      <c r="D1842">
        <v>2.223E-2</v>
      </c>
      <c r="E1842">
        <v>0.5</v>
      </c>
      <c r="F1842">
        <v>75077</v>
      </c>
      <c r="G1842">
        <v>1669</v>
      </c>
      <c r="H1842">
        <v>74242</v>
      </c>
      <c r="I1842">
        <v>1106170</v>
      </c>
    </row>
    <row r="1843" spans="1:9">
      <c r="A1843" s="2">
        <v>1966</v>
      </c>
      <c r="B1843">
        <v>63</v>
      </c>
      <c r="C1843">
        <v>2.615E-2</v>
      </c>
      <c r="D1843">
        <v>2.581E-2</v>
      </c>
      <c r="E1843">
        <v>0.5</v>
      </c>
      <c r="F1843">
        <v>73408</v>
      </c>
      <c r="G1843">
        <v>1895</v>
      </c>
      <c r="H1843">
        <v>72460</v>
      </c>
      <c r="I1843">
        <v>1031927</v>
      </c>
    </row>
    <row r="1844" spans="1:9">
      <c r="A1844" s="2">
        <v>1966</v>
      </c>
      <c r="B1844">
        <v>64</v>
      </c>
      <c r="C1844">
        <v>2.887E-2</v>
      </c>
      <c r="D1844">
        <v>2.8459999999999999E-2</v>
      </c>
      <c r="E1844">
        <v>0.5</v>
      </c>
      <c r="F1844">
        <v>71513</v>
      </c>
      <c r="G1844">
        <v>2035</v>
      </c>
      <c r="H1844">
        <v>70495</v>
      </c>
      <c r="I1844">
        <v>959467</v>
      </c>
    </row>
    <row r="1845" spans="1:9">
      <c r="A1845" s="2">
        <v>1966</v>
      </c>
      <c r="B1845">
        <v>65</v>
      </c>
      <c r="C1845">
        <v>3.1649999999999998E-2</v>
      </c>
      <c r="D1845">
        <v>3.116E-2</v>
      </c>
      <c r="E1845">
        <v>0.5</v>
      </c>
      <c r="F1845">
        <v>69477</v>
      </c>
      <c r="G1845">
        <v>2165</v>
      </c>
      <c r="H1845">
        <v>68395</v>
      </c>
      <c r="I1845">
        <v>888972</v>
      </c>
    </row>
    <row r="1846" spans="1:9">
      <c r="A1846" s="2">
        <v>1966</v>
      </c>
      <c r="B1846">
        <v>66</v>
      </c>
      <c r="C1846">
        <v>3.5490000000000001E-2</v>
      </c>
      <c r="D1846">
        <v>3.4869999999999998E-2</v>
      </c>
      <c r="E1846">
        <v>0.5</v>
      </c>
      <c r="F1846">
        <v>67313</v>
      </c>
      <c r="G1846">
        <v>2347</v>
      </c>
      <c r="H1846">
        <v>66139</v>
      </c>
      <c r="I1846">
        <v>820577</v>
      </c>
    </row>
    <row r="1847" spans="1:9">
      <c r="A1847" s="2">
        <v>1966</v>
      </c>
      <c r="B1847">
        <v>67</v>
      </c>
      <c r="C1847">
        <v>3.7159999999999999E-2</v>
      </c>
      <c r="D1847">
        <v>3.6479999999999999E-2</v>
      </c>
      <c r="E1847">
        <v>0.5</v>
      </c>
      <c r="F1847">
        <v>64965</v>
      </c>
      <c r="G1847">
        <v>2370</v>
      </c>
      <c r="H1847">
        <v>63780</v>
      </c>
      <c r="I1847">
        <v>754438</v>
      </c>
    </row>
    <row r="1848" spans="1:9">
      <c r="A1848" s="2">
        <v>1966</v>
      </c>
      <c r="B1848">
        <v>68</v>
      </c>
      <c r="C1848">
        <v>4.0849999999999997E-2</v>
      </c>
      <c r="D1848">
        <v>4.0030000000000003E-2</v>
      </c>
      <c r="E1848">
        <v>0.5</v>
      </c>
      <c r="F1848">
        <v>62595</v>
      </c>
      <c r="G1848">
        <v>2506</v>
      </c>
      <c r="H1848">
        <v>61342</v>
      </c>
      <c r="I1848">
        <v>690658</v>
      </c>
    </row>
    <row r="1849" spans="1:9">
      <c r="A1849" s="2">
        <v>1966</v>
      </c>
      <c r="B1849">
        <v>69</v>
      </c>
      <c r="C1849">
        <v>4.4609999999999997E-2</v>
      </c>
      <c r="D1849">
        <v>4.3630000000000002E-2</v>
      </c>
      <c r="E1849">
        <v>0.5</v>
      </c>
      <c r="F1849">
        <v>60089</v>
      </c>
      <c r="G1849">
        <v>2622</v>
      </c>
      <c r="H1849">
        <v>58778</v>
      </c>
      <c r="I1849">
        <v>629316</v>
      </c>
    </row>
    <row r="1850" spans="1:9">
      <c r="A1850" s="2">
        <v>1966</v>
      </c>
      <c r="B1850">
        <v>70</v>
      </c>
      <c r="C1850">
        <v>4.8250000000000001E-2</v>
      </c>
      <c r="D1850">
        <v>4.7120000000000002E-2</v>
      </c>
      <c r="E1850">
        <v>0.5</v>
      </c>
      <c r="F1850">
        <v>57467</v>
      </c>
      <c r="G1850">
        <v>2708</v>
      </c>
      <c r="H1850">
        <v>56114</v>
      </c>
      <c r="I1850">
        <v>570538</v>
      </c>
    </row>
    <row r="1851" spans="1:9">
      <c r="A1851" s="2">
        <v>1966</v>
      </c>
      <c r="B1851">
        <v>71</v>
      </c>
      <c r="C1851">
        <v>5.457E-2</v>
      </c>
      <c r="D1851">
        <v>5.3120000000000001E-2</v>
      </c>
      <c r="E1851">
        <v>0.5</v>
      </c>
      <c r="F1851">
        <v>54760</v>
      </c>
      <c r="G1851">
        <v>2909</v>
      </c>
      <c r="H1851">
        <v>53305</v>
      </c>
      <c r="I1851">
        <v>514424</v>
      </c>
    </row>
    <row r="1852" spans="1:9">
      <c r="A1852" s="2">
        <v>1966</v>
      </c>
      <c r="B1852">
        <v>72</v>
      </c>
      <c r="C1852">
        <v>5.8959999999999999E-2</v>
      </c>
      <c r="D1852">
        <v>5.7270000000000001E-2</v>
      </c>
      <c r="E1852">
        <v>0.5</v>
      </c>
      <c r="F1852">
        <v>51851</v>
      </c>
      <c r="G1852">
        <v>2970</v>
      </c>
      <c r="H1852">
        <v>50366</v>
      </c>
      <c r="I1852">
        <v>461119</v>
      </c>
    </row>
    <row r="1853" spans="1:9">
      <c r="A1853" s="2">
        <v>1966</v>
      </c>
      <c r="B1853">
        <v>73</v>
      </c>
      <c r="C1853">
        <v>6.497E-2</v>
      </c>
      <c r="D1853">
        <v>6.293E-2</v>
      </c>
      <c r="E1853">
        <v>0.5</v>
      </c>
      <c r="F1853">
        <v>48881</v>
      </c>
      <c r="G1853">
        <v>3076</v>
      </c>
      <c r="H1853">
        <v>47343</v>
      </c>
      <c r="I1853">
        <v>410752</v>
      </c>
    </row>
    <row r="1854" spans="1:9">
      <c r="A1854" s="2">
        <v>1966</v>
      </c>
      <c r="B1854">
        <v>74</v>
      </c>
      <c r="C1854">
        <v>6.9159999999999999E-2</v>
      </c>
      <c r="D1854">
        <v>6.6839999999999997E-2</v>
      </c>
      <c r="E1854">
        <v>0.5</v>
      </c>
      <c r="F1854">
        <v>45805</v>
      </c>
      <c r="G1854">
        <v>3062</v>
      </c>
      <c r="H1854">
        <v>44275</v>
      </c>
      <c r="I1854">
        <v>363409</v>
      </c>
    </row>
    <row r="1855" spans="1:9">
      <c r="A1855" s="2">
        <v>1966</v>
      </c>
      <c r="B1855">
        <v>75</v>
      </c>
      <c r="C1855">
        <v>7.8140000000000001E-2</v>
      </c>
      <c r="D1855">
        <v>7.5200000000000003E-2</v>
      </c>
      <c r="E1855">
        <v>0.5</v>
      </c>
      <c r="F1855">
        <v>42744</v>
      </c>
      <c r="G1855">
        <v>3214</v>
      </c>
      <c r="H1855">
        <v>41136</v>
      </c>
      <c r="I1855">
        <v>319134</v>
      </c>
    </row>
    <row r="1856" spans="1:9">
      <c r="A1856" s="2">
        <v>1966</v>
      </c>
      <c r="B1856">
        <v>76</v>
      </c>
      <c r="C1856">
        <v>8.4409999999999999E-2</v>
      </c>
      <c r="D1856">
        <v>8.0990000000000006E-2</v>
      </c>
      <c r="E1856">
        <v>0.5</v>
      </c>
      <c r="F1856">
        <v>39529</v>
      </c>
      <c r="G1856">
        <v>3202</v>
      </c>
      <c r="H1856">
        <v>37928</v>
      </c>
      <c r="I1856">
        <v>277998</v>
      </c>
    </row>
    <row r="1857" spans="1:9">
      <c r="A1857" s="2">
        <v>1966</v>
      </c>
      <c r="B1857">
        <v>77</v>
      </c>
      <c r="C1857">
        <v>9.1209999999999999E-2</v>
      </c>
      <c r="D1857">
        <v>8.7239999999999998E-2</v>
      </c>
      <c r="E1857">
        <v>0.5</v>
      </c>
      <c r="F1857">
        <v>36328</v>
      </c>
      <c r="G1857">
        <v>3169</v>
      </c>
      <c r="H1857">
        <v>34743</v>
      </c>
      <c r="I1857">
        <v>240069</v>
      </c>
    </row>
    <row r="1858" spans="1:9">
      <c r="A1858" s="2">
        <v>1966</v>
      </c>
      <c r="B1858">
        <v>78</v>
      </c>
      <c r="C1858">
        <v>0.10365000000000001</v>
      </c>
      <c r="D1858">
        <v>9.8540000000000003E-2</v>
      </c>
      <c r="E1858">
        <v>0.5</v>
      </c>
      <c r="F1858">
        <v>33159</v>
      </c>
      <c r="G1858">
        <v>3268</v>
      </c>
      <c r="H1858">
        <v>31525</v>
      </c>
      <c r="I1858">
        <v>205326</v>
      </c>
    </row>
    <row r="1859" spans="1:9">
      <c r="A1859" s="2">
        <v>1966</v>
      </c>
      <c r="B1859">
        <v>79</v>
      </c>
      <c r="C1859">
        <v>0.11441</v>
      </c>
      <c r="D1859">
        <v>0.10822</v>
      </c>
      <c r="E1859">
        <v>0.5</v>
      </c>
      <c r="F1859">
        <v>29891</v>
      </c>
      <c r="G1859">
        <v>3235</v>
      </c>
      <c r="H1859">
        <v>28274</v>
      </c>
      <c r="I1859">
        <v>173802</v>
      </c>
    </row>
    <row r="1860" spans="1:9">
      <c r="A1860" s="2">
        <v>1966</v>
      </c>
      <c r="B1860">
        <v>80</v>
      </c>
      <c r="C1860">
        <v>0.12545000000000001</v>
      </c>
      <c r="D1860">
        <v>0.11804000000000001</v>
      </c>
      <c r="E1860">
        <v>0.5</v>
      </c>
      <c r="F1860">
        <v>26656</v>
      </c>
      <c r="G1860">
        <v>3147</v>
      </c>
      <c r="H1860">
        <v>25083</v>
      </c>
      <c r="I1860">
        <v>145528</v>
      </c>
    </row>
    <row r="1861" spans="1:9">
      <c r="A1861" s="2">
        <v>1966</v>
      </c>
      <c r="B1861">
        <v>81</v>
      </c>
      <c r="C1861">
        <v>0.14000000000000001</v>
      </c>
      <c r="D1861">
        <v>0.13084000000000001</v>
      </c>
      <c r="E1861">
        <v>0.5</v>
      </c>
      <c r="F1861">
        <v>23510</v>
      </c>
      <c r="G1861">
        <v>3076</v>
      </c>
      <c r="H1861">
        <v>21972</v>
      </c>
      <c r="I1861">
        <v>120445</v>
      </c>
    </row>
    <row r="1862" spans="1:9">
      <c r="A1862" s="2">
        <v>1966</v>
      </c>
      <c r="B1862">
        <v>82</v>
      </c>
      <c r="C1862">
        <v>0.14854000000000001</v>
      </c>
      <c r="D1862">
        <v>0.13827</v>
      </c>
      <c r="E1862">
        <v>0.5</v>
      </c>
      <c r="F1862">
        <v>20433</v>
      </c>
      <c r="G1862">
        <v>2825</v>
      </c>
      <c r="H1862">
        <v>19021</v>
      </c>
      <c r="I1862">
        <v>98474</v>
      </c>
    </row>
    <row r="1863" spans="1:9">
      <c r="A1863" s="2">
        <v>1966</v>
      </c>
      <c r="B1863">
        <v>83</v>
      </c>
      <c r="C1863">
        <v>0.16703000000000001</v>
      </c>
      <c r="D1863">
        <v>0.15415000000000001</v>
      </c>
      <c r="E1863">
        <v>0.5</v>
      </c>
      <c r="F1863">
        <v>17608</v>
      </c>
      <c r="G1863">
        <v>2714</v>
      </c>
      <c r="H1863">
        <v>16251</v>
      </c>
      <c r="I1863">
        <v>79453</v>
      </c>
    </row>
    <row r="1864" spans="1:9">
      <c r="A1864" s="2">
        <v>1966</v>
      </c>
      <c r="B1864">
        <v>84</v>
      </c>
      <c r="C1864">
        <v>0.17807000000000001</v>
      </c>
      <c r="D1864">
        <v>0.16350999999999999</v>
      </c>
      <c r="E1864">
        <v>0.5</v>
      </c>
      <c r="F1864">
        <v>14894</v>
      </c>
      <c r="G1864">
        <v>2435</v>
      </c>
      <c r="H1864">
        <v>13676</v>
      </c>
      <c r="I1864">
        <v>63202</v>
      </c>
    </row>
    <row r="1865" spans="1:9">
      <c r="A1865" s="2">
        <v>1966</v>
      </c>
      <c r="B1865">
        <v>85</v>
      </c>
      <c r="C1865">
        <v>0.19164999999999999</v>
      </c>
      <c r="D1865">
        <v>0.17488999999999999</v>
      </c>
      <c r="E1865">
        <v>0.5</v>
      </c>
      <c r="F1865">
        <v>12458</v>
      </c>
      <c r="G1865">
        <v>2179</v>
      </c>
      <c r="H1865">
        <v>11369</v>
      </c>
      <c r="I1865">
        <v>49526</v>
      </c>
    </row>
    <row r="1866" spans="1:9">
      <c r="A1866" s="2">
        <v>1966</v>
      </c>
      <c r="B1866">
        <v>86</v>
      </c>
      <c r="C1866">
        <v>0.22441</v>
      </c>
      <c r="D1866">
        <v>0.20177</v>
      </c>
      <c r="E1866">
        <v>0.5</v>
      </c>
      <c r="F1866">
        <v>10280</v>
      </c>
      <c r="G1866">
        <v>2074</v>
      </c>
      <c r="H1866">
        <v>9242</v>
      </c>
      <c r="I1866">
        <v>38157</v>
      </c>
    </row>
    <row r="1867" spans="1:9">
      <c r="A1867" s="2">
        <v>1966</v>
      </c>
      <c r="B1867">
        <v>87</v>
      </c>
      <c r="C1867">
        <v>0.22076999999999999</v>
      </c>
      <c r="D1867">
        <v>0.19882</v>
      </c>
      <c r="E1867">
        <v>0.5</v>
      </c>
      <c r="F1867">
        <v>8205</v>
      </c>
      <c r="G1867">
        <v>1631</v>
      </c>
      <c r="H1867">
        <v>7390</v>
      </c>
      <c r="I1867">
        <v>28914</v>
      </c>
    </row>
    <row r="1868" spans="1:9">
      <c r="A1868" s="2">
        <v>1966</v>
      </c>
      <c r="B1868">
        <v>88</v>
      </c>
      <c r="C1868">
        <v>0.23374</v>
      </c>
      <c r="D1868">
        <v>0.20927999999999999</v>
      </c>
      <c r="E1868">
        <v>0.5</v>
      </c>
      <c r="F1868">
        <v>6574</v>
      </c>
      <c r="G1868">
        <v>1376</v>
      </c>
      <c r="H1868">
        <v>5886</v>
      </c>
      <c r="I1868">
        <v>21525</v>
      </c>
    </row>
    <row r="1869" spans="1:9">
      <c r="A1869" s="2">
        <v>1966</v>
      </c>
      <c r="B1869">
        <v>89</v>
      </c>
      <c r="C1869">
        <v>0.29693999999999998</v>
      </c>
      <c r="D1869">
        <v>0.25855</v>
      </c>
      <c r="E1869">
        <v>0.5</v>
      </c>
      <c r="F1869">
        <v>5198</v>
      </c>
      <c r="G1869">
        <v>1344</v>
      </c>
      <c r="H1869">
        <v>4526</v>
      </c>
      <c r="I1869">
        <v>15639</v>
      </c>
    </row>
    <row r="1870" spans="1:9">
      <c r="A1870" s="2">
        <v>1966</v>
      </c>
      <c r="B1870">
        <v>90</v>
      </c>
      <c r="C1870">
        <v>0.28064</v>
      </c>
      <c r="D1870">
        <v>0.24611</v>
      </c>
      <c r="E1870">
        <v>0.5</v>
      </c>
      <c r="F1870">
        <v>3854</v>
      </c>
      <c r="G1870">
        <v>949</v>
      </c>
      <c r="H1870">
        <v>3380</v>
      </c>
      <c r="I1870">
        <v>11112</v>
      </c>
    </row>
    <row r="1871" spans="1:9">
      <c r="A1871" s="2">
        <v>1966</v>
      </c>
      <c r="B1871">
        <v>91</v>
      </c>
      <c r="C1871">
        <v>0.29570999999999997</v>
      </c>
      <c r="D1871">
        <v>0.25762000000000002</v>
      </c>
      <c r="E1871">
        <v>0.5</v>
      </c>
      <c r="F1871">
        <v>2906</v>
      </c>
      <c r="G1871">
        <v>749</v>
      </c>
      <c r="H1871">
        <v>2531</v>
      </c>
      <c r="I1871">
        <v>7732</v>
      </c>
    </row>
    <row r="1872" spans="1:9">
      <c r="A1872" s="2">
        <v>1966</v>
      </c>
      <c r="B1872">
        <v>92</v>
      </c>
      <c r="C1872">
        <v>0.39248</v>
      </c>
      <c r="D1872">
        <v>0.32808999999999999</v>
      </c>
      <c r="E1872">
        <v>0.5</v>
      </c>
      <c r="F1872">
        <v>2157</v>
      </c>
      <c r="G1872">
        <v>708</v>
      </c>
      <c r="H1872">
        <v>1803</v>
      </c>
      <c r="I1872">
        <v>5201</v>
      </c>
    </row>
    <row r="1873" spans="1:9">
      <c r="A1873" s="2">
        <v>1966</v>
      </c>
      <c r="B1873">
        <v>93</v>
      </c>
      <c r="C1873">
        <v>0.40991</v>
      </c>
      <c r="D1873">
        <v>0.34018999999999999</v>
      </c>
      <c r="E1873">
        <v>0.5</v>
      </c>
      <c r="F1873">
        <v>1449</v>
      </c>
      <c r="G1873">
        <v>493</v>
      </c>
      <c r="H1873">
        <v>1203</v>
      </c>
      <c r="I1873">
        <v>3398</v>
      </c>
    </row>
    <row r="1874" spans="1:9">
      <c r="A1874" s="2">
        <v>1966</v>
      </c>
      <c r="B1874">
        <v>94</v>
      </c>
      <c r="C1874">
        <v>0.39369999999999999</v>
      </c>
      <c r="D1874">
        <v>0.32895000000000002</v>
      </c>
      <c r="E1874">
        <v>0.5</v>
      </c>
      <c r="F1874">
        <v>956</v>
      </c>
      <c r="G1874">
        <v>315</v>
      </c>
      <c r="H1874">
        <v>799</v>
      </c>
      <c r="I1874">
        <v>2195</v>
      </c>
    </row>
    <row r="1875" spans="1:9">
      <c r="A1875" s="2">
        <v>1966</v>
      </c>
      <c r="B1875">
        <v>95</v>
      </c>
      <c r="C1875">
        <v>0.41981000000000002</v>
      </c>
      <c r="D1875">
        <v>0.34698000000000001</v>
      </c>
      <c r="E1875">
        <v>0.5</v>
      </c>
      <c r="F1875">
        <v>642</v>
      </c>
      <c r="G1875">
        <v>223</v>
      </c>
      <c r="H1875">
        <v>530</v>
      </c>
      <c r="I1875">
        <v>1396</v>
      </c>
    </row>
    <row r="1876" spans="1:9">
      <c r="A1876" s="2">
        <v>1966</v>
      </c>
      <c r="B1876">
        <v>96</v>
      </c>
      <c r="C1876">
        <v>0.44638</v>
      </c>
      <c r="D1876">
        <v>0.36492999999999998</v>
      </c>
      <c r="E1876">
        <v>0.5</v>
      </c>
      <c r="F1876">
        <v>419</v>
      </c>
      <c r="G1876">
        <v>153</v>
      </c>
      <c r="H1876">
        <v>343</v>
      </c>
      <c r="I1876">
        <v>866</v>
      </c>
    </row>
    <row r="1877" spans="1:9">
      <c r="A1877" s="2">
        <v>1966</v>
      </c>
      <c r="B1877">
        <v>97</v>
      </c>
      <c r="C1877">
        <v>0.47326000000000001</v>
      </c>
      <c r="D1877">
        <v>0.38269999999999998</v>
      </c>
      <c r="E1877">
        <v>0.5</v>
      </c>
      <c r="F1877">
        <v>266</v>
      </c>
      <c r="G1877">
        <v>102</v>
      </c>
      <c r="H1877">
        <v>215</v>
      </c>
      <c r="I1877">
        <v>523</v>
      </c>
    </row>
    <row r="1878" spans="1:9">
      <c r="A1878" s="2">
        <v>1966</v>
      </c>
      <c r="B1878">
        <v>98</v>
      </c>
      <c r="C1878">
        <v>0.50029999999999997</v>
      </c>
      <c r="D1878">
        <v>0.40018999999999999</v>
      </c>
      <c r="E1878">
        <v>0.5</v>
      </c>
      <c r="F1878">
        <v>164</v>
      </c>
      <c r="G1878">
        <v>66</v>
      </c>
      <c r="H1878">
        <v>131</v>
      </c>
      <c r="I1878">
        <v>308</v>
      </c>
    </row>
    <row r="1879" spans="1:9">
      <c r="A1879" s="2">
        <v>1966</v>
      </c>
      <c r="B1879">
        <v>99</v>
      </c>
      <c r="C1879">
        <v>0.52732999999999997</v>
      </c>
      <c r="D1879">
        <v>0.41731000000000001</v>
      </c>
      <c r="E1879">
        <v>0.5</v>
      </c>
      <c r="F1879">
        <v>99</v>
      </c>
      <c r="G1879">
        <v>41</v>
      </c>
      <c r="H1879">
        <v>78</v>
      </c>
      <c r="I1879">
        <v>176</v>
      </c>
    </row>
    <row r="1880" spans="1:9">
      <c r="A1880" s="2">
        <v>1966</v>
      </c>
      <c r="B1880">
        <v>100</v>
      </c>
      <c r="C1880">
        <v>0.55420999999999998</v>
      </c>
      <c r="D1880">
        <v>0.43396000000000001</v>
      </c>
      <c r="E1880">
        <v>0.5</v>
      </c>
      <c r="F1880">
        <v>57</v>
      </c>
      <c r="G1880">
        <v>25</v>
      </c>
      <c r="H1880">
        <v>45</v>
      </c>
      <c r="I1880">
        <v>98</v>
      </c>
    </row>
    <row r="1881" spans="1:9">
      <c r="A1881" s="2">
        <v>1966</v>
      </c>
      <c r="B1881">
        <v>101</v>
      </c>
      <c r="C1881">
        <v>0.58077000000000001</v>
      </c>
      <c r="D1881">
        <v>0.45007999999999998</v>
      </c>
      <c r="E1881">
        <v>0.5</v>
      </c>
      <c r="F1881">
        <v>33</v>
      </c>
      <c r="G1881">
        <v>15</v>
      </c>
      <c r="H1881">
        <v>25</v>
      </c>
      <c r="I1881">
        <v>53</v>
      </c>
    </row>
    <row r="1882" spans="1:9">
      <c r="A1882" s="2">
        <v>1966</v>
      </c>
      <c r="B1882">
        <v>102</v>
      </c>
      <c r="C1882">
        <v>0.60687000000000002</v>
      </c>
      <c r="D1882">
        <v>0.46560000000000001</v>
      </c>
      <c r="E1882">
        <v>0.5</v>
      </c>
      <c r="F1882">
        <v>18</v>
      </c>
      <c r="G1882">
        <v>8</v>
      </c>
      <c r="H1882">
        <v>14</v>
      </c>
      <c r="I1882">
        <v>28</v>
      </c>
    </row>
    <row r="1883" spans="1:9">
      <c r="A1883" s="2">
        <v>1966</v>
      </c>
      <c r="B1883">
        <v>103</v>
      </c>
      <c r="C1883">
        <v>0.63238000000000005</v>
      </c>
      <c r="D1883">
        <v>0.48046</v>
      </c>
      <c r="E1883">
        <v>0.5</v>
      </c>
      <c r="F1883">
        <v>10</v>
      </c>
      <c r="G1883">
        <v>5</v>
      </c>
      <c r="H1883">
        <v>7</v>
      </c>
      <c r="I1883">
        <v>15</v>
      </c>
    </row>
    <row r="1884" spans="1:9">
      <c r="A1884" s="2">
        <v>1966</v>
      </c>
      <c r="B1884">
        <v>104</v>
      </c>
      <c r="C1884">
        <v>0.65717000000000003</v>
      </c>
      <c r="D1884">
        <v>0.49464000000000002</v>
      </c>
      <c r="E1884">
        <v>0.5</v>
      </c>
      <c r="F1884">
        <v>5</v>
      </c>
      <c r="G1884">
        <v>2</v>
      </c>
      <c r="H1884">
        <v>4</v>
      </c>
      <c r="I1884">
        <v>7</v>
      </c>
    </row>
    <row r="1885" spans="1:9">
      <c r="A1885" s="2">
        <v>1966</v>
      </c>
      <c r="B1885">
        <v>105</v>
      </c>
      <c r="C1885">
        <v>0.68111999999999995</v>
      </c>
      <c r="D1885">
        <v>0.50809000000000004</v>
      </c>
      <c r="E1885">
        <v>0.5</v>
      </c>
      <c r="F1885">
        <v>3</v>
      </c>
      <c r="G1885">
        <v>1</v>
      </c>
      <c r="H1885">
        <v>2</v>
      </c>
      <c r="I1885">
        <v>4</v>
      </c>
    </row>
    <row r="1886" spans="1:9">
      <c r="A1886" s="2">
        <v>1966</v>
      </c>
      <c r="B1886">
        <v>106</v>
      </c>
      <c r="C1886">
        <v>0.70416000000000001</v>
      </c>
      <c r="D1886">
        <v>0.52080000000000004</v>
      </c>
      <c r="E1886">
        <v>0.5</v>
      </c>
      <c r="F1886">
        <v>1</v>
      </c>
      <c r="G1886">
        <v>1</v>
      </c>
      <c r="H1886">
        <v>1</v>
      </c>
      <c r="I1886">
        <v>2</v>
      </c>
    </row>
    <row r="1887" spans="1:9">
      <c r="A1887" s="2">
        <v>1966</v>
      </c>
      <c r="B1887">
        <v>107</v>
      </c>
      <c r="C1887">
        <v>0.72619999999999996</v>
      </c>
      <c r="D1887">
        <v>0.53276000000000001</v>
      </c>
      <c r="E1887">
        <v>0.5</v>
      </c>
      <c r="F1887">
        <v>1</v>
      </c>
      <c r="G1887">
        <v>0</v>
      </c>
      <c r="H1887">
        <v>0</v>
      </c>
      <c r="I1887">
        <v>1</v>
      </c>
    </row>
    <row r="1888" spans="1:9">
      <c r="A1888" s="2">
        <v>1966</v>
      </c>
      <c r="B1888">
        <v>108</v>
      </c>
      <c r="C1888">
        <v>0.74719000000000002</v>
      </c>
      <c r="D1888">
        <v>0.54396999999999995</v>
      </c>
      <c r="E1888">
        <v>0.5</v>
      </c>
      <c r="F1888">
        <v>0</v>
      </c>
      <c r="G1888">
        <v>0</v>
      </c>
      <c r="H1888">
        <v>0</v>
      </c>
      <c r="I1888">
        <v>0</v>
      </c>
    </row>
    <row r="1889" spans="1:9">
      <c r="A1889" s="2">
        <v>1966</v>
      </c>
      <c r="B1889">
        <v>109</v>
      </c>
      <c r="C1889">
        <v>0.76709000000000005</v>
      </c>
      <c r="D1889">
        <v>0.55444000000000004</v>
      </c>
      <c r="E1889">
        <v>0.5</v>
      </c>
      <c r="F1889">
        <v>0</v>
      </c>
      <c r="G1889">
        <v>0</v>
      </c>
      <c r="H1889">
        <v>0</v>
      </c>
      <c r="I1889">
        <v>0</v>
      </c>
    </row>
    <row r="1890" spans="1:9">
      <c r="A1890" s="2">
        <v>1966</v>
      </c>
      <c r="B1890" t="s">
        <v>26</v>
      </c>
      <c r="C1890">
        <v>0.78586999999999996</v>
      </c>
      <c r="D1890">
        <v>1</v>
      </c>
      <c r="E1890" s="3" t="s">
        <v>37</v>
      </c>
      <c r="F1890">
        <v>0</v>
      </c>
      <c r="G1890">
        <v>0</v>
      </c>
      <c r="H1890">
        <v>0</v>
      </c>
      <c r="I1890">
        <v>0</v>
      </c>
    </row>
    <row r="1891" spans="1:9">
      <c r="A1891" s="2">
        <v>1967</v>
      </c>
      <c r="B1891">
        <v>0</v>
      </c>
      <c r="C1891">
        <v>4.403E-2</v>
      </c>
      <c r="D1891">
        <v>4.2479999999999997E-2</v>
      </c>
      <c r="E1891">
        <v>0.17</v>
      </c>
      <c r="F1891">
        <v>100000</v>
      </c>
      <c r="G1891">
        <v>4248</v>
      </c>
      <c r="H1891">
        <v>96482</v>
      </c>
      <c r="I1891">
        <v>6684628</v>
      </c>
    </row>
    <row r="1892" spans="1:9">
      <c r="A1892" s="2">
        <v>1967</v>
      </c>
      <c r="B1892">
        <v>1</v>
      </c>
      <c r="C1892">
        <v>2.3600000000000001E-3</v>
      </c>
      <c r="D1892">
        <v>2.3600000000000001E-3</v>
      </c>
      <c r="E1892">
        <v>0.5</v>
      </c>
      <c r="F1892">
        <v>95752</v>
      </c>
      <c r="G1892">
        <v>226</v>
      </c>
      <c r="H1892">
        <v>95639</v>
      </c>
      <c r="I1892">
        <v>6588146</v>
      </c>
    </row>
    <row r="1893" spans="1:9">
      <c r="A1893" s="2">
        <v>1967</v>
      </c>
      <c r="B1893">
        <v>2</v>
      </c>
      <c r="C1893">
        <v>1.2099999999999999E-3</v>
      </c>
      <c r="D1893">
        <v>1.2099999999999999E-3</v>
      </c>
      <c r="E1893">
        <v>0.5</v>
      </c>
      <c r="F1893">
        <v>95526</v>
      </c>
      <c r="G1893">
        <v>116</v>
      </c>
      <c r="H1893">
        <v>95468</v>
      </c>
      <c r="I1893">
        <v>6492507</v>
      </c>
    </row>
    <row r="1894" spans="1:9">
      <c r="A1894" s="2">
        <v>1967</v>
      </c>
      <c r="B1894">
        <v>3</v>
      </c>
      <c r="C1894">
        <v>7.2000000000000005E-4</v>
      </c>
      <c r="D1894">
        <v>7.2000000000000005E-4</v>
      </c>
      <c r="E1894">
        <v>0.5</v>
      </c>
      <c r="F1894">
        <v>95410</v>
      </c>
      <c r="G1894">
        <v>69</v>
      </c>
      <c r="H1894">
        <v>95376</v>
      </c>
      <c r="I1894">
        <v>6397039</v>
      </c>
    </row>
    <row r="1895" spans="1:9">
      <c r="A1895" s="2">
        <v>1967</v>
      </c>
      <c r="B1895">
        <v>4</v>
      </c>
      <c r="C1895">
        <v>7.5000000000000002E-4</v>
      </c>
      <c r="D1895">
        <v>7.5000000000000002E-4</v>
      </c>
      <c r="E1895">
        <v>0.5</v>
      </c>
      <c r="F1895">
        <v>95342</v>
      </c>
      <c r="G1895">
        <v>72</v>
      </c>
      <c r="H1895">
        <v>95306</v>
      </c>
      <c r="I1895">
        <v>6301663</v>
      </c>
    </row>
    <row r="1896" spans="1:9">
      <c r="A1896" s="2">
        <v>1967</v>
      </c>
      <c r="B1896">
        <v>5</v>
      </c>
      <c r="C1896">
        <v>5.2999999999999998E-4</v>
      </c>
      <c r="D1896">
        <v>5.2999999999999998E-4</v>
      </c>
      <c r="E1896">
        <v>0.5</v>
      </c>
      <c r="F1896">
        <v>95270</v>
      </c>
      <c r="G1896">
        <v>51</v>
      </c>
      <c r="H1896">
        <v>95245</v>
      </c>
      <c r="I1896">
        <v>6206357</v>
      </c>
    </row>
    <row r="1897" spans="1:9">
      <c r="A1897" s="2">
        <v>1967</v>
      </c>
      <c r="B1897">
        <v>6</v>
      </c>
      <c r="C1897">
        <v>5.9000000000000003E-4</v>
      </c>
      <c r="D1897">
        <v>5.9000000000000003E-4</v>
      </c>
      <c r="E1897">
        <v>0.5</v>
      </c>
      <c r="F1897">
        <v>95219</v>
      </c>
      <c r="G1897">
        <v>56</v>
      </c>
      <c r="H1897">
        <v>95191</v>
      </c>
      <c r="I1897">
        <v>6111113</v>
      </c>
    </row>
    <row r="1898" spans="1:9">
      <c r="A1898" s="2">
        <v>1967</v>
      </c>
      <c r="B1898">
        <v>7</v>
      </c>
      <c r="C1898">
        <v>4.6000000000000001E-4</v>
      </c>
      <c r="D1898">
        <v>4.6000000000000001E-4</v>
      </c>
      <c r="E1898">
        <v>0.5</v>
      </c>
      <c r="F1898">
        <v>95164</v>
      </c>
      <c r="G1898">
        <v>43</v>
      </c>
      <c r="H1898">
        <v>95142</v>
      </c>
      <c r="I1898">
        <v>6015921</v>
      </c>
    </row>
    <row r="1899" spans="1:9">
      <c r="A1899" s="2">
        <v>1967</v>
      </c>
      <c r="B1899">
        <v>8</v>
      </c>
      <c r="C1899">
        <v>4.0000000000000002E-4</v>
      </c>
      <c r="D1899">
        <v>4.0000000000000002E-4</v>
      </c>
      <c r="E1899">
        <v>0.5</v>
      </c>
      <c r="F1899">
        <v>95120</v>
      </c>
      <c r="G1899">
        <v>38</v>
      </c>
      <c r="H1899">
        <v>95101</v>
      </c>
      <c r="I1899">
        <v>5920779</v>
      </c>
    </row>
    <row r="1900" spans="1:9">
      <c r="A1900" s="2">
        <v>1967</v>
      </c>
      <c r="B1900">
        <v>9</v>
      </c>
      <c r="C1900">
        <v>3.8000000000000002E-4</v>
      </c>
      <c r="D1900">
        <v>3.8000000000000002E-4</v>
      </c>
      <c r="E1900">
        <v>0.5</v>
      </c>
      <c r="F1900">
        <v>95082</v>
      </c>
      <c r="G1900">
        <v>36</v>
      </c>
      <c r="H1900">
        <v>95064</v>
      </c>
      <c r="I1900">
        <v>5825678</v>
      </c>
    </row>
    <row r="1901" spans="1:9">
      <c r="A1901" s="2">
        <v>1967</v>
      </c>
      <c r="B1901">
        <v>10</v>
      </c>
      <c r="C1901">
        <v>4.2999999999999999E-4</v>
      </c>
      <c r="D1901">
        <v>4.2999999999999999E-4</v>
      </c>
      <c r="E1901">
        <v>0.5</v>
      </c>
      <c r="F1901">
        <v>95046</v>
      </c>
      <c r="G1901">
        <v>41</v>
      </c>
      <c r="H1901">
        <v>95026</v>
      </c>
      <c r="I1901">
        <v>5730614</v>
      </c>
    </row>
    <row r="1902" spans="1:9">
      <c r="A1902" s="2">
        <v>1967</v>
      </c>
      <c r="B1902">
        <v>11</v>
      </c>
      <c r="C1902">
        <v>5.9000000000000003E-4</v>
      </c>
      <c r="D1902">
        <v>5.9000000000000003E-4</v>
      </c>
      <c r="E1902">
        <v>0.5</v>
      </c>
      <c r="F1902">
        <v>95005</v>
      </c>
      <c r="G1902">
        <v>56</v>
      </c>
      <c r="H1902">
        <v>94977</v>
      </c>
      <c r="I1902">
        <v>5635588</v>
      </c>
    </row>
    <row r="1903" spans="1:9">
      <c r="A1903" s="2">
        <v>1967</v>
      </c>
      <c r="B1903">
        <v>12</v>
      </c>
      <c r="C1903">
        <v>3.8000000000000002E-4</v>
      </c>
      <c r="D1903">
        <v>3.8000000000000002E-4</v>
      </c>
      <c r="E1903">
        <v>0.5</v>
      </c>
      <c r="F1903">
        <v>94949</v>
      </c>
      <c r="G1903">
        <v>36</v>
      </c>
      <c r="H1903">
        <v>94931</v>
      </c>
      <c r="I1903">
        <v>5540611</v>
      </c>
    </row>
    <row r="1904" spans="1:9">
      <c r="A1904" s="2">
        <v>1967</v>
      </c>
      <c r="B1904">
        <v>13</v>
      </c>
      <c r="C1904">
        <v>5.0000000000000001E-4</v>
      </c>
      <c r="D1904">
        <v>5.0000000000000001E-4</v>
      </c>
      <c r="E1904">
        <v>0.5</v>
      </c>
      <c r="F1904">
        <v>94913</v>
      </c>
      <c r="G1904">
        <v>48</v>
      </c>
      <c r="H1904">
        <v>94889</v>
      </c>
      <c r="I1904">
        <v>5445680</v>
      </c>
    </row>
    <row r="1905" spans="1:9">
      <c r="A1905" s="2">
        <v>1967</v>
      </c>
      <c r="B1905">
        <v>14</v>
      </c>
      <c r="C1905">
        <v>4.2999999999999999E-4</v>
      </c>
      <c r="D1905">
        <v>4.2999999999999999E-4</v>
      </c>
      <c r="E1905">
        <v>0.5</v>
      </c>
      <c r="F1905">
        <v>94865</v>
      </c>
      <c r="G1905">
        <v>41</v>
      </c>
      <c r="H1905">
        <v>94845</v>
      </c>
      <c r="I1905">
        <v>5350790</v>
      </c>
    </row>
    <row r="1906" spans="1:9">
      <c r="A1906" s="2">
        <v>1967</v>
      </c>
      <c r="B1906">
        <v>15</v>
      </c>
      <c r="C1906">
        <v>7.5000000000000002E-4</v>
      </c>
      <c r="D1906">
        <v>7.5000000000000002E-4</v>
      </c>
      <c r="E1906">
        <v>0.5</v>
      </c>
      <c r="F1906">
        <v>94825</v>
      </c>
      <c r="G1906">
        <v>71</v>
      </c>
      <c r="H1906">
        <v>94789</v>
      </c>
      <c r="I1906">
        <v>5255945</v>
      </c>
    </row>
    <row r="1907" spans="1:9">
      <c r="A1907" s="2">
        <v>1967</v>
      </c>
      <c r="B1907">
        <v>16</v>
      </c>
      <c r="C1907">
        <v>8.7000000000000001E-4</v>
      </c>
      <c r="D1907">
        <v>8.7000000000000001E-4</v>
      </c>
      <c r="E1907">
        <v>0.5</v>
      </c>
      <c r="F1907">
        <v>94754</v>
      </c>
      <c r="G1907">
        <v>83</v>
      </c>
      <c r="H1907">
        <v>94712</v>
      </c>
      <c r="I1907">
        <v>5161156</v>
      </c>
    </row>
    <row r="1908" spans="1:9">
      <c r="A1908" s="2">
        <v>1967</v>
      </c>
      <c r="B1908">
        <v>17</v>
      </c>
      <c r="C1908">
        <v>1.0200000000000001E-3</v>
      </c>
      <c r="D1908">
        <v>1.0200000000000001E-3</v>
      </c>
      <c r="E1908">
        <v>0.5</v>
      </c>
      <c r="F1908">
        <v>94671</v>
      </c>
      <c r="G1908">
        <v>96</v>
      </c>
      <c r="H1908">
        <v>94623</v>
      </c>
      <c r="I1908">
        <v>5066444</v>
      </c>
    </row>
    <row r="1909" spans="1:9">
      <c r="A1909" s="2">
        <v>1967</v>
      </c>
      <c r="B1909">
        <v>18</v>
      </c>
      <c r="C1909">
        <v>1.0300000000000001E-3</v>
      </c>
      <c r="D1909">
        <v>1.0300000000000001E-3</v>
      </c>
      <c r="E1909">
        <v>0.5</v>
      </c>
      <c r="F1909">
        <v>94575</v>
      </c>
      <c r="G1909">
        <v>97</v>
      </c>
      <c r="H1909">
        <v>94526</v>
      </c>
      <c r="I1909">
        <v>4971821</v>
      </c>
    </row>
    <row r="1910" spans="1:9">
      <c r="A1910" s="2">
        <v>1967</v>
      </c>
      <c r="B1910">
        <v>19</v>
      </c>
      <c r="C1910">
        <v>1.4400000000000001E-3</v>
      </c>
      <c r="D1910">
        <v>1.4400000000000001E-3</v>
      </c>
      <c r="E1910">
        <v>0.5</v>
      </c>
      <c r="F1910">
        <v>94477</v>
      </c>
      <c r="G1910">
        <v>136</v>
      </c>
      <c r="H1910">
        <v>94409</v>
      </c>
      <c r="I1910">
        <v>4877295</v>
      </c>
    </row>
    <row r="1911" spans="1:9">
      <c r="A1911" s="2">
        <v>1967</v>
      </c>
      <c r="B1911">
        <v>20</v>
      </c>
      <c r="C1911">
        <v>1.2600000000000001E-3</v>
      </c>
      <c r="D1911">
        <v>1.2600000000000001E-3</v>
      </c>
      <c r="E1911">
        <v>0.5</v>
      </c>
      <c r="F1911">
        <v>94341</v>
      </c>
      <c r="G1911">
        <v>119</v>
      </c>
      <c r="H1911">
        <v>94282</v>
      </c>
      <c r="I1911">
        <v>4782886</v>
      </c>
    </row>
    <row r="1912" spans="1:9">
      <c r="A1912" s="2">
        <v>1967</v>
      </c>
      <c r="B1912">
        <v>21</v>
      </c>
      <c r="C1912">
        <v>1.4499999999999999E-3</v>
      </c>
      <c r="D1912">
        <v>1.4499999999999999E-3</v>
      </c>
      <c r="E1912">
        <v>0.5</v>
      </c>
      <c r="F1912">
        <v>94222</v>
      </c>
      <c r="G1912">
        <v>136</v>
      </c>
      <c r="H1912">
        <v>94154</v>
      </c>
      <c r="I1912">
        <v>4688604</v>
      </c>
    </row>
    <row r="1913" spans="1:9">
      <c r="A1913" s="2">
        <v>1967</v>
      </c>
      <c r="B1913">
        <v>22</v>
      </c>
      <c r="C1913">
        <v>1.5200000000000001E-3</v>
      </c>
      <c r="D1913">
        <v>1.5200000000000001E-3</v>
      </c>
      <c r="E1913">
        <v>0.5</v>
      </c>
      <c r="F1913">
        <v>94086</v>
      </c>
      <c r="G1913">
        <v>143</v>
      </c>
      <c r="H1913">
        <v>94015</v>
      </c>
      <c r="I1913">
        <v>4594450</v>
      </c>
    </row>
    <row r="1914" spans="1:9">
      <c r="A1914" s="2">
        <v>1967</v>
      </c>
      <c r="B1914">
        <v>23</v>
      </c>
      <c r="C1914">
        <v>1.6000000000000001E-3</v>
      </c>
      <c r="D1914">
        <v>1.5900000000000001E-3</v>
      </c>
      <c r="E1914">
        <v>0.5</v>
      </c>
      <c r="F1914">
        <v>93943</v>
      </c>
      <c r="G1914">
        <v>150</v>
      </c>
      <c r="H1914">
        <v>93868</v>
      </c>
      <c r="I1914">
        <v>4500435</v>
      </c>
    </row>
    <row r="1915" spans="1:9">
      <c r="A1915" s="2">
        <v>1967</v>
      </c>
      <c r="B1915">
        <v>24</v>
      </c>
      <c r="C1915">
        <v>1.7600000000000001E-3</v>
      </c>
      <c r="D1915">
        <v>1.7600000000000001E-3</v>
      </c>
      <c r="E1915">
        <v>0.5</v>
      </c>
      <c r="F1915">
        <v>93793</v>
      </c>
      <c r="G1915">
        <v>165</v>
      </c>
      <c r="H1915">
        <v>93711</v>
      </c>
      <c r="I1915">
        <v>4406567</v>
      </c>
    </row>
    <row r="1916" spans="1:9">
      <c r="A1916" s="2">
        <v>1967</v>
      </c>
      <c r="B1916">
        <v>25</v>
      </c>
      <c r="C1916">
        <v>1.31E-3</v>
      </c>
      <c r="D1916">
        <v>1.31E-3</v>
      </c>
      <c r="E1916">
        <v>0.5</v>
      </c>
      <c r="F1916">
        <v>93628</v>
      </c>
      <c r="G1916">
        <v>122</v>
      </c>
      <c r="H1916">
        <v>93567</v>
      </c>
      <c r="I1916">
        <v>4312856</v>
      </c>
    </row>
    <row r="1917" spans="1:9">
      <c r="A1917" s="2">
        <v>1967</v>
      </c>
      <c r="B1917">
        <v>26</v>
      </c>
      <c r="C1917">
        <v>1.48E-3</v>
      </c>
      <c r="D1917">
        <v>1.48E-3</v>
      </c>
      <c r="E1917">
        <v>0.5</v>
      </c>
      <c r="F1917">
        <v>93506</v>
      </c>
      <c r="G1917">
        <v>138</v>
      </c>
      <c r="H1917">
        <v>93437</v>
      </c>
      <c r="I1917">
        <v>4219289</v>
      </c>
    </row>
    <row r="1918" spans="1:9">
      <c r="A1918" s="2">
        <v>1967</v>
      </c>
      <c r="B1918">
        <v>27</v>
      </c>
      <c r="C1918">
        <v>1.56E-3</v>
      </c>
      <c r="D1918">
        <v>1.56E-3</v>
      </c>
      <c r="E1918">
        <v>0.5</v>
      </c>
      <c r="F1918">
        <v>93367</v>
      </c>
      <c r="G1918">
        <v>146</v>
      </c>
      <c r="H1918">
        <v>93295</v>
      </c>
      <c r="I1918">
        <v>4125853</v>
      </c>
    </row>
    <row r="1919" spans="1:9">
      <c r="A1919" s="2">
        <v>1967</v>
      </c>
      <c r="B1919">
        <v>28</v>
      </c>
      <c r="C1919">
        <v>1.5299999999999999E-3</v>
      </c>
      <c r="D1919">
        <v>1.5299999999999999E-3</v>
      </c>
      <c r="E1919">
        <v>0.5</v>
      </c>
      <c r="F1919">
        <v>93222</v>
      </c>
      <c r="G1919">
        <v>143</v>
      </c>
      <c r="H1919">
        <v>93150</v>
      </c>
      <c r="I1919">
        <v>4032558</v>
      </c>
    </row>
    <row r="1920" spans="1:9">
      <c r="A1920" s="2">
        <v>1967</v>
      </c>
      <c r="B1920">
        <v>29</v>
      </c>
      <c r="C1920">
        <v>1.7099999999999999E-3</v>
      </c>
      <c r="D1920">
        <v>1.7099999999999999E-3</v>
      </c>
      <c r="E1920">
        <v>0.5</v>
      </c>
      <c r="F1920">
        <v>93079</v>
      </c>
      <c r="G1920">
        <v>159</v>
      </c>
      <c r="H1920">
        <v>93000</v>
      </c>
      <c r="I1920">
        <v>3939408</v>
      </c>
    </row>
    <row r="1921" spans="1:9">
      <c r="A1921" s="2">
        <v>1967</v>
      </c>
      <c r="B1921">
        <v>30</v>
      </c>
      <c r="C1921">
        <v>1.92E-3</v>
      </c>
      <c r="D1921">
        <v>1.92E-3</v>
      </c>
      <c r="E1921">
        <v>0.5</v>
      </c>
      <c r="F1921">
        <v>92920</v>
      </c>
      <c r="G1921">
        <v>178</v>
      </c>
      <c r="H1921">
        <v>92831</v>
      </c>
      <c r="I1921">
        <v>3846408</v>
      </c>
    </row>
    <row r="1922" spans="1:9">
      <c r="A1922" s="2">
        <v>1967</v>
      </c>
      <c r="B1922">
        <v>31</v>
      </c>
      <c r="C1922">
        <v>2.0799999999999998E-3</v>
      </c>
      <c r="D1922">
        <v>2.0799999999999998E-3</v>
      </c>
      <c r="E1922">
        <v>0.5</v>
      </c>
      <c r="F1922">
        <v>92742</v>
      </c>
      <c r="G1922">
        <v>193</v>
      </c>
      <c r="H1922">
        <v>92645</v>
      </c>
      <c r="I1922">
        <v>3753577</v>
      </c>
    </row>
    <row r="1923" spans="1:9">
      <c r="A1923" s="2">
        <v>1967</v>
      </c>
      <c r="B1923">
        <v>32</v>
      </c>
      <c r="C1923">
        <v>1.8500000000000001E-3</v>
      </c>
      <c r="D1923">
        <v>1.8500000000000001E-3</v>
      </c>
      <c r="E1923">
        <v>0.5</v>
      </c>
      <c r="F1923">
        <v>92549</v>
      </c>
      <c r="G1923">
        <v>171</v>
      </c>
      <c r="H1923">
        <v>92463</v>
      </c>
      <c r="I1923">
        <v>3660932</v>
      </c>
    </row>
    <row r="1924" spans="1:9">
      <c r="A1924" s="2">
        <v>1967</v>
      </c>
      <c r="B1924">
        <v>33</v>
      </c>
      <c r="C1924">
        <v>2.1099999999999999E-3</v>
      </c>
      <c r="D1924">
        <v>2.1099999999999999E-3</v>
      </c>
      <c r="E1924">
        <v>0.5</v>
      </c>
      <c r="F1924">
        <v>92378</v>
      </c>
      <c r="G1924">
        <v>195</v>
      </c>
      <c r="H1924">
        <v>92280</v>
      </c>
      <c r="I1924">
        <v>3568469</v>
      </c>
    </row>
    <row r="1925" spans="1:9">
      <c r="A1925" s="2">
        <v>1967</v>
      </c>
      <c r="B1925">
        <v>34</v>
      </c>
      <c r="C1925">
        <v>2.0300000000000001E-3</v>
      </c>
      <c r="D1925">
        <v>2.0300000000000001E-3</v>
      </c>
      <c r="E1925">
        <v>0.5</v>
      </c>
      <c r="F1925">
        <v>92183</v>
      </c>
      <c r="G1925">
        <v>187</v>
      </c>
      <c r="H1925">
        <v>92089</v>
      </c>
      <c r="I1925">
        <v>3476189</v>
      </c>
    </row>
    <row r="1926" spans="1:9">
      <c r="A1926" s="2">
        <v>1967</v>
      </c>
      <c r="B1926">
        <v>35</v>
      </c>
      <c r="C1926">
        <v>2.0799999999999998E-3</v>
      </c>
      <c r="D1926">
        <v>2.0799999999999998E-3</v>
      </c>
      <c r="E1926">
        <v>0.5</v>
      </c>
      <c r="F1926">
        <v>91996</v>
      </c>
      <c r="G1926">
        <v>191</v>
      </c>
      <c r="H1926">
        <v>91900</v>
      </c>
      <c r="I1926">
        <v>3384099</v>
      </c>
    </row>
    <row r="1927" spans="1:9">
      <c r="A1927" s="2">
        <v>1967</v>
      </c>
      <c r="B1927">
        <v>36</v>
      </c>
      <c r="C1927">
        <v>2.4099999999999998E-3</v>
      </c>
      <c r="D1927">
        <v>2.4099999999999998E-3</v>
      </c>
      <c r="E1927">
        <v>0.5</v>
      </c>
      <c r="F1927">
        <v>91805</v>
      </c>
      <c r="G1927">
        <v>221</v>
      </c>
      <c r="H1927">
        <v>91694</v>
      </c>
      <c r="I1927">
        <v>3292199</v>
      </c>
    </row>
    <row r="1928" spans="1:9">
      <c r="A1928" s="2">
        <v>1967</v>
      </c>
      <c r="B1928">
        <v>37</v>
      </c>
      <c r="C1928">
        <v>2.49E-3</v>
      </c>
      <c r="D1928">
        <v>2.48E-3</v>
      </c>
      <c r="E1928">
        <v>0.5</v>
      </c>
      <c r="F1928">
        <v>91583</v>
      </c>
      <c r="G1928">
        <v>227</v>
      </c>
      <c r="H1928">
        <v>91470</v>
      </c>
      <c r="I1928">
        <v>3200505</v>
      </c>
    </row>
    <row r="1929" spans="1:9">
      <c r="A1929" s="2">
        <v>1967</v>
      </c>
      <c r="B1929">
        <v>38</v>
      </c>
      <c r="C1929">
        <v>2.7699999999999999E-3</v>
      </c>
      <c r="D1929">
        <v>2.7699999999999999E-3</v>
      </c>
      <c r="E1929">
        <v>0.5</v>
      </c>
      <c r="F1929">
        <v>91356</v>
      </c>
      <c r="G1929">
        <v>253</v>
      </c>
      <c r="H1929">
        <v>91230</v>
      </c>
      <c r="I1929">
        <v>3109035</v>
      </c>
    </row>
    <row r="1930" spans="1:9">
      <c r="A1930" s="2">
        <v>1967</v>
      </c>
      <c r="B1930">
        <v>39</v>
      </c>
      <c r="C1930">
        <v>2.9499999999999999E-3</v>
      </c>
      <c r="D1930">
        <v>2.9399999999999999E-3</v>
      </c>
      <c r="E1930">
        <v>0.5</v>
      </c>
      <c r="F1930">
        <v>91103</v>
      </c>
      <c r="G1930">
        <v>268</v>
      </c>
      <c r="H1930">
        <v>90969</v>
      </c>
      <c r="I1930">
        <v>3017805</v>
      </c>
    </row>
    <row r="1931" spans="1:9">
      <c r="A1931" s="2">
        <v>1967</v>
      </c>
      <c r="B1931">
        <v>40</v>
      </c>
      <c r="C1931">
        <v>3.1700000000000001E-3</v>
      </c>
      <c r="D1931">
        <v>3.1700000000000001E-3</v>
      </c>
      <c r="E1931">
        <v>0.5</v>
      </c>
      <c r="F1931">
        <v>90835</v>
      </c>
      <c r="G1931">
        <v>288</v>
      </c>
      <c r="H1931">
        <v>90691</v>
      </c>
      <c r="I1931">
        <v>2926836</v>
      </c>
    </row>
    <row r="1932" spans="1:9">
      <c r="A1932" s="2">
        <v>1967</v>
      </c>
      <c r="B1932">
        <v>41</v>
      </c>
      <c r="C1932">
        <v>3.6600000000000001E-3</v>
      </c>
      <c r="D1932">
        <v>3.6600000000000001E-3</v>
      </c>
      <c r="E1932">
        <v>0.5</v>
      </c>
      <c r="F1932">
        <v>90548</v>
      </c>
      <c r="G1932">
        <v>331</v>
      </c>
      <c r="H1932">
        <v>90382</v>
      </c>
      <c r="I1932">
        <v>2836145</v>
      </c>
    </row>
    <row r="1933" spans="1:9">
      <c r="A1933" s="2">
        <v>1967</v>
      </c>
      <c r="B1933">
        <v>42</v>
      </c>
      <c r="C1933">
        <v>3.98E-3</v>
      </c>
      <c r="D1933">
        <v>3.9699999999999996E-3</v>
      </c>
      <c r="E1933">
        <v>0.5</v>
      </c>
      <c r="F1933">
        <v>90216</v>
      </c>
      <c r="G1933">
        <v>358</v>
      </c>
      <c r="H1933">
        <v>90037</v>
      </c>
      <c r="I1933">
        <v>2745763</v>
      </c>
    </row>
    <row r="1934" spans="1:9">
      <c r="A1934" s="2">
        <v>1967</v>
      </c>
      <c r="B1934">
        <v>43</v>
      </c>
      <c r="C1934">
        <v>3.5799999999999998E-3</v>
      </c>
      <c r="D1934">
        <v>3.5699999999999998E-3</v>
      </c>
      <c r="E1934">
        <v>0.5</v>
      </c>
      <c r="F1934">
        <v>89858</v>
      </c>
      <c r="G1934">
        <v>321</v>
      </c>
      <c r="H1934">
        <v>89698</v>
      </c>
      <c r="I1934">
        <v>2655726</v>
      </c>
    </row>
    <row r="1935" spans="1:9">
      <c r="A1935" s="2">
        <v>1967</v>
      </c>
      <c r="B1935">
        <v>44</v>
      </c>
      <c r="C1935">
        <v>4.3E-3</v>
      </c>
      <c r="D1935">
        <v>4.2900000000000004E-3</v>
      </c>
      <c r="E1935">
        <v>0.5</v>
      </c>
      <c r="F1935">
        <v>89537</v>
      </c>
      <c r="G1935">
        <v>384</v>
      </c>
      <c r="H1935">
        <v>89345</v>
      </c>
      <c r="I1935">
        <v>2566028</v>
      </c>
    </row>
    <row r="1936" spans="1:9">
      <c r="A1936" s="2">
        <v>1967</v>
      </c>
      <c r="B1936">
        <v>45</v>
      </c>
      <c r="C1936">
        <v>4.8300000000000001E-3</v>
      </c>
      <c r="D1936">
        <v>4.8199999999999996E-3</v>
      </c>
      <c r="E1936">
        <v>0.5</v>
      </c>
      <c r="F1936">
        <v>89153</v>
      </c>
      <c r="G1936">
        <v>430</v>
      </c>
      <c r="H1936">
        <v>88938</v>
      </c>
      <c r="I1936">
        <v>2476683</v>
      </c>
    </row>
    <row r="1937" spans="1:9">
      <c r="A1937" s="2">
        <v>1967</v>
      </c>
      <c r="B1937">
        <v>46</v>
      </c>
      <c r="C1937">
        <v>4.7699999999999999E-3</v>
      </c>
      <c r="D1937">
        <v>4.7600000000000003E-3</v>
      </c>
      <c r="E1937">
        <v>0.5</v>
      </c>
      <c r="F1937">
        <v>88723</v>
      </c>
      <c r="G1937">
        <v>422</v>
      </c>
      <c r="H1937">
        <v>88512</v>
      </c>
      <c r="I1937">
        <v>2387744</v>
      </c>
    </row>
    <row r="1938" spans="1:9">
      <c r="A1938" s="2">
        <v>1967</v>
      </c>
      <c r="B1938">
        <v>47</v>
      </c>
      <c r="C1938">
        <v>6.1799999999999997E-3</v>
      </c>
      <c r="D1938">
        <v>6.1700000000000001E-3</v>
      </c>
      <c r="E1938">
        <v>0.5</v>
      </c>
      <c r="F1938">
        <v>88301</v>
      </c>
      <c r="G1938">
        <v>544</v>
      </c>
      <c r="H1938">
        <v>88029</v>
      </c>
      <c r="I1938">
        <v>2299232</v>
      </c>
    </row>
    <row r="1939" spans="1:9">
      <c r="A1939" s="2">
        <v>1967</v>
      </c>
      <c r="B1939">
        <v>48</v>
      </c>
      <c r="C1939">
        <v>5.4299999999999999E-3</v>
      </c>
      <c r="D1939">
        <v>5.4200000000000003E-3</v>
      </c>
      <c r="E1939">
        <v>0.5</v>
      </c>
      <c r="F1939">
        <v>87757</v>
      </c>
      <c r="G1939">
        <v>476</v>
      </c>
      <c r="H1939">
        <v>87519</v>
      </c>
      <c r="I1939">
        <v>2211203</v>
      </c>
    </row>
    <row r="1940" spans="1:9">
      <c r="A1940" s="2">
        <v>1967</v>
      </c>
      <c r="B1940">
        <v>49</v>
      </c>
      <c r="C1940">
        <v>6.4400000000000004E-3</v>
      </c>
      <c r="D1940">
        <v>6.4200000000000004E-3</v>
      </c>
      <c r="E1940">
        <v>0.5</v>
      </c>
      <c r="F1940">
        <v>87281</v>
      </c>
      <c r="G1940">
        <v>560</v>
      </c>
      <c r="H1940">
        <v>87001</v>
      </c>
      <c r="I1940">
        <v>2123684</v>
      </c>
    </row>
    <row r="1941" spans="1:9">
      <c r="A1941" s="2">
        <v>1967</v>
      </c>
      <c r="B1941">
        <v>50</v>
      </c>
      <c r="C1941">
        <v>6.9699999999999996E-3</v>
      </c>
      <c r="D1941">
        <v>6.9499999999999996E-3</v>
      </c>
      <c r="E1941">
        <v>0.5</v>
      </c>
      <c r="F1941">
        <v>86721</v>
      </c>
      <c r="G1941">
        <v>603</v>
      </c>
      <c r="H1941">
        <v>86420</v>
      </c>
      <c r="I1941">
        <v>2036683</v>
      </c>
    </row>
    <row r="1942" spans="1:9">
      <c r="A1942" s="2">
        <v>1967</v>
      </c>
      <c r="B1942">
        <v>51</v>
      </c>
      <c r="C1942">
        <v>7.5100000000000002E-3</v>
      </c>
      <c r="D1942">
        <v>7.4799999999999997E-3</v>
      </c>
      <c r="E1942">
        <v>0.5</v>
      </c>
      <c r="F1942">
        <v>86118</v>
      </c>
      <c r="G1942">
        <v>645</v>
      </c>
      <c r="H1942">
        <v>85796</v>
      </c>
      <c r="I1942">
        <v>1950263</v>
      </c>
    </row>
    <row r="1943" spans="1:9">
      <c r="A1943" s="2">
        <v>1967</v>
      </c>
      <c r="B1943">
        <v>52</v>
      </c>
      <c r="C1943">
        <v>8.8400000000000006E-3</v>
      </c>
      <c r="D1943">
        <v>8.8000000000000005E-3</v>
      </c>
      <c r="E1943">
        <v>0.5</v>
      </c>
      <c r="F1943">
        <v>85474</v>
      </c>
      <c r="G1943">
        <v>752</v>
      </c>
      <c r="H1943">
        <v>85098</v>
      </c>
      <c r="I1943">
        <v>1864467</v>
      </c>
    </row>
    <row r="1944" spans="1:9">
      <c r="A1944" s="2">
        <v>1967</v>
      </c>
      <c r="B1944">
        <v>53</v>
      </c>
      <c r="C1944">
        <v>9.0600000000000003E-3</v>
      </c>
      <c r="D1944">
        <v>9.0200000000000002E-3</v>
      </c>
      <c r="E1944">
        <v>0.5</v>
      </c>
      <c r="F1944">
        <v>84722</v>
      </c>
      <c r="G1944">
        <v>764</v>
      </c>
      <c r="H1944">
        <v>84339</v>
      </c>
      <c r="I1944">
        <v>1779369</v>
      </c>
    </row>
    <row r="1945" spans="1:9">
      <c r="A1945" s="2">
        <v>1967</v>
      </c>
      <c r="B1945">
        <v>54</v>
      </c>
      <c r="C1945">
        <v>9.7400000000000004E-3</v>
      </c>
      <c r="D1945">
        <v>9.7000000000000003E-3</v>
      </c>
      <c r="E1945">
        <v>0.5</v>
      </c>
      <c r="F1945">
        <v>83957</v>
      </c>
      <c r="G1945">
        <v>814</v>
      </c>
      <c r="H1945">
        <v>83550</v>
      </c>
      <c r="I1945">
        <v>1695030</v>
      </c>
    </row>
    <row r="1946" spans="1:9">
      <c r="A1946" s="2">
        <v>1967</v>
      </c>
      <c r="B1946">
        <v>55</v>
      </c>
      <c r="C1946">
        <v>1.102E-2</v>
      </c>
      <c r="D1946">
        <v>1.0959999999999999E-2</v>
      </c>
      <c r="E1946">
        <v>0.5</v>
      </c>
      <c r="F1946">
        <v>83143</v>
      </c>
      <c r="G1946">
        <v>911</v>
      </c>
      <c r="H1946">
        <v>82688</v>
      </c>
      <c r="I1946">
        <v>1611480</v>
      </c>
    </row>
    <row r="1947" spans="1:9">
      <c r="A1947" s="2">
        <v>1967</v>
      </c>
      <c r="B1947">
        <v>56</v>
      </c>
      <c r="C1947">
        <v>1.332E-2</v>
      </c>
      <c r="D1947">
        <v>1.323E-2</v>
      </c>
      <c r="E1947">
        <v>0.5</v>
      </c>
      <c r="F1947">
        <v>82232</v>
      </c>
      <c r="G1947">
        <v>1088</v>
      </c>
      <c r="H1947">
        <v>81688</v>
      </c>
      <c r="I1947">
        <v>1528792</v>
      </c>
    </row>
    <row r="1948" spans="1:9">
      <c r="A1948" s="2">
        <v>1967</v>
      </c>
      <c r="B1948">
        <v>57</v>
      </c>
      <c r="C1948">
        <v>1.44E-2</v>
      </c>
      <c r="D1948">
        <v>1.4290000000000001E-2</v>
      </c>
      <c r="E1948">
        <v>0.5</v>
      </c>
      <c r="F1948">
        <v>81144</v>
      </c>
      <c r="G1948">
        <v>1160</v>
      </c>
      <c r="H1948">
        <v>80564</v>
      </c>
      <c r="I1948">
        <v>1447104</v>
      </c>
    </row>
    <row r="1949" spans="1:9">
      <c r="A1949" s="2">
        <v>1967</v>
      </c>
      <c r="B1949">
        <v>58</v>
      </c>
      <c r="C1949">
        <v>1.6E-2</v>
      </c>
      <c r="D1949">
        <v>1.5869999999999999E-2</v>
      </c>
      <c r="E1949">
        <v>0.5</v>
      </c>
      <c r="F1949">
        <v>79984</v>
      </c>
      <c r="G1949">
        <v>1269</v>
      </c>
      <c r="H1949">
        <v>79349</v>
      </c>
      <c r="I1949">
        <v>1366540</v>
      </c>
    </row>
    <row r="1950" spans="1:9">
      <c r="A1950" s="2">
        <v>1967</v>
      </c>
      <c r="B1950">
        <v>59</v>
      </c>
      <c r="C1950">
        <v>1.7979999999999999E-2</v>
      </c>
      <c r="D1950">
        <v>1.7819999999999999E-2</v>
      </c>
      <c r="E1950">
        <v>0.5</v>
      </c>
      <c r="F1950">
        <v>78715</v>
      </c>
      <c r="G1950">
        <v>1403</v>
      </c>
      <c r="H1950">
        <v>78013</v>
      </c>
      <c r="I1950">
        <v>1287191</v>
      </c>
    </row>
    <row r="1951" spans="1:9">
      <c r="A1951" s="2">
        <v>1967</v>
      </c>
      <c r="B1951">
        <v>60</v>
      </c>
      <c r="C1951">
        <v>2.1340000000000001E-2</v>
      </c>
      <c r="D1951">
        <v>2.112E-2</v>
      </c>
      <c r="E1951">
        <v>0.5</v>
      </c>
      <c r="F1951">
        <v>77312</v>
      </c>
      <c r="G1951">
        <v>1632</v>
      </c>
      <c r="H1951">
        <v>76496</v>
      </c>
      <c r="I1951">
        <v>1209177</v>
      </c>
    </row>
    <row r="1952" spans="1:9">
      <c r="A1952" s="2">
        <v>1967</v>
      </c>
      <c r="B1952">
        <v>61</v>
      </c>
      <c r="C1952">
        <v>2.1770000000000001E-2</v>
      </c>
      <c r="D1952">
        <v>2.154E-2</v>
      </c>
      <c r="E1952">
        <v>0.5</v>
      </c>
      <c r="F1952">
        <v>75679</v>
      </c>
      <c r="G1952">
        <v>1630</v>
      </c>
      <c r="H1952">
        <v>74864</v>
      </c>
      <c r="I1952">
        <v>1132682</v>
      </c>
    </row>
    <row r="1953" spans="1:9">
      <c r="A1953" s="2">
        <v>1967</v>
      </c>
      <c r="B1953">
        <v>62</v>
      </c>
      <c r="C1953">
        <v>2.426E-2</v>
      </c>
      <c r="D1953">
        <v>2.3970000000000002E-2</v>
      </c>
      <c r="E1953">
        <v>0.5</v>
      </c>
      <c r="F1953">
        <v>74049</v>
      </c>
      <c r="G1953">
        <v>1775</v>
      </c>
      <c r="H1953">
        <v>73162</v>
      </c>
      <c r="I1953">
        <v>1057818</v>
      </c>
    </row>
    <row r="1954" spans="1:9">
      <c r="A1954" s="2">
        <v>1967</v>
      </c>
      <c r="B1954">
        <v>63</v>
      </c>
      <c r="C1954">
        <v>2.7539999999999999E-2</v>
      </c>
      <c r="D1954">
        <v>2.717E-2</v>
      </c>
      <c r="E1954">
        <v>0.5</v>
      </c>
      <c r="F1954">
        <v>72274</v>
      </c>
      <c r="G1954">
        <v>1963</v>
      </c>
      <c r="H1954">
        <v>71293</v>
      </c>
      <c r="I1954">
        <v>984656</v>
      </c>
    </row>
    <row r="1955" spans="1:9">
      <c r="A1955" s="2">
        <v>1967</v>
      </c>
      <c r="B1955">
        <v>64</v>
      </c>
      <c r="C1955">
        <v>2.9520000000000001E-2</v>
      </c>
      <c r="D1955">
        <v>2.9090000000000001E-2</v>
      </c>
      <c r="E1955">
        <v>0.5</v>
      </c>
      <c r="F1955">
        <v>70311</v>
      </c>
      <c r="G1955">
        <v>2045</v>
      </c>
      <c r="H1955">
        <v>69288</v>
      </c>
      <c r="I1955">
        <v>913363</v>
      </c>
    </row>
    <row r="1956" spans="1:9">
      <c r="A1956" s="2">
        <v>1967</v>
      </c>
      <c r="B1956">
        <v>65</v>
      </c>
      <c r="C1956">
        <v>3.1600000000000003E-2</v>
      </c>
      <c r="D1956">
        <v>3.1109999999999999E-2</v>
      </c>
      <c r="E1956">
        <v>0.5</v>
      </c>
      <c r="F1956">
        <v>68265</v>
      </c>
      <c r="G1956">
        <v>2124</v>
      </c>
      <c r="H1956">
        <v>67204</v>
      </c>
      <c r="I1956">
        <v>844075</v>
      </c>
    </row>
    <row r="1957" spans="1:9">
      <c r="A1957" s="2">
        <v>1967</v>
      </c>
      <c r="B1957">
        <v>66</v>
      </c>
      <c r="C1957">
        <v>3.4439999999999998E-2</v>
      </c>
      <c r="D1957">
        <v>3.3849999999999998E-2</v>
      </c>
      <c r="E1957">
        <v>0.5</v>
      </c>
      <c r="F1957">
        <v>66142</v>
      </c>
      <c r="G1957">
        <v>2239</v>
      </c>
      <c r="H1957">
        <v>65022</v>
      </c>
      <c r="I1957">
        <v>776871</v>
      </c>
    </row>
    <row r="1958" spans="1:9">
      <c r="A1958" s="2">
        <v>1967</v>
      </c>
      <c r="B1958">
        <v>67</v>
      </c>
      <c r="C1958">
        <v>4.1149999999999999E-2</v>
      </c>
      <c r="D1958">
        <v>4.0320000000000002E-2</v>
      </c>
      <c r="E1958">
        <v>0.5</v>
      </c>
      <c r="F1958">
        <v>63903</v>
      </c>
      <c r="G1958">
        <v>2576</v>
      </c>
      <c r="H1958">
        <v>62615</v>
      </c>
      <c r="I1958">
        <v>711849</v>
      </c>
    </row>
    <row r="1959" spans="1:9">
      <c r="A1959" s="2">
        <v>1967</v>
      </c>
      <c r="B1959">
        <v>68</v>
      </c>
      <c r="C1959">
        <v>4.4359999999999997E-2</v>
      </c>
      <c r="D1959">
        <v>4.3400000000000001E-2</v>
      </c>
      <c r="E1959">
        <v>0.5</v>
      </c>
      <c r="F1959">
        <v>61326</v>
      </c>
      <c r="G1959">
        <v>2661</v>
      </c>
      <c r="H1959">
        <v>59996</v>
      </c>
      <c r="I1959">
        <v>649234</v>
      </c>
    </row>
    <row r="1960" spans="1:9">
      <c r="A1960" s="2">
        <v>1967</v>
      </c>
      <c r="B1960">
        <v>69</v>
      </c>
      <c r="C1960">
        <v>4.861E-2</v>
      </c>
      <c r="D1960">
        <v>4.7449999999999999E-2</v>
      </c>
      <c r="E1960">
        <v>0.5</v>
      </c>
      <c r="F1960">
        <v>58665</v>
      </c>
      <c r="G1960">
        <v>2784</v>
      </c>
      <c r="H1960">
        <v>57273</v>
      </c>
      <c r="I1960">
        <v>589238</v>
      </c>
    </row>
    <row r="1961" spans="1:9">
      <c r="A1961" s="2">
        <v>1967</v>
      </c>
      <c r="B1961">
        <v>70</v>
      </c>
      <c r="C1961">
        <v>5.1069999999999997E-2</v>
      </c>
      <c r="D1961">
        <v>4.9790000000000001E-2</v>
      </c>
      <c r="E1961">
        <v>0.5</v>
      </c>
      <c r="F1961">
        <v>55881</v>
      </c>
      <c r="G1961">
        <v>2783</v>
      </c>
      <c r="H1961">
        <v>54490</v>
      </c>
      <c r="I1961">
        <v>531965</v>
      </c>
    </row>
    <row r="1962" spans="1:9">
      <c r="A1962" s="2">
        <v>1967</v>
      </c>
      <c r="B1962">
        <v>71</v>
      </c>
      <c r="C1962">
        <v>5.919E-2</v>
      </c>
      <c r="D1962">
        <v>5.7489999999999999E-2</v>
      </c>
      <c r="E1962">
        <v>0.5</v>
      </c>
      <c r="F1962">
        <v>53099</v>
      </c>
      <c r="G1962">
        <v>3053</v>
      </c>
      <c r="H1962">
        <v>51572</v>
      </c>
      <c r="I1962">
        <v>477475</v>
      </c>
    </row>
    <row r="1963" spans="1:9">
      <c r="A1963" s="2">
        <v>1967</v>
      </c>
      <c r="B1963">
        <v>72</v>
      </c>
      <c r="C1963">
        <v>6.4219999999999999E-2</v>
      </c>
      <c r="D1963">
        <v>6.2230000000000001E-2</v>
      </c>
      <c r="E1963">
        <v>0.5</v>
      </c>
      <c r="F1963">
        <v>50046</v>
      </c>
      <c r="G1963">
        <v>3114</v>
      </c>
      <c r="H1963">
        <v>48489</v>
      </c>
      <c r="I1963">
        <v>425903</v>
      </c>
    </row>
    <row r="1964" spans="1:9">
      <c r="A1964" s="2">
        <v>1967</v>
      </c>
      <c r="B1964">
        <v>73</v>
      </c>
      <c r="C1964">
        <v>7.041E-2</v>
      </c>
      <c r="D1964">
        <v>6.8010000000000001E-2</v>
      </c>
      <c r="E1964">
        <v>0.5</v>
      </c>
      <c r="F1964">
        <v>46932</v>
      </c>
      <c r="G1964">
        <v>3192</v>
      </c>
      <c r="H1964">
        <v>45336</v>
      </c>
      <c r="I1964">
        <v>377414</v>
      </c>
    </row>
    <row r="1965" spans="1:9">
      <c r="A1965" s="2">
        <v>1967</v>
      </c>
      <c r="B1965">
        <v>74</v>
      </c>
      <c r="C1965">
        <v>7.8780000000000003E-2</v>
      </c>
      <c r="D1965">
        <v>7.5789999999999996E-2</v>
      </c>
      <c r="E1965">
        <v>0.5</v>
      </c>
      <c r="F1965">
        <v>43740</v>
      </c>
      <c r="G1965">
        <v>3315</v>
      </c>
      <c r="H1965">
        <v>42082</v>
      </c>
      <c r="I1965">
        <v>332078</v>
      </c>
    </row>
    <row r="1966" spans="1:9">
      <c r="A1966" s="2">
        <v>1967</v>
      </c>
      <c r="B1966">
        <v>75</v>
      </c>
      <c r="C1966">
        <v>7.9680000000000001E-2</v>
      </c>
      <c r="D1966">
        <v>7.6630000000000004E-2</v>
      </c>
      <c r="E1966">
        <v>0.5</v>
      </c>
      <c r="F1966">
        <v>40425</v>
      </c>
      <c r="G1966">
        <v>3098</v>
      </c>
      <c r="H1966">
        <v>38876</v>
      </c>
      <c r="I1966">
        <v>289996</v>
      </c>
    </row>
    <row r="1967" spans="1:9">
      <c r="A1967" s="2">
        <v>1967</v>
      </c>
      <c r="B1967">
        <v>76</v>
      </c>
      <c r="C1967">
        <v>9.1560000000000002E-2</v>
      </c>
      <c r="D1967">
        <v>8.7550000000000003E-2</v>
      </c>
      <c r="E1967">
        <v>0.5</v>
      </c>
      <c r="F1967">
        <v>37327</v>
      </c>
      <c r="G1967">
        <v>3268</v>
      </c>
      <c r="H1967">
        <v>35693</v>
      </c>
      <c r="I1967">
        <v>251120</v>
      </c>
    </row>
    <row r="1968" spans="1:9">
      <c r="A1968" s="2">
        <v>1967</v>
      </c>
      <c r="B1968">
        <v>77</v>
      </c>
      <c r="C1968">
        <v>0.10274999999999999</v>
      </c>
      <c r="D1968">
        <v>9.7720000000000001E-2</v>
      </c>
      <c r="E1968">
        <v>0.5</v>
      </c>
      <c r="F1968">
        <v>34059</v>
      </c>
      <c r="G1968">
        <v>3328</v>
      </c>
      <c r="H1968">
        <v>32395</v>
      </c>
      <c r="I1968">
        <v>215427</v>
      </c>
    </row>
    <row r="1969" spans="1:9">
      <c r="A1969" s="2">
        <v>1967</v>
      </c>
      <c r="B1969">
        <v>78</v>
      </c>
      <c r="C1969">
        <v>0.10685</v>
      </c>
      <c r="D1969">
        <v>0.10143000000000001</v>
      </c>
      <c r="E1969">
        <v>0.5</v>
      </c>
      <c r="F1969">
        <v>30731</v>
      </c>
      <c r="G1969">
        <v>3117</v>
      </c>
      <c r="H1969">
        <v>29172</v>
      </c>
      <c r="I1969">
        <v>183032</v>
      </c>
    </row>
    <row r="1970" spans="1:9">
      <c r="A1970" s="2">
        <v>1967</v>
      </c>
      <c r="B1970">
        <v>79</v>
      </c>
      <c r="C1970">
        <v>0.12107999999999999</v>
      </c>
      <c r="D1970">
        <v>0.11416999999999999</v>
      </c>
      <c r="E1970">
        <v>0.5</v>
      </c>
      <c r="F1970">
        <v>27613</v>
      </c>
      <c r="G1970">
        <v>3153</v>
      </c>
      <c r="H1970">
        <v>26037</v>
      </c>
      <c r="I1970">
        <v>153860</v>
      </c>
    </row>
    <row r="1971" spans="1:9">
      <c r="A1971" s="2">
        <v>1967</v>
      </c>
      <c r="B1971">
        <v>80</v>
      </c>
      <c r="C1971">
        <v>0.13602</v>
      </c>
      <c r="D1971">
        <v>0.12736</v>
      </c>
      <c r="E1971">
        <v>0.5</v>
      </c>
      <c r="F1971">
        <v>24461</v>
      </c>
      <c r="G1971">
        <v>3115</v>
      </c>
      <c r="H1971">
        <v>22903</v>
      </c>
      <c r="I1971">
        <v>127823</v>
      </c>
    </row>
    <row r="1972" spans="1:9">
      <c r="A1972" s="2">
        <v>1967</v>
      </c>
      <c r="B1972">
        <v>81</v>
      </c>
      <c r="C1972">
        <v>0.14824999999999999</v>
      </c>
      <c r="D1972">
        <v>0.13802</v>
      </c>
      <c r="E1972">
        <v>0.5</v>
      </c>
      <c r="F1972">
        <v>21346</v>
      </c>
      <c r="G1972">
        <v>2946</v>
      </c>
      <c r="H1972">
        <v>19873</v>
      </c>
      <c r="I1972">
        <v>104919</v>
      </c>
    </row>
    <row r="1973" spans="1:9">
      <c r="A1973" s="2">
        <v>1967</v>
      </c>
      <c r="B1973">
        <v>82</v>
      </c>
      <c r="C1973">
        <v>0.16489000000000001</v>
      </c>
      <c r="D1973">
        <v>0.15232999999999999</v>
      </c>
      <c r="E1973">
        <v>0.5</v>
      </c>
      <c r="F1973">
        <v>18400</v>
      </c>
      <c r="G1973">
        <v>2803</v>
      </c>
      <c r="H1973">
        <v>16998</v>
      </c>
      <c r="I1973">
        <v>85047</v>
      </c>
    </row>
    <row r="1974" spans="1:9">
      <c r="A1974" s="2">
        <v>1967</v>
      </c>
      <c r="B1974">
        <v>83</v>
      </c>
      <c r="C1974">
        <v>0.17713999999999999</v>
      </c>
      <c r="D1974">
        <v>0.16273000000000001</v>
      </c>
      <c r="E1974">
        <v>0.5</v>
      </c>
      <c r="F1974">
        <v>15597</v>
      </c>
      <c r="G1974">
        <v>2538</v>
      </c>
      <c r="H1974">
        <v>14328</v>
      </c>
      <c r="I1974">
        <v>68048</v>
      </c>
    </row>
    <row r="1975" spans="1:9">
      <c r="A1975" s="2">
        <v>1967</v>
      </c>
      <c r="B1975">
        <v>84</v>
      </c>
      <c r="C1975">
        <v>0.19444</v>
      </c>
      <c r="D1975">
        <v>0.17721000000000001</v>
      </c>
      <c r="E1975">
        <v>0.5</v>
      </c>
      <c r="F1975">
        <v>13059</v>
      </c>
      <c r="G1975">
        <v>2314</v>
      </c>
      <c r="H1975">
        <v>11902</v>
      </c>
      <c r="I1975">
        <v>53721</v>
      </c>
    </row>
    <row r="1976" spans="1:9">
      <c r="A1976" s="2">
        <v>1967</v>
      </c>
      <c r="B1976">
        <v>85</v>
      </c>
      <c r="C1976">
        <v>0.20077</v>
      </c>
      <c r="D1976">
        <v>0.18245</v>
      </c>
      <c r="E1976">
        <v>0.5</v>
      </c>
      <c r="F1976">
        <v>10745</v>
      </c>
      <c r="G1976">
        <v>1960</v>
      </c>
      <c r="H1976">
        <v>9764</v>
      </c>
      <c r="I1976">
        <v>41819</v>
      </c>
    </row>
    <row r="1977" spans="1:9">
      <c r="A1977" s="2">
        <v>1967</v>
      </c>
      <c r="B1977">
        <v>86</v>
      </c>
      <c r="C1977">
        <v>0.22203999999999999</v>
      </c>
      <c r="D1977">
        <v>0.19985</v>
      </c>
      <c r="E1977">
        <v>0.5</v>
      </c>
      <c r="F1977">
        <v>8784</v>
      </c>
      <c r="G1977">
        <v>1756</v>
      </c>
      <c r="H1977">
        <v>7906</v>
      </c>
      <c r="I1977">
        <v>32055</v>
      </c>
    </row>
    <row r="1978" spans="1:9">
      <c r="A1978" s="2">
        <v>1967</v>
      </c>
      <c r="B1978">
        <v>87</v>
      </c>
      <c r="C1978">
        <v>0.23982999999999999</v>
      </c>
      <c r="D1978">
        <v>0.21415000000000001</v>
      </c>
      <c r="E1978">
        <v>0.5</v>
      </c>
      <c r="F1978">
        <v>7029</v>
      </c>
      <c r="G1978">
        <v>1505</v>
      </c>
      <c r="H1978">
        <v>6276</v>
      </c>
      <c r="I1978">
        <v>24148</v>
      </c>
    </row>
    <row r="1979" spans="1:9">
      <c r="A1979" s="2">
        <v>1967</v>
      </c>
      <c r="B1979">
        <v>88</v>
      </c>
      <c r="C1979">
        <v>0.24115</v>
      </c>
      <c r="D1979">
        <v>0.2152</v>
      </c>
      <c r="E1979">
        <v>0.5</v>
      </c>
      <c r="F1979">
        <v>5523</v>
      </c>
      <c r="G1979">
        <v>1189</v>
      </c>
      <c r="H1979">
        <v>4929</v>
      </c>
      <c r="I1979">
        <v>17872</v>
      </c>
    </row>
    <row r="1980" spans="1:9">
      <c r="A1980" s="2">
        <v>1967</v>
      </c>
      <c r="B1980">
        <v>89</v>
      </c>
      <c r="C1980">
        <v>0.28447</v>
      </c>
      <c r="D1980">
        <v>0.24904999999999999</v>
      </c>
      <c r="E1980">
        <v>0.5</v>
      </c>
      <c r="F1980">
        <v>4335</v>
      </c>
      <c r="G1980">
        <v>1080</v>
      </c>
      <c r="H1980">
        <v>3795</v>
      </c>
      <c r="I1980">
        <v>12943</v>
      </c>
    </row>
    <row r="1981" spans="1:9">
      <c r="A1981" s="2">
        <v>1967</v>
      </c>
      <c r="B1981">
        <v>90</v>
      </c>
      <c r="C1981">
        <v>0.28924</v>
      </c>
      <c r="D1981">
        <v>0.25269000000000003</v>
      </c>
      <c r="E1981">
        <v>0.5</v>
      </c>
      <c r="F1981">
        <v>3255</v>
      </c>
      <c r="G1981">
        <v>823</v>
      </c>
      <c r="H1981">
        <v>2844</v>
      </c>
      <c r="I1981">
        <v>9148</v>
      </c>
    </row>
    <row r="1982" spans="1:9">
      <c r="A1982" s="2">
        <v>1967</v>
      </c>
      <c r="B1982">
        <v>91</v>
      </c>
      <c r="C1982">
        <v>0.35121999999999998</v>
      </c>
      <c r="D1982">
        <v>0.29876000000000003</v>
      </c>
      <c r="E1982">
        <v>0.5</v>
      </c>
      <c r="F1982">
        <v>2433</v>
      </c>
      <c r="G1982">
        <v>727</v>
      </c>
      <c r="H1982">
        <v>2069</v>
      </c>
      <c r="I1982">
        <v>6304</v>
      </c>
    </row>
    <row r="1983" spans="1:9">
      <c r="A1983" s="2">
        <v>1967</v>
      </c>
      <c r="B1983">
        <v>92</v>
      </c>
      <c r="C1983">
        <v>0.38769999999999999</v>
      </c>
      <c r="D1983">
        <v>0.32474999999999998</v>
      </c>
      <c r="E1983">
        <v>0.5</v>
      </c>
      <c r="F1983">
        <v>1706</v>
      </c>
      <c r="G1983">
        <v>554</v>
      </c>
      <c r="H1983">
        <v>1429</v>
      </c>
      <c r="I1983">
        <v>4235</v>
      </c>
    </row>
    <row r="1984" spans="1:9">
      <c r="A1984" s="2">
        <v>1967</v>
      </c>
      <c r="B1984">
        <v>93</v>
      </c>
      <c r="C1984">
        <v>0.36908999999999997</v>
      </c>
      <c r="D1984">
        <v>0.31158999999999998</v>
      </c>
      <c r="E1984">
        <v>0.5</v>
      </c>
      <c r="F1984">
        <v>1152</v>
      </c>
      <c r="G1984">
        <v>359</v>
      </c>
      <c r="H1984">
        <v>972</v>
      </c>
      <c r="I1984">
        <v>2806</v>
      </c>
    </row>
    <row r="1985" spans="1:9">
      <c r="A1985" s="2">
        <v>1967</v>
      </c>
      <c r="B1985">
        <v>94</v>
      </c>
      <c r="C1985">
        <v>0.39284999999999998</v>
      </c>
      <c r="D1985">
        <v>0.32834999999999998</v>
      </c>
      <c r="E1985">
        <v>0.5</v>
      </c>
      <c r="F1985">
        <v>793</v>
      </c>
      <c r="G1985">
        <v>260</v>
      </c>
      <c r="H1985">
        <v>663</v>
      </c>
      <c r="I1985">
        <v>1834</v>
      </c>
    </row>
    <row r="1986" spans="1:9">
      <c r="A1986" s="2">
        <v>1967</v>
      </c>
      <c r="B1986">
        <v>95</v>
      </c>
      <c r="C1986">
        <v>0.41713</v>
      </c>
      <c r="D1986">
        <v>0.34514</v>
      </c>
      <c r="E1986">
        <v>0.5</v>
      </c>
      <c r="F1986">
        <v>533</v>
      </c>
      <c r="G1986">
        <v>184</v>
      </c>
      <c r="H1986">
        <v>441</v>
      </c>
      <c r="I1986">
        <v>1171</v>
      </c>
    </row>
    <row r="1987" spans="1:9">
      <c r="A1987" s="2">
        <v>1967</v>
      </c>
      <c r="B1987">
        <v>96</v>
      </c>
      <c r="C1987">
        <v>0.44180999999999998</v>
      </c>
      <c r="D1987">
        <v>0.36187000000000002</v>
      </c>
      <c r="E1987">
        <v>0.5</v>
      </c>
      <c r="F1987">
        <v>349</v>
      </c>
      <c r="G1987">
        <v>126</v>
      </c>
      <c r="H1987">
        <v>286</v>
      </c>
      <c r="I1987">
        <v>730</v>
      </c>
    </row>
    <row r="1988" spans="1:9">
      <c r="A1988" s="2">
        <v>1967</v>
      </c>
      <c r="B1988">
        <v>97</v>
      </c>
      <c r="C1988">
        <v>0.46678999999999998</v>
      </c>
      <c r="D1988">
        <v>0.37846000000000002</v>
      </c>
      <c r="E1988">
        <v>0.5</v>
      </c>
      <c r="F1988">
        <v>223</v>
      </c>
      <c r="G1988">
        <v>84</v>
      </c>
      <c r="H1988">
        <v>180</v>
      </c>
      <c r="I1988">
        <v>444</v>
      </c>
    </row>
    <row r="1989" spans="1:9">
      <c r="A1989" s="2">
        <v>1967</v>
      </c>
      <c r="B1989">
        <v>98</v>
      </c>
      <c r="C1989">
        <v>0.49193999999999999</v>
      </c>
      <c r="D1989">
        <v>0.39482</v>
      </c>
      <c r="E1989">
        <v>0.5</v>
      </c>
      <c r="F1989">
        <v>138</v>
      </c>
      <c r="G1989">
        <v>55</v>
      </c>
      <c r="H1989">
        <v>111</v>
      </c>
      <c r="I1989">
        <v>264</v>
      </c>
    </row>
    <row r="1990" spans="1:9">
      <c r="A1990" s="2">
        <v>1967</v>
      </c>
      <c r="B1990">
        <v>99</v>
      </c>
      <c r="C1990">
        <v>0.51712000000000002</v>
      </c>
      <c r="D1990">
        <v>0.41088999999999998</v>
      </c>
      <c r="E1990">
        <v>0.5</v>
      </c>
      <c r="F1990">
        <v>84</v>
      </c>
      <c r="G1990">
        <v>34</v>
      </c>
      <c r="H1990">
        <v>67</v>
      </c>
      <c r="I1990">
        <v>153</v>
      </c>
    </row>
    <row r="1991" spans="1:9">
      <c r="A1991" s="2">
        <v>1967</v>
      </c>
      <c r="B1991">
        <v>100</v>
      </c>
      <c r="C1991">
        <v>0.54222000000000004</v>
      </c>
      <c r="D1991">
        <v>0.42658000000000001</v>
      </c>
      <c r="E1991">
        <v>0.5</v>
      </c>
      <c r="F1991">
        <v>49</v>
      </c>
      <c r="G1991">
        <v>21</v>
      </c>
      <c r="H1991">
        <v>39</v>
      </c>
      <c r="I1991">
        <v>86</v>
      </c>
    </row>
    <row r="1992" spans="1:9">
      <c r="A1992" s="2">
        <v>1967</v>
      </c>
      <c r="B1992">
        <v>101</v>
      </c>
      <c r="C1992">
        <v>0.56711</v>
      </c>
      <c r="D1992">
        <v>0.44183</v>
      </c>
      <c r="E1992">
        <v>0.5</v>
      </c>
      <c r="F1992">
        <v>28</v>
      </c>
      <c r="G1992">
        <v>12</v>
      </c>
      <c r="H1992">
        <v>22</v>
      </c>
      <c r="I1992">
        <v>48</v>
      </c>
    </row>
    <row r="1993" spans="1:9">
      <c r="A1993" s="2">
        <v>1967</v>
      </c>
      <c r="B1993">
        <v>102</v>
      </c>
      <c r="C1993">
        <v>0.59167000000000003</v>
      </c>
      <c r="D1993">
        <v>0.45659</v>
      </c>
      <c r="E1993">
        <v>0.5</v>
      </c>
      <c r="F1993">
        <v>16</v>
      </c>
      <c r="G1993">
        <v>7</v>
      </c>
      <c r="H1993">
        <v>12</v>
      </c>
      <c r="I1993">
        <v>26</v>
      </c>
    </row>
    <row r="1994" spans="1:9">
      <c r="A1994" s="2">
        <v>1967</v>
      </c>
      <c r="B1994">
        <v>103</v>
      </c>
      <c r="C1994">
        <v>0.61577000000000004</v>
      </c>
      <c r="D1994">
        <v>0.47081000000000001</v>
      </c>
      <c r="E1994">
        <v>0.5</v>
      </c>
      <c r="F1994">
        <v>9</v>
      </c>
      <c r="G1994">
        <v>4</v>
      </c>
      <c r="H1994">
        <v>7</v>
      </c>
      <c r="I1994">
        <v>13</v>
      </c>
    </row>
    <row r="1995" spans="1:9">
      <c r="A1995" s="2">
        <v>1967</v>
      </c>
      <c r="B1995">
        <v>104</v>
      </c>
      <c r="C1995">
        <v>0.63932</v>
      </c>
      <c r="D1995">
        <v>0.48446</v>
      </c>
      <c r="E1995">
        <v>0.5</v>
      </c>
      <c r="F1995">
        <v>5</v>
      </c>
      <c r="G1995">
        <v>2</v>
      </c>
      <c r="H1995">
        <v>3</v>
      </c>
      <c r="I1995">
        <v>7</v>
      </c>
    </row>
    <row r="1996" spans="1:9">
      <c r="A1996" s="2">
        <v>1967</v>
      </c>
      <c r="B1996">
        <v>105</v>
      </c>
      <c r="C1996">
        <v>0.66222000000000003</v>
      </c>
      <c r="D1996">
        <v>0.49748999999999999</v>
      </c>
      <c r="E1996">
        <v>0.5</v>
      </c>
      <c r="F1996">
        <v>2</v>
      </c>
      <c r="G1996">
        <v>1</v>
      </c>
      <c r="H1996">
        <v>2</v>
      </c>
      <c r="I1996">
        <v>3</v>
      </c>
    </row>
    <row r="1997" spans="1:9">
      <c r="A1997" s="2">
        <v>1967</v>
      </c>
      <c r="B1997">
        <v>106</v>
      </c>
      <c r="C1997">
        <v>0.68437999999999999</v>
      </c>
      <c r="D1997">
        <v>0.50990000000000002</v>
      </c>
      <c r="E1997">
        <v>0.5</v>
      </c>
      <c r="F1997">
        <v>1</v>
      </c>
      <c r="G1997">
        <v>1</v>
      </c>
      <c r="H1997">
        <v>1</v>
      </c>
      <c r="I1997">
        <v>2</v>
      </c>
    </row>
    <row r="1998" spans="1:9">
      <c r="A1998" s="2">
        <v>1967</v>
      </c>
      <c r="B1998">
        <v>107</v>
      </c>
      <c r="C1998">
        <v>0.70572999999999997</v>
      </c>
      <c r="D1998">
        <v>0.52166000000000001</v>
      </c>
      <c r="E1998">
        <v>0.5</v>
      </c>
      <c r="F1998">
        <v>1</v>
      </c>
      <c r="G1998">
        <v>0</v>
      </c>
      <c r="H1998">
        <v>0</v>
      </c>
      <c r="I1998">
        <v>1</v>
      </c>
    </row>
    <row r="1999" spans="1:9">
      <c r="A1999" s="2">
        <v>1967</v>
      </c>
      <c r="B1999">
        <v>108</v>
      </c>
      <c r="C1999">
        <v>0.72621999999999998</v>
      </c>
      <c r="D1999">
        <v>0.53276999999999997</v>
      </c>
      <c r="E1999">
        <v>0.5</v>
      </c>
      <c r="F1999">
        <v>0</v>
      </c>
      <c r="G1999">
        <v>0</v>
      </c>
      <c r="H1999">
        <v>0</v>
      </c>
      <c r="I1999">
        <v>0</v>
      </c>
    </row>
    <row r="2000" spans="1:9">
      <c r="A2000" s="2">
        <v>1967</v>
      </c>
      <c r="B2000">
        <v>109</v>
      </c>
      <c r="C2000">
        <v>0.74578999999999995</v>
      </c>
      <c r="D2000">
        <v>0.54322000000000004</v>
      </c>
      <c r="E2000">
        <v>0.5</v>
      </c>
      <c r="F2000">
        <v>0</v>
      </c>
      <c r="G2000">
        <v>0</v>
      </c>
      <c r="H2000">
        <v>0</v>
      </c>
      <c r="I2000">
        <v>0</v>
      </c>
    </row>
    <row r="2001" spans="1:9">
      <c r="A2001" s="2">
        <v>1967</v>
      </c>
      <c r="B2001" t="s">
        <v>26</v>
      </c>
      <c r="C2001">
        <v>0.76441999999999999</v>
      </c>
      <c r="D2001">
        <v>1</v>
      </c>
      <c r="E2001" s="3" t="s">
        <v>38</v>
      </c>
      <c r="F2001">
        <v>0</v>
      </c>
      <c r="G2001">
        <v>0</v>
      </c>
      <c r="H2001">
        <v>0</v>
      </c>
      <c r="I2001">
        <v>0</v>
      </c>
    </row>
    <row r="2002" spans="1:9">
      <c r="A2002" s="2">
        <v>1968</v>
      </c>
      <c r="B2002">
        <v>0</v>
      </c>
      <c r="C2002">
        <v>4.1119999999999997E-2</v>
      </c>
      <c r="D2002">
        <v>3.9750000000000001E-2</v>
      </c>
      <c r="E2002">
        <v>0.16</v>
      </c>
      <c r="F2002">
        <v>100000</v>
      </c>
      <c r="G2002">
        <v>3975</v>
      </c>
      <c r="H2002">
        <v>96670</v>
      </c>
      <c r="I2002">
        <v>6666876</v>
      </c>
    </row>
    <row r="2003" spans="1:9">
      <c r="A2003" s="2">
        <v>1968</v>
      </c>
      <c r="B2003">
        <v>1</v>
      </c>
      <c r="C2003">
        <v>2.14E-3</v>
      </c>
      <c r="D2003">
        <v>2.14E-3</v>
      </c>
      <c r="E2003">
        <v>0.5</v>
      </c>
      <c r="F2003">
        <v>96025</v>
      </c>
      <c r="G2003">
        <v>205</v>
      </c>
      <c r="H2003">
        <v>95922</v>
      </c>
      <c r="I2003">
        <v>6570205</v>
      </c>
    </row>
    <row r="2004" spans="1:9">
      <c r="A2004" s="2">
        <v>1968</v>
      </c>
      <c r="B2004">
        <v>2</v>
      </c>
      <c r="C2004">
        <v>7.7999999999999999E-4</v>
      </c>
      <c r="D2004">
        <v>7.7999999999999999E-4</v>
      </c>
      <c r="E2004">
        <v>0.5</v>
      </c>
      <c r="F2004">
        <v>95820</v>
      </c>
      <c r="G2004">
        <v>75</v>
      </c>
      <c r="H2004">
        <v>95782</v>
      </c>
      <c r="I2004">
        <v>6474283</v>
      </c>
    </row>
    <row r="2005" spans="1:9">
      <c r="A2005" s="2">
        <v>1968</v>
      </c>
      <c r="B2005">
        <v>3</v>
      </c>
      <c r="C2005">
        <v>6.6E-4</v>
      </c>
      <c r="D2005">
        <v>6.6E-4</v>
      </c>
      <c r="E2005">
        <v>0.5</v>
      </c>
      <c r="F2005">
        <v>95745</v>
      </c>
      <c r="G2005">
        <v>63</v>
      </c>
      <c r="H2005">
        <v>95714</v>
      </c>
      <c r="I2005">
        <v>6378501</v>
      </c>
    </row>
    <row r="2006" spans="1:9">
      <c r="A2006" s="2">
        <v>1968</v>
      </c>
      <c r="B2006">
        <v>4</v>
      </c>
      <c r="C2006">
        <v>5.5000000000000003E-4</v>
      </c>
      <c r="D2006">
        <v>5.5000000000000003E-4</v>
      </c>
      <c r="E2006">
        <v>0.5</v>
      </c>
      <c r="F2006">
        <v>95682</v>
      </c>
      <c r="G2006">
        <v>53</v>
      </c>
      <c r="H2006">
        <v>95656</v>
      </c>
      <c r="I2006">
        <v>6282787</v>
      </c>
    </row>
    <row r="2007" spans="1:9">
      <c r="A2007" s="2">
        <v>1968</v>
      </c>
      <c r="B2007">
        <v>5</v>
      </c>
      <c r="C2007">
        <v>5.8E-4</v>
      </c>
      <c r="D2007">
        <v>5.8E-4</v>
      </c>
      <c r="E2007">
        <v>0.5</v>
      </c>
      <c r="F2007">
        <v>95629</v>
      </c>
      <c r="G2007">
        <v>55</v>
      </c>
      <c r="H2007">
        <v>95601</v>
      </c>
      <c r="I2007">
        <v>6187131</v>
      </c>
    </row>
    <row r="2008" spans="1:9">
      <c r="A2008" s="2">
        <v>1968</v>
      </c>
      <c r="B2008">
        <v>6</v>
      </c>
      <c r="C2008">
        <v>3.8000000000000002E-4</v>
      </c>
      <c r="D2008">
        <v>3.8000000000000002E-4</v>
      </c>
      <c r="E2008">
        <v>0.5</v>
      </c>
      <c r="F2008">
        <v>95574</v>
      </c>
      <c r="G2008">
        <v>36</v>
      </c>
      <c r="H2008">
        <v>95556</v>
      </c>
      <c r="I2008">
        <v>6091530</v>
      </c>
    </row>
    <row r="2009" spans="1:9">
      <c r="A2009" s="2">
        <v>1968</v>
      </c>
      <c r="B2009">
        <v>7</v>
      </c>
      <c r="C2009">
        <v>4.0999999999999999E-4</v>
      </c>
      <c r="D2009">
        <v>4.0999999999999999E-4</v>
      </c>
      <c r="E2009">
        <v>0.5</v>
      </c>
      <c r="F2009">
        <v>95537</v>
      </c>
      <c r="G2009">
        <v>40</v>
      </c>
      <c r="H2009">
        <v>95518</v>
      </c>
      <c r="I2009">
        <v>5995974</v>
      </c>
    </row>
    <row r="2010" spans="1:9">
      <c r="A2010" s="2">
        <v>1968</v>
      </c>
      <c r="B2010">
        <v>8</v>
      </c>
      <c r="C2010">
        <v>3.6999999999999999E-4</v>
      </c>
      <c r="D2010">
        <v>3.6999999999999999E-4</v>
      </c>
      <c r="E2010">
        <v>0.5</v>
      </c>
      <c r="F2010">
        <v>95498</v>
      </c>
      <c r="G2010">
        <v>36</v>
      </c>
      <c r="H2010">
        <v>95480</v>
      </c>
      <c r="I2010">
        <v>5900457</v>
      </c>
    </row>
    <row r="2011" spans="1:9">
      <c r="A2011" s="2">
        <v>1968</v>
      </c>
      <c r="B2011">
        <v>9</v>
      </c>
      <c r="C2011">
        <v>4.2999999999999999E-4</v>
      </c>
      <c r="D2011">
        <v>4.2999999999999999E-4</v>
      </c>
      <c r="E2011">
        <v>0.5</v>
      </c>
      <c r="F2011">
        <v>95462</v>
      </c>
      <c r="G2011">
        <v>41</v>
      </c>
      <c r="H2011">
        <v>95442</v>
      </c>
      <c r="I2011">
        <v>5804977</v>
      </c>
    </row>
    <row r="2012" spans="1:9">
      <c r="A2012" s="2">
        <v>1968</v>
      </c>
      <c r="B2012">
        <v>10</v>
      </c>
      <c r="C2012">
        <v>5.9999999999999995E-4</v>
      </c>
      <c r="D2012">
        <v>5.9999999999999995E-4</v>
      </c>
      <c r="E2012">
        <v>0.5</v>
      </c>
      <c r="F2012">
        <v>95422</v>
      </c>
      <c r="G2012">
        <v>58</v>
      </c>
      <c r="H2012">
        <v>95393</v>
      </c>
      <c r="I2012">
        <v>5709535</v>
      </c>
    </row>
    <row r="2013" spans="1:9">
      <c r="A2013" s="2">
        <v>1968</v>
      </c>
      <c r="B2013">
        <v>11</v>
      </c>
      <c r="C2013">
        <v>3.6000000000000002E-4</v>
      </c>
      <c r="D2013">
        <v>3.6000000000000002E-4</v>
      </c>
      <c r="E2013">
        <v>0.5</v>
      </c>
      <c r="F2013">
        <v>95364</v>
      </c>
      <c r="G2013">
        <v>35</v>
      </c>
      <c r="H2013">
        <v>95347</v>
      </c>
      <c r="I2013">
        <v>5614142</v>
      </c>
    </row>
    <row r="2014" spans="1:9">
      <c r="A2014" s="2">
        <v>1968</v>
      </c>
      <c r="B2014">
        <v>12</v>
      </c>
      <c r="C2014">
        <v>5.2999999999999998E-4</v>
      </c>
      <c r="D2014">
        <v>5.2999999999999998E-4</v>
      </c>
      <c r="E2014">
        <v>0.5</v>
      </c>
      <c r="F2014">
        <v>95329</v>
      </c>
      <c r="G2014">
        <v>51</v>
      </c>
      <c r="H2014">
        <v>95304</v>
      </c>
      <c r="I2014">
        <v>5518795</v>
      </c>
    </row>
    <row r="2015" spans="1:9">
      <c r="A2015" s="2">
        <v>1968</v>
      </c>
      <c r="B2015">
        <v>13</v>
      </c>
      <c r="C2015">
        <v>4.2999999999999999E-4</v>
      </c>
      <c r="D2015">
        <v>4.2999999999999999E-4</v>
      </c>
      <c r="E2015">
        <v>0.5</v>
      </c>
      <c r="F2015">
        <v>95278</v>
      </c>
      <c r="G2015">
        <v>41</v>
      </c>
      <c r="H2015">
        <v>95258</v>
      </c>
      <c r="I2015">
        <v>5423491</v>
      </c>
    </row>
    <row r="2016" spans="1:9">
      <c r="A2016" s="2">
        <v>1968</v>
      </c>
      <c r="B2016">
        <v>14</v>
      </c>
      <c r="C2016">
        <v>6.8999999999999997E-4</v>
      </c>
      <c r="D2016">
        <v>6.8999999999999997E-4</v>
      </c>
      <c r="E2016">
        <v>0.5</v>
      </c>
      <c r="F2016">
        <v>95238</v>
      </c>
      <c r="G2016">
        <v>65</v>
      </c>
      <c r="H2016">
        <v>95205</v>
      </c>
      <c r="I2016">
        <v>5328233</v>
      </c>
    </row>
    <row r="2017" spans="1:9">
      <c r="A2017" s="2">
        <v>1968</v>
      </c>
      <c r="B2017">
        <v>15</v>
      </c>
      <c r="C2017">
        <v>6.0999999999999997E-4</v>
      </c>
      <c r="D2017">
        <v>6.0999999999999997E-4</v>
      </c>
      <c r="E2017">
        <v>0.5</v>
      </c>
      <c r="F2017">
        <v>95172</v>
      </c>
      <c r="G2017">
        <v>58</v>
      </c>
      <c r="H2017">
        <v>95143</v>
      </c>
      <c r="I2017">
        <v>5233028</v>
      </c>
    </row>
    <row r="2018" spans="1:9">
      <c r="A2018" s="2">
        <v>1968</v>
      </c>
      <c r="B2018">
        <v>16</v>
      </c>
      <c r="C2018">
        <v>8.1999999999999998E-4</v>
      </c>
      <c r="D2018">
        <v>8.1999999999999998E-4</v>
      </c>
      <c r="E2018">
        <v>0.5</v>
      </c>
      <c r="F2018">
        <v>95114</v>
      </c>
      <c r="G2018">
        <v>78</v>
      </c>
      <c r="H2018">
        <v>95075</v>
      </c>
      <c r="I2018">
        <v>5137885</v>
      </c>
    </row>
    <row r="2019" spans="1:9">
      <c r="A2019" s="2">
        <v>1968</v>
      </c>
      <c r="B2019">
        <v>17</v>
      </c>
      <c r="C2019">
        <v>1.0200000000000001E-3</v>
      </c>
      <c r="D2019">
        <v>1.0200000000000001E-3</v>
      </c>
      <c r="E2019">
        <v>0.5</v>
      </c>
      <c r="F2019">
        <v>95036</v>
      </c>
      <c r="G2019">
        <v>97</v>
      </c>
      <c r="H2019">
        <v>94988</v>
      </c>
      <c r="I2019">
        <v>5042810</v>
      </c>
    </row>
    <row r="2020" spans="1:9">
      <c r="A2020" s="2">
        <v>1968</v>
      </c>
      <c r="B2020">
        <v>18</v>
      </c>
      <c r="C2020">
        <v>1.39E-3</v>
      </c>
      <c r="D2020">
        <v>1.39E-3</v>
      </c>
      <c r="E2020">
        <v>0.5</v>
      </c>
      <c r="F2020">
        <v>94939</v>
      </c>
      <c r="G2020">
        <v>132</v>
      </c>
      <c r="H2020">
        <v>94873</v>
      </c>
      <c r="I2020">
        <v>4947822</v>
      </c>
    </row>
    <row r="2021" spans="1:9">
      <c r="A2021" s="2">
        <v>1968</v>
      </c>
      <c r="B2021">
        <v>19</v>
      </c>
      <c r="C2021">
        <v>1.39E-3</v>
      </c>
      <c r="D2021">
        <v>1.3799999999999999E-3</v>
      </c>
      <c r="E2021">
        <v>0.5</v>
      </c>
      <c r="F2021">
        <v>94807</v>
      </c>
      <c r="G2021">
        <v>131</v>
      </c>
      <c r="H2021">
        <v>94741</v>
      </c>
      <c r="I2021">
        <v>4852949</v>
      </c>
    </row>
    <row r="2022" spans="1:9">
      <c r="A2022" s="2">
        <v>1968</v>
      </c>
      <c r="B2022">
        <v>20</v>
      </c>
      <c r="C2022">
        <v>1.41E-3</v>
      </c>
      <c r="D2022">
        <v>1.41E-3</v>
      </c>
      <c r="E2022">
        <v>0.5</v>
      </c>
      <c r="F2022">
        <v>94676</v>
      </c>
      <c r="G2022">
        <v>133</v>
      </c>
      <c r="H2022">
        <v>94609</v>
      </c>
      <c r="I2022">
        <v>4758208</v>
      </c>
    </row>
    <row r="2023" spans="1:9">
      <c r="A2023" s="2">
        <v>1968</v>
      </c>
      <c r="B2023">
        <v>21</v>
      </c>
      <c r="C2023">
        <v>1.2600000000000001E-3</v>
      </c>
      <c r="D2023">
        <v>1.2600000000000001E-3</v>
      </c>
      <c r="E2023">
        <v>0.5</v>
      </c>
      <c r="F2023">
        <v>94543</v>
      </c>
      <c r="G2023">
        <v>120</v>
      </c>
      <c r="H2023">
        <v>94483</v>
      </c>
      <c r="I2023">
        <v>4663598</v>
      </c>
    </row>
    <row r="2024" spans="1:9">
      <c r="A2024" s="2">
        <v>1968</v>
      </c>
      <c r="B2024">
        <v>22</v>
      </c>
      <c r="C2024">
        <v>1.41E-3</v>
      </c>
      <c r="D2024">
        <v>1.41E-3</v>
      </c>
      <c r="E2024">
        <v>0.5</v>
      </c>
      <c r="F2024">
        <v>94423</v>
      </c>
      <c r="G2024">
        <v>133</v>
      </c>
      <c r="H2024">
        <v>94357</v>
      </c>
      <c r="I2024">
        <v>4569116</v>
      </c>
    </row>
    <row r="2025" spans="1:9">
      <c r="A2025" s="2">
        <v>1968</v>
      </c>
      <c r="B2025">
        <v>23</v>
      </c>
      <c r="C2025">
        <v>1.92E-3</v>
      </c>
      <c r="D2025">
        <v>1.92E-3</v>
      </c>
      <c r="E2025">
        <v>0.5</v>
      </c>
      <c r="F2025">
        <v>94290</v>
      </c>
      <c r="G2025">
        <v>181</v>
      </c>
      <c r="H2025">
        <v>94200</v>
      </c>
      <c r="I2025">
        <v>4474759</v>
      </c>
    </row>
    <row r="2026" spans="1:9">
      <c r="A2026" s="2">
        <v>1968</v>
      </c>
      <c r="B2026">
        <v>24</v>
      </c>
      <c r="C2026">
        <v>1.6900000000000001E-3</v>
      </c>
      <c r="D2026">
        <v>1.6900000000000001E-3</v>
      </c>
      <c r="E2026">
        <v>0.5</v>
      </c>
      <c r="F2026">
        <v>94109</v>
      </c>
      <c r="G2026">
        <v>159</v>
      </c>
      <c r="H2026">
        <v>94030</v>
      </c>
      <c r="I2026">
        <v>4380559</v>
      </c>
    </row>
    <row r="2027" spans="1:9">
      <c r="A2027" s="2">
        <v>1968</v>
      </c>
      <c r="B2027">
        <v>25</v>
      </c>
      <c r="C2027">
        <v>1.5E-3</v>
      </c>
      <c r="D2027">
        <v>1.5E-3</v>
      </c>
      <c r="E2027">
        <v>0.5</v>
      </c>
      <c r="F2027">
        <v>93950</v>
      </c>
      <c r="G2027">
        <v>141</v>
      </c>
      <c r="H2027">
        <v>93880</v>
      </c>
      <c r="I2027">
        <v>4286529</v>
      </c>
    </row>
    <row r="2028" spans="1:9">
      <c r="A2028" s="2">
        <v>1968</v>
      </c>
      <c r="B2028">
        <v>26</v>
      </c>
      <c r="C2028">
        <v>1.7899999999999999E-3</v>
      </c>
      <c r="D2028">
        <v>1.7899999999999999E-3</v>
      </c>
      <c r="E2028">
        <v>0.5</v>
      </c>
      <c r="F2028">
        <v>93810</v>
      </c>
      <c r="G2028">
        <v>168</v>
      </c>
      <c r="H2028">
        <v>93726</v>
      </c>
      <c r="I2028">
        <v>4192649</v>
      </c>
    </row>
    <row r="2029" spans="1:9">
      <c r="A2029" s="2">
        <v>1968</v>
      </c>
      <c r="B2029">
        <v>27</v>
      </c>
      <c r="C2029">
        <v>1.5399999999999999E-3</v>
      </c>
      <c r="D2029">
        <v>1.5399999999999999E-3</v>
      </c>
      <c r="E2029">
        <v>0.5</v>
      </c>
      <c r="F2029">
        <v>93642</v>
      </c>
      <c r="G2029">
        <v>144</v>
      </c>
      <c r="H2029">
        <v>93570</v>
      </c>
      <c r="I2029">
        <v>4098923</v>
      </c>
    </row>
    <row r="2030" spans="1:9">
      <c r="A2030" s="2">
        <v>1968</v>
      </c>
      <c r="B2030">
        <v>28</v>
      </c>
      <c r="C2030">
        <v>1.6900000000000001E-3</v>
      </c>
      <c r="D2030">
        <v>1.6900000000000001E-3</v>
      </c>
      <c r="E2030">
        <v>0.5</v>
      </c>
      <c r="F2030">
        <v>93498</v>
      </c>
      <c r="G2030">
        <v>158</v>
      </c>
      <c r="H2030">
        <v>93419</v>
      </c>
      <c r="I2030">
        <v>4005354</v>
      </c>
    </row>
    <row r="2031" spans="1:9">
      <c r="A2031" s="2">
        <v>1968</v>
      </c>
      <c r="B2031">
        <v>29</v>
      </c>
      <c r="C2031">
        <v>1.6199999999999999E-3</v>
      </c>
      <c r="D2031">
        <v>1.6199999999999999E-3</v>
      </c>
      <c r="E2031">
        <v>0.5</v>
      </c>
      <c r="F2031">
        <v>93339</v>
      </c>
      <c r="G2031">
        <v>151</v>
      </c>
      <c r="H2031">
        <v>93264</v>
      </c>
      <c r="I2031">
        <v>3911935</v>
      </c>
    </row>
    <row r="2032" spans="1:9">
      <c r="A2032" s="2">
        <v>1968</v>
      </c>
      <c r="B2032">
        <v>30</v>
      </c>
      <c r="C2032">
        <v>1.82E-3</v>
      </c>
      <c r="D2032">
        <v>1.82E-3</v>
      </c>
      <c r="E2032">
        <v>0.5</v>
      </c>
      <c r="F2032">
        <v>93188</v>
      </c>
      <c r="G2032">
        <v>169</v>
      </c>
      <c r="H2032">
        <v>93103</v>
      </c>
      <c r="I2032">
        <v>3818671</v>
      </c>
    </row>
    <row r="2033" spans="1:9">
      <c r="A2033" s="2">
        <v>1968</v>
      </c>
      <c r="B2033">
        <v>31</v>
      </c>
      <c r="C2033">
        <v>2.0600000000000002E-3</v>
      </c>
      <c r="D2033">
        <v>2.0600000000000002E-3</v>
      </c>
      <c r="E2033">
        <v>0.5</v>
      </c>
      <c r="F2033">
        <v>93018</v>
      </c>
      <c r="G2033">
        <v>192</v>
      </c>
      <c r="H2033">
        <v>92923</v>
      </c>
      <c r="I2033">
        <v>3725568</v>
      </c>
    </row>
    <row r="2034" spans="1:9">
      <c r="A2034" s="2">
        <v>1968</v>
      </c>
      <c r="B2034">
        <v>32</v>
      </c>
      <c r="C2034">
        <v>2.0899999999999998E-3</v>
      </c>
      <c r="D2034">
        <v>2.0799999999999998E-3</v>
      </c>
      <c r="E2034">
        <v>0.5</v>
      </c>
      <c r="F2034">
        <v>92827</v>
      </c>
      <c r="G2034">
        <v>193</v>
      </c>
      <c r="H2034">
        <v>92730</v>
      </c>
      <c r="I2034">
        <v>3632646</v>
      </c>
    </row>
    <row r="2035" spans="1:9">
      <c r="A2035" s="2">
        <v>1968</v>
      </c>
      <c r="B2035">
        <v>33</v>
      </c>
      <c r="C2035">
        <v>2.14E-3</v>
      </c>
      <c r="D2035">
        <v>2.14E-3</v>
      </c>
      <c r="E2035">
        <v>0.5</v>
      </c>
      <c r="F2035">
        <v>92633</v>
      </c>
      <c r="G2035">
        <v>198</v>
      </c>
      <c r="H2035">
        <v>92534</v>
      </c>
      <c r="I2035">
        <v>3539916</v>
      </c>
    </row>
    <row r="2036" spans="1:9">
      <c r="A2036" s="2">
        <v>1968</v>
      </c>
      <c r="B2036">
        <v>34</v>
      </c>
      <c r="C2036">
        <v>2.3800000000000002E-3</v>
      </c>
      <c r="D2036">
        <v>2.3700000000000001E-3</v>
      </c>
      <c r="E2036">
        <v>0.5</v>
      </c>
      <c r="F2036">
        <v>92435</v>
      </c>
      <c r="G2036">
        <v>219</v>
      </c>
      <c r="H2036">
        <v>92326</v>
      </c>
      <c r="I2036">
        <v>3447381</v>
      </c>
    </row>
    <row r="2037" spans="1:9">
      <c r="A2037" s="2">
        <v>1968</v>
      </c>
      <c r="B2037">
        <v>35</v>
      </c>
      <c r="C2037">
        <v>2.31E-3</v>
      </c>
      <c r="D2037">
        <v>2.31E-3</v>
      </c>
      <c r="E2037">
        <v>0.5</v>
      </c>
      <c r="F2037">
        <v>92216</v>
      </c>
      <c r="G2037">
        <v>213</v>
      </c>
      <c r="H2037">
        <v>92110</v>
      </c>
      <c r="I2037">
        <v>3355056</v>
      </c>
    </row>
    <row r="2038" spans="1:9">
      <c r="A2038" s="2">
        <v>1968</v>
      </c>
      <c r="B2038">
        <v>36</v>
      </c>
      <c r="C2038">
        <v>2.5699999999999998E-3</v>
      </c>
      <c r="D2038">
        <v>2.5699999999999998E-3</v>
      </c>
      <c r="E2038">
        <v>0.5</v>
      </c>
      <c r="F2038">
        <v>92003</v>
      </c>
      <c r="G2038">
        <v>236</v>
      </c>
      <c r="H2038">
        <v>91885</v>
      </c>
      <c r="I2038">
        <v>3262946</v>
      </c>
    </row>
    <row r="2039" spans="1:9">
      <c r="A2039" s="2">
        <v>1968</v>
      </c>
      <c r="B2039">
        <v>37</v>
      </c>
      <c r="C2039">
        <v>2.5500000000000002E-3</v>
      </c>
      <c r="D2039">
        <v>2.5400000000000002E-3</v>
      </c>
      <c r="E2039">
        <v>0.5</v>
      </c>
      <c r="F2039">
        <v>91767</v>
      </c>
      <c r="G2039">
        <v>233</v>
      </c>
      <c r="H2039">
        <v>91650</v>
      </c>
      <c r="I2039">
        <v>3171061</v>
      </c>
    </row>
    <row r="2040" spans="1:9">
      <c r="A2040" s="2">
        <v>1968</v>
      </c>
      <c r="B2040">
        <v>38</v>
      </c>
      <c r="C2040">
        <v>3.2000000000000002E-3</v>
      </c>
      <c r="D2040">
        <v>3.2000000000000002E-3</v>
      </c>
      <c r="E2040">
        <v>0.5</v>
      </c>
      <c r="F2040">
        <v>91534</v>
      </c>
      <c r="G2040">
        <v>293</v>
      </c>
      <c r="H2040">
        <v>91387</v>
      </c>
      <c r="I2040">
        <v>3079411</v>
      </c>
    </row>
    <row r="2041" spans="1:9">
      <c r="A2041" s="2">
        <v>1968</v>
      </c>
      <c r="B2041">
        <v>39</v>
      </c>
      <c r="C2041">
        <v>3.31E-3</v>
      </c>
      <c r="D2041">
        <v>3.3E-3</v>
      </c>
      <c r="E2041">
        <v>0.5</v>
      </c>
      <c r="F2041">
        <v>91241</v>
      </c>
      <c r="G2041">
        <v>301</v>
      </c>
      <c r="H2041">
        <v>91090</v>
      </c>
      <c r="I2041">
        <v>2988024</v>
      </c>
    </row>
    <row r="2042" spans="1:9">
      <c r="A2042" s="2">
        <v>1968</v>
      </c>
      <c r="B2042">
        <v>40</v>
      </c>
      <c r="C2042">
        <v>3.5999999999999999E-3</v>
      </c>
      <c r="D2042">
        <v>3.5999999999999999E-3</v>
      </c>
      <c r="E2042">
        <v>0.5</v>
      </c>
      <c r="F2042">
        <v>90940</v>
      </c>
      <c r="G2042">
        <v>327</v>
      </c>
      <c r="H2042">
        <v>90776</v>
      </c>
      <c r="I2042">
        <v>2896933</v>
      </c>
    </row>
    <row r="2043" spans="1:9">
      <c r="A2043" s="2">
        <v>1968</v>
      </c>
      <c r="B2043">
        <v>41</v>
      </c>
      <c r="C2043">
        <v>3.49E-3</v>
      </c>
      <c r="D2043">
        <v>3.49E-3</v>
      </c>
      <c r="E2043">
        <v>0.5</v>
      </c>
      <c r="F2043">
        <v>90613</v>
      </c>
      <c r="G2043">
        <v>316</v>
      </c>
      <c r="H2043">
        <v>90455</v>
      </c>
      <c r="I2043">
        <v>2806157</v>
      </c>
    </row>
    <row r="2044" spans="1:9">
      <c r="A2044" s="2">
        <v>1968</v>
      </c>
      <c r="B2044">
        <v>42</v>
      </c>
      <c r="C2044">
        <v>4.1999999999999997E-3</v>
      </c>
      <c r="D2044">
        <v>4.1900000000000001E-3</v>
      </c>
      <c r="E2044">
        <v>0.5</v>
      </c>
      <c r="F2044">
        <v>90297</v>
      </c>
      <c r="G2044">
        <v>378</v>
      </c>
      <c r="H2044">
        <v>90107</v>
      </c>
      <c r="I2044">
        <v>2715703</v>
      </c>
    </row>
    <row r="2045" spans="1:9">
      <c r="A2045" s="2">
        <v>1968</v>
      </c>
      <c r="B2045">
        <v>43</v>
      </c>
      <c r="C2045">
        <v>4.62E-3</v>
      </c>
      <c r="D2045">
        <v>4.6100000000000004E-3</v>
      </c>
      <c r="E2045">
        <v>0.5</v>
      </c>
      <c r="F2045">
        <v>89918</v>
      </c>
      <c r="G2045">
        <v>415</v>
      </c>
      <c r="H2045">
        <v>89711</v>
      </c>
      <c r="I2045">
        <v>2625595</v>
      </c>
    </row>
    <row r="2046" spans="1:9">
      <c r="A2046" s="2">
        <v>1968</v>
      </c>
      <c r="B2046">
        <v>44</v>
      </c>
      <c r="C2046">
        <v>4.8300000000000001E-3</v>
      </c>
      <c r="D2046">
        <v>4.8199999999999996E-3</v>
      </c>
      <c r="E2046">
        <v>0.5</v>
      </c>
      <c r="F2046">
        <v>89503</v>
      </c>
      <c r="G2046">
        <v>431</v>
      </c>
      <c r="H2046">
        <v>89288</v>
      </c>
      <c r="I2046">
        <v>2535884</v>
      </c>
    </row>
    <row r="2047" spans="1:9">
      <c r="A2047" s="2">
        <v>1968</v>
      </c>
      <c r="B2047">
        <v>45</v>
      </c>
      <c r="C2047">
        <v>4.6800000000000001E-3</v>
      </c>
      <c r="D2047">
        <v>4.6699999999999997E-3</v>
      </c>
      <c r="E2047">
        <v>0.5</v>
      </c>
      <c r="F2047">
        <v>89072</v>
      </c>
      <c r="G2047">
        <v>416</v>
      </c>
      <c r="H2047">
        <v>88864</v>
      </c>
      <c r="I2047">
        <v>2446596</v>
      </c>
    </row>
    <row r="2048" spans="1:9">
      <c r="A2048" s="2">
        <v>1968</v>
      </c>
      <c r="B2048">
        <v>46</v>
      </c>
      <c r="C2048">
        <v>4.9399999999999999E-3</v>
      </c>
      <c r="D2048">
        <v>4.9300000000000004E-3</v>
      </c>
      <c r="E2048">
        <v>0.5</v>
      </c>
      <c r="F2048">
        <v>88656</v>
      </c>
      <c r="G2048">
        <v>437</v>
      </c>
      <c r="H2048">
        <v>88438</v>
      </c>
      <c r="I2048">
        <v>2357732</v>
      </c>
    </row>
    <row r="2049" spans="1:9">
      <c r="A2049" s="2">
        <v>1968</v>
      </c>
      <c r="B2049">
        <v>47</v>
      </c>
      <c r="C2049">
        <v>5.5799999999999999E-3</v>
      </c>
      <c r="D2049">
        <v>5.5599999999999998E-3</v>
      </c>
      <c r="E2049">
        <v>0.5</v>
      </c>
      <c r="F2049">
        <v>88219</v>
      </c>
      <c r="G2049">
        <v>491</v>
      </c>
      <c r="H2049">
        <v>87974</v>
      </c>
      <c r="I2049">
        <v>2269295</v>
      </c>
    </row>
    <row r="2050" spans="1:9">
      <c r="A2050" s="2">
        <v>1968</v>
      </c>
      <c r="B2050">
        <v>48</v>
      </c>
      <c r="C2050">
        <v>7.0699999999999999E-3</v>
      </c>
      <c r="D2050">
        <v>7.0499999999999998E-3</v>
      </c>
      <c r="E2050">
        <v>0.5</v>
      </c>
      <c r="F2050">
        <v>87728</v>
      </c>
      <c r="G2050">
        <v>618</v>
      </c>
      <c r="H2050">
        <v>87419</v>
      </c>
      <c r="I2050">
        <v>2181321</v>
      </c>
    </row>
    <row r="2051" spans="1:9">
      <c r="A2051" s="2">
        <v>1968</v>
      </c>
      <c r="B2051">
        <v>49</v>
      </c>
      <c r="C2051">
        <v>5.5500000000000002E-3</v>
      </c>
      <c r="D2051">
        <v>5.5399999999999998E-3</v>
      </c>
      <c r="E2051">
        <v>0.5</v>
      </c>
      <c r="F2051">
        <v>87110</v>
      </c>
      <c r="G2051">
        <v>482</v>
      </c>
      <c r="H2051">
        <v>86869</v>
      </c>
      <c r="I2051">
        <v>2093902</v>
      </c>
    </row>
    <row r="2052" spans="1:9">
      <c r="A2052" s="2">
        <v>1968</v>
      </c>
      <c r="B2052">
        <v>50</v>
      </c>
      <c r="C2052">
        <v>7.2700000000000004E-3</v>
      </c>
      <c r="D2052">
        <v>7.2500000000000004E-3</v>
      </c>
      <c r="E2052">
        <v>0.5</v>
      </c>
      <c r="F2052">
        <v>86628</v>
      </c>
      <c r="G2052">
        <v>628</v>
      </c>
      <c r="H2052">
        <v>86314</v>
      </c>
      <c r="I2052">
        <v>2007033</v>
      </c>
    </row>
    <row r="2053" spans="1:9">
      <c r="A2053" s="2">
        <v>1968</v>
      </c>
      <c r="B2053">
        <v>51</v>
      </c>
      <c r="C2053">
        <v>7.4400000000000004E-3</v>
      </c>
      <c r="D2053">
        <v>7.4200000000000004E-3</v>
      </c>
      <c r="E2053">
        <v>0.5</v>
      </c>
      <c r="F2053">
        <v>86000</v>
      </c>
      <c r="G2053">
        <v>638</v>
      </c>
      <c r="H2053">
        <v>85681</v>
      </c>
      <c r="I2053">
        <v>1920719</v>
      </c>
    </row>
    <row r="2054" spans="1:9">
      <c r="A2054" s="2">
        <v>1968</v>
      </c>
      <c r="B2054">
        <v>52</v>
      </c>
      <c r="C2054">
        <v>7.6499999999999997E-3</v>
      </c>
      <c r="D2054">
        <v>7.62E-3</v>
      </c>
      <c r="E2054">
        <v>0.5</v>
      </c>
      <c r="F2054">
        <v>85362</v>
      </c>
      <c r="G2054">
        <v>650</v>
      </c>
      <c r="H2054">
        <v>85037</v>
      </c>
      <c r="I2054">
        <v>1835038</v>
      </c>
    </row>
    <row r="2055" spans="1:9">
      <c r="A2055" s="2">
        <v>1968</v>
      </c>
      <c r="B2055">
        <v>53</v>
      </c>
      <c r="C2055">
        <v>1.064E-2</v>
      </c>
      <c r="D2055">
        <v>1.059E-2</v>
      </c>
      <c r="E2055">
        <v>0.5</v>
      </c>
      <c r="F2055">
        <v>84712</v>
      </c>
      <c r="G2055">
        <v>897</v>
      </c>
      <c r="H2055">
        <v>84263</v>
      </c>
      <c r="I2055">
        <v>1750001</v>
      </c>
    </row>
    <row r="2056" spans="1:9">
      <c r="A2056" s="2">
        <v>1968</v>
      </c>
      <c r="B2056">
        <v>54</v>
      </c>
      <c r="C2056">
        <v>1.0999999999999999E-2</v>
      </c>
      <c r="D2056">
        <v>1.094E-2</v>
      </c>
      <c r="E2056">
        <v>0.5</v>
      </c>
      <c r="F2056">
        <v>83815</v>
      </c>
      <c r="G2056">
        <v>917</v>
      </c>
      <c r="H2056">
        <v>83356</v>
      </c>
      <c r="I2056">
        <v>1665738</v>
      </c>
    </row>
    <row r="2057" spans="1:9">
      <c r="A2057" s="2">
        <v>1968</v>
      </c>
      <c r="B2057">
        <v>55</v>
      </c>
      <c r="C2057">
        <v>1.1820000000000001E-2</v>
      </c>
      <c r="D2057">
        <v>1.175E-2</v>
      </c>
      <c r="E2057">
        <v>0.5</v>
      </c>
      <c r="F2057">
        <v>82898</v>
      </c>
      <c r="G2057">
        <v>974</v>
      </c>
      <c r="H2057">
        <v>82411</v>
      </c>
      <c r="I2057">
        <v>1582382</v>
      </c>
    </row>
    <row r="2058" spans="1:9">
      <c r="A2058" s="2">
        <v>1968</v>
      </c>
      <c r="B2058">
        <v>56</v>
      </c>
      <c r="C2058">
        <v>1.311E-2</v>
      </c>
      <c r="D2058">
        <v>1.302E-2</v>
      </c>
      <c r="E2058">
        <v>0.5</v>
      </c>
      <c r="F2058">
        <v>81923</v>
      </c>
      <c r="G2058">
        <v>1067</v>
      </c>
      <c r="H2058">
        <v>81390</v>
      </c>
      <c r="I2058">
        <v>1499971</v>
      </c>
    </row>
    <row r="2059" spans="1:9">
      <c r="A2059" s="2">
        <v>1968</v>
      </c>
      <c r="B2059">
        <v>57</v>
      </c>
      <c r="C2059">
        <v>1.4489999999999999E-2</v>
      </c>
      <c r="D2059">
        <v>1.438E-2</v>
      </c>
      <c r="E2059">
        <v>0.5</v>
      </c>
      <c r="F2059">
        <v>80857</v>
      </c>
      <c r="G2059">
        <v>1163</v>
      </c>
      <c r="H2059">
        <v>80275</v>
      </c>
      <c r="I2059">
        <v>1418581</v>
      </c>
    </row>
    <row r="2060" spans="1:9">
      <c r="A2060" s="2">
        <v>1968</v>
      </c>
      <c r="B2060">
        <v>58</v>
      </c>
      <c r="C2060">
        <v>1.6480000000000002E-2</v>
      </c>
      <c r="D2060">
        <v>1.634E-2</v>
      </c>
      <c r="E2060">
        <v>0.5</v>
      </c>
      <c r="F2060">
        <v>79694</v>
      </c>
      <c r="G2060">
        <v>1302</v>
      </c>
      <c r="H2060">
        <v>79042</v>
      </c>
      <c r="I2060">
        <v>1338306</v>
      </c>
    </row>
    <row r="2061" spans="1:9">
      <c r="A2061" s="2">
        <v>1968</v>
      </c>
      <c r="B2061">
        <v>59</v>
      </c>
      <c r="C2061">
        <v>1.7639999999999999E-2</v>
      </c>
      <c r="D2061">
        <v>1.7489999999999999E-2</v>
      </c>
      <c r="E2061">
        <v>0.5</v>
      </c>
      <c r="F2061">
        <v>78391</v>
      </c>
      <c r="G2061">
        <v>1371</v>
      </c>
      <c r="H2061">
        <v>77706</v>
      </c>
      <c r="I2061">
        <v>1259264</v>
      </c>
    </row>
    <row r="2062" spans="1:9">
      <c r="A2062" s="2">
        <v>1968</v>
      </c>
      <c r="B2062">
        <v>60</v>
      </c>
      <c r="C2062">
        <v>0.02</v>
      </c>
      <c r="D2062">
        <v>1.9800000000000002E-2</v>
      </c>
      <c r="E2062">
        <v>0.5</v>
      </c>
      <c r="F2062">
        <v>77020</v>
      </c>
      <c r="G2062">
        <v>1525</v>
      </c>
      <c r="H2062">
        <v>76258</v>
      </c>
      <c r="I2062">
        <v>1181558</v>
      </c>
    </row>
    <row r="2063" spans="1:9">
      <c r="A2063" s="2">
        <v>1968</v>
      </c>
      <c r="B2063">
        <v>61</v>
      </c>
      <c r="C2063">
        <v>2.2679999999999999E-2</v>
      </c>
      <c r="D2063">
        <v>2.2419999999999999E-2</v>
      </c>
      <c r="E2063">
        <v>0.5</v>
      </c>
      <c r="F2063">
        <v>75495</v>
      </c>
      <c r="G2063">
        <v>1693</v>
      </c>
      <c r="H2063">
        <v>74649</v>
      </c>
      <c r="I2063">
        <v>1105300</v>
      </c>
    </row>
    <row r="2064" spans="1:9">
      <c r="A2064" s="2">
        <v>1968</v>
      </c>
      <c r="B2064">
        <v>62</v>
      </c>
      <c r="C2064">
        <v>2.444E-2</v>
      </c>
      <c r="D2064">
        <v>2.4150000000000001E-2</v>
      </c>
      <c r="E2064">
        <v>0.5</v>
      </c>
      <c r="F2064">
        <v>73802</v>
      </c>
      <c r="G2064">
        <v>1782</v>
      </c>
      <c r="H2064">
        <v>72911</v>
      </c>
      <c r="I2064">
        <v>1030652</v>
      </c>
    </row>
    <row r="2065" spans="1:9">
      <c r="A2065" s="2">
        <v>1968</v>
      </c>
      <c r="B2065">
        <v>63</v>
      </c>
      <c r="C2065">
        <v>2.954E-2</v>
      </c>
      <c r="D2065">
        <v>2.911E-2</v>
      </c>
      <c r="E2065">
        <v>0.5</v>
      </c>
      <c r="F2065">
        <v>72020</v>
      </c>
      <c r="G2065">
        <v>2096</v>
      </c>
      <c r="H2065">
        <v>70972</v>
      </c>
      <c r="I2065">
        <v>957741</v>
      </c>
    </row>
    <row r="2066" spans="1:9">
      <c r="A2066" s="2">
        <v>1968</v>
      </c>
      <c r="B2066">
        <v>64</v>
      </c>
      <c r="C2066">
        <v>3.1660000000000001E-2</v>
      </c>
      <c r="D2066">
        <v>3.117E-2</v>
      </c>
      <c r="E2066">
        <v>0.5</v>
      </c>
      <c r="F2066">
        <v>69924</v>
      </c>
      <c r="G2066">
        <v>2180</v>
      </c>
      <c r="H2066">
        <v>68834</v>
      </c>
      <c r="I2066">
        <v>886768</v>
      </c>
    </row>
    <row r="2067" spans="1:9">
      <c r="A2067" s="2">
        <v>1968</v>
      </c>
      <c r="B2067">
        <v>65</v>
      </c>
      <c r="C2067">
        <v>3.4619999999999998E-2</v>
      </c>
      <c r="D2067">
        <v>3.4029999999999998E-2</v>
      </c>
      <c r="E2067">
        <v>0.5</v>
      </c>
      <c r="F2067">
        <v>67744</v>
      </c>
      <c r="G2067">
        <v>2305</v>
      </c>
      <c r="H2067">
        <v>66592</v>
      </c>
      <c r="I2067">
        <v>817934</v>
      </c>
    </row>
    <row r="2068" spans="1:9">
      <c r="A2068" s="2">
        <v>1968</v>
      </c>
      <c r="B2068">
        <v>66</v>
      </c>
      <c r="C2068">
        <v>3.884E-2</v>
      </c>
      <c r="D2068">
        <v>3.8100000000000002E-2</v>
      </c>
      <c r="E2068">
        <v>0.5</v>
      </c>
      <c r="F2068">
        <v>65439</v>
      </c>
      <c r="G2068">
        <v>2493</v>
      </c>
      <c r="H2068">
        <v>64192</v>
      </c>
      <c r="I2068">
        <v>751343</v>
      </c>
    </row>
    <row r="2069" spans="1:9">
      <c r="A2069" s="2">
        <v>1968</v>
      </c>
      <c r="B2069">
        <v>67</v>
      </c>
      <c r="C2069">
        <v>3.916E-2</v>
      </c>
      <c r="D2069">
        <v>3.841E-2</v>
      </c>
      <c r="E2069">
        <v>0.5</v>
      </c>
      <c r="F2069">
        <v>62946</v>
      </c>
      <c r="G2069">
        <v>2418</v>
      </c>
      <c r="H2069">
        <v>61737</v>
      </c>
      <c r="I2069">
        <v>687150</v>
      </c>
    </row>
    <row r="2070" spans="1:9">
      <c r="A2070" s="2">
        <v>1968</v>
      </c>
      <c r="B2070">
        <v>68</v>
      </c>
      <c r="C2070">
        <v>4.4080000000000001E-2</v>
      </c>
      <c r="D2070">
        <v>4.3130000000000002E-2</v>
      </c>
      <c r="E2070">
        <v>0.5</v>
      </c>
      <c r="F2070">
        <v>60528</v>
      </c>
      <c r="G2070">
        <v>2611</v>
      </c>
      <c r="H2070">
        <v>59223</v>
      </c>
      <c r="I2070">
        <v>625413</v>
      </c>
    </row>
    <row r="2071" spans="1:9">
      <c r="A2071" s="2">
        <v>1968</v>
      </c>
      <c r="B2071">
        <v>69</v>
      </c>
      <c r="C2071">
        <v>5.008E-2</v>
      </c>
      <c r="D2071">
        <v>4.8860000000000001E-2</v>
      </c>
      <c r="E2071">
        <v>0.5</v>
      </c>
      <c r="F2071">
        <v>57917</v>
      </c>
      <c r="G2071">
        <v>2830</v>
      </c>
      <c r="H2071">
        <v>56502</v>
      </c>
      <c r="I2071">
        <v>566191</v>
      </c>
    </row>
    <row r="2072" spans="1:9">
      <c r="A2072" s="2">
        <v>1968</v>
      </c>
      <c r="B2072">
        <v>70</v>
      </c>
      <c r="C2072">
        <v>5.4489999999999997E-2</v>
      </c>
      <c r="D2072">
        <v>5.3039999999999997E-2</v>
      </c>
      <c r="E2072">
        <v>0.5</v>
      </c>
      <c r="F2072">
        <v>55088</v>
      </c>
      <c r="G2072">
        <v>2922</v>
      </c>
      <c r="H2072">
        <v>53627</v>
      </c>
      <c r="I2072">
        <v>509688</v>
      </c>
    </row>
    <row r="2073" spans="1:9">
      <c r="A2073" s="2">
        <v>1968</v>
      </c>
      <c r="B2073">
        <v>71</v>
      </c>
      <c r="C2073">
        <v>5.9400000000000001E-2</v>
      </c>
      <c r="D2073">
        <v>5.7689999999999998E-2</v>
      </c>
      <c r="E2073">
        <v>0.5</v>
      </c>
      <c r="F2073">
        <v>52166</v>
      </c>
      <c r="G2073">
        <v>3009</v>
      </c>
      <c r="H2073">
        <v>50661</v>
      </c>
      <c r="I2073">
        <v>456062</v>
      </c>
    </row>
    <row r="2074" spans="1:9">
      <c r="A2074" s="2">
        <v>1968</v>
      </c>
      <c r="B2074">
        <v>72</v>
      </c>
      <c r="C2074">
        <v>6.6220000000000001E-2</v>
      </c>
      <c r="D2074">
        <v>6.4100000000000004E-2</v>
      </c>
      <c r="E2074">
        <v>0.5</v>
      </c>
      <c r="F2074">
        <v>49156</v>
      </c>
      <c r="G2074">
        <v>3151</v>
      </c>
      <c r="H2074">
        <v>47581</v>
      </c>
      <c r="I2074">
        <v>405401</v>
      </c>
    </row>
    <row r="2075" spans="1:9">
      <c r="A2075" s="2">
        <v>1968</v>
      </c>
      <c r="B2075">
        <v>73</v>
      </c>
      <c r="C2075">
        <v>7.4440000000000006E-2</v>
      </c>
      <c r="D2075">
        <v>7.177E-2</v>
      </c>
      <c r="E2075">
        <v>0.5</v>
      </c>
      <c r="F2075">
        <v>46005</v>
      </c>
      <c r="G2075">
        <v>3302</v>
      </c>
      <c r="H2075">
        <v>44355</v>
      </c>
      <c r="I2075">
        <v>357820</v>
      </c>
    </row>
    <row r="2076" spans="1:9">
      <c r="A2076" s="2">
        <v>1968</v>
      </c>
      <c r="B2076">
        <v>74</v>
      </c>
      <c r="C2076">
        <v>7.9579999999999998E-2</v>
      </c>
      <c r="D2076">
        <v>7.6530000000000001E-2</v>
      </c>
      <c r="E2076">
        <v>0.5</v>
      </c>
      <c r="F2076">
        <v>42704</v>
      </c>
      <c r="G2076">
        <v>3268</v>
      </c>
      <c r="H2076">
        <v>41070</v>
      </c>
      <c r="I2076">
        <v>313466</v>
      </c>
    </row>
    <row r="2077" spans="1:9">
      <c r="A2077" s="2">
        <v>1968</v>
      </c>
      <c r="B2077">
        <v>75</v>
      </c>
      <c r="C2077">
        <v>8.4129999999999996E-2</v>
      </c>
      <c r="D2077">
        <v>8.0729999999999996E-2</v>
      </c>
      <c r="E2077">
        <v>0.5</v>
      </c>
      <c r="F2077">
        <v>39435</v>
      </c>
      <c r="G2077">
        <v>3184</v>
      </c>
      <c r="H2077">
        <v>37844</v>
      </c>
      <c r="I2077">
        <v>272396</v>
      </c>
    </row>
    <row r="2078" spans="1:9">
      <c r="A2078" s="2">
        <v>1968</v>
      </c>
      <c r="B2078">
        <v>76</v>
      </c>
      <c r="C2078">
        <v>9.4200000000000006E-2</v>
      </c>
      <c r="D2078">
        <v>8.9969999999999994E-2</v>
      </c>
      <c r="E2078">
        <v>0.5</v>
      </c>
      <c r="F2078">
        <v>36252</v>
      </c>
      <c r="G2078">
        <v>3261</v>
      </c>
      <c r="H2078">
        <v>34621</v>
      </c>
      <c r="I2078">
        <v>234552</v>
      </c>
    </row>
    <row r="2079" spans="1:9">
      <c r="A2079" s="2">
        <v>1968</v>
      </c>
      <c r="B2079">
        <v>77</v>
      </c>
      <c r="C2079">
        <v>0.1047</v>
      </c>
      <c r="D2079">
        <v>9.9489999999999995E-2</v>
      </c>
      <c r="E2079">
        <v>0.5</v>
      </c>
      <c r="F2079">
        <v>32990</v>
      </c>
      <c r="G2079">
        <v>3282</v>
      </c>
      <c r="H2079">
        <v>31349</v>
      </c>
      <c r="I2079">
        <v>199931</v>
      </c>
    </row>
    <row r="2080" spans="1:9">
      <c r="A2080" s="2">
        <v>1968</v>
      </c>
      <c r="B2080">
        <v>78</v>
      </c>
      <c r="C2080">
        <v>0.11688999999999999</v>
      </c>
      <c r="D2080">
        <v>0.11043</v>
      </c>
      <c r="E2080">
        <v>0.5</v>
      </c>
      <c r="F2080">
        <v>29708</v>
      </c>
      <c r="G2080">
        <v>3281</v>
      </c>
      <c r="H2080">
        <v>28068</v>
      </c>
      <c r="I2080">
        <v>168582</v>
      </c>
    </row>
    <row r="2081" spans="1:9">
      <c r="A2081" s="2">
        <v>1968</v>
      </c>
      <c r="B2081">
        <v>79</v>
      </c>
      <c r="C2081">
        <v>0.12322</v>
      </c>
      <c r="D2081">
        <v>0.11607000000000001</v>
      </c>
      <c r="E2081">
        <v>0.5</v>
      </c>
      <c r="F2081">
        <v>26427</v>
      </c>
      <c r="G2081">
        <v>3067</v>
      </c>
      <c r="H2081">
        <v>24894</v>
      </c>
      <c r="I2081">
        <v>140515</v>
      </c>
    </row>
    <row r="2082" spans="1:9">
      <c r="A2082" s="2">
        <v>1968</v>
      </c>
      <c r="B2082">
        <v>80</v>
      </c>
      <c r="C2082">
        <v>0.14052999999999999</v>
      </c>
      <c r="D2082">
        <v>0.1313</v>
      </c>
      <c r="E2082">
        <v>0.5</v>
      </c>
      <c r="F2082">
        <v>23360</v>
      </c>
      <c r="G2082">
        <v>3067</v>
      </c>
      <c r="H2082">
        <v>21826</v>
      </c>
      <c r="I2082">
        <v>115621</v>
      </c>
    </row>
    <row r="2083" spans="1:9">
      <c r="A2083" s="2">
        <v>1968</v>
      </c>
      <c r="B2083">
        <v>81</v>
      </c>
      <c r="C2083">
        <v>0.16206999999999999</v>
      </c>
      <c r="D2083">
        <v>0.14992</v>
      </c>
      <c r="E2083">
        <v>0.5</v>
      </c>
      <c r="F2083">
        <v>20293</v>
      </c>
      <c r="G2083">
        <v>3042</v>
      </c>
      <c r="H2083">
        <v>18772</v>
      </c>
      <c r="I2083">
        <v>93794</v>
      </c>
    </row>
    <row r="2084" spans="1:9">
      <c r="A2084" s="2">
        <v>1968</v>
      </c>
      <c r="B2084">
        <v>82</v>
      </c>
      <c r="C2084">
        <v>0.17696999999999999</v>
      </c>
      <c r="D2084">
        <v>0.16258</v>
      </c>
      <c r="E2084">
        <v>0.5</v>
      </c>
      <c r="F2084">
        <v>17250</v>
      </c>
      <c r="G2084">
        <v>2805</v>
      </c>
      <c r="H2084">
        <v>15848</v>
      </c>
      <c r="I2084">
        <v>75023</v>
      </c>
    </row>
    <row r="2085" spans="1:9">
      <c r="A2085" s="2">
        <v>1968</v>
      </c>
      <c r="B2085">
        <v>83</v>
      </c>
      <c r="C2085">
        <v>0.17927999999999999</v>
      </c>
      <c r="D2085">
        <v>0.16453000000000001</v>
      </c>
      <c r="E2085">
        <v>0.5</v>
      </c>
      <c r="F2085">
        <v>14446</v>
      </c>
      <c r="G2085">
        <v>2377</v>
      </c>
      <c r="H2085">
        <v>13257</v>
      </c>
      <c r="I2085">
        <v>59175</v>
      </c>
    </row>
    <row r="2086" spans="1:9">
      <c r="A2086" s="2">
        <v>1968</v>
      </c>
      <c r="B2086">
        <v>84</v>
      </c>
      <c r="C2086">
        <v>0.21340000000000001</v>
      </c>
      <c r="D2086">
        <v>0.19281999999999999</v>
      </c>
      <c r="E2086">
        <v>0.5</v>
      </c>
      <c r="F2086">
        <v>12069</v>
      </c>
      <c r="G2086">
        <v>2327</v>
      </c>
      <c r="H2086">
        <v>10905</v>
      </c>
      <c r="I2086">
        <v>45917</v>
      </c>
    </row>
    <row r="2087" spans="1:9">
      <c r="A2087" s="2">
        <v>1968</v>
      </c>
      <c r="B2087">
        <v>85</v>
      </c>
      <c r="C2087">
        <v>0.21695999999999999</v>
      </c>
      <c r="D2087">
        <v>0.19572999999999999</v>
      </c>
      <c r="E2087">
        <v>0.5</v>
      </c>
      <c r="F2087">
        <v>9742</v>
      </c>
      <c r="G2087">
        <v>1907</v>
      </c>
      <c r="H2087">
        <v>8788</v>
      </c>
      <c r="I2087">
        <v>35012</v>
      </c>
    </row>
    <row r="2088" spans="1:9">
      <c r="A2088" s="2">
        <v>1968</v>
      </c>
      <c r="B2088">
        <v>86</v>
      </c>
      <c r="C2088">
        <v>0.24521000000000001</v>
      </c>
      <c r="D2088">
        <v>0.21843000000000001</v>
      </c>
      <c r="E2088">
        <v>0.5</v>
      </c>
      <c r="F2088">
        <v>7835</v>
      </c>
      <c r="G2088">
        <v>1711</v>
      </c>
      <c r="H2088">
        <v>6979</v>
      </c>
      <c r="I2088">
        <v>26223</v>
      </c>
    </row>
    <row r="2089" spans="1:9">
      <c r="A2089" s="2">
        <v>1968</v>
      </c>
      <c r="B2089">
        <v>87</v>
      </c>
      <c r="C2089">
        <v>0.25827</v>
      </c>
      <c r="D2089">
        <v>0.22872999999999999</v>
      </c>
      <c r="E2089">
        <v>0.5</v>
      </c>
      <c r="F2089">
        <v>6124</v>
      </c>
      <c r="G2089">
        <v>1401</v>
      </c>
      <c r="H2089">
        <v>5423</v>
      </c>
      <c r="I2089">
        <v>19244</v>
      </c>
    </row>
    <row r="2090" spans="1:9">
      <c r="A2090" s="2">
        <v>1968</v>
      </c>
      <c r="B2090">
        <v>88</v>
      </c>
      <c r="C2090">
        <v>0.30201</v>
      </c>
      <c r="D2090">
        <v>0.26239000000000001</v>
      </c>
      <c r="E2090">
        <v>0.5</v>
      </c>
      <c r="F2090">
        <v>4723</v>
      </c>
      <c r="G2090">
        <v>1239</v>
      </c>
      <c r="H2090">
        <v>4103</v>
      </c>
      <c r="I2090">
        <v>13821</v>
      </c>
    </row>
    <row r="2091" spans="1:9">
      <c r="A2091" s="2">
        <v>1968</v>
      </c>
      <c r="B2091">
        <v>89</v>
      </c>
      <c r="C2091">
        <v>0.32782</v>
      </c>
      <c r="D2091">
        <v>0.28166000000000002</v>
      </c>
      <c r="E2091">
        <v>0.5</v>
      </c>
      <c r="F2091">
        <v>3484</v>
      </c>
      <c r="G2091">
        <v>981</v>
      </c>
      <c r="H2091">
        <v>2993</v>
      </c>
      <c r="I2091">
        <v>9717</v>
      </c>
    </row>
    <row r="2092" spans="1:9">
      <c r="A2092" s="2">
        <v>1968</v>
      </c>
      <c r="B2092">
        <v>90</v>
      </c>
      <c r="C2092">
        <v>0.28587000000000001</v>
      </c>
      <c r="D2092">
        <v>0.25012000000000001</v>
      </c>
      <c r="E2092">
        <v>0.5</v>
      </c>
      <c r="F2092">
        <v>2503</v>
      </c>
      <c r="G2092">
        <v>626</v>
      </c>
      <c r="H2092">
        <v>2190</v>
      </c>
      <c r="I2092">
        <v>6724</v>
      </c>
    </row>
    <row r="2093" spans="1:9">
      <c r="A2093" s="2">
        <v>1968</v>
      </c>
      <c r="B2093">
        <v>91</v>
      </c>
      <c r="C2093">
        <v>0.35266999999999998</v>
      </c>
      <c r="D2093">
        <v>0.29981000000000002</v>
      </c>
      <c r="E2093">
        <v>0.5</v>
      </c>
      <c r="F2093">
        <v>1877</v>
      </c>
      <c r="G2093">
        <v>563</v>
      </c>
      <c r="H2093">
        <v>1595</v>
      </c>
      <c r="I2093">
        <v>4534</v>
      </c>
    </row>
    <row r="2094" spans="1:9">
      <c r="A2094" s="2">
        <v>1968</v>
      </c>
      <c r="B2094">
        <v>92</v>
      </c>
      <c r="C2094">
        <v>0.37823000000000001</v>
      </c>
      <c r="D2094">
        <v>0.31807999999999997</v>
      </c>
      <c r="E2094">
        <v>0.5</v>
      </c>
      <c r="F2094">
        <v>1314</v>
      </c>
      <c r="G2094">
        <v>418</v>
      </c>
      <c r="H2094">
        <v>1105</v>
      </c>
      <c r="I2094">
        <v>2939</v>
      </c>
    </row>
    <row r="2095" spans="1:9">
      <c r="A2095" s="2">
        <v>1968</v>
      </c>
      <c r="B2095">
        <v>93</v>
      </c>
      <c r="C2095">
        <v>0.49315999999999999</v>
      </c>
      <c r="D2095">
        <v>0.39561000000000002</v>
      </c>
      <c r="E2095">
        <v>0.5</v>
      </c>
      <c r="F2095">
        <v>896</v>
      </c>
      <c r="G2095">
        <v>354</v>
      </c>
      <c r="H2095">
        <v>719</v>
      </c>
      <c r="I2095">
        <v>1834</v>
      </c>
    </row>
    <row r="2096" spans="1:9">
      <c r="A2096" s="2">
        <v>1968</v>
      </c>
      <c r="B2096">
        <v>94</v>
      </c>
      <c r="C2096">
        <v>0.44645000000000001</v>
      </c>
      <c r="D2096">
        <v>0.36497000000000002</v>
      </c>
      <c r="E2096">
        <v>0.5</v>
      </c>
      <c r="F2096">
        <v>542</v>
      </c>
      <c r="G2096">
        <v>198</v>
      </c>
      <c r="H2096">
        <v>443</v>
      </c>
      <c r="I2096">
        <v>1115</v>
      </c>
    </row>
    <row r="2097" spans="1:9">
      <c r="A2097" s="2">
        <v>1968</v>
      </c>
      <c r="B2097">
        <v>95</v>
      </c>
      <c r="C2097">
        <v>0.47449999999999998</v>
      </c>
      <c r="D2097">
        <v>0.38351000000000002</v>
      </c>
      <c r="E2097">
        <v>0.5</v>
      </c>
      <c r="F2097">
        <v>344</v>
      </c>
      <c r="G2097">
        <v>132</v>
      </c>
      <c r="H2097">
        <v>278</v>
      </c>
      <c r="I2097">
        <v>673</v>
      </c>
    </row>
    <row r="2098" spans="1:9">
      <c r="A2098" s="2">
        <v>1968</v>
      </c>
      <c r="B2098">
        <v>96</v>
      </c>
      <c r="C2098">
        <v>0.50271999999999994</v>
      </c>
      <c r="D2098">
        <v>0.40173999999999999</v>
      </c>
      <c r="E2098">
        <v>0.5</v>
      </c>
      <c r="F2098">
        <v>212</v>
      </c>
      <c r="G2098">
        <v>85</v>
      </c>
      <c r="H2098">
        <v>169</v>
      </c>
      <c r="I2098">
        <v>395</v>
      </c>
    </row>
    <row r="2099" spans="1:9">
      <c r="A2099" s="2">
        <v>1968</v>
      </c>
      <c r="B2099">
        <v>97</v>
      </c>
      <c r="C2099">
        <v>0.53091999999999995</v>
      </c>
      <c r="D2099">
        <v>0.41954999999999998</v>
      </c>
      <c r="E2099">
        <v>0.5</v>
      </c>
      <c r="F2099">
        <v>127</v>
      </c>
      <c r="G2099">
        <v>53</v>
      </c>
      <c r="H2099">
        <v>100</v>
      </c>
      <c r="I2099">
        <v>225</v>
      </c>
    </row>
    <row r="2100" spans="1:9">
      <c r="A2100" s="2">
        <v>1968</v>
      </c>
      <c r="B2100">
        <v>98</v>
      </c>
      <c r="C2100">
        <v>0.55891999999999997</v>
      </c>
      <c r="D2100">
        <v>0.43684000000000001</v>
      </c>
      <c r="E2100">
        <v>0.5</v>
      </c>
      <c r="F2100">
        <v>74</v>
      </c>
      <c r="G2100">
        <v>32</v>
      </c>
      <c r="H2100">
        <v>58</v>
      </c>
      <c r="I2100">
        <v>125</v>
      </c>
    </row>
    <row r="2101" spans="1:9">
      <c r="A2101" s="2">
        <v>1968</v>
      </c>
      <c r="B2101">
        <v>99</v>
      </c>
      <c r="C2101">
        <v>0.58655999999999997</v>
      </c>
      <c r="D2101">
        <v>0.45354</v>
      </c>
      <c r="E2101">
        <v>0.5</v>
      </c>
      <c r="F2101">
        <v>41</v>
      </c>
      <c r="G2101">
        <v>19</v>
      </c>
      <c r="H2101">
        <v>32</v>
      </c>
      <c r="I2101">
        <v>68</v>
      </c>
    </row>
    <row r="2102" spans="1:9">
      <c r="A2102" s="2">
        <v>1968</v>
      </c>
      <c r="B2102">
        <v>100</v>
      </c>
      <c r="C2102">
        <v>0.61365999999999998</v>
      </c>
      <c r="D2102">
        <v>0.46958</v>
      </c>
      <c r="E2102">
        <v>0.5</v>
      </c>
      <c r="F2102">
        <v>23</v>
      </c>
      <c r="G2102">
        <v>11</v>
      </c>
      <c r="H2102">
        <v>17</v>
      </c>
      <c r="I2102">
        <v>35</v>
      </c>
    </row>
    <row r="2103" spans="1:9">
      <c r="A2103" s="2">
        <v>1968</v>
      </c>
      <c r="B2103">
        <v>101</v>
      </c>
      <c r="C2103">
        <v>0.64007000000000003</v>
      </c>
      <c r="D2103">
        <v>0.48488999999999999</v>
      </c>
      <c r="E2103">
        <v>0.5</v>
      </c>
      <c r="F2103">
        <v>12</v>
      </c>
      <c r="G2103">
        <v>6</v>
      </c>
      <c r="H2103">
        <v>9</v>
      </c>
      <c r="I2103">
        <v>18</v>
      </c>
    </row>
    <row r="2104" spans="1:9">
      <c r="A2104" s="2">
        <v>1968</v>
      </c>
      <c r="B2104">
        <v>102</v>
      </c>
      <c r="C2104">
        <v>0.66566000000000003</v>
      </c>
      <c r="D2104">
        <v>0.49944</v>
      </c>
      <c r="E2104">
        <v>0.5</v>
      </c>
      <c r="F2104">
        <v>6</v>
      </c>
      <c r="G2104">
        <v>3</v>
      </c>
      <c r="H2104">
        <v>5</v>
      </c>
      <c r="I2104">
        <v>9</v>
      </c>
    </row>
    <row r="2105" spans="1:9">
      <c r="A2105" s="2">
        <v>1968</v>
      </c>
      <c r="B2105">
        <v>103</v>
      </c>
      <c r="C2105">
        <v>0.69032000000000004</v>
      </c>
      <c r="D2105">
        <v>0.51319000000000004</v>
      </c>
      <c r="E2105">
        <v>0.5</v>
      </c>
      <c r="F2105">
        <v>3</v>
      </c>
      <c r="G2105">
        <v>2</v>
      </c>
      <c r="H2105">
        <v>2</v>
      </c>
      <c r="I2105">
        <v>4</v>
      </c>
    </row>
    <row r="2106" spans="1:9">
      <c r="A2106" s="2">
        <v>1968</v>
      </c>
      <c r="B2106">
        <v>104</v>
      </c>
      <c r="C2106">
        <v>0.71392999999999995</v>
      </c>
      <c r="D2106">
        <v>0.52612000000000003</v>
      </c>
      <c r="E2106">
        <v>0.5</v>
      </c>
      <c r="F2106">
        <v>2</v>
      </c>
      <c r="G2106">
        <v>1</v>
      </c>
      <c r="H2106">
        <v>1</v>
      </c>
      <c r="I2106">
        <v>2</v>
      </c>
    </row>
    <row r="2107" spans="1:9">
      <c r="A2107" s="2">
        <v>1968</v>
      </c>
      <c r="B2107">
        <v>105</v>
      </c>
      <c r="C2107">
        <v>0.73643999999999998</v>
      </c>
      <c r="D2107">
        <v>0.53824000000000005</v>
      </c>
      <c r="E2107">
        <v>0.5</v>
      </c>
      <c r="F2107">
        <v>1</v>
      </c>
      <c r="G2107">
        <v>0</v>
      </c>
      <c r="H2107">
        <v>1</v>
      </c>
      <c r="I2107">
        <v>1</v>
      </c>
    </row>
    <row r="2108" spans="1:9">
      <c r="A2108" s="2">
        <v>1968</v>
      </c>
      <c r="B2108">
        <v>106</v>
      </c>
      <c r="C2108">
        <v>0.75777000000000005</v>
      </c>
      <c r="D2108">
        <v>0.54954999999999998</v>
      </c>
      <c r="E2108">
        <v>0.5</v>
      </c>
      <c r="F2108">
        <v>0</v>
      </c>
      <c r="G2108">
        <v>0</v>
      </c>
      <c r="H2108">
        <v>0</v>
      </c>
      <c r="I2108">
        <v>0</v>
      </c>
    </row>
    <row r="2109" spans="1:9">
      <c r="A2109" s="2">
        <v>1968</v>
      </c>
      <c r="B2109">
        <v>107</v>
      </c>
      <c r="C2109">
        <v>0.77790000000000004</v>
      </c>
      <c r="D2109">
        <v>0.56006</v>
      </c>
      <c r="E2109">
        <v>0.5</v>
      </c>
      <c r="F2109">
        <v>0</v>
      </c>
      <c r="G2109">
        <v>0</v>
      </c>
      <c r="H2109">
        <v>0</v>
      </c>
      <c r="I2109">
        <v>0</v>
      </c>
    </row>
    <row r="2110" spans="1:9">
      <c r="A2110" s="2">
        <v>1968</v>
      </c>
      <c r="B2110">
        <v>108</v>
      </c>
      <c r="C2110">
        <v>0.79679999999999995</v>
      </c>
      <c r="D2110">
        <v>0.56979000000000002</v>
      </c>
      <c r="E2110">
        <v>0.5</v>
      </c>
      <c r="F2110">
        <v>0</v>
      </c>
      <c r="G2110">
        <v>0</v>
      </c>
      <c r="H2110">
        <v>0</v>
      </c>
      <c r="I2110">
        <v>0</v>
      </c>
    </row>
    <row r="2111" spans="1:9">
      <c r="A2111" s="2">
        <v>1968</v>
      </c>
      <c r="B2111">
        <v>109</v>
      </c>
      <c r="C2111">
        <v>0.81447999999999998</v>
      </c>
      <c r="D2111">
        <v>0.57877999999999996</v>
      </c>
      <c r="E2111">
        <v>0.5</v>
      </c>
      <c r="F2111">
        <v>0</v>
      </c>
      <c r="G2111">
        <v>0</v>
      </c>
      <c r="H2111">
        <v>0</v>
      </c>
      <c r="I2111">
        <v>0</v>
      </c>
    </row>
    <row r="2112" spans="1:9">
      <c r="A2112" s="2">
        <v>1968</v>
      </c>
      <c r="B2112" t="s">
        <v>26</v>
      </c>
      <c r="C2112">
        <v>0.83094000000000001</v>
      </c>
      <c r="D2112">
        <v>1</v>
      </c>
      <c r="E2112" s="3" t="s">
        <v>33</v>
      </c>
      <c r="F2112">
        <v>0</v>
      </c>
      <c r="G2112">
        <v>0</v>
      </c>
      <c r="H2112">
        <v>0</v>
      </c>
      <c r="I2112">
        <v>0</v>
      </c>
    </row>
    <row r="2113" spans="1:9">
      <c r="A2113" s="2">
        <v>1969</v>
      </c>
      <c r="B2113">
        <v>0</v>
      </c>
      <c r="C2113">
        <v>3.9669999999999997E-2</v>
      </c>
      <c r="D2113">
        <v>3.8379999999999997E-2</v>
      </c>
      <c r="E2113">
        <v>0.16</v>
      </c>
      <c r="F2113">
        <v>100000</v>
      </c>
      <c r="G2113">
        <v>3838</v>
      </c>
      <c r="H2113">
        <v>96767</v>
      </c>
      <c r="I2113">
        <v>6667382</v>
      </c>
    </row>
    <row r="2114" spans="1:9">
      <c r="A2114" s="2">
        <v>1969</v>
      </c>
      <c r="B2114">
        <v>1</v>
      </c>
      <c r="C2114">
        <v>1.6800000000000001E-3</v>
      </c>
      <c r="D2114">
        <v>1.6800000000000001E-3</v>
      </c>
      <c r="E2114">
        <v>0.5</v>
      </c>
      <c r="F2114">
        <v>96162</v>
      </c>
      <c r="G2114">
        <v>161</v>
      </c>
      <c r="H2114">
        <v>96081</v>
      </c>
      <c r="I2114">
        <v>6570616</v>
      </c>
    </row>
    <row r="2115" spans="1:9">
      <c r="A2115" s="2">
        <v>1969</v>
      </c>
      <c r="B2115">
        <v>2</v>
      </c>
      <c r="C2115">
        <v>9.5E-4</v>
      </c>
      <c r="D2115">
        <v>9.5E-4</v>
      </c>
      <c r="E2115">
        <v>0.5</v>
      </c>
      <c r="F2115">
        <v>96000</v>
      </c>
      <c r="G2115">
        <v>91</v>
      </c>
      <c r="H2115">
        <v>95955</v>
      </c>
      <c r="I2115">
        <v>6474535</v>
      </c>
    </row>
    <row r="2116" spans="1:9">
      <c r="A2116" s="2">
        <v>1969</v>
      </c>
      <c r="B2116">
        <v>3</v>
      </c>
      <c r="C2116">
        <v>5.4000000000000001E-4</v>
      </c>
      <c r="D2116">
        <v>5.4000000000000001E-4</v>
      </c>
      <c r="E2116">
        <v>0.5</v>
      </c>
      <c r="F2116">
        <v>95909</v>
      </c>
      <c r="G2116">
        <v>52</v>
      </c>
      <c r="H2116">
        <v>95883</v>
      </c>
      <c r="I2116">
        <v>6378580</v>
      </c>
    </row>
    <row r="2117" spans="1:9">
      <c r="A2117" s="2">
        <v>1969</v>
      </c>
      <c r="B2117">
        <v>4</v>
      </c>
      <c r="C2117">
        <v>6.4000000000000005E-4</v>
      </c>
      <c r="D2117">
        <v>6.4000000000000005E-4</v>
      </c>
      <c r="E2117">
        <v>0.5</v>
      </c>
      <c r="F2117">
        <v>95857</v>
      </c>
      <c r="G2117">
        <v>62</v>
      </c>
      <c r="H2117">
        <v>95826</v>
      </c>
      <c r="I2117">
        <v>6282697</v>
      </c>
    </row>
    <row r="2118" spans="1:9">
      <c r="A2118" s="2">
        <v>1969</v>
      </c>
      <c r="B2118">
        <v>5</v>
      </c>
      <c r="C2118">
        <v>5.4000000000000001E-4</v>
      </c>
      <c r="D2118">
        <v>5.4000000000000001E-4</v>
      </c>
      <c r="E2118">
        <v>0.5</v>
      </c>
      <c r="F2118">
        <v>95796</v>
      </c>
      <c r="G2118">
        <v>52</v>
      </c>
      <c r="H2118">
        <v>95770</v>
      </c>
      <c r="I2118">
        <v>6186870</v>
      </c>
    </row>
    <row r="2119" spans="1:9">
      <c r="A2119" s="2">
        <v>1969</v>
      </c>
      <c r="B2119">
        <v>6</v>
      </c>
      <c r="C2119">
        <v>5.5000000000000003E-4</v>
      </c>
      <c r="D2119">
        <v>5.5000000000000003E-4</v>
      </c>
      <c r="E2119">
        <v>0.5</v>
      </c>
      <c r="F2119">
        <v>95744</v>
      </c>
      <c r="G2119">
        <v>52</v>
      </c>
      <c r="H2119">
        <v>95718</v>
      </c>
      <c r="I2119">
        <v>6091101</v>
      </c>
    </row>
    <row r="2120" spans="1:9">
      <c r="A2120" s="2">
        <v>1969</v>
      </c>
      <c r="B2120">
        <v>7</v>
      </c>
      <c r="C2120">
        <v>3.8000000000000002E-4</v>
      </c>
      <c r="D2120">
        <v>3.8000000000000002E-4</v>
      </c>
      <c r="E2120">
        <v>0.5</v>
      </c>
      <c r="F2120">
        <v>95691</v>
      </c>
      <c r="G2120">
        <v>36</v>
      </c>
      <c r="H2120">
        <v>95673</v>
      </c>
      <c r="I2120">
        <v>5995383</v>
      </c>
    </row>
    <row r="2121" spans="1:9">
      <c r="A2121" s="2">
        <v>1969</v>
      </c>
      <c r="B2121">
        <v>8</v>
      </c>
      <c r="C2121">
        <v>5.0000000000000001E-4</v>
      </c>
      <c r="D2121">
        <v>5.0000000000000001E-4</v>
      </c>
      <c r="E2121">
        <v>0.5</v>
      </c>
      <c r="F2121">
        <v>95655</v>
      </c>
      <c r="G2121">
        <v>48</v>
      </c>
      <c r="H2121">
        <v>95631</v>
      </c>
      <c r="I2121">
        <v>5899710</v>
      </c>
    </row>
    <row r="2122" spans="1:9">
      <c r="A2122" s="2">
        <v>1969</v>
      </c>
      <c r="B2122">
        <v>9</v>
      </c>
      <c r="C2122">
        <v>3.6000000000000002E-4</v>
      </c>
      <c r="D2122">
        <v>3.6000000000000002E-4</v>
      </c>
      <c r="E2122">
        <v>0.5</v>
      </c>
      <c r="F2122">
        <v>95607</v>
      </c>
      <c r="G2122">
        <v>34</v>
      </c>
      <c r="H2122">
        <v>95590</v>
      </c>
      <c r="I2122">
        <v>5804078</v>
      </c>
    </row>
    <row r="2123" spans="1:9">
      <c r="A2123" s="2">
        <v>1969</v>
      </c>
      <c r="B2123">
        <v>10</v>
      </c>
      <c r="C2123">
        <v>3.6999999999999999E-4</v>
      </c>
      <c r="D2123">
        <v>3.6999999999999999E-4</v>
      </c>
      <c r="E2123">
        <v>0.5</v>
      </c>
      <c r="F2123">
        <v>95573</v>
      </c>
      <c r="G2123">
        <v>36</v>
      </c>
      <c r="H2123">
        <v>95555</v>
      </c>
      <c r="I2123">
        <v>5708488</v>
      </c>
    </row>
    <row r="2124" spans="1:9">
      <c r="A2124" s="2">
        <v>1969</v>
      </c>
      <c r="B2124">
        <v>11</v>
      </c>
      <c r="C2124">
        <v>5.9000000000000003E-4</v>
      </c>
      <c r="D2124">
        <v>5.9000000000000003E-4</v>
      </c>
      <c r="E2124">
        <v>0.5</v>
      </c>
      <c r="F2124">
        <v>95537</v>
      </c>
      <c r="G2124">
        <v>57</v>
      </c>
      <c r="H2124">
        <v>95509</v>
      </c>
      <c r="I2124">
        <v>5612933</v>
      </c>
    </row>
    <row r="2125" spans="1:9">
      <c r="A2125" s="2">
        <v>1969</v>
      </c>
      <c r="B2125">
        <v>12</v>
      </c>
      <c r="C2125">
        <v>4.0999999999999999E-4</v>
      </c>
      <c r="D2125">
        <v>4.0999999999999999E-4</v>
      </c>
      <c r="E2125">
        <v>0.5</v>
      </c>
      <c r="F2125">
        <v>95481</v>
      </c>
      <c r="G2125">
        <v>39</v>
      </c>
      <c r="H2125">
        <v>95461</v>
      </c>
      <c r="I2125">
        <v>5517424</v>
      </c>
    </row>
    <row r="2126" spans="1:9">
      <c r="A2126" s="2">
        <v>1969</v>
      </c>
      <c r="B2126">
        <v>13</v>
      </c>
      <c r="C2126">
        <v>4.2999999999999999E-4</v>
      </c>
      <c r="D2126">
        <v>4.2999999999999999E-4</v>
      </c>
      <c r="E2126">
        <v>0.5</v>
      </c>
      <c r="F2126">
        <v>95442</v>
      </c>
      <c r="G2126">
        <v>41</v>
      </c>
      <c r="H2126">
        <v>95421</v>
      </c>
      <c r="I2126">
        <v>5421963</v>
      </c>
    </row>
    <row r="2127" spans="1:9">
      <c r="A2127" s="2">
        <v>1969</v>
      </c>
      <c r="B2127">
        <v>14</v>
      </c>
      <c r="C2127">
        <v>5.8E-4</v>
      </c>
      <c r="D2127">
        <v>5.8E-4</v>
      </c>
      <c r="E2127">
        <v>0.5</v>
      </c>
      <c r="F2127">
        <v>95401</v>
      </c>
      <c r="G2127">
        <v>55</v>
      </c>
      <c r="H2127">
        <v>95373</v>
      </c>
      <c r="I2127">
        <v>5326542</v>
      </c>
    </row>
    <row r="2128" spans="1:9">
      <c r="A2128" s="2">
        <v>1969</v>
      </c>
      <c r="B2128">
        <v>15</v>
      </c>
      <c r="C2128">
        <v>5.8E-4</v>
      </c>
      <c r="D2128">
        <v>5.8E-4</v>
      </c>
      <c r="E2128">
        <v>0.5</v>
      </c>
      <c r="F2128">
        <v>95345</v>
      </c>
      <c r="G2128">
        <v>55</v>
      </c>
      <c r="H2128">
        <v>95318</v>
      </c>
      <c r="I2128">
        <v>5231169</v>
      </c>
    </row>
    <row r="2129" spans="1:9">
      <c r="A2129" s="2">
        <v>1969</v>
      </c>
      <c r="B2129">
        <v>16</v>
      </c>
      <c r="C2129">
        <v>7.5000000000000002E-4</v>
      </c>
      <c r="D2129">
        <v>7.5000000000000002E-4</v>
      </c>
      <c r="E2129">
        <v>0.5</v>
      </c>
      <c r="F2129">
        <v>95290</v>
      </c>
      <c r="G2129">
        <v>72</v>
      </c>
      <c r="H2129">
        <v>95254</v>
      </c>
      <c r="I2129">
        <v>5135851</v>
      </c>
    </row>
    <row r="2130" spans="1:9">
      <c r="A2130" s="2">
        <v>1969</v>
      </c>
      <c r="B2130">
        <v>17</v>
      </c>
      <c r="C2130">
        <v>9.1E-4</v>
      </c>
      <c r="D2130">
        <v>9.1E-4</v>
      </c>
      <c r="E2130">
        <v>0.5</v>
      </c>
      <c r="F2130">
        <v>95218</v>
      </c>
      <c r="G2130">
        <v>87</v>
      </c>
      <c r="H2130">
        <v>95175</v>
      </c>
      <c r="I2130">
        <v>5040597</v>
      </c>
    </row>
    <row r="2131" spans="1:9">
      <c r="A2131" s="2">
        <v>1969</v>
      </c>
      <c r="B2131">
        <v>18</v>
      </c>
      <c r="C2131">
        <v>1.2999999999999999E-3</v>
      </c>
      <c r="D2131">
        <v>1.2999999999999999E-3</v>
      </c>
      <c r="E2131">
        <v>0.5</v>
      </c>
      <c r="F2131">
        <v>95132</v>
      </c>
      <c r="G2131">
        <v>123</v>
      </c>
      <c r="H2131">
        <v>95070</v>
      </c>
      <c r="I2131">
        <v>4945422</v>
      </c>
    </row>
    <row r="2132" spans="1:9">
      <c r="A2132" s="2">
        <v>1969</v>
      </c>
      <c r="B2132">
        <v>19</v>
      </c>
      <c r="C2132">
        <v>1.56E-3</v>
      </c>
      <c r="D2132">
        <v>1.56E-3</v>
      </c>
      <c r="E2132">
        <v>0.5</v>
      </c>
      <c r="F2132">
        <v>95008</v>
      </c>
      <c r="G2132">
        <v>148</v>
      </c>
      <c r="H2132">
        <v>94934</v>
      </c>
      <c r="I2132">
        <v>4850352</v>
      </c>
    </row>
    <row r="2133" spans="1:9">
      <c r="A2133" s="2">
        <v>1969</v>
      </c>
      <c r="B2133">
        <v>20</v>
      </c>
      <c r="C2133">
        <v>1.5E-3</v>
      </c>
      <c r="D2133">
        <v>1.49E-3</v>
      </c>
      <c r="E2133">
        <v>0.5</v>
      </c>
      <c r="F2133">
        <v>94860</v>
      </c>
      <c r="G2133">
        <v>142</v>
      </c>
      <c r="H2133">
        <v>94789</v>
      </c>
      <c r="I2133">
        <v>4755418</v>
      </c>
    </row>
    <row r="2134" spans="1:9">
      <c r="A2134" s="2">
        <v>1969</v>
      </c>
      <c r="B2134">
        <v>21</v>
      </c>
      <c r="C2134">
        <v>1.24E-3</v>
      </c>
      <c r="D2134">
        <v>1.24E-3</v>
      </c>
      <c r="E2134">
        <v>0.5</v>
      </c>
      <c r="F2134">
        <v>94719</v>
      </c>
      <c r="G2134">
        <v>117</v>
      </c>
      <c r="H2134">
        <v>94660</v>
      </c>
      <c r="I2134">
        <v>4660628</v>
      </c>
    </row>
    <row r="2135" spans="1:9">
      <c r="A2135" s="2">
        <v>1969</v>
      </c>
      <c r="B2135">
        <v>22</v>
      </c>
      <c r="C2135">
        <v>1.4E-3</v>
      </c>
      <c r="D2135">
        <v>1.4E-3</v>
      </c>
      <c r="E2135">
        <v>0.5</v>
      </c>
      <c r="F2135">
        <v>94601</v>
      </c>
      <c r="G2135">
        <v>132</v>
      </c>
      <c r="H2135">
        <v>94535</v>
      </c>
      <c r="I2135">
        <v>4565969</v>
      </c>
    </row>
    <row r="2136" spans="1:9">
      <c r="A2136" s="2">
        <v>1969</v>
      </c>
      <c r="B2136">
        <v>23</v>
      </c>
      <c r="C2136">
        <v>1.3799999999999999E-3</v>
      </c>
      <c r="D2136">
        <v>1.3799999999999999E-3</v>
      </c>
      <c r="E2136">
        <v>0.5</v>
      </c>
      <c r="F2136">
        <v>94469</v>
      </c>
      <c r="G2136">
        <v>131</v>
      </c>
      <c r="H2136">
        <v>94404</v>
      </c>
      <c r="I2136">
        <v>4471434</v>
      </c>
    </row>
    <row r="2137" spans="1:9">
      <c r="A2137" s="2">
        <v>1969</v>
      </c>
      <c r="B2137">
        <v>24</v>
      </c>
      <c r="C2137">
        <v>1.6800000000000001E-3</v>
      </c>
      <c r="D2137">
        <v>1.67E-3</v>
      </c>
      <c r="E2137">
        <v>0.5</v>
      </c>
      <c r="F2137">
        <v>94338</v>
      </c>
      <c r="G2137">
        <v>158</v>
      </c>
      <c r="H2137">
        <v>94259</v>
      </c>
      <c r="I2137">
        <v>4377030</v>
      </c>
    </row>
    <row r="2138" spans="1:9">
      <c r="A2138" s="2">
        <v>1969</v>
      </c>
      <c r="B2138">
        <v>25</v>
      </c>
      <c r="C2138">
        <v>1.7899999999999999E-3</v>
      </c>
      <c r="D2138">
        <v>1.7799999999999999E-3</v>
      </c>
      <c r="E2138">
        <v>0.5</v>
      </c>
      <c r="F2138">
        <v>94180</v>
      </c>
      <c r="G2138">
        <v>168</v>
      </c>
      <c r="H2138">
        <v>94096</v>
      </c>
      <c r="I2138">
        <v>4282770</v>
      </c>
    </row>
    <row r="2139" spans="1:9">
      <c r="A2139" s="2">
        <v>1969</v>
      </c>
      <c r="B2139">
        <v>26</v>
      </c>
      <c r="C2139">
        <v>1.58E-3</v>
      </c>
      <c r="D2139">
        <v>1.58E-3</v>
      </c>
      <c r="E2139">
        <v>0.5</v>
      </c>
      <c r="F2139">
        <v>94012</v>
      </c>
      <c r="G2139">
        <v>149</v>
      </c>
      <c r="H2139">
        <v>93938</v>
      </c>
      <c r="I2139">
        <v>4188674</v>
      </c>
    </row>
    <row r="2140" spans="1:9">
      <c r="A2140" s="2">
        <v>1969</v>
      </c>
      <c r="B2140">
        <v>27</v>
      </c>
      <c r="C2140">
        <v>1.64E-3</v>
      </c>
      <c r="D2140">
        <v>1.64E-3</v>
      </c>
      <c r="E2140">
        <v>0.5</v>
      </c>
      <c r="F2140">
        <v>93864</v>
      </c>
      <c r="G2140">
        <v>154</v>
      </c>
      <c r="H2140">
        <v>93787</v>
      </c>
      <c r="I2140">
        <v>4094736</v>
      </c>
    </row>
    <row r="2141" spans="1:9">
      <c r="A2141" s="2">
        <v>1969</v>
      </c>
      <c r="B2141">
        <v>28</v>
      </c>
      <c r="C2141">
        <v>1.4300000000000001E-3</v>
      </c>
      <c r="D2141">
        <v>1.4300000000000001E-3</v>
      </c>
      <c r="E2141">
        <v>0.5</v>
      </c>
      <c r="F2141">
        <v>93710</v>
      </c>
      <c r="G2141">
        <v>134</v>
      </c>
      <c r="H2141">
        <v>93642</v>
      </c>
      <c r="I2141">
        <v>4000949</v>
      </c>
    </row>
    <row r="2142" spans="1:9">
      <c r="A2142" s="2">
        <v>1969</v>
      </c>
      <c r="B2142">
        <v>29</v>
      </c>
      <c r="C2142">
        <v>1.9400000000000001E-3</v>
      </c>
      <c r="D2142">
        <v>1.9400000000000001E-3</v>
      </c>
      <c r="E2142">
        <v>0.5</v>
      </c>
      <c r="F2142">
        <v>93575</v>
      </c>
      <c r="G2142">
        <v>182</v>
      </c>
      <c r="H2142">
        <v>93484</v>
      </c>
      <c r="I2142">
        <v>3907307</v>
      </c>
    </row>
    <row r="2143" spans="1:9">
      <c r="A2143" s="2">
        <v>1969</v>
      </c>
      <c r="B2143">
        <v>30</v>
      </c>
      <c r="C2143">
        <v>1.81E-3</v>
      </c>
      <c r="D2143">
        <v>1.81E-3</v>
      </c>
      <c r="E2143">
        <v>0.5</v>
      </c>
      <c r="F2143">
        <v>93394</v>
      </c>
      <c r="G2143">
        <v>169</v>
      </c>
      <c r="H2143">
        <v>93309</v>
      </c>
      <c r="I2143">
        <v>3813823</v>
      </c>
    </row>
    <row r="2144" spans="1:9">
      <c r="A2144" s="2">
        <v>1969</v>
      </c>
      <c r="B2144">
        <v>31</v>
      </c>
      <c r="C2144">
        <v>2.0100000000000001E-3</v>
      </c>
      <c r="D2144">
        <v>2.0100000000000001E-3</v>
      </c>
      <c r="E2144">
        <v>0.5</v>
      </c>
      <c r="F2144">
        <v>93225</v>
      </c>
      <c r="G2144">
        <v>187</v>
      </c>
      <c r="H2144">
        <v>93131</v>
      </c>
      <c r="I2144">
        <v>3720514</v>
      </c>
    </row>
    <row r="2145" spans="1:9">
      <c r="A2145" s="2">
        <v>1969</v>
      </c>
      <c r="B2145">
        <v>32</v>
      </c>
      <c r="C2145">
        <v>2E-3</v>
      </c>
      <c r="D2145">
        <v>2E-3</v>
      </c>
      <c r="E2145">
        <v>0.5</v>
      </c>
      <c r="F2145">
        <v>93038</v>
      </c>
      <c r="G2145">
        <v>186</v>
      </c>
      <c r="H2145">
        <v>92945</v>
      </c>
      <c r="I2145">
        <v>3627382</v>
      </c>
    </row>
    <row r="2146" spans="1:9">
      <c r="A2146" s="2">
        <v>1969</v>
      </c>
      <c r="B2146">
        <v>33</v>
      </c>
      <c r="C2146">
        <v>2.3500000000000001E-3</v>
      </c>
      <c r="D2146">
        <v>2.3500000000000001E-3</v>
      </c>
      <c r="E2146">
        <v>0.5</v>
      </c>
      <c r="F2146">
        <v>92851</v>
      </c>
      <c r="G2146">
        <v>218</v>
      </c>
      <c r="H2146">
        <v>92742</v>
      </c>
      <c r="I2146">
        <v>3534438</v>
      </c>
    </row>
    <row r="2147" spans="1:9">
      <c r="A2147" s="2">
        <v>1969</v>
      </c>
      <c r="B2147">
        <v>34</v>
      </c>
      <c r="C2147">
        <v>2.1299999999999999E-3</v>
      </c>
      <c r="D2147">
        <v>2.1299999999999999E-3</v>
      </c>
      <c r="E2147">
        <v>0.5</v>
      </c>
      <c r="F2147">
        <v>92633</v>
      </c>
      <c r="G2147">
        <v>197</v>
      </c>
      <c r="H2147">
        <v>92535</v>
      </c>
      <c r="I2147">
        <v>3441695</v>
      </c>
    </row>
    <row r="2148" spans="1:9">
      <c r="A2148" s="2">
        <v>1969</v>
      </c>
      <c r="B2148">
        <v>35</v>
      </c>
      <c r="C2148">
        <v>2.2799999999999999E-3</v>
      </c>
      <c r="D2148">
        <v>2.2799999999999999E-3</v>
      </c>
      <c r="E2148">
        <v>0.5</v>
      </c>
      <c r="F2148">
        <v>92436</v>
      </c>
      <c r="G2148">
        <v>211</v>
      </c>
      <c r="H2148">
        <v>92331</v>
      </c>
      <c r="I2148">
        <v>3349161</v>
      </c>
    </row>
    <row r="2149" spans="1:9">
      <c r="A2149" s="2">
        <v>1969</v>
      </c>
      <c r="B2149">
        <v>36</v>
      </c>
      <c r="C2149">
        <v>2.5500000000000002E-3</v>
      </c>
      <c r="D2149">
        <v>2.5400000000000002E-3</v>
      </c>
      <c r="E2149">
        <v>0.5</v>
      </c>
      <c r="F2149">
        <v>92226</v>
      </c>
      <c r="G2149">
        <v>234</v>
      </c>
      <c r="H2149">
        <v>92108</v>
      </c>
      <c r="I2149">
        <v>3256830</v>
      </c>
    </row>
    <row r="2150" spans="1:9">
      <c r="A2150" s="2">
        <v>1969</v>
      </c>
      <c r="B2150">
        <v>37</v>
      </c>
      <c r="C2150">
        <v>2.64E-3</v>
      </c>
      <c r="D2150">
        <v>2.63E-3</v>
      </c>
      <c r="E2150">
        <v>0.5</v>
      </c>
      <c r="F2150">
        <v>91991</v>
      </c>
      <c r="G2150">
        <v>242</v>
      </c>
      <c r="H2150">
        <v>91870</v>
      </c>
      <c r="I2150">
        <v>3164722</v>
      </c>
    </row>
    <row r="2151" spans="1:9">
      <c r="A2151" s="2">
        <v>1969</v>
      </c>
      <c r="B2151">
        <v>38</v>
      </c>
      <c r="C2151">
        <v>2.5200000000000001E-3</v>
      </c>
      <c r="D2151">
        <v>2.5200000000000001E-3</v>
      </c>
      <c r="E2151">
        <v>0.5</v>
      </c>
      <c r="F2151">
        <v>91749</v>
      </c>
      <c r="G2151">
        <v>231</v>
      </c>
      <c r="H2151">
        <v>91633</v>
      </c>
      <c r="I2151">
        <v>3072852</v>
      </c>
    </row>
    <row r="2152" spans="1:9">
      <c r="A2152" s="2">
        <v>1969</v>
      </c>
      <c r="B2152">
        <v>39</v>
      </c>
      <c r="C2152">
        <v>2.8E-3</v>
      </c>
      <c r="D2152">
        <v>2.8E-3</v>
      </c>
      <c r="E2152">
        <v>0.5</v>
      </c>
      <c r="F2152">
        <v>91517</v>
      </c>
      <c r="G2152">
        <v>256</v>
      </c>
      <c r="H2152">
        <v>91389</v>
      </c>
      <c r="I2152">
        <v>2981218</v>
      </c>
    </row>
    <row r="2153" spans="1:9">
      <c r="A2153" s="2">
        <v>1969</v>
      </c>
      <c r="B2153">
        <v>40</v>
      </c>
      <c r="C2153">
        <v>3.4399999999999999E-3</v>
      </c>
      <c r="D2153">
        <v>3.4399999999999999E-3</v>
      </c>
      <c r="E2153">
        <v>0.5</v>
      </c>
      <c r="F2153">
        <v>91261</v>
      </c>
      <c r="G2153">
        <v>314</v>
      </c>
      <c r="H2153">
        <v>91105</v>
      </c>
      <c r="I2153">
        <v>2889829</v>
      </c>
    </row>
    <row r="2154" spans="1:9">
      <c r="A2154" s="2">
        <v>1969</v>
      </c>
      <c r="B2154">
        <v>41</v>
      </c>
      <c r="C2154">
        <v>3.9199999999999999E-3</v>
      </c>
      <c r="D2154">
        <v>3.9100000000000003E-3</v>
      </c>
      <c r="E2154">
        <v>0.5</v>
      </c>
      <c r="F2154">
        <v>90948</v>
      </c>
      <c r="G2154">
        <v>355</v>
      </c>
      <c r="H2154">
        <v>90770</v>
      </c>
      <c r="I2154">
        <v>2798724</v>
      </c>
    </row>
    <row r="2155" spans="1:9">
      <c r="A2155" s="2">
        <v>1969</v>
      </c>
      <c r="B2155">
        <v>42</v>
      </c>
      <c r="C2155">
        <v>4.28E-3</v>
      </c>
      <c r="D2155">
        <v>4.2700000000000004E-3</v>
      </c>
      <c r="E2155">
        <v>0.5</v>
      </c>
      <c r="F2155">
        <v>90592</v>
      </c>
      <c r="G2155">
        <v>387</v>
      </c>
      <c r="H2155">
        <v>90399</v>
      </c>
      <c r="I2155">
        <v>2707954</v>
      </c>
    </row>
    <row r="2156" spans="1:9">
      <c r="A2156" s="2">
        <v>1969</v>
      </c>
      <c r="B2156">
        <v>43</v>
      </c>
      <c r="C2156">
        <v>4.5999999999999999E-3</v>
      </c>
      <c r="D2156">
        <v>4.5900000000000003E-3</v>
      </c>
      <c r="E2156">
        <v>0.5</v>
      </c>
      <c r="F2156">
        <v>90206</v>
      </c>
      <c r="G2156">
        <v>414</v>
      </c>
      <c r="H2156">
        <v>89998</v>
      </c>
      <c r="I2156">
        <v>2617555</v>
      </c>
    </row>
    <row r="2157" spans="1:9">
      <c r="A2157" s="2">
        <v>1969</v>
      </c>
      <c r="B2157">
        <v>44</v>
      </c>
      <c r="C2157">
        <v>4.8999999999999998E-3</v>
      </c>
      <c r="D2157">
        <v>4.8900000000000002E-3</v>
      </c>
      <c r="E2157">
        <v>0.5</v>
      </c>
      <c r="F2157">
        <v>89791</v>
      </c>
      <c r="G2157">
        <v>439</v>
      </c>
      <c r="H2157">
        <v>89572</v>
      </c>
      <c r="I2157">
        <v>2527557</v>
      </c>
    </row>
    <row r="2158" spans="1:9">
      <c r="A2158" s="2">
        <v>1969</v>
      </c>
      <c r="B2158">
        <v>45</v>
      </c>
      <c r="C2158">
        <v>5.4200000000000003E-3</v>
      </c>
      <c r="D2158">
        <v>5.4000000000000003E-3</v>
      </c>
      <c r="E2158">
        <v>0.5</v>
      </c>
      <c r="F2158">
        <v>89352</v>
      </c>
      <c r="G2158">
        <v>483</v>
      </c>
      <c r="H2158">
        <v>89111</v>
      </c>
      <c r="I2158">
        <v>2437985</v>
      </c>
    </row>
    <row r="2159" spans="1:9">
      <c r="A2159" s="2">
        <v>1969</v>
      </c>
      <c r="B2159">
        <v>46</v>
      </c>
      <c r="C2159">
        <v>5.64E-3</v>
      </c>
      <c r="D2159">
        <v>5.6299999999999996E-3</v>
      </c>
      <c r="E2159">
        <v>0.5</v>
      </c>
      <c r="F2159">
        <v>88870</v>
      </c>
      <c r="G2159">
        <v>500</v>
      </c>
      <c r="H2159">
        <v>88620</v>
      </c>
      <c r="I2159">
        <v>2348874</v>
      </c>
    </row>
    <row r="2160" spans="1:9">
      <c r="A2160" s="2">
        <v>1969</v>
      </c>
      <c r="B2160">
        <v>47</v>
      </c>
      <c r="C2160">
        <v>5.7999999999999996E-3</v>
      </c>
      <c r="D2160">
        <v>5.7800000000000004E-3</v>
      </c>
      <c r="E2160">
        <v>0.5</v>
      </c>
      <c r="F2160">
        <v>88370</v>
      </c>
      <c r="G2160">
        <v>511</v>
      </c>
      <c r="H2160">
        <v>88114</v>
      </c>
      <c r="I2160">
        <v>2260255</v>
      </c>
    </row>
    <row r="2161" spans="1:9">
      <c r="A2161" s="2">
        <v>1969</v>
      </c>
      <c r="B2161">
        <v>48</v>
      </c>
      <c r="C2161">
        <v>5.79E-3</v>
      </c>
      <c r="D2161">
        <v>5.77E-3</v>
      </c>
      <c r="E2161">
        <v>0.5</v>
      </c>
      <c r="F2161">
        <v>87859</v>
      </c>
      <c r="G2161">
        <v>507</v>
      </c>
      <c r="H2161">
        <v>87605</v>
      </c>
      <c r="I2161">
        <v>2172140</v>
      </c>
    </row>
    <row r="2162" spans="1:9">
      <c r="A2162" s="2">
        <v>1969</v>
      </c>
      <c r="B2162">
        <v>49</v>
      </c>
      <c r="C2162">
        <v>7.6800000000000002E-3</v>
      </c>
      <c r="D2162">
        <v>7.6499999999999997E-3</v>
      </c>
      <c r="E2162">
        <v>0.5</v>
      </c>
      <c r="F2162">
        <v>87352</v>
      </c>
      <c r="G2162">
        <v>668</v>
      </c>
      <c r="H2162">
        <v>87018</v>
      </c>
      <c r="I2162">
        <v>2084535</v>
      </c>
    </row>
    <row r="2163" spans="1:9">
      <c r="A2163" s="2">
        <v>1969</v>
      </c>
      <c r="B2163">
        <v>50</v>
      </c>
      <c r="C2163">
        <v>6.9899999999999997E-3</v>
      </c>
      <c r="D2163">
        <v>6.9699999999999996E-3</v>
      </c>
      <c r="E2163">
        <v>0.5</v>
      </c>
      <c r="F2163">
        <v>86684</v>
      </c>
      <c r="G2163">
        <v>604</v>
      </c>
      <c r="H2163">
        <v>86382</v>
      </c>
      <c r="I2163">
        <v>1997517</v>
      </c>
    </row>
    <row r="2164" spans="1:9">
      <c r="A2164" s="2">
        <v>1969</v>
      </c>
      <c r="B2164">
        <v>51</v>
      </c>
      <c r="C2164">
        <v>7.5100000000000002E-3</v>
      </c>
      <c r="D2164">
        <v>7.4900000000000001E-3</v>
      </c>
      <c r="E2164">
        <v>0.5</v>
      </c>
      <c r="F2164">
        <v>86080</v>
      </c>
      <c r="G2164">
        <v>644</v>
      </c>
      <c r="H2164">
        <v>85758</v>
      </c>
      <c r="I2164">
        <v>1911136</v>
      </c>
    </row>
    <row r="2165" spans="1:9">
      <c r="A2165" s="2">
        <v>1969</v>
      </c>
      <c r="B2165">
        <v>52</v>
      </c>
      <c r="C2165">
        <v>9.6200000000000001E-3</v>
      </c>
      <c r="D2165">
        <v>9.5700000000000004E-3</v>
      </c>
      <c r="E2165">
        <v>0.5</v>
      </c>
      <c r="F2165">
        <v>85435</v>
      </c>
      <c r="G2165">
        <v>818</v>
      </c>
      <c r="H2165">
        <v>85026</v>
      </c>
      <c r="I2165">
        <v>1825378</v>
      </c>
    </row>
    <row r="2166" spans="1:9">
      <c r="A2166" s="2">
        <v>1969</v>
      </c>
      <c r="B2166">
        <v>53</v>
      </c>
      <c r="C2166">
        <v>9.4299999999999991E-3</v>
      </c>
      <c r="D2166">
        <v>9.3799999999999994E-3</v>
      </c>
      <c r="E2166">
        <v>0.5</v>
      </c>
      <c r="F2166">
        <v>84617</v>
      </c>
      <c r="G2166">
        <v>794</v>
      </c>
      <c r="H2166">
        <v>84220</v>
      </c>
      <c r="I2166">
        <v>1740352</v>
      </c>
    </row>
    <row r="2167" spans="1:9">
      <c r="A2167" s="2">
        <v>1969</v>
      </c>
      <c r="B2167">
        <v>54</v>
      </c>
      <c r="C2167">
        <v>1.174E-2</v>
      </c>
      <c r="D2167">
        <v>1.167E-2</v>
      </c>
      <c r="E2167">
        <v>0.5</v>
      </c>
      <c r="F2167">
        <v>83823</v>
      </c>
      <c r="G2167">
        <v>978</v>
      </c>
      <c r="H2167">
        <v>83334</v>
      </c>
      <c r="I2167">
        <v>1656131</v>
      </c>
    </row>
    <row r="2168" spans="1:9">
      <c r="A2168" s="2">
        <v>1969</v>
      </c>
      <c r="B2168">
        <v>55</v>
      </c>
      <c r="C2168">
        <v>1.217E-2</v>
      </c>
      <c r="D2168">
        <v>1.21E-2</v>
      </c>
      <c r="E2168">
        <v>0.5</v>
      </c>
      <c r="F2168">
        <v>82845</v>
      </c>
      <c r="G2168">
        <v>1002</v>
      </c>
      <c r="H2168">
        <v>82344</v>
      </c>
      <c r="I2168">
        <v>1572797</v>
      </c>
    </row>
    <row r="2169" spans="1:9">
      <c r="A2169" s="2">
        <v>1969</v>
      </c>
      <c r="B2169">
        <v>56</v>
      </c>
      <c r="C2169">
        <v>1.308E-2</v>
      </c>
      <c r="D2169">
        <v>1.2999999999999999E-2</v>
      </c>
      <c r="E2169">
        <v>0.5</v>
      </c>
      <c r="F2169">
        <v>81843</v>
      </c>
      <c r="G2169">
        <v>1064</v>
      </c>
      <c r="H2169">
        <v>81311</v>
      </c>
      <c r="I2169">
        <v>1490453</v>
      </c>
    </row>
    <row r="2170" spans="1:9">
      <c r="A2170" s="2">
        <v>1969</v>
      </c>
      <c r="B2170">
        <v>57</v>
      </c>
      <c r="C2170">
        <v>1.4489999999999999E-2</v>
      </c>
      <c r="D2170">
        <v>1.438E-2</v>
      </c>
      <c r="E2170">
        <v>0.5</v>
      </c>
      <c r="F2170">
        <v>80779</v>
      </c>
      <c r="G2170">
        <v>1162</v>
      </c>
      <c r="H2170">
        <v>80198</v>
      </c>
      <c r="I2170">
        <v>1409143</v>
      </c>
    </row>
    <row r="2171" spans="1:9">
      <c r="A2171" s="2">
        <v>1969</v>
      </c>
      <c r="B2171">
        <v>58</v>
      </c>
      <c r="C2171">
        <v>1.635E-2</v>
      </c>
      <c r="D2171">
        <v>1.6219999999999998E-2</v>
      </c>
      <c r="E2171">
        <v>0.5</v>
      </c>
      <c r="F2171">
        <v>79617</v>
      </c>
      <c r="G2171">
        <v>1291</v>
      </c>
      <c r="H2171">
        <v>78971</v>
      </c>
      <c r="I2171">
        <v>1328945</v>
      </c>
    </row>
    <row r="2172" spans="1:9">
      <c r="A2172" s="2">
        <v>1969</v>
      </c>
      <c r="B2172">
        <v>59</v>
      </c>
      <c r="C2172">
        <v>1.8270000000000002E-2</v>
      </c>
      <c r="D2172">
        <v>1.8100000000000002E-2</v>
      </c>
      <c r="E2172">
        <v>0.5</v>
      </c>
      <c r="F2172">
        <v>78326</v>
      </c>
      <c r="G2172">
        <v>1418</v>
      </c>
      <c r="H2172">
        <v>77617</v>
      </c>
      <c r="I2172">
        <v>1249973</v>
      </c>
    </row>
    <row r="2173" spans="1:9">
      <c r="A2173" s="2">
        <v>1969</v>
      </c>
      <c r="B2173">
        <v>60</v>
      </c>
      <c r="C2173">
        <v>2.1760000000000002E-2</v>
      </c>
      <c r="D2173">
        <v>2.1530000000000001E-2</v>
      </c>
      <c r="E2173">
        <v>0.5</v>
      </c>
      <c r="F2173">
        <v>76908</v>
      </c>
      <c r="G2173">
        <v>1656</v>
      </c>
      <c r="H2173">
        <v>76080</v>
      </c>
      <c r="I2173">
        <v>1172356</v>
      </c>
    </row>
    <row r="2174" spans="1:9">
      <c r="A2174" s="2">
        <v>1969</v>
      </c>
      <c r="B2174">
        <v>61</v>
      </c>
      <c r="C2174">
        <v>2.2349999999999998E-2</v>
      </c>
      <c r="D2174">
        <v>2.2110000000000001E-2</v>
      </c>
      <c r="E2174">
        <v>0.5</v>
      </c>
      <c r="F2174">
        <v>75252</v>
      </c>
      <c r="G2174">
        <v>1664</v>
      </c>
      <c r="H2174">
        <v>74420</v>
      </c>
      <c r="I2174">
        <v>1096276</v>
      </c>
    </row>
    <row r="2175" spans="1:9">
      <c r="A2175" s="2">
        <v>1969</v>
      </c>
      <c r="B2175">
        <v>62</v>
      </c>
      <c r="C2175">
        <v>2.562E-2</v>
      </c>
      <c r="D2175">
        <v>2.53E-2</v>
      </c>
      <c r="E2175">
        <v>0.5</v>
      </c>
      <c r="F2175">
        <v>73589</v>
      </c>
      <c r="G2175">
        <v>1862</v>
      </c>
      <c r="H2175">
        <v>72658</v>
      </c>
      <c r="I2175">
        <v>1021856</v>
      </c>
    </row>
    <row r="2176" spans="1:9">
      <c r="A2176" s="2">
        <v>1969</v>
      </c>
      <c r="B2176">
        <v>63</v>
      </c>
      <c r="C2176">
        <v>2.8139999999999998E-2</v>
      </c>
      <c r="D2176">
        <v>2.7740000000000001E-2</v>
      </c>
      <c r="E2176">
        <v>0.5</v>
      </c>
      <c r="F2176">
        <v>71727</v>
      </c>
      <c r="G2176">
        <v>1990</v>
      </c>
      <c r="H2176">
        <v>70732</v>
      </c>
      <c r="I2176">
        <v>949198</v>
      </c>
    </row>
    <row r="2177" spans="1:9">
      <c r="A2177" s="2">
        <v>1969</v>
      </c>
      <c r="B2177">
        <v>64</v>
      </c>
      <c r="C2177">
        <v>3.1019999999999999E-2</v>
      </c>
      <c r="D2177">
        <v>3.0550000000000001E-2</v>
      </c>
      <c r="E2177">
        <v>0.5</v>
      </c>
      <c r="F2177">
        <v>69737</v>
      </c>
      <c r="G2177">
        <v>2130</v>
      </c>
      <c r="H2177">
        <v>68672</v>
      </c>
      <c r="I2177">
        <v>878466</v>
      </c>
    </row>
    <row r="2178" spans="1:9">
      <c r="A2178" s="2">
        <v>1969</v>
      </c>
      <c r="B2178">
        <v>65</v>
      </c>
      <c r="C2178">
        <v>3.5110000000000002E-2</v>
      </c>
      <c r="D2178">
        <v>3.4500000000000003E-2</v>
      </c>
      <c r="E2178">
        <v>0.5</v>
      </c>
      <c r="F2178">
        <v>67607</v>
      </c>
      <c r="G2178">
        <v>2333</v>
      </c>
      <c r="H2178">
        <v>66441</v>
      </c>
      <c r="I2178">
        <v>809794</v>
      </c>
    </row>
    <row r="2179" spans="1:9">
      <c r="A2179" s="2">
        <v>1969</v>
      </c>
      <c r="B2179">
        <v>66</v>
      </c>
      <c r="C2179">
        <v>3.8710000000000001E-2</v>
      </c>
      <c r="D2179">
        <v>3.7969999999999997E-2</v>
      </c>
      <c r="E2179">
        <v>0.5</v>
      </c>
      <c r="F2179">
        <v>65274</v>
      </c>
      <c r="G2179">
        <v>2479</v>
      </c>
      <c r="H2179">
        <v>64035</v>
      </c>
      <c r="I2179">
        <v>743354</v>
      </c>
    </row>
    <row r="2180" spans="1:9">
      <c r="A2180" s="2">
        <v>1969</v>
      </c>
      <c r="B2180">
        <v>67</v>
      </c>
      <c r="C2180">
        <v>4.1919999999999999E-2</v>
      </c>
      <c r="D2180">
        <v>4.1059999999999999E-2</v>
      </c>
      <c r="E2180">
        <v>0.5</v>
      </c>
      <c r="F2180">
        <v>62796</v>
      </c>
      <c r="G2180">
        <v>2578</v>
      </c>
      <c r="H2180">
        <v>61507</v>
      </c>
      <c r="I2180">
        <v>679319</v>
      </c>
    </row>
    <row r="2181" spans="1:9">
      <c r="A2181" s="2">
        <v>1969</v>
      </c>
      <c r="B2181">
        <v>68</v>
      </c>
      <c r="C2181">
        <v>4.6670000000000003E-2</v>
      </c>
      <c r="D2181">
        <v>4.5609999999999998E-2</v>
      </c>
      <c r="E2181">
        <v>0.5</v>
      </c>
      <c r="F2181">
        <v>60218</v>
      </c>
      <c r="G2181">
        <v>2746</v>
      </c>
      <c r="H2181">
        <v>58844</v>
      </c>
      <c r="I2181">
        <v>617812</v>
      </c>
    </row>
    <row r="2182" spans="1:9">
      <c r="A2182" s="2">
        <v>1969</v>
      </c>
      <c r="B2182">
        <v>69</v>
      </c>
      <c r="C2182">
        <v>5.0479999999999997E-2</v>
      </c>
      <c r="D2182">
        <v>4.9239999999999999E-2</v>
      </c>
      <c r="E2182">
        <v>0.5</v>
      </c>
      <c r="F2182">
        <v>57471</v>
      </c>
      <c r="G2182">
        <v>2830</v>
      </c>
      <c r="H2182">
        <v>56056</v>
      </c>
      <c r="I2182">
        <v>558967</v>
      </c>
    </row>
    <row r="2183" spans="1:9">
      <c r="A2183" s="2">
        <v>1969</v>
      </c>
      <c r="B2183">
        <v>70</v>
      </c>
      <c r="C2183">
        <v>5.8599999999999999E-2</v>
      </c>
      <c r="D2183">
        <v>5.6939999999999998E-2</v>
      </c>
      <c r="E2183">
        <v>0.5</v>
      </c>
      <c r="F2183">
        <v>54642</v>
      </c>
      <c r="G2183">
        <v>3111</v>
      </c>
      <c r="H2183">
        <v>53086</v>
      </c>
      <c r="I2183">
        <v>502911</v>
      </c>
    </row>
    <row r="2184" spans="1:9">
      <c r="A2184" s="2">
        <v>1969</v>
      </c>
      <c r="B2184">
        <v>71</v>
      </c>
      <c r="C2184">
        <v>6.368E-2</v>
      </c>
      <c r="D2184">
        <v>6.1710000000000001E-2</v>
      </c>
      <c r="E2184">
        <v>0.5</v>
      </c>
      <c r="F2184">
        <v>51530</v>
      </c>
      <c r="G2184">
        <v>3180</v>
      </c>
      <c r="H2184">
        <v>49940</v>
      </c>
      <c r="I2184">
        <v>449825</v>
      </c>
    </row>
    <row r="2185" spans="1:9">
      <c r="A2185" s="2">
        <v>1969</v>
      </c>
      <c r="B2185">
        <v>72</v>
      </c>
      <c r="C2185">
        <v>6.7339999999999997E-2</v>
      </c>
      <c r="D2185">
        <v>6.515E-2</v>
      </c>
      <c r="E2185">
        <v>0.5</v>
      </c>
      <c r="F2185">
        <v>48350</v>
      </c>
      <c r="G2185">
        <v>3150</v>
      </c>
      <c r="H2185">
        <v>46775</v>
      </c>
      <c r="I2185">
        <v>399885</v>
      </c>
    </row>
    <row r="2186" spans="1:9">
      <c r="A2186" s="2">
        <v>1969</v>
      </c>
      <c r="B2186">
        <v>73</v>
      </c>
      <c r="C2186">
        <v>7.2770000000000001E-2</v>
      </c>
      <c r="D2186">
        <v>7.0220000000000005E-2</v>
      </c>
      <c r="E2186">
        <v>0.5</v>
      </c>
      <c r="F2186">
        <v>45200</v>
      </c>
      <c r="G2186">
        <v>3174</v>
      </c>
      <c r="H2186">
        <v>43613</v>
      </c>
      <c r="I2186">
        <v>353109</v>
      </c>
    </row>
    <row r="2187" spans="1:9">
      <c r="A2187" s="2">
        <v>1969</v>
      </c>
      <c r="B2187">
        <v>74</v>
      </c>
      <c r="C2187">
        <v>7.8600000000000003E-2</v>
      </c>
      <c r="D2187">
        <v>7.5630000000000003E-2</v>
      </c>
      <c r="E2187">
        <v>0.5</v>
      </c>
      <c r="F2187">
        <v>42027</v>
      </c>
      <c r="G2187">
        <v>3178</v>
      </c>
      <c r="H2187">
        <v>40437</v>
      </c>
      <c r="I2187">
        <v>309496</v>
      </c>
    </row>
    <row r="2188" spans="1:9">
      <c r="A2188" s="2">
        <v>1969</v>
      </c>
      <c r="B2188">
        <v>75</v>
      </c>
      <c r="C2188">
        <v>9.0609999999999996E-2</v>
      </c>
      <c r="D2188">
        <v>8.6679999999999993E-2</v>
      </c>
      <c r="E2188">
        <v>0.5</v>
      </c>
      <c r="F2188">
        <v>38848</v>
      </c>
      <c r="G2188">
        <v>3368</v>
      </c>
      <c r="H2188">
        <v>37164</v>
      </c>
      <c r="I2188">
        <v>269058</v>
      </c>
    </row>
    <row r="2189" spans="1:9">
      <c r="A2189" s="2">
        <v>1969</v>
      </c>
      <c r="B2189">
        <v>76</v>
      </c>
      <c r="C2189">
        <v>9.9330000000000002E-2</v>
      </c>
      <c r="D2189">
        <v>9.4630000000000006E-2</v>
      </c>
      <c r="E2189">
        <v>0.5</v>
      </c>
      <c r="F2189">
        <v>35481</v>
      </c>
      <c r="G2189">
        <v>3358</v>
      </c>
      <c r="H2189">
        <v>33802</v>
      </c>
      <c r="I2189">
        <v>231894</v>
      </c>
    </row>
    <row r="2190" spans="1:9">
      <c r="A2190" s="2">
        <v>1969</v>
      </c>
      <c r="B2190">
        <v>77</v>
      </c>
      <c r="C2190">
        <v>0.10401000000000001</v>
      </c>
      <c r="D2190">
        <v>9.887E-2</v>
      </c>
      <c r="E2190">
        <v>0.5</v>
      </c>
      <c r="F2190">
        <v>32123</v>
      </c>
      <c r="G2190">
        <v>3176</v>
      </c>
      <c r="H2190">
        <v>30535</v>
      </c>
      <c r="I2190">
        <v>198092</v>
      </c>
    </row>
    <row r="2191" spans="1:9">
      <c r="A2191" s="2">
        <v>1969</v>
      </c>
      <c r="B2191">
        <v>78</v>
      </c>
      <c r="C2191">
        <v>0.11787</v>
      </c>
      <c r="D2191">
        <v>0.11131000000000001</v>
      </c>
      <c r="E2191">
        <v>0.5</v>
      </c>
      <c r="F2191">
        <v>28947</v>
      </c>
      <c r="G2191">
        <v>3222</v>
      </c>
      <c r="H2191">
        <v>27336</v>
      </c>
      <c r="I2191">
        <v>167557</v>
      </c>
    </row>
    <row r="2192" spans="1:9">
      <c r="A2192" s="2">
        <v>1969</v>
      </c>
      <c r="B2192">
        <v>79</v>
      </c>
      <c r="C2192">
        <v>0.1242</v>
      </c>
      <c r="D2192">
        <v>0.11693000000000001</v>
      </c>
      <c r="E2192">
        <v>0.5</v>
      </c>
      <c r="F2192">
        <v>25725</v>
      </c>
      <c r="G2192">
        <v>3008</v>
      </c>
      <c r="H2192">
        <v>24221</v>
      </c>
      <c r="I2192">
        <v>140221</v>
      </c>
    </row>
    <row r="2193" spans="1:9">
      <c r="A2193" s="2">
        <v>1969</v>
      </c>
      <c r="B2193">
        <v>80</v>
      </c>
      <c r="C2193">
        <v>0.13874</v>
      </c>
      <c r="D2193">
        <v>0.12973999999999999</v>
      </c>
      <c r="E2193">
        <v>0.5</v>
      </c>
      <c r="F2193">
        <v>22717</v>
      </c>
      <c r="G2193">
        <v>2947</v>
      </c>
      <c r="H2193">
        <v>21243</v>
      </c>
      <c r="I2193">
        <v>116000</v>
      </c>
    </row>
    <row r="2194" spans="1:9">
      <c r="A2194" s="2">
        <v>1969</v>
      </c>
      <c r="B2194">
        <v>81</v>
      </c>
      <c r="C2194">
        <v>0.14663999999999999</v>
      </c>
      <c r="D2194">
        <v>0.13661999999999999</v>
      </c>
      <c r="E2194">
        <v>0.5</v>
      </c>
      <c r="F2194">
        <v>19769</v>
      </c>
      <c r="G2194">
        <v>2701</v>
      </c>
      <c r="H2194">
        <v>18419</v>
      </c>
      <c r="I2194">
        <v>94757</v>
      </c>
    </row>
    <row r="2195" spans="1:9">
      <c r="A2195" s="2">
        <v>1969</v>
      </c>
      <c r="B2195">
        <v>82</v>
      </c>
      <c r="C2195">
        <v>0.16339999999999999</v>
      </c>
      <c r="D2195">
        <v>0.15106</v>
      </c>
      <c r="E2195">
        <v>0.5</v>
      </c>
      <c r="F2195">
        <v>17069</v>
      </c>
      <c r="G2195">
        <v>2578</v>
      </c>
      <c r="H2195">
        <v>15779</v>
      </c>
      <c r="I2195">
        <v>76338</v>
      </c>
    </row>
    <row r="2196" spans="1:9">
      <c r="A2196" s="2">
        <v>1969</v>
      </c>
      <c r="B2196">
        <v>83</v>
      </c>
      <c r="C2196">
        <v>0.18567</v>
      </c>
      <c r="D2196">
        <v>0.1699</v>
      </c>
      <c r="E2196">
        <v>0.5</v>
      </c>
      <c r="F2196">
        <v>14490</v>
      </c>
      <c r="G2196">
        <v>2462</v>
      </c>
      <c r="H2196">
        <v>13259</v>
      </c>
      <c r="I2196">
        <v>60559</v>
      </c>
    </row>
    <row r="2197" spans="1:9">
      <c r="A2197" s="2">
        <v>1969</v>
      </c>
      <c r="B2197">
        <v>84</v>
      </c>
      <c r="C2197">
        <v>0.18845999999999999</v>
      </c>
      <c r="D2197">
        <v>0.17222999999999999</v>
      </c>
      <c r="E2197">
        <v>0.5</v>
      </c>
      <c r="F2197">
        <v>12028</v>
      </c>
      <c r="G2197">
        <v>2072</v>
      </c>
      <c r="H2197">
        <v>10993</v>
      </c>
      <c r="I2197">
        <v>47299</v>
      </c>
    </row>
    <row r="2198" spans="1:9">
      <c r="A2198" s="2">
        <v>1969</v>
      </c>
      <c r="B2198">
        <v>85</v>
      </c>
      <c r="C2198">
        <v>0.23204</v>
      </c>
      <c r="D2198">
        <v>0.20791000000000001</v>
      </c>
      <c r="E2198">
        <v>0.5</v>
      </c>
      <c r="F2198">
        <v>9957</v>
      </c>
      <c r="G2198">
        <v>2070</v>
      </c>
      <c r="H2198">
        <v>8922</v>
      </c>
      <c r="I2198">
        <v>36307</v>
      </c>
    </row>
    <row r="2199" spans="1:9">
      <c r="A2199" s="2">
        <v>1969</v>
      </c>
      <c r="B2199">
        <v>86</v>
      </c>
      <c r="C2199">
        <v>0.22073999999999999</v>
      </c>
      <c r="D2199">
        <v>0.1988</v>
      </c>
      <c r="E2199">
        <v>0.5</v>
      </c>
      <c r="F2199">
        <v>7887</v>
      </c>
      <c r="G2199">
        <v>1568</v>
      </c>
      <c r="H2199">
        <v>7103</v>
      </c>
      <c r="I2199">
        <v>27385</v>
      </c>
    </row>
    <row r="2200" spans="1:9">
      <c r="A2200" s="2">
        <v>1969</v>
      </c>
      <c r="B2200">
        <v>87</v>
      </c>
      <c r="C2200">
        <v>0.24811</v>
      </c>
      <c r="D2200">
        <v>0.22073000000000001</v>
      </c>
      <c r="E2200">
        <v>0.5</v>
      </c>
      <c r="F2200">
        <v>6319</v>
      </c>
      <c r="G2200">
        <v>1395</v>
      </c>
      <c r="H2200">
        <v>5621</v>
      </c>
      <c r="I2200">
        <v>20283</v>
      </c>
    </row>
    <row r="2201" spans="1:9">
      <c r="A2201" s="2">
        <v>1969</v>
      </c>
      <c r="B2201">
        <v>88</v>
      </c>
      <c r="C2201">
        <v>0.27983999999999998</v>
      </c>
      <c r="D2201">
        <v>0.24549000000000001</v>
      </c>
      <c r="E2201">
        <v>0.5</v>
      </c>
      <c r="F2201">
        <v>4924</v>
      </c>
      <c r="G2201">
        <v>1209</v>
      </c>
      <c r="H2201">
        <v>4320</v>
      </c>
      <c r="I2201">
        <v>14661</v>
      </c>
    </row>
    <row r="2202" spans="1:9">
      <c r="A2202" s="2">
        <v>1969</v>
      </c>
      <c r="B2202">
        <v>89</v>
      </c>
      <c r="C2202">
        <v>0.31909999999999999</v>
      </c>
      <c r="D2202">
        <v>0.27518999999999999</v>
      </c>
      <c r="E2202">
        <v>0.5</v>
      </c>
      <c r="F2202">
        <v>3715</v>
      </c>
      <c r="G2202">
        <v>1022</v>
      </c>
      <c r="H2202">
        <v>3204</v>
      </c>
      <c r="I2202">
        <v>10342</v>
      </c>
    </row>
    <row r="2203" spans="1:9">
      <c r="A2203" s="2">
        <v>1969</v>
      </c>
      <c r="B2203">
        <v>90</v>
      </c>
      <c r="C2203">
        <v>0.34440999999999999</v>
      </c>
      <c r="D2203">
        <v>0.29382000000000003</v>
      </c>
      <c r="E2203">
        <v>0.5</v>
      </c>
      <c r="F2203">
        <v>2693</v>
      </c>
      <c r="G2203">
        <v>791</v>
      </c>
      <c r="H2203">
        <v>2297</v>
      </c>
      <c r="I2203">
        <v>7138</v>
      </c>
    </row>
    <row r="2204" spans="1:9">
      <c r="A2204" s="2">
        <v>1969</v>
      </c>
      <c r="B2204">
        <v>91</v>
      </c>
      <c r="C2204">
        <v>0.35605999999999999</v>
      </c>
      <c r="D2204">
        <v>0.30225000000000002</v>
      </c>
      <c r="E2204">
        <v>0.5</v>
      </c>
      <c r="F2204">
        <v>1902</v>
      </c>
      <c r="G2204">
        <v>575</v>
      </c>
      <c r="H2204">
        <v>1614</v>
      </c>
      <c r="I2204">
        <v>4840</v>
      </c>
    </row>
    <row r="2205" spans="1:9">
      <c r="A2205" s="2">
        <v>1969</v>
      </c>
      <c r="B2205">
        <v>92</v>
      </c>
      <c r="C2205">
        <v>0.35691000000000001</v>
      </c>
      <c r="D2205">
        <v>0.30286000000000002</v>
      </c>
      <c r="E2205">
        <v>0.5</v>
      </c>
      <c r="F2205">
        <v>1327</v>
      </c>
      <c r="G2205">
        <v>402</v>
      </c>
      <c r="H2205">
        <v>1126</v>
      </c>
      <c r="I2205">
        <v>3226</v>
      </c>
    </row>
    <row r="2206" spans="1:9">
      <c r="A2206" s="2">
        <v>1969</v>
      </c>
      <c r="B2206">
        <v>93</v>
      </c>
      <c r="C2206">
        <v>0.38239000000000001</v>
      </c>
      <c r="D2206">
        <v>0.32101000000000002</v>
      </c>
      <c r="E2206">
        <v>0.5</v>
      </c>
      <c r="F2206">
        <v>925</v>
      </c>
      <c r="G2206">
        <v>297</v>
      </c>
      <c r="H2206">
        <v>777</v>
      </c>
      <c r="I2206">
        <v>2100</v>
      </c>
    </row>
    <row r="2207" spans="1:9">
      <c r="A2207" s="2">
        <v>1969</v>
      </c>
      <c r="B2207">
        <v>94</v>
      </c>
      <c r="C2207">
        <v>0.43421999999999999</v>
      </c>
      <c r="D2207">
        <v>0.35676000000000002</v>
      </c>
      <c r="E2207">
        <v>0.5</v>
      </c>
      <c r="F2207">
        <v>628</v>
      </c>
      <c r="G2207">
        <v>224</v>
      </c>
      <c r="H2207">
        <v>516</v>
      </c>
      <c r="I2207">
        <v>1324</v>
      </c>
    </row>
    <row r="2208" spans="1:9">
      <c r="A2208" s="2">
        <v>1969</v>
      </c>
      <c r="B2208">
        <v>95</v>
      </c>
      <c r="C2208">
        <v>0.46224999999999999</v>
      </c>
      <c r="D2208">
        <v>0.37547000000000003</v>
      </c>
      <c r="E2208">
        <v>0.5</v>
      </c>
      <c r="F2208">
        <v>404</v>
      </c>
      <c r="G2208">
        <v>152</v>
      </c>
      <c r="H2208">
        <v>328</v>
      </c>
      <c r="I2208">
        <v>808</v>
      </c>
    </row>
    <row r="2209" spans="1:9">
      <c r="A2209" s="2">
        <v>1969</v>
      </c>
      <c r="B2209">
        <v>96</v>
      </c>
      <c r="C2209">
        <v>0.49053000000000002</v>
      </c>
      <c r="D2209">
        <v>0.39391999999999999</v>
      </c>
      <c r="E2209">
        <v>0.5</v>
      </c>
      <c r="F2209">
        <v>252</v>
      </c>
      <c r="G2209">
        <v>99</v>
      </c>
      <c r="H2209">
        <v>203</v>
      </c>
      <c r="I2209">
        <v>480</v>
      </c>
    </row>
    <row r="2210" spans="1:9">
      <c r="A2210" s="2">
        <v>1969</v>
      </c>
      <c r="B2210">
        <v>97</v>
      </c>
      <c r="C2210">
        <v>0.51885999999999999</v>
      </c>
      <c r="D2210">
        <v>0.41198000000000001</v>
      </c>
      <c r="E2210">
        <v>0.5</v>
      </c>
      <c r="F2210">
        <v>153</v>
      </c>
      <c r="G2210">
        <v>63</v>
      </c>
      <c r="H2210">
        <v>121</v>
      </c>
      <c r="I2210">
        <v>277</v>
      </c>
    </row>
    <row r="2211" spans="1:9">
      <c r="A2211" s="2">
        <v>1969</v>
      </c>
      <c r="B2211">
        <v>98</v>
      </c>
      <c r="C2211">
        <v>0.54708000000000001</v>
      </c>
      <c r="D2211">
        <v>0.42957000000000001</v>
      </c>
      <c r="E2211">
        <v>0.5</v>
      </c>
      <c r="F2211">
        <v>90</v>
      </c>
      <c r="G2211">
        <v>39</v>
      </c>
      <c r="H2211">
        <v>71</v>
      </c>
      <c r="I2211">
        <v>156</v>
      </c>
    </row>
    <row r="2212" spans="1:9">
      <c r="A2212" s="2">
        <v>1969</v>
      </c>
      <c r="B2212">
        <v>99</v>
      </c>
      <c r="C2212">
        <v>0.57499</v>
      </c>
      <c r="D2212">
        <v>0.4466</v>
      </c>
      <c r="E2212">
        <v>0.5</v>
      </c>
      <c r="F2212">
        <v>51</v>
      </c>
      <c r="G2212">
        <v>23</v>
      </c>
      <c r="H2212">
        <v>40</v>
      </c>
      <c r="I2212">
        <v>85</v>
      </c>
    </row>
    <row r="2213" spans="1:9">
      <c r="A2213" s="2">
        <v>1969</v>
      </c>
      <c r="B2213">
        <v>100</v>
      </c>
      <c r="C2213">
        <v>0.60243999999999998</v>
      </c>
      <c r="D2213">
        <v>0.46298</v>
      </c>
      <c r="E2213">
        <v>0.5</v>
      </c>
      <c r="F2213">
        <v>28</v>
      </c>
      <c r="G2213">
        <v>13</v>
      </c>
      <c r="H2213">
        <v>22</v>
      </c>
      <c r="I2213">
        <v>45</v>
      </c>
    </row>
    <row r="2214" spans="1:9">
      <c r="A2214" s="2">
        <v>1969</v>
      </c>
      <c r="B2214">
        <v>101</v>
      </c>
      <c r="C2214">
        <v>0.62924999999999998</v>
      </c>
      <c r="D2214">
        <v>0.47865000000000002</v>
      </c>
      <c r="E2214">
        <v>0.5</v>
      </c>
      <c r="F2214">
        <v>15</v>
      </c>
      <c r="G2214">
        <v>7</v>
      </c>
      <c r="H2214">
        <v>12</v>
      </c>
      <c r="I2214">
        <v>23</v>
      </c>
    </row>
    <row r="2215" spans="1:9">
      <c r="A2215" s="2">
        <v>1969</v>
      </c>
      <c r="B2215">
        <v>102</v>
      </c>
      <c r="C2215">
        <v>0.65529000000000004</v>
      </c>
      <c r="D2215">
        <v>0.49358000000000002</v>
      </c>
      <c r="E2215">
        <v>0.5</v>
      </c>
      <c r="F2215">
        <v>8</v>
      </c>
      <c r="G2215">
        <v>4</v>
      </c>
      <c r="H2215">
        <v>6</v>
      </c>
      <c r="I2215">
        <v>12</v>
      </c>
    </row>
    <row r="2216" spans="1:9">
      <c r="A2216" s="2">
        <v>1969</v>
      </c>
      <c r="B2216">
        <v>103</v>
      </c>
      <c r="C2216">
        <v>0.68042999999999998</v>
      </c>
      <c r="D2216">
        <v>0.50770000000000004</v>
      </c>
      <c r="E2216">
        <v>0.5</v>
      </c>
      <c r="F2216">
        <v>4</v>
      </c>
      <c r="G2216">
        <v>2</v>
      </c>
      <c r="H2216">
        <v>3</v>
      </c>
      <c r="I2216">
        <v>6</v>
      </c>
    </row>
    <row r="2217" spans="1:9">
      <c r="A2217" s="2">
        <v>1969</v>
      </c>
      <c r="B2217">
        <v>104</v>
      </c>
      <c r="C2217">
        <v>0.70457000000000003</v>
      </c>
      <c r="D2217">
        <v>0.52102000000000004</v>
      </c>
      <c r="E2217">
        <v>0.5</v>
      </c>
      <c r="F2217">
        <v>2</v>
      </c>
      <c r="G2217">
        <v>1</v>
      </c>
      <c r="H2217">
        <v>1</v>
      </c>
      <c r="I2217">
        <v>3</v>
      </c>
    </row>
    <row r="2218" spans="1:9">
      <c r="A2218" s="2">
        <v>1969</v>
      </c>
      <c r="B2218">
        <v>105</v>
      </c>
      <c r="C2218">
        <v>0.72760999999999998</v>
      </c>
      <c r="D2218">
        <v>0.53351000000000004</v>
      </c>
      <c r="E2218">
        <v>0.5</v>
      </c>
      <c r="F2218">
        <v>1</v>
      </c>
      <c r="G2218">
        <v>1</v>
      </c>
      <c r="H2218">
        <v>1</v>
      </c>
      <c r="I2218">
        <v>1</v>
      </c>
    </row>
    <row r="2219" spans="1:9">
      <c r="A2219" s="2">
        <v>1969</v>
      </c>
      <c r="B2219">
        <v>106</v>
      </c>
      <c r="C2219">
        <v>0.74948999999999999</v>
      </c>
      <c r="D2219">
        <v>0.54518999999999995</v>
      </c>
      <c r="E2219">
        <v>0.5</v>
      </c>
      <c r="F2219">
        <v>0</v>
      </c>
      <c r="G2219">
        <v>0</v>
      </c>
      <c r="H2219">
        <v>0</v>
      </c>
      <c r="I2219">
        <v>1</v>
      </c>
    </row>
    <row r="2220" spans="1:9">
      <c r="A2220" s="2">
        <v>1969</v>
      </c>
      <c r="B2220">
        <v>107</v>
      </c>
      <c r="C2220">
        <v>0.77017000000000002</v>
      </c>
      <c r="D2220">
        <v>0.55605000000000004</v>
      </c>
      <c r="E2220">
        <v>0.5</v>
      </c>
      <c r="F2220">
        <v>0</v>
      </c>
      <c r="G2220">
        <v>0</v>
      </c>
      <c r="H2220">
        <v>0</v>
      </c>
      <c r="I2220">
        <v>0</v>
      </c>
    </row>
    <row r="2221" spans="1:9">
      <c r="A2221" s="2">
        <v>1969</v>
      </c>
      <c r="B2221">
        <v>108</v>
      </c>
      <c r="C2221">
        <v>0.78963000000000005</v>
      </c>
      <c r="D2221">
        <v>0.56611999999999996</v>
      </c>
      <c r="E2221">
        <v>0.5</v>
      </c>
      <c r="F2221">
        <v>0</v>
      </c>
      <c r="G2221">
        <v>0</v>
      </c>
      <c r="H2221">
        <v>0</v>
      </c>
      <c r="I2221">
        <v>0</v>
      </c>
    </row>
    <row r="2222" spans="1:9">
      <c r="A2222" s="2">
        <v>1969</v>
      </c>
      <c r="B2222">
        <v>109</v>
      </c>
      <c r="C2222">
        <v>0.80784</v>
      </c>
      <c r="D2222">
        <v>0.57542000000000004</v>
      </c>
      <c r="E2222">
        <v>0.5</v>
      </c>
      <c r="F2222">
        <v>0</v>
      </c>
      <c r="G2222">
        <v>0</v>
      </c>
      <c r="H2222">
        <v>0</v>
      </c>
      <c r="I2222">
        <v>0</v>
      </c>
    </row>
    <row r="2223" spans="1:9">
      <c r="A2223" s="2">
        <v>1969</v>
      </c>
      <c r="B2223" t="s">
        <v>26</v>
      </c>
      <c r="C2223">
        <v>0.82482999999999995</v>
      </c>
      <c r="D2223">
        <v>1</v>
      </c>
      <c r="E2223" s="3" t="s">
        <v>35</v>
      </c>
      <c r="F2223">
        <v>0</v>
      </c>
      <c r="G2223">
        <v>0</v>
      </c>
      <c r="H2223">
        <v>0</v>
      </c>
      <c r="I2223">
        <v>0</v>
      </c>
    </row>
    <row r="2224" spans="1:9">
      <c r="A2224" s="2">
        <v>1970</v>
      </c>
      <c r="B2224">
        <v>0</v>
      </c>
      <c r="C2224">
        <v>4.079E-2</v>
      </c>
      <c r="D2224">
        <v>3.9440000000000003E-2</v>
      </c>
      <c r="E2224">
        <v>0.16</v>
      </c>
      <c r="F2224">
        <v>100000</v>
      </c>
      <c r="G2224">
        <v>3944</v>
      </c>
      <c r="H2224">
        <v>96692</v>
      </c>
      <c r="I2224">
        <v>6632541</v>
      </c>
    </row>
    <row r="2225" spans="1:9">
      <c r="A2225" s="2">
        <v>1970</v>
      </c>
      <c r="B2225">
        <v>1</v>
      </c>
      <c r="C2225">
        <v>2.0799999999999998E-3</v>
      </c>
      <c r="D2225">
        <v>2.0799999999999998E-3</v>
      </c>
      <c r="E2225">
        <v>0.5</v>
      </c>
      <c r="F2225">
        <v>96056</v>
      </c>
      <c r="G2225">
        <v>200</v>
      </c>
      <c r="H2225">
        <v>95956</v>
      </c>
      <c r="I2225">
        <v>6535849</v>
      </c>
    </row>
    <row r="2226" spans="1:9">
      <c r="A2226" s="2">
        <v>1970</v>
      </c>
      <c r="B2226">
        <v>2</v>
      </c>
      <c r="C2226">
        <v>1E-3</v>
      </c>
      <c r="D2226">
        <v>1E-3</v>
      </c>
      <c r="E2226">
        <v>0.5</v>
      </c>
      <c r="F2226">
        <v>95856</v>
      </c>
      <c r="G2226">
        <v>95</v>
      </c>
      <c r="H2226">
        <v>95808</v>
      </c>
      <c r="I2226">
        <v>6439894</v>
      </c>
    </row>
    <row r="2227" spans="1:9">
      <c r="A2227" s="2">
        <v>1970</v>
      </c>
      <c r="B2227">
        <v>3</v>
      </c>
      <c r="C2227">
        <v>7.1000000000000002E-4</v>
      </c>
      <c r="D2227">
        <v>7.1000000000000002E-4</v>
      </c>
      <c r="E2227">
        <v>0.5</v>
      </c>
      <c r="F2227">
        <v>95760</v>
      </c>
      <c r="G2227">
        <v>68</v>
      </c>
      <c r="H2227">
        <v>95726</v>
      </c>
      <c r="I2227">
        <v>6344086</v>
      </c>
    </row>
    <row r="2228" spans="1:9">
      <c r="A2228" s="2">
        <v>1970</v>
      </c>
      <c r="B2228">
        <v>4</v>
      </c>
      <c r="C2228">
        <v>7.2000000000000005E-4</v>
      </c>
      <c r="D2228">
        <v>7.2000000000000005E-4</v>
      </c>
      <c r="E2228">
        <v>0.5</v>
      </c>
      <c r="F2228">
        <v>95692</v>
      </c>
      <c r="G2228">
        <v>69</v>
      </c>
      <c r="H2228">
        <v>95658</v>
      </c>
      <c r="I2228">
        <v>6248359</v>
      </c>
    </row>
    <row r="2229" spans="1:9">
      <c r="A2229" s="2">
        <v>1970</v>
      </c>
      <c r="B2229">
        <v>5</v>
      </c>
      <c r="C2229">
        <v>5.6999999999999998E-4</v>
      </c>
      <c r="D2229">
        <v>5.6999999999999998E-4</v>
      </c>
      <c r="E2229">
        <v>0.5</v>
      </c>
      <c r="F2229">
        <v>95623</v>
      </c>
      <c r="G2229">
        <v>54</v>
      </c>
      <c r="H2229">
        <v>95596</v>
      </c>
      <c r="I2229">
        <v>6152701</v>
      </c>
    </row>
    <row r="2230" spans="1:9">
      <c r="A2230" s="2">
        <v>1970</v>
      </c>
      <c r="B2230">
        <v>6</v>
      </c>
      <c r="C2230">
        <v>4.4999999999999999E-4</v>
      </c>
      <c r="D2230">
        <v>4.4999999999999999E-4</v>
      </c>
      <c r="E2230">
        <v>0.5</v>
      </c>
      <c r="F2230">
        <v>95569</v>
      </c>
      <c r="G2230">
        <v>43</v>
      </c>
      <c r="H2230">
        <v>95548</v>
      </c>
      <c r="I2230">
        <v>6057105</v>
      </c>
    </row>
    <row r="2231" spans="1:9">
      <c r="A2231" s="2">
        <v>1970</v>
      </c>
      <c r="B2231">
        <v>7</v>
      </c>
      <c r="C2231">
        <v>3.8999999999999999E-4</v>
      </c>
      <c r="D2231">
        <v>3.8999999999999999E-4</v>
      </c>
      <c r="E2231">
        <v>0.5</v>
      </c>
      <c r="F2231">
        <v>95527</v>
      </c>
      <c r="G2231">
        <v>37</v>
      </c>
      <c r="H2231">
        <v>95508</v>
      </c>
      <c r="I2231">
        <v>5961557</v>
      </c>
    </row>
    <row r="2232" spans="1:9">
      <c r="A2232" s="2">
        <v>1970</v>
      </c>
      <c r="B2232">
        <v>8</v>
      </c>
      <c r="C2232">
        <v>4.4000000000000002E-4</v>
      </c>
      <c r="D2232">
        <v>4.4000000000000002E-4</v>
      </c>
      <c r="E2232">
        <v>0.5</v>
      </c>
      <c r="F2232">
        <v>95489</v>
      </c>
      <c r="G2232">
        <v>42</v>
      </c>
      <c r="H2232">
        <v>95468</v>
      </c>
      <c r="I2232">
        <v>5866049</v>
      </c>
    </row>
    <row r="2233" spans="1:9">
      <c r="A2233" s="2">
        <v>1970</v>
      </c>
      <c r="B2233">
        <v>9</v>
      </c>
      <c r="C2233">
        <v>4.6999999999999999E-4</v>
      </c>
      <c r="D2233">
        <v>4.6999999999999999E-4</v>
      </c>
      <c r="E2233">
        <v>0.5</v>
      </c>
      <c r="F2233">
        <v>95447</v>
      </c>
      <c r="G2233">
        <v>45</v>
      </c>
      <c r="H2233">
        <v>95425</v>
      </c>
      <c r="I2233">
        <v>5770581</v>
      </c>
    </row>
    <row r="2234" spans="1:9">
      <c r="A2234" s="2">
        <v>1970</v>
      </c>
      <c r="B2234">
        <v>10</v>
      </c>
      <c r="C2234">
        <v>3.8999999999999999E-4</v>
      </c>
      <c r="D2234">
        <v>3.8999999999999999E-4</v>
      </c>
      <c r="E2234">
        <v>0.5</v>
      </c>
      <c r="F2234">
        <v>95402</v>
      </c>
      <c r="G2234">
        <v>37</v>
      </c>
      <c r="H2234">
        <v>95384</v>
      </c>
      <c r="I2234">
        <v>5675156</v>
      </c>
    </row>
    <row r="2235" spans="1:9">
      <c r="A2235" s="2">
        <v>1970</v>
      </c>
      <c r="B2235">
        <v>11</v>
      </c>
      <c r="C2235">
        <v>3.8999999999999999E-4</v>
      </c>
      <c r="D2235">
        <v>3.8999999999999999E-4</v>
      </c>
      <c r="E2235">
        <v>0.5</v>
      </c>
      <c r="F2235">
        <v>95365</v>
      </c>
      <c r="G2235">
        <v>37</v>
      </c>
      <c r="H2235">
        <v>95347</v>
      </c>
      <c r="I2235">
        <v>5579773</v>
      </c>
    </row>
    <row r="2236" spans="1:9">
      <c r="A2236" s="2">
        <v>1970</v>
      </c>
      <c r="B2236">
        <v>12</v>
      </c>
      <c r="C2236">
        <v>3.6999999999999999E-4</v>
      </c>
      <c r="D2236">
        <v>3.6999999999999999E-4</v>
      </c>
      <c r="E2236">
        <v>0.5</v>
      </c>
      <c r="F2236">
        <v>95328</v>
      </c>
      <c r="G2236">
        <v>35</v>
      </c>
      <c r="H2236">
        <v>95311</v>
      </c>
      <c r="I2236">
        <v>5484426</v>
      </c>
    </row>
    <row r="2237" spans="1:9">
      <c r="A2237" s="2">
        <v>1970</v>
      </c>
      <c r="B2237">
        <v>13</v>
      </c>
      <c r="C2237">
        <v>5.9000000000000003E-4</v>
      </c>
      <c r="D2237">
        <v>5.9000000000000003E-4</v>
      </c>
      <c r="E2237">
        <v>0.5</v>
      </c>
      <c r="F2237">
        <v>95294</v>
      </c>
      <c r="G2237">
        <v>56</v>
      </c>
      <c r="H2237">
        <v>95266</v>
      </c>
      <c r="I2237">
        <v>5389115</v>
      </c>
    </row>
    <row r="2238" spans="1:9">
      <c r="A2238" s="2">
        <v>1970</v>
      </c>
      <c r="B2238">
        <v>14</v>
      </c>
      <c r="C2238">
        <v>5.4000000000000001E-4</v>
      </c>
      <c r="D2238">
        <v>5.4000000000000001E-4</v>
      </c>
      <c r="E2238">
        <v>0.5</v>
      </c>
      <c r="F2238">
        <v>95238</v>
      </c>
      <c r="G2238">
        <v>52</v>
      </c>
      <c r="H2238">
        <v>95212</v>
      </c>
      <c r="I2238">
        <v>5293849</v>
      </c>
    </row>
    <row r="2239" spans="1:9">
      <c r="A2239" s="2">
        <v>1970</v>
      </c>
      <c r="B2239">
        <v>15</v>
      </c>
      <c r="C2239">
        <v>6.7000000000000002E-4</v>
      </c>
      <c r="D2239">
        <v>6.7000000000000002E-4</v>
      </c>
      <c r="E2239">
        <v>0.5</v>
      </c>
      <c r="F2239">
        <v>95186</v>
      </c>
      <c r="G2239">
        <v>64</v>
      </c>
      <c r="H2239">
        <v>95154</v>
      </c>
      <c r="I2239">
        <v>5198637</v>
      </c>
    </row>
    <row r="2240" spans="1:9">
      <c r="A2240" s="2">
        <v>1970</v>
      </c>
      <c r="B2240">
        <v>16</v>
      </c>
      <c r="C2240">
        <v>9.1E-4</v>
      </c>
      <c r="D2240">
        <v>9.1E-4</v>
      </c>
      <c r="E2240">
        <v>0.5</v>
      </c>
      <c r="F2240">
        <v>95122</v>
      </c>
      <c r="G2240">
        <v>87</v>
      </c>
      <c r="H2240">
        <v>95079</v>
      </c>
      <c r="I2240">
        <v>5103483</v>
      </c>
    </row>
    <row r="2241" spans="1:9">
      <c r="A2241" s="2">
        <v>1970</v>
      </c>
      <c r="B2241">
        <v>17</v>
      </c>
      <c r="C2241">
        <v>1.23E-3</v>
      </c>
      <c r="D2241">
        <v>1.23E-3</v>
      </c>
      <c r="E2241">
        <v>0.5</v>
      </c>
      <c r="F2241">
        <v>95035</v>
      </c>
      <c r="G2241">
        <v>116</v>
      </c>
      <c r="H2241">
        <v>94977</v>
      </c>
      <c r="I2241">
        <v>5008405</v>
      </c>
    </row>
    <row r="2242" spans="1:9">
      <c r="A2242" s="2">
        <v>1970</v>
      </c>
      <c r="B2242">
        <v>18</v>
      </c>
      <c r="C2242">
        <v>1.4499999999999999E-3</v>
      </c>
      <c r="D2242">
        <v>1.4499999999999999E-3</v>
      </c>
      <c r="E2242">
        <v>0.5</v>
      </c>
      <c r="F2242">
        <v>94919</v>
      </c>
      <c r="G2242">
        <v>138</v>
      </c>
      <c r="H2242">
        <v>94850</v>
      </c>
      <c r="I2242">
        <v>4913428</v>
      </c>
    </row>
    <row r="2243" spans="1:9">
      <c r="A2243" s="2">
        <v>1970</v>
      </c>
      <c r="B2243">
        <v>19</v>
      </c>
      <c r="C2243">
        <v>1.5499999999999999E-3</v>
      </c>
      <c r="D2243">
        <v>1.5499999999999999E-3</v>
      </c>
      <c r="E2243">
        <v>0.5</v>
      </c>
      <c r="F2243">
        <v>94781</v>
      </c>
      <c r="G2243">
        <v>147</v>
      </c>
      <c r="H2243">
        <v>94708</v>
      </c>
      <c r="I2243">
        <v>4818578</v>
      </c>
    </row>
    <row r="2244" spans="1:9">
      <c r="A2244" s="2">
        <v>1970</v>
      </c>
      <c r="B2244">
        <v>20</v>
      </c>
      <c r="C2244">
        <v>1.33E-3</v>
      </c>
      <c r="D2244">
        <v>1.33E-3</v>
      </c>
      <c r="E2244">
        <v>0.5</v>
      </c>
      <c r="F2244">
        <v>94634</v>
      </c>
      <c r="G2244">
        <v>126</v>
      </c>
      <c r="H2244">
        <v>94571</v>
      </c>
      <c r="I2244">
        <v>4723870</v>
      </c>
    </row>
    <row r="2245" spans="1:9">
      <c r="A2245" s="2">
        <v>1970</v>
      </c>
      <c r="B2245">
        <v>21</v>
      </c>
      <c r="C2245">
        <v>1.58E-3</v>
      </c>
      <c r="D2245">
        <v>1.58E-3</v>
      </c>
      <c r="E2245">
        <v>0.5</v>
      </c>
      <c r="F2245">
        <v>94508</v>
      </c>
      <c r="G2245">
        <v>149</v>
      </c>
      <c r="H2245">
        <v>94433</v>
      </c>
      <c r="I2245">
        <v>4629299</v>
      </c>
    </row>
    <row r="2246" spans="1:9">
      <c r="A2246" s="2">
        <v>1970</v>
      </c>
      <c r="B2246">
        <v>22</v>
      </c>
      <c r="C2246">
        <v>1.34E-3</v>
      </c>
      <c r="D2246">
        <v>1.34E-3</v>
      </c>
      <c r="E2246">
        <v>0.5</v>
      </c>
      <c r="F2246">
        <v>94359</v>
      </c>
      <c r="G2246">
        <v>126</v>
      </c>
      <c r="H2246">
        <v>94296</v>
      </c>
      <c r="I2246">
        <v>4534866</v>
      </c>
    </row>
    <row r="2247" spans="1:9">
      <c r="A2247" s="2">
        <v>1970</v>
      </c>
      <c r="B2247">
        <v>23</v>
      </c>
      <c r="C2247">
        <v>1.5100000000000001E-3</v>
      </c>
      <c r="D2247">
        <v>1.5E-3</v>
      </c>
      <c r="E2247">
        <v>0.5</v>
      </c>
      <c r="F2247">
        <v>94232</v>
      </c>
      <c r="G2247">
        <v>142</v>
      </c>
      <c r="H2247">
        <v>94162</v>
      </c>
      <c r="I2247">
        <v>4440570</v>
      </c>
    </row>
    <row r="2248" spans="1:9">
      <c r="A2248" s="2">
        <v>1970</v>
      </c>
      <c r="B2248">
        <v>24</v>
      </c>
      <c r="C2248">
        <v>1.57E-3</v>
      </c>
      <c r="D2248">
        <v>1.57E-3</v>
      </c>
      <c r="E2248">
        <v>0.5</v>
      </c>
      <c r="F2248">
        <v>94091</v>
      </c>
      <c r="G2248">
        <v>148</v>
      </c>
      <c r="H2248">
        <v>94017</v>
      </c>
      <c r="I2248">
        <v>4346409</v>
      </c>
    </row>
    <row r="2249" spans="1:9">
      <c r="A2249" s="2">
        <v>1970</v>
      </c>
      <c r="B2249">
        <v>25</v>
      </c>
      <c r="C2249">
        <v>1.7099999999999999E-3</v>
      </c>
      <c r="D2249">
        <v>1.7099999999999999E-3</v>
      </c>
      <c r="E2249">
        <v>0.5</v>
      </c>
      <c r="F2249">
        <v>93943</v>
      </c>
      <c r="G2249">
        <v>160</v>
      </c>
      <c r="H2249">
        <v>93863</v>
      </c>
      <c r="I2249">
        <v>4252392</v>
      </c>
    </row>
    <row r="2250" spans="1:9">
      <c r="A2250" s="2">
        <v>1970</v>
      </c>
      <c r="B2250">
        <v>26</v>
      </c>
      <c r="C2250">
        <v>1.74E-3</v>
      </c>
      <c r="D2250">
        <v>1.74E-3</v>
      </c>
      <c r="E2250">
        <v>0.5</v>
      </c>
      <c r="F2250">
        <v>93783</v>
      </c>
      <c r="G2250">
        <v>163</v>
      </c>
      <c r="H2250">
        <v>93701</v>
      </c>
      <c r="I2250">
        <v>4158529</v>
      </c>
    </row>
    <row r="2251" spans="1:9">
      <c r="A2251" s="2">
        <v>1970</v>
      </c>
      <c r="B2251">
        <v>27</v>
      </c>
      <c r="C2251">
        <v>1.5399999999999999E-3</v>
      </c>
      <c r="D2251">
        <v>1.5399999999999999E-3</v>
      </c>
      <c r="E2251">
        <v>0.5</v>
      </c>
      <c r="F2251">
        <v>93620</v>
      </c>
      <c r="G2251">
        <v>144</v>
      </c>
      <c r="H2251">
        <v>93548</v>
      </c>
      <c r="I2251">
        <v>4064827</v>
      </c>
    </row>
    <row r="2252" spans="1:9">
      <c r="A2252" s="2">
        <v>1970</v>
      </c>
      <c r="B2252">
        <v>28</v>
      </c>
      <c r="C2252">
        <v>1.7700000000000001E-3</v>
      </c>
      <c r="D2252">
        <v>1.7700000000000001E-3</v>
      </c>
      <c r="E2252">
        <v>0.5</v>
      </c>
      <c r="F2252">
        <v>93476</v>
      </c>
      <c r="G2252">
        <v>166</v>
      </c>
      <c r="H2252">
        <v>93393</v>
      </c>
      <c r="I2252">
        <v>3971279</v>
      </c>
    </row>
    <row r="2253" spans="1:9">
      <c r="A2253" s="2">
        <v>1970</v>
      </c>
      <c r="B2253">
        <v>29</v>
      </c>
      <c r="C2253">
        <v>1.89E-3</v>
      </c>
      <c r="D2253">
        <v>1.89E-3</v>
      </c>
      <c r="E2253">
        <v>0.5</v>
      </c>
      <c r="F2253">
        <v>93310</v>
      </c>
      <c r="G2253">
        <v>176</v>
      </c>
      <c r="H2253">
        <v>93222</v>
      </c>
      <c r="I2253">
        <v>3877886</v>
      </c>
    </row>
    <row r="2254" spans="1:9">
      <c r="A2254" s="2">
        <v>1970</v>
      </c>
      <c r="B2254">
        <v>30</v>
      </c>
      <c r="C2254">
        <v>1.9499999999999999E-3</v>
      </c>
      <c r="D2254">
        <v>1.9499999999999999E-3</v>
      </c>
      <c r="E2254">
        <v>0.5</v>
      </c>
      <c r="F2254">
        <v>93134</v>
      </c>
      <c r="G2254">
        <v>181</v>
      </c>
      <c r="H2254">
        <v>93043</v>
      </c>
      <c r="I2254">
        <v>3784664</v>
      </c>
    </row>
    <row r="2255" spans="1:9">
      <c r="A2255" s="2">
        <v>1970</v>
      </c>
      <c r="B2255">
        <v>31</v>
      </c>
      <c r="C2255">
        <v>1.7700000000000001E-3</v>
      </c>
      <c r="D2255">
        <v>1.7700000000000001E-3</v>
      </c>
      <c r="E2255">
        <v>0.5</v>
      </c>
      <c r="F2255">
        <v>92953</v>
      </c>
      <c r="G2255">
        <v>164</v>
      </c>
      <c r="H2255">
        <v>92871</v>
      </c>
      <c r="I2255">
        <v>3691621</v>
      </c>
    </row>
    <row r="2256" spans="1:9">
      <c r="A2256" s="2">
        <v>1970</v>
      </c>
      <c r="B2256">
        <v>32</v>
      </c>
      <c r="C2256">
        <v>2.0899999999999998E-3</v>
      </c>
      <c r="D2256">
        <v>2.0799999999999998E-3</v>
      </c>
      <c r="E2256">
        <v>0.5</v>
      </c>
      <c r="F2256">
        <v>92789</v>
      </c>
      <c r="G2256">
        <v>193</v>
      </c>
      <c r="H2256">
        <v>92692</v>
      </c>
      <c r="I2256">
        <v>3598750</v>
      </c>
    </row>
    <row r="2257" spans="1:9">
      <c r="A2257" s="2">
        <v>1970</v>
      </c>
      <c r="B2257">
        <v>33</v>
      </c>
      <c r="C2257">
        <v>2.2300000000000002E-3</v>
      </c>
      <c r="D2257">
        <v>2.2200000000000002E-3</v>
      </c>
      <c r="E2257">
        <v>0.5</v>
      </c>
      <c r="F2257">
        <v>92595</v>
      </c>
      <c r="G2257">
        <v>206</v>
      </c>
      <c r="H2257">
        <v>92492</v>
      </c>
      <c r="I2257">
        <v>3506058</v>
      </c>
    </row>
    <row r="2258" spans="1:9">
      <c r="A2258" s="2">
        <v>1970</v>
      </c>
      <c r="B2258">
        <v>34</v>
      </c>
      <c r="C2258">
        <v>1.97E-3</v>
      </c>
      <c r="D2258">
        <v>1.97E-3</v>
      </c>
      <c r="E2258">
        <v>0.5</v>
      </c>
      <c r="F2258">
        <v>92389</v>
      </c>
      <c r="G2258">
        <v>182</v>
      </c>
      <c r="H2258">
        <v>92298</v>
      </c>
      <c r="I2258">
        <v>3413566</v>
      </c>
    </row>
    <row r="2259" spans="1:9">
      <c r="A2259" s="2">
        <v>1970</v>
      </c>
      <c r="B2259">
        <v>35</v>
      </c>
      <c r="C2259">
        <v>2.4399999999999999E-3</v>
      </c>
      <c r="D2259">
        <v>2.4299999999999999E-3</v>
      </c>
      <c r="E2259">
        <v>0.5</v>
      </c>
      <c r="F2259">
        <v>92207</v>
      </c>
      <c r="G2259">
        <v>224</v>
      </c>
      <c r="H2259">
        <v>92095</v>
      </c>
      <c r="I2259">
        <v>3321267</v>
      </c>
    </row>
    <row r="2260" spans="1:9">
      <c r="A2260" s="2">
        <v>1970</v>
      </c>
      <c r="B2260">
        <v>36</v>
      </c>
      <c r="C2260">
        <v>2.81E-3</v>
      </c>
      <c r="D2260">
        <v>2.81E-3</v>
      </c>
      <c r="E2260">
        <v>0.5</v>
      </c>
      <c r="F2260">
        <v>91983</v>
      </c>
      <c r="G2260">
        <v>259</v>
      </c>
      <c r="H2260">
        <v>91854</v>
      </c>
      <c r="I2260">
        <v>3229172</v>
      </c>
    </row>
    <row r="2261" spans="1:9">
      <c r="A2261" s="2">
        <v>1970</v>
      </c>
      <c r="B2261">
        <v>37</v>
      </c>
      <c r="C2261">
        <v>2.5799999999999998E-3</v>
      </c>
      <c r="D2261">
        <v>2.5799999999999998E-3</v>
      </c>
      <c r="E2261">
        <v>0.5</v>
      </c>
      <c r="F2261">
        <v>91725</v>
      </c>
      <c r="G2261">
        <v>236</v>
      </c>
      <c r="H2261">
        <v>91606</v>
      </c>
      <c r="I2261">
        <v>3137318</v>
      </c>
    </row>
    <row r="2262" spans="1:9">
      <c r="A2262" s="2">
        <v>1970</v>
      </c>
      <c r="B2262">
        <v>38</v>
      </c>
      <c r="C2262">
        <v>3.0500000000000002E-3</v>
      </c>
      <c r="D2262">
        <v>3.0400000000000002E-3</v>
      </c>
      <c r="E2262">
        <v>0.5</v>
      </c>
      <c r="F2262">
        <v>91488</v>
      </c>
      <c r="G2262">
        <v>279</v>
      </c>
      <c r="H2262">
        <v>91349</v>
      </c>
      <c r="I2262">
        <v>3045712</v>
      </c>
    </row>
    <row r="2263" spans="1:9">
      <c r="A2263" s="2">
        <v>1970</v>
      </c>
      <c r="B2263">
        <v>39</v>
      </c>
      <c r="C2263">
        <v>3.6900000000000001E-3</v>
      </c>
      <c r="D2263">
        <v>3.6800000000000001E-3</v>
      </c>
      <c r="E2263">
        <v>0.5</v>
      </c>
      <c r="F2263">
        <v>91210</v>
      </c>
      <c r="G2263">
        <v>336</v>
      </c>
      <c r="H2263">
        <v>91042</v>
      </c>
      <c r="I2263">
        <v>2954363</v>
      </c>
    </row>
    <row r="2264" spans="1:9">
      <c r="A2264" s="2">
        <v>1970</v>
      </c>
      <c r="B2264">
        <v>40</v>
      </c>
      <c r="C2264">
        <v>3.6600000000000001E-3</v>
      </c>
      <c r="D2264">
        <v>3.6600000000000001E-3</v>
      </c>
      <c r="E2264">
        <v>0.5</v>
      </c>
      <c r="F2264">
        <v>90874</v>
      </c>
      <c r="G2264">
        <v>332</v>
      </c>
      <c r="H2264">
        <v>90708</v>
      </c>
      <c r="I2264">
        <v>2863321</v>
      </c>
    </row>
    <row r="2265" spans="1:9">
      <c r="A2265" s="2">
        <v>1970</v>
      </c>
      <c r="B2265">
        <v>41</v>
      </c>
      <c r="C2265">
        <v>3.82E-3</v>
      </c>
      <c r="D2265">
        <v>3.81E-3</v>
      </c>
      <c r="E2265">
        <v>0.5</v>
      </c>
      <c r="F2265">
        <v>90542</v>
      </c>
      <c r="G2265">
        <v>345</v>
      </c>
      <c r="H2265">
        <v>90369</v>
      </c>
      <c r="I2265">
        <v>2772613</v>
      </c>
    </row>
    <row r="2266" spans="1:9">
      <c r="A2266" s="2">
        <v>1970</v>
      </c>
      <c r="B2266">
        <v>42</v>
      </c>
      <c r="C2266">
        <v>3.9399999999999999E-3</v>
      </c>
      <c r="D2266">
        <v>3.9399999999999999E-3</v>
      </c>
      <c r="E2266">
        <v>0.5</v>
      </c>
      <c r="F2266">
        <v>90197</v>
      </c>
      <c r="G2266">
        <v>355</v>
      </c>
      <c r="H2266">
        <v>90019</v>
      </c>
      <c r="I2266">
        <v>2682244</v>
      </c>
    </row>
    <row r="2267" spans="1:9">
      <c r="A2267" s="2">
        <v>1970</v>
      </c>
      <c r="B2267">
        <v>43</v>
      </c>
      <c r="C2267">
        <v>4.9100000000000003E-3</v>
      </c>
      <c r="D2267">
        <v>4.8999999999999998E-3</v>
      </c>
      <c r="E2267">
        <v>0.5</v>
      </c>
      <c r="F2267">
        <v>89841</v>
      </c>
      <c r="G2267">
        <v>440</v>
      </c>
      <c r="H2267">
        <v>89621</v>
      </c>
      <c r="I2267">
        <v>2592225</v>
      </c>
    </row>
    <row r="2268" spans="1:9">
      <c r="A2268" s="2">
        <v>1970</v>
      </c>
      <c r="B2268">
        <v>44</v>
      </c>
      <c r="C2268">
        <v>4.9699999999999996E-3</v>
      </c>
      <c r="D2268">
        <v>4.96E-3</v>
      </c>
      <c r="E2268">
        <v>0.5</v>
      </c>
      <c r="F2268">
        <v>89402</v>
      </c>
      <c r="G2268">
        <v>443</v>
      </c>
      <c r="H2268">
        <v>89180</v>
      </c>
      <c r="I2268">
        <v>2502604</v>
      </c>
    </row>
    <row r="2269" spans="1:9">
      <c r="A2269" s="2">
        <v>1970</v>
      </c>
      <c r="B2269">
        <v>45</v>
      </c>
      <c r="C2269">
        <v>5.2300000000000003E-3</v>
      </c>
      <c r="D2269">
        <v>5.2199999999999998E-3</v>
      </c>
      <c r="E2269">
        <v>0.5</v>
      </c>
      <c r="F2269">
        <v>88958</v>
      </c>
      <c r="G2269">
        <v>464</v>
      </c>
      <c r="H2269">
        <v>88726</v>
      </c>
      <c r="I2269">
        <v>2413424</v>
      </c>
    </row>
    <row r="2270" spans="1:9">
      <c r="A2270" s="2">
        <v>1970</v>
      </c>
      <c r="B2270">
        <v>46</v>
      </c>
      <c r="C2270">
        <v>5.8500000000000002E-3</v>
      </c>
      <c r="D2270">
        <v>5.8300000000000001E-3</v>
      </c>
      <c r="E2270">
        <v>0.5</v>
      </c>
      <c r="F2270">
        <v>88494</v>
      </c>
      <c r="G2270">
        <v>516</v>
      </c>
      <c r="H2270">
        <v>88236</v>
      </c>
      <c r="I2270">
        <v>2324698</v>
      </c>
    </row>
    <row r="2271" spans="1:9">
      <c r="A2271" s="2">
        <v>1970</v>
      </c>
      <c r="B2271">
        <v>47</v>
      </c>
      <c r="C2271">
        <v>6.3899999999999998E-3</v>
      </c>
      <c r="D2271">
        <v>6.3699999999999998E-3</v>
      </c>
      <c r="E2271">
        <v>0.5</v>
      </c>
      <c r="F2271">
        <v>87978</v>
      </c>
      <c r="G2271">
        <v>561</v>
      </c>
      <c r="H2271">
        <v>87698</v>
      </c>
      <c r="I2271">
        <v>2236462</v>
      </c>
    </row>
    <row r="2272" spans="1:9">
      <c r="A2272" s="2">
        <v>1970</v>
      </c>
      <c r="B2272">
        <v>48</v>
      </c>
      <c r="C2272">
        <v>6.8100000000000001E-3</v>
      </c>
      <c r="D2272">
        <v>6.7799999999999996E-3</v>
      </c>
      <c r="E2272">
        <v>0.5</v>
      </c>
      <c r="F2272">
        <v>87417</v>
      </c>
      <c r="G2272">
        <v>593</v>
      </c>
      <c r="H2272">
        <v>87121</v>
      </c>
      <c r="I2272">
        <v>2148764</v>
      </c>
    </row>
    <row r="2273" spans="1:9">
      <c r="A2273" s="2">
        <v>1970</v>
      </c>
      <c r="B2273">
        <v>49</v>
      </c>
      <c r="C2273">
        <v>6.9199999999999999E-3</v>
      </c>
      <c r="D2273">
        <v>6.8999999999999999E-3</v>
      </c>
      <c r="E2273">
        <v>0.5</v>
      </c>
      <c r="F2273">
        <v>86824</v>
      </c>
      <c r="G2273">
        <v>599</v>
      </c>
      <c r="H2273">
        <v>86525</v>
      </c>
      <c r="I2273">
        <v>2061644</v>
      </c>
    </row>
    <row r="2274" spans="1:9">
      <c r="A2274" s="2">
        <v>1970</v>
      </c>
      <c r="B2274">
        <v>50</v>
      </c>
      <c r="C2274">
        <v>8.2900000000000005E-3</v>
      </c>
      <c r="D2274">
        <v>8.2500000000000004E-3</v>
      </c>
      <c r="E2274">
        <v>0.5</v>
      </c>
      <c r="F2274">
        <v>86225</v>
      </c>
      <c r="G2274">
        <v>712</v>
      </c>
      <c r="H2274">
        <v>85870</v>
      </c>
      <c r="I2274">
        <v>1975119</v>
      </c>
    </row>
    <row r="2275" spans="1:9">
      <c r="A2275" s="2">
        <v>1970</v>
      </c>
      <c r="B2275">
        <v>51</v>
      </c>
      <c r="C2275">
        <v>8.8500000000000002E-3</v>
      </c>
      <c r="D2275">
        <v>8.8100000000000001E-3</v>
      </c>
      <c r="E2275">
        <v>0.5</v>
      </c>
      <c r="F2275">
        <v>85514</v>
      </c>
      <c r="G2275">
        <v>753</v>
      </c>
      <c r="H2275">
        <v>85137</v>
      </c>
      <c r="I2275">
        <v>1889249</v>
      </c>
    </row>
    <row r="2276" spans="1:9">
      <c r="A2276" s="2">
        <v>1970</v>
      </c>
      <c r="B2276">
        <v>52</v>
      </c>
      <c r="C2276">
        <v>9.3699999999999999E-3</v>
      </c>
      <c r="D2276">
        <v>9.3299999999999998E-3</v>
      </c>
      <c r="E2276">
        <v>0.5</v>
      </c>
      <c r="F2276">
        <v>84761</v>
      </c>
      <c r="G2276">
        <v>791</v>
      </c>
      <c r="H2276">
        <v>84365</v>
      </c>
      <c r="I2276">
        <v>1804112</v>
      </c>
    </row>
    <row r="2277" spans="1:9">
      <c r="A2277" s="2">
        <v>1970</v>
      </c>
      <c r="B2277">
        <v>53</v>
      </c>
      <c r="C2277">
        <v>1.078E-2</v>
      </c>
      <c r="D2277">
        <v>1.072E-2</v>
      </c>
      <c r="E2277">
        <v>0.5</v>
      </c>
      <c r="F2277">
        <v>83970</v>
      </c>
      <c r="G2277">
        <v>900</v>
      </c>
      <c r="H2277">
        <v>83520</v>
      </c>
      <c r="I2277">
        <v>1719747</v>
      </c>
    </row>
    <row r="2278" spans="1:9">
      <c r="A2278" s="2">
        <v>1970</v>
      </c>
      <c r="B2278">
        <v>54</v>
      </c>
      <c r="C2278">
        <v>1.014E-2</v>
      </c>
      <c r="D2278">
        <v>1.009E-2</v>
      </c>
      <c r="E2278">
        <v>0.5</v>
      </c>
      <c r="F2278">
        <v>83070</v>
      </c>
      <c r="G2278">
        <v>838</v>
      </c>
      <c r="H2278">
        <v>82650</v>
      </c>
      <c r="I2278">
        <v>1636227</v>
      </c>
    </row>
    <row r="2279" spans="1:9">
      <c r="A2279" s="2">
        <v>1970</v>
      </c>
      <c r="B2279">
        <v>55</v>
      </c>
      <c r="C2279">
        <v>1.32E-2</v>
      </c>
      <c r="D2279">
        <v>1.311E-2</v>
      </c>
      <c r="E2279">
        <v>0.5</v>
      </c>
      <c r="F2279">
        <v>82231</v>
      </c>
      <c r="G2279">
        <v>1078</v>
      </c>
      <c r="H2279">
        <v>81692</v>
      </c>
      <c r="I2279">
        <v>1553576</v>
      </c>
    </row>
    <row r="2280" spans="1:9">
      <c r="A2280" s="2">
        <v>1970</v>
      </c>
      <c r="B2280">
        <v>56</v>
      </c>
      <c r="C2280">
        <v>1.324E-2</v>
      </c>
      <c r="D2280">
        <v>1.316E-2</v>
      </c>
      <c r="E2280">
        <v>0.5</v>
      </c>
      <c r="F2280">
        <v>81153</v>
      </c>
      <c r="G2280">
        <v>1068</v>
      </c>
      <c r="H2280">
        <v>80619</v>
      </c>
      <c r="I2280">
        <v>1471884</v>
      </c>
    </row>
    <row r="2281" spans="1:9">
      <c r="A2281" s="2">
        <v>1970</v>
      </c>
      <c r="B2281">
        <v>57</v>
      </c>
      <c r="C2281">
        <v>1.413E-2</v>
      </c>
      <c r="D2281">
        <v>1.4030000000000001E-2</v>
      </c>
      <c r="E2281">
        <v>0.5</v>
      </c>
      <c r="F2281">
        <v>80085</v>
      </c>
      <c r="G2281">
        <v>1124</v>
      </c>
      <c r="H2281">
        <v>79523</v>
      </c>
      <c r="I2281">
        <v>1391265</v>
      </c>
    </row>
    <row r="2282" spans="1:9">
      <c r="A2282" s="2">
        <v>1970</v>
      </c>
      <c r="B2282">
        <v>58</v>
      </c>
      <c r="C2282">
        <v>1.686E-2</v>
      </c>
      <c r="D2282">
        <v>1.6719999999999999E-2</v>
      </c>
      <c r="E2282">
        <v>0.5</v>
      </c>
      <c r="F2282">
        <v>78961</v>
      </c>
      <c r="G2282">
        <v>1320</v>
      </c>
      <c r="H2282">
        <v>78301</v>
      </c>
      <c r="I2282">
        <v>1311742</v>
      </c>
    </row>
    <row r="2283" spans="1:9">
      <c r="A2283" s="2">
        <v>1970</v>
      </c>
      <c r="B2283">
        <v>59</v>
      </c>
      <c r="C2283">
        <v>1.866E-2</v>
      </c>
      <c r="D2283">
        <v>1.8489999999999999E-2</v>
      </c>
      <c r="E2283">
        <v>0.5</v>
      </c>
      <c r="F2283">
        <v>77641</v>
      </c>
      <c r="G2283">
        <v>1436</v>
      </c>
      <c r="H2283">
        <v>76924</v>
      </c>
      <c r="I2283">
        <v>1233440</v>
      </c>
    </row>
    <row r="2284" spans="1:9">
      <c r="A2284" s="2">
        <v>1970</v>
      </c>
      <c r="B2284">
        <v>60</v>
      </c>
      <c r="C2284">
        <v>2.189E-2</v>
      </c>
      <c r="D2284">
        <v>2.1649999999999999E-2</v>
      </c>
      <c r="E2284">
        <v>0.5</v>
      </c>
      <c r="F2284">
        <v>76206</v>
      </c>
      <c r="G2284">
        <v>1650</v>
      </c>
      <c r="H2284">
        <v>75381</v>
      </c>
      <c r="I2284">
        <v>1156517</v>
      </c>
    </row>
    <row r="2285" spans="1:9">
      <c r="A2285" s="2">
        <v>1970</v>
      </c>
      <c r="B2285">
        <v>61</v>
      </c>
      <c r="C2285">
        <v>2.3E-2</v>
      </c>
      <c r="D2285">
        <v>2.274E-2</v>
      </c>
      <c r="E2285">
        <v>0.5</v>
      </c>
      <c r="F2285">
        <v>74556</v>
      </c>
      <c r="G2285">
        <v>1695</v>
      </c>
      <c r="H2285">
        <v>73708</v>
      </c>
      <c r="I2285">
        <v>1081136</v>
      </c>
    </row>
    <row r="2286" spans="1:9">
      <c r="A2286" s="2">
        <v>1970</v>
      </c>
      <c r="B2286">
        <v>62</v>
      </c>
      <c r="C2286">
        <v>2.6249999999999999E-2</v>
      </c>
      <c r="D2286">
        <v>2.5909999999999999E-2</v>
      </c>
      <c r="E2286">
        <v>0.5</v>
      </c>
      <c r="F2286">
        <v>72861</v>
      </c>
      <c r="G2286">
        <v>1887</v>
      </c>
      <c r="H2286">
        <v>71917</v>
      </c>
      <c r="I2286">
        <v>1007428</v>
      </c>
    </row>
    <row r="2287" spans="1:9">
      <c r="A2287" s="2">
        <v>1970</v>
      </c>
      <c r="B2287">
        <v>63</v>
      </c>
      <c r="C2287">
        <v>2.8670000000000001E-2</v>
      </c>
      <c r="D2287">
        <v>2.826E-2</v>
      </c>
      <c r="E2287">
        <v>0.5</v>
      </c>
      <c r="F2287">
        <v>70973</v>
      </c>
      <c r="G2287">
        <v>2006</v>
      </c>
      <c r="H2287">
        <v>69970</v>
      </c>
      <c r="I2287">
        <v>935511</v>
      </c>
    </row>
    <row r="2288" spans="1:9">
      <c r="A2288" s="2">
        <v>1970</v>
      </c>
      <c r="B2288">
        <v>64</v>
      </c>
      <c r="C2288">
        <v>3.2309999999999998E-2</v>
      </c>
      <c r="D2288">
        <v>3.1800000000000002E-2</v>
      </c>
      <c r="E2288">
        <v>0.5</v>
      </c>
      <c r="F2288">
        <v>68967</v>
      </c>
      <c r="G2288">
        <v>2193</v>
      </c>
      <c r="H2288">
        <v>67871</v>
      </c>
      <c r="I2288">
        <v>865541</v>
      </c>
    </row>
    <row r="2289" spans="1:9">
      <c r="A2289" s="2">
        <v>1970</v>
      </c>
      <c r="B2289">
        <v>65</v>
      </c>
      <c r="C2289">
        <v>3.5790000000000002E-2</v>
      </c>
      <c r="D2289">
        <v>3.5159999999999997E-2</v>
      </c>
      <c r="E2289">
        <v>0.5</v>
      </c>
      <c r="F2289">
        <v>66774</v>
      </c>
      <c r="G2289">
        <v>2348</v>
      </c>
      <c r="H2289">
        <v>65600</v>
      </c>
      <c r="I2289">
        <v>797670</v>
      </c>
    </row>
    <row r="2290" spans="1:9">
      <c r="A2290" s="2">
        <v>1970</v>
      </c>
      <c r="B2290">
        <v>66</v>
      </c>
      <c r="C2290">
        <v>4.0969999999999999E-2</v>
      </c>
      <c r="D2290">
        <v>4.0149999999999998E-2</v>
      </c>
      <c r="E2290">
        <v>0.5</v>
      </c>
      <c r="F2290">
        <v>64426</v>
      </c>
      <c r="G2290">
        <v>2587</v>
      </c>
      <c r="H2290">
        <v>63133</v>
      </c>
      <c r="I2290">
        <v>732070</v>
      </c>
    </row>
    <row r="2291" spans="1:9">
      <c r="A2291" s="2">
        <v>1970</v>
      </c>
      <c r="B2291">
        <v>67</v>
      </c>
      <c r="C2291">
        <v>4.1020000000000001E-2</v>
      </c>
      <c r="D2291">
        <v>4.02E-2</v>
      </c>
      <c r="E2291">
        <v>0.5</v>
      </c>
      <c r="F2291">
        <v>61839</v>
      </c>
      <c r="G2291">
        <v>2486</v>
      </c>
      <c r="H2291">
        <v>60597</v>
      </c>
      <c r="I2291">
        <v>668937</v>
      </c>
    </row>
    <row r="2292" spans="1:9">
      <c r="A2292" s="2">
        <v>1970</v>
      </c>
      <c r="B2292">
        <v>68</v>
      </c>
      <c r="C2292">
        <v>5.0410000000000003E-2</v>
      </c>
      <c r="D2292">
        <v>4.9169999999999998E-2</v>
      </c>
      <c r="E2292">
        <v>0.5</v>
      </c>
      <c r="F2292">
        <v>59354</v>
      </c>
      <c r="G2292">
        <v>2919</v>
      </c>
      <c r="H2292">
        <v>57894</v>
      </c>
      <c r="I2292">
        <v>608341</v>
      </c>
    </row>
    <row r="2293" spans="1:9">
      <c r="A2293" s="2">
        <v>1970</v>
      </c>
      <c r="B2293">
        <v>69</v>
      </c>
      <c r="C2293">
        <v>5.0860000000000002E-2</v>
      </c>
      <c r="D2293">
        <v>4.9599999999999998E-2</v>
      </c>
      <c r="E2293">
        <v>0.5</v>
      </c>
      <c r="F2293">
        <v>56435</v>
      </c>
      <c r="G2293">
        <v>2799</v>
      </c>
      <c r="H2293">
        <v>55035</v>
      </c>
      <c r="I2293">
        <v>550446</v>
      </c>
    </row>
    <row r="2294" spans="1:9">
      <c r="A2294" s="2">
        <v>1970</v>
      </c>
      <c r="B2294">
        <v>70</v>
      </c>
      <c r="C2294">
        <v>5.5149999999999998E-2</v>
      </c>
      <c r="D2294">
        <v>5.3670000000000002E-2</v>
      </c>
      <c r="E2294">
        <v>0.5</v>
      </c>
      <c r="F2294">
        <v>53636</v>
      </c>
      <c r="G2294">
        <v>2878</v>
      </c>
      <c r="H2294">
        <v>52197</v>
      </c>
      <c r="I2294">
        <v>495411</v>
      </c>
    </row>
    <row r="2295" spans="1:9">
      <c r="A2295" s="2">
        <v>1970</v>
      </c>
      <c r="B2295">
        <v>71</v>
      </c>
      <c r="C2295">
        <v>6.3339999999999994E-2</v>
      </c>
      <c r="D2295">
        <v>6.139E-2</v>
      </c>
      <c r="E2295">
        <v>0.5</v>
      </c>
      <c r="F2295">
        <v>50757</v>
      </c>
      <c r="G2295">
        <v>3116</v>
      </c>
      <c r="H2295">
        <v>49199</v>
      </c>
      <c r="I2295">
        <v>443215</v>
      </c>
    </row>
    <row r="2296" spans="1:9">
      <c r="A2296" s="2">
        <v>1970</v>
      </c>
      <c r="B2296">
        <v>72</v>
      </c>
      <c r="C2296">
        <v>6.59E-2</v>
      </c>
      <c r="D2296">
        <v>6.3799999999999996E-2</v>
      </c>
      <c r="E2296">
        <v>0.5</v>
      </c>
      <c r="F2296">
        <v>47641</v>
      </c>
      <c r="G2296">
        <v>3039</v>
      </c>
      <c r="H2296">
        <v>46122</v>
      </c>
      <c r="I2296">
        <v>394015</v>
      </c>
    </row>
    <row r="2297" spans="1:9">
      <c r="A2297" s="2">
        <v>1970</v>
      </c>
      <c r="B2297">
        <v>73</v>
      </c>
      <c r="C2297">
        <v>7.4789999999999995E-2</v>
      </c>
      <c r="D2297">
        <v>7.2090000000000001E-2</v>
      </c>
      <c r="E2297">
        <v>0.5</v>
      </c>
      <c r="F2297">
        <v>44602</v>
      </c>
      <c r="G2297">
        <v>3216</v>
      </c>
      <c r="H2297">
        <v>42994</v>
      </c>
      <c r="I2297">
        <v>347894</v>
      </c>
    </row>
    <row r="2298" spans="1:9">
      <c r="A2298" s="2">
        <v>1970</v>
      </c>
      <c r="B2298">
        <v>74</v>
      </c>
      <c r="C2298">
        <v>7.8960000000000002E-2</v>
      </c>
      <c r="D2298">
        <v>7.596E-2</v>
      </c>
      <c r="E2298">
        <v>0.5</v>
      </c>
      <c r="F2298">
        <v>41386</v>
      </c>
      <c r="G2298">
        <v>3144</v>
      </c>
      <c r="H2298">
        <v>39815</v>
      </c>
      <c r="I2298">
        <v>304900</v>
      </c>
    </row>
    <row r="2299" spans="1:9">
      <c r="A2299" s="2">
        <v>1970</v>
      </c>
      <c r="B2299">
        <v>75</v>
      </c>
      <c r="C2299">
        <v>8.77E-2</v>
      </c>
      <c r="D2299">
        <v>8.4019999999999997E-2</v>
      </c>
      <c r="E2299">
        <v>0.5</v>
      </c>
      <c r="F2299">
        <v>38243</v>
      </c>
      <c r="G2299">
        <v>3213</v>
      </c>
      <c r="H2299">
        <v>36636</v>
      </c>
      <c r="I2299">
        <v>265085</v>
      </c>
    </row>
    <row r="2300" spans="1:9">
      <c r="A2300" s="2">
        <v>1970</v>
      </c>
      <c r="B2300">
        <v>76</v>
      </c>
      <c r="C2300">
        <v>9.5479999999999995E-2</v>
      </c>
      <c r="D2300">
        <v>9.1130000000000003E-2</v>
      </c>
      <c r="E2300">
        <v>0.5</v>
      </c>
      <c r="F2300">
        <v>35030</v>
      </c>
      <c r="G2300">
        <v>3192</v>
      </c>
      <c r="H2300">
        <v>33433</v>
      </c>
      <c r="I2300">
        <v>228449</v>
      </c>
    </row>
    <row r="2301" spans="1:9">
      <c r="A2301" s="2">
        <v>1970</v>
      </c>
      <c r="B2301">
        <v>77</v>
      </c>
      <c r="C2301">
        <v>0.10718999999999999</v>
      </c>
      <c r="D2301">
        <v>0.10174</v>
      </c>
      <c r="E2301">
        <v>0.5</v>
      </c>
      <c r="F2301">
        <v>31837</v>
      </c>
      <c r="G2301">
        <v>3239</v>
      </c>
      <c r="H2301">
        <v>30218</v>
      </c>
      <c r="I2301">
        <v>195015</v>
      </c>
    </row>
    <row r="2302" spans="1:9">
      <c r="A2302" s="2">
        <v>1970</v>
      </c>
      <c r="B2302">
        <v>78</v>
      </c>
      <c r="C2302">
        <v>0.11198</v>
      </c>
      <c r="D2302">
        <v>0.10604</v>
      </c>
      <c r="E2302">
        <v>0.5</v>
      </c>
      <c r="F2302">
        <v>28598</v>
      </c>
      <c r="G2302">
        <v>3033</v>
      </c>
      <c r="H2302">
        <v>27082</v>
      </c>
      <c r="I2302">
        <v>164798</v>
      </c>
    </row>
    <row r="2303" spans="1:9">
      <c r="A2303" s="2">
        <v>1970</v>
      </c>
      <c r="B2303">
        <v>79</v>
      </c>
      <c r="C2303">
        <v>0.12748000000000001</v>
      </c>
      <c r="D2303">
        <v>0.11984</v>
      </c>
      <c r="E2303">
        <v>0.5</v>
      </c>
      <c r="F2303">
        <v>25566</v>
      </c>
      <c r="G2303">
        <v>3064</v>
      </c>
      <c r="H2303">
        <v>24034</v>
      </c>
      <c r="I2303">
        <v>137716</v>
      </c>
    </row>
    <row r="2304" spans="1:9">
      <c r="A2304" s="2">
        <v>1970</v>
      </c>
      <c r="B2304">
        <v>80</v>
      </c>
      <c r="C2304">
        <v>0.14305999999999999</v>
      </c>
      <c r="D2304">
        <v>0.13350999999999999</v>
      </c>
      <c r="E2304">
        <v>0.5</v>
      </c>
      <c r="F2304">
        <v>22502</v>
      </c>
      <c r="G2304">
        <v>3004</v>
      </c>
      <c r="H2304">
        <v>21000</v>
      </c>
      <c r="I2304">
        <v>113682</v>
      </c>
    </row>
    <row r="2305" spans="1:9">
      <c r="A2305" s="2">
        <v>1970</v>
      </c>
      <c r="B2305">
        <v>81</v>
      </c>
      <c r="C2305">
        <v>0.15232999999999999</v>
      </c>
      <c r="D2305">
        <v>0.14155000000000001</v>
      </c>
      <c r="E2305">
        <v>0.5</v>
      </c>
      <c r="F2305">
        <v>19498</v>
      </c>
      <c r="G2305">
        <v>2760</v>
      </c>
      <c r="H2305">
        <v>18118</v>
      </c>
      <c r="I2305">
        <v>92682</v>
      </c>
    </row>
    <row r="2306" spans="1:9">
      <c r="A2306" s="2">
        <v>1970</v>
      </c>
      <c r="B2306">
        <v>82</v>
      </c>
      <c r="C2306">
        <v>0.15895000000000001</v>
      </c>
      <c r="D2306">
        <v>0.14724000000000001</v>
      </c>
      <c r="E2306">
        <v>0.5</v>
      </c>
      <c r="F2306">
        <v>16738</v>
      </c>
      <c r="G2306">
        <v>2465</v>
      </c>
      <c r="H2306">
        <v>15505</v>
      </c>
      <c r="I2306">
        <v>74565</v>
      </c>
    </row>
    <row r="2307" spans="1:9">
      <c r="A2307" s="2">
        <v>1970</v>
      </c>
      <c r="B2307">
        <v>83</v>
      </c>
      <c r="C2307">
        <v>0.17988000000000001</v>
      </c>
      <c r="D2307">
        <v>0.16503999999999999</v>
      </c>
      <c r="E2307">
        <v>0.5</v>
      </c>
      <c r="F2307">
        <v>14273</v>
      </c>
      <c r="G2307">
        <v>2356</v>
      </c>
      <c r="H2307">
        <v>13095</v>
      </c>
      <c r="I2307">
        <v>59059</v>
      </c>
    </row>
    <row r="2308" spans="1:9">
      <c r="A2308" s="2">
        <v>1970</v>
      </c>
      <c r="B2308">
        <v>84</v>
      </c>
      <c r="C2308">
        <v>0.20215</v>
      </c>
      <c r="D2308">
        <v>0.18360000000000001</v>
      </c>
      <c r="E2308">
        <v>0.5</v>
      </c>
      <c r="F2308">
        <v>11918</v>
      </c>
      <c r="G2308">
        <v>2188</v>
      </c>
      <c r="H2308">
        <v>10824</v>
      </c>
      <c r="I2308">
        <v>45964</v>
      </c>
    </row>
    <row r="2309" spans="1:9">
      <c r="A2309" s="2">
        <v>1970</v>
      </c>
      <c r="B2309">
        <v>85</v>
      </c>
      <c r="C2309">
        <v>0.22281000000000001</v>
      </c>
      <c r="D2309">
        <v>0.20047999999999999</v>
      </c>
      <c r="E2309">
        <v>0.5</v>
      </c>
      <c r="F2309">
        <v>9730</v>
      </c>
      <c r="G2309">
        <v>1951</v>
      </c>
      <c r="H2309">
        <v>8754</v>
      </c>
      <c r="I2309">
        <v>35140</v>
      </c>
    </row>
    <row r="2310" spans="1:9">
      <c r="A2310" s="2">
        <v>1970</v>
      </c>
      <c r="B2310">
        <v>86</v>
      </c>
      <c r="C2310">
        <v>0.23455000000000001</v>
      </c>
      <c r="D2310">
        <v>0.20993000000000001</v>
      </c>
      <c r="E2310">
        <v>0.5</v>
      </c>
      <c r="F2310">
        <v>7779</v>
      </c>
      <c r="G2310">
        <v>1633</v>
      </c>
      <c r="H2310">
        <v>6962</v>
      </c>
      <c r="I2310">
        <v>26386</v>
      </c>
    </row>
    <row r="2311" spans="1:9">
      <c r="A2311" s="2">
        <v>1970</v>
      </c>
      <c r="B2311">
        <v>87</v>
      </c>
      <c r="C2311">
        <v>0.27200000000000002</v>
      </c>
      <c r="D2311">
        <v>0.23943999999999999</v>
      </c>
      <c r="E2311">
        <v>0.5</v>
      </c>
      <c r="F2311">
        <v>6146</v>
      </c>
      <c r="G2311">
        <v>1472</v>
      </c>
      <c r="H2311">
        <v>5410</v>
      </c>
      <c r="I2311">
        <v>19424</v>
      </c>
    </row>
    <row r="2312" spans="1:9">
      <c r="A2312" s="2">
        <v>1970</v>
      </c>
      <c r="B2312">
        <v>88</v>
      </c>
      <c r="C2312">
        <v>0.28791</v>
      </c>
      <c r="D2312">
        <v>0.25168000000000001</v>
      </c>
      <c r="E2312">
        <v>0.5</v>
      </c>
      <c r="F2312">
        <v>4674</v>
      </c>
      <c r="G2312">
        <v>1176</v>
      </c>
      <c r="H2312">
        <v>4086</v>
      </c>
      <c r="I2312">
        <v>14013</v>
      </c>
    </row>
    <row r="2313" spans="1:9">
      <c r="A2313" s="2">
        <v>1970</v>
      </c>
      <c r="B2313">
        <v>89</v>
      </c>
      <c r="C2313">
        <v>0.29421000000000003</v>
      </c>
      <c r="D2313">
        <v>0.25647999999999999</v>
      </c>
      <c r="E2313">
        <v>0.5</v>
      </c>
      <c r="F2313">
        <v>3498</v>
      </c>
      <c r="G2313">
        <v>897</v>
      </c>
      <c r="H2313">
        <v>3049</v>
      </c>
      <c r="I2313">
        <v>9927</v>
      </c>
    </row>
    <row r="2314" spans="1:9">
      <c r="A2314" s="2">
        <v>1970</v>
      </c>
      <c r="B2314">
        <v>90</v>
      </c>
      <c r="C2314">
        <v>0.30808000000000002</v>
      </c>
      <c r="D2314">
        <v>0.26695999999999998</v>
      </c>
      <c r="E2314">
        <v>0.5</v>
      </c>
      <c r="F2314">
        <v>2601</v>
      </c>
      <c r="G2314">
        <v>694</v>
      </c>
      <c r="H2314">
        <v>2254</v>
      </c>
      <c r="I2314">
        <v>6878</v>
      </c>
    </row>
    <row r="2315" spans="1:9">
      <c r="A2315" s="2">
        <v>1970</v>
      </c>
      <c r="B2315">
        <v>91</v>
      </c>
      <c r="C2315">
        <v>0.38223000000000001</v>
      </c>
      <c r="D2315">
        <v>0.32090000000000002</v>
      </c>
      <c r="E2315">
        <v>0.5</v>
      </c>
      <c r="F2315">
        <v>1906</v>
      </c>
      <c r="G2315">
        <v>612</v>
      </c>
      <c r="H2315">
        <v>1601</v>
      </c>
      <c r="I2315">
        <v>4624</v>
      </c>
    </row>
    <row r="2316" spans="1:9">
      <c r="A2316" s="2">
        <v>1970</v>
      </c>
      <c r="B2316">
        <v>92</v>
      </c>
      <c r="C2316">
        <v>0.37758000000000003</v>
      </c>
      <c r="D2316">
        <v>0.31762000000000001</v>
      </c>
      <c r="E2316">
        <v>0.5</v>
      </c>
      <c r="F2316">
        <v>1295</v>
      </c>
      <c r="G2316">
        <v>411</v>
      </c>
      <c r="H2316">
        <v>1089</v>
      </c>
      <c r="I2316">
        <v>3024</v>
      </c>
    </row>
    <row r="2317" spans="1:9">
      <c r="A2317" s="2">
        <v>1970</v>
      </c>
      <c r="B2317">
        <v>93</v>
      </c>
      <c r="C2317">
        <v>0.37203999999999998</v>
      </c>
      <c r="D2317">
        <v>0.31369000000000002</v>
      </c>
      <c r="E2317">
        <v>0.5</v>
      </c>
      <c r="F2317">
        <v>883</v>
      </c>
      <c r="G2317">
        <v>277</v>
      </c>
      <c r="H2317">
        <v>745</v>
      </c>
      <c r="I2317">
        <v>1935</v>
      </c>
    </row>
    <row r="2318" spans="1:9">
      <c r="A2318" s="2">
        <v>1970</v>
      </c>
      <c r="B2318">
        <v>94</v>
      </c>
      <c r="C2318">
        <v>0.52237999999999996</v>
      </c>
      <c r="D2318">
        <v>0.41420000000000001</v>
      </c>
      <c r="E2318">
        <v>0.5</v>
      </c>
      <c r="F2318">
        <v>606</v>
      </c>
      <c r="G2318">
        <v>251</v>
      </c>
      <c r="H2318">
        <v>481</v>
      </c>
      <c r="I2318">
        <v>1190</v>
      </c>
    </row>
    <row r="2319" spans="1:9">
      <c r="A2319" s="2">
        <v>1970</v>
      </c>
      <c r="B2319">
        <v>95</v>
      </c>
      <c r="C2319">
        <v>0.46349000000000001</v>
      </c>
      <c r="D2319">
        <v>0.37629000000000001</v>
      </c>
      <c r="E2319">
        <v>0.5</v>
      </c>
      <c r="F2319">
        <v>355</v>
      </c>
      <c r="G2319">
        <v>134</v>
      </c>
      <c r="H2319">
        <v>288</v>
      </c>
      <c r="I2319">
        <v>709</v>
      </c>
    </row>
    <row r="2320" spans="1:9">
      <c r="A2320" s="2">
        <v>1970</v>
      </c>
      <c r="B2320">
        <v>96</v>
      </c>
      <c r="C2320">
        <v>0.49151</v>
      </c>
      <c r="D2320">
        <v>0.39455000000000001</v>
      </c>
      <c r="E2320">
        <v>0.5</v>
      </c>
      <c r="F2320">
        <v>222</v>
      </c>
      <c r="G2320">
        <v>87</v>
      </c>
      <c r="H2320">
        <v>178</v>
      </c>
      <c r="I2320">
        <v>421</v>
      </c>
    </row>
    <row r="2321" spans="1:9">
      <c r="A2321" s="2">
        <v>1970</v>
      </c>
      <c r="B2321">
        <v>97</v>
      </c>
      <c r="C2321">
        <v>0.51958000000000004</v>
      </c>
      <c r="D2321">
        <v>0.41243000000000002</v>
      </c>
      <c r="E2321">
        <v>0.5</v>
      </c>
      <c r="F2321">
        <v>134</v>
      </c>
      <c r="G2321">
        <v>55</v>
      </c>
      <c r="H2321">
        <v>106</v>
      </c>
      <c r="I2321">
        <v>243</v>
      </c>
    </row>
    <row r="2322" spans="1:9">
      <c r="A2322" s="2">
        <v>1970</v>
      </c>
      <c r="B2322">
        <v>98</v>
      </c>
      <c r="C2322">
        <v>0.54752999999999996</v>
      </c>
      <c r="D2322">
        <v>0.42985000000000001</v>
      </c>
      <c r="E2322">
        <v>0.5</v>
      </c>
      <c r="F2322">
        <v>79</v>
      </c>
      <c r="G2322">
        <v>34</v>
      </c>
      <c r="H2322">
        <v>62</v>
      </c>
      <c r="I2322">
        <v>136</v>
      </c>
    </row>
    <row r="2323" spans="1:9">
      <c r="A2323" s="2">
        <v>1970</v>
      </c>
      <c r="B2323">
        <v>99</v>
      </c>
      <c r="C2323">
        <v>0.57518000000000002</v>
      </c>
      <c r="D2323">
        <v>0.44671</v>
      </c>
      <c r="E2323">
        <v>0.5</v>
      </c>
      <c r="F2323">
        <v>45</v>
      </c>
      <c r="G2323">
        <v>20</v>
      </c>
      <c r="H2323">
        <v>35</v>
      </c>
      <c r="I2323">
        <v>74</v>
      </c>
    </row>
    <row r="2324" spans="1:9">
      <c r="A2324" s="2">
        <v>1970</v>
      </c>
      <c r="B2324">
        <v>100</v>
      </c>
      <c r="C2324">
        <v>0.60236999999999996</v>
      </c>
      <c r="D2324">
        <v>0.46294000000000002</v>
      </c>
      <c r="E2324">
        <v>0.5</v>
      </c>
      <c r="F2324">
        <v>25</v>
      </c>
      <c r="G2324">
        <v>12</v>
      </c>
      <c r="H2324">
        <v>19</v>
      </c>
      <c r="I2324">
        <v>40</v>
      </c>
    </row>
    <row r="2325" spans="1:9">
      <c r="A2325" s="2">
        <v>1970</v>
      </c>
      <c r="B2325">
        <v>101</v>
      </c>
      <c r="C2325">
        <v>0.62895000000000001</v>
      </c>
      <c r="D2325">
        <v>0.47848000000000002</v>
      </c>
      <c r="E2325">
        <v>0.5</v>
      </c>
      <c r="F2325">
        <v>13</v>
      </c>
      <c r="G2325">
        <v>6</v>
      </c>
      <c r="H2325">
        <v>10</v>
      </c>
      <c r="I2325">
        <v>20</v>
      </c>
    </row>
    <row r="2326" spans="1:9">
      <c r="A2326" s="2">
        <v>1970</v>
      </c>
      <c r="B2326">
        <v>102</v>
      </c>
      <c r="C2326">
        <v>0.65476000000000001</v>
      </c>
      <c r="D2326">
        <v>0.49326999999999999</v>
      </c>
      <c r="E2326">
        <v>0.5</v>
      </c>
      <c r="F2326">
        <v>7</v>
      </c>
      <c r="G2326">
        <v>3</v>
      </c>
      <c r="H2326">
        <v>5</v>
      </c>
      <c r="I2326">
        <v>10</v>
      </c>
    </row>
    <row r="2327" spans="1:9">
      <c r="A2327" s="2">
        <v>1970</v>
      </c>
      <c r="B2327">
        <v>103</v>
      </c>
      <c r="C2327">
        <v>0.67969999999999997</v>
      </c>
      <c r="D2327">
        <v>0.50729000000000002</v>
      </c>
      <c r="E2327">
        <v>0.5</v>
      </c>
      <c r="F2327">
        <v>4</v>
      </c>
      <c r="G2327">
        <v>2</v>
      </c>
      <c r="H2327">
        <v>3</v>
      </c>
      <c r="I2327">
        <v>5</v>
      </c>
    </row>
    <row r="2328" spans="1:9">
      <c r="A2328" s="2">
        <v>1970</v>
      </c>
      <c r="B2328">
        <v>104</v>
      </c>
      <c r="C2328">
        <v>0.70364000000000004</v>
      </c>
      <c r="D2328">
        <v>0.52051999999999998</v>
      </c>
      <c r="E2328">
        <v>0.5</v>
      </c>
      <c r="F2328">
        <v>2</v>
      </c>
      <c r="G2328">
        <v>1</v>
      </c>
      <c r="H2328">
        <v>1</v>
      </c>
      <c r="I2328">
        <v>2</v>
      </c>
    </row>
    <row r="2329" spans="1:9">
      <c r="A2329" s="2">
        <v>1970</v>
      </c>
      <c r="B2329">
        <v>105</v>
      </c>
      <c r="C2329">
        <v>0.72652000000000005</v>
      </c>
      <c r="D2329">
        <v>0.53293000000000001</v>
      </c>
      <c r="E2329">
        <v>0.5</v>
      </c>
      <c r="F2329">
        <v>1</v>
      </c>
      <c r="G2329">
        <v>0</v>
      </c>
      <c r="H2329">
        <v>1</v>
      </c>
      <c r="I2329">
        <v>1</v>
      </c>
    </row>
    <row r="2330" spans="1:9">
      <c r="A2330" s="2">
        <v>1970</v>
      </c>
      <c r="B2330">
        <v>106</v>
      </c>
      <c r="C2330">
        <v>0.74826999999999999</v>
      </c>
      <c r="D2330">
        <v>0.54454000000000002</v>
      </c>
      <c r="E2330">
        <v>0.5</v>
      </c>
      <c r="F2330">
        <v>0</v>
      </c>
      <c r="G2330">
        <v>0</v>
      </c>
      <c r="H2330">
        <v>0</v>
      </c>
      <c r="I2330">
        <v>1</v>
      </c>
    </row>
    <row r="2331" spans="1:9">
      <c r="A2331" s="2">
        <v>1970</v>
      </c>
      <c r="B2331">
        <v>107</v>
      </c>
      <c r="C2331">
        <v>0.76883000000000001</v>
      </c>
      <c r="D2331">
        <v>0.55535000000000001</v>
      </c>
      <c r="E2331">
        <v>0.5</v>
      </c>
      <c r="F2331">
        <v>0</v>
      </c>
      <c r="G2331">
        <v>0</v>
      </c>
      <c r="H2331">
        <v>0</v>
      </c>
      <c r="I2331">
        <v>0</v>
      </c>
    </row>
    <row r="2332" spans="1:9">
      <c r="A2332" s="2">
        <v>1970</v>
      </c>
      <c r="B2332">
        <v>108</v>
      </c>
      <c r="C2332">
        <v>0.78818999999999995</v>
      </c>
      <c r="D2332">
        <v>0.56537999999999999</v>
      </c>
      <c r="E2332">
        <v>0.5</v>
      </c>
      <c r="F2332">
        <v>0</v>
      </c>
      <c r="G2332">
        <v>0</v>
      </c>
      <c r="H2332">
        <v>0</v>
      </c>
      <c r="I2332">
        <v>0</v>
      </c>
    </row>
    <row r="2333" spans="1:9">
      <c r="A2333" s="2">
        <v>1970</v>
      </c>
      <c r="B2333">
        <v>109</v>
      </c>
      <c r="C2333">
        <v>0.80633999999999995</v>
      </c>
      <c r="D2333">
        <v>0.57465999999999995</v>
      </c>
      <c r="E2333">
        <v>0.5</v>
      </c>
      <c r="F2333">
        <v>0</v>
      </c>
      <c r="G2333">
        <v>0</v>
      </c>
      <c r="H2333">
        <v>0</v>
      </c>
      <c r="I2333">
        <v>0</v>
      </c>
    </row>
    <row r="2334" spans="1:9">
      <c r="A2334" s="2">
        <v>1970</v>
      </c>
      <c r="B2334" t="s">
        <v>26</v>
      </c>
      <c r="C2334">
        <v>0.82328000000000001</v>
      </c>
      <c r="D2334">
        <v>1</v>
      </c>
      <c r="E2334" s="3" t="s">
        <v>35</v>
      </c>
      <c r="F2334">
        <v>0</v>
      </c>
      <c r="G2334">
        <v>0</v>
      </c>
      <c r="H2334">
        <v>0</v>
      </c>
      <c r="I2334">
        <v>0</v>
      </c>
    </row>
    <row r="2335" spans="1:9">
      <c r="A2335" s="2">
        <v>1971</v>
      </c>
      <c r="B2335">
        <v>0</v>
      </c>
      <c r="C2335">
        <v>4.0370000000000003E-2</v>
      </c>
      <c r="D2335">
        <v>3.9050000000000001E-2</v>
      </c>
      <c r="E2335">
        <v>0.16</v>
      </c>
      <c r="F2335">
        <v>100000</v>
      </c>
      <c r="G2335">
        <v>3905</v>
      </c>
      <c r="H2335">
        <v>96720</v>
      </c>
      <c r="I2335">
        <v>6609873</v>
      </c>
    </row>
    <row r="2336" spans="1:9">
      <c r="A2336" s="2">
        <v>1971</v>
      </c>
      <c r="B2336">
        <v>1</v>
      </c>
      <c r="C2336">
        <v>1.6999999999999999E-3</v>
      </c>
      <c r="D2336">
        <v>1.6999999999999999E-3</v>
      </c>
      <c r="E2336">
        <v>0.5</v>
      </c>
      <c r="F2336">
        <v>96095</v>
      </c>
      <c r="G2336">
        <v>163</v>
      </c>
      <c r="H2336">
        <v>96013</v>
      </c>
      <c r="I2336">
        <v>6513153</v>
      </c>
    </row>
    <row r="2337" spans="1:9">
      <c r="A2337" s="2">
        <v>1971</v>
      </c>
      <c r="B2337">
        <v>2</v>
      </c>
      <c r="C2337">
        <v>9.6000000000000002E-4</v>
      </c>
      <c r="D2337">
        <v>9.6000000000000002E-4</v>
      </c>
      <c r="E2337">
        <v>0.5</v>
      </c>
      <c r="F2337">
        <v>95932</v>
      </c>
      <c r="G2337">
        <v>92</v>
      </c>
      <c r="H2337">
        <v>95885</v>
      </c>
      <c r="I2337">
        <v>6417140</v>
      </c>
    </row>
    <row r="2338" spans="1:9">
      <c r="A2338" s="2">
        <v>1971</v>
      </c>
      <c r="B2338">
        <v>3</v>
      </c>
      <c r="C2338">
        <v>6.7000000000000002E-4</v>
      </c>
      <c r="D2338">
        <v>6.7000000000000002E-4</v>
      </c>
      <c r="E2338">
        <v>0.5</v>
      </c>
      <c r="F2338">
        <v>95839</v>
      </c>
      <c r="G2338">
        <v>64</v>
      </c>
      <c r="H2338">
        <v>95807</v>
      </c>
      <c r="I2338">
        <v>6321254</v>
      </c>
    </row>
    <row r="2339" spans="1:9">
      <c r="A2339" s="2">
        <v>1971</v>
      </c>
      <c r="B2339">
        <v>4</v>
      </c>
      <c r="C2339">
        <v>5.8E-4</v>
      </c>
      <c r="D2339">
        <v>5.8E-4</v>
      </c>
      <c r="E2339">
        <v>0.5</v>
      </c>
      <c r="F2339">
        <v>95775</v>
      </c>
      <c r="G2339">
        <v>56</v>
      </c>
      <c r="H2339">
        <v>95747</v>
      </c>
      <c r="I2339">
        <v>6225447</v>
      </c>
    </row>
    <row r="2340" spans="1:9">
      <c r="A2340" s="2">
        <v>1971</v>
      </c>
      <c r="B2340">
        <v>5</v>
      </c>
      <c r="C2340">
        <v>6.8999999999999997E-4</v>
      </c>
      <c r="D2340">
        <v>6.8999999999999997E-4</v>
      </c>
      <c r="E2340">
        <v>0.5</v>
      </c>
      <c r="F2340">
        <v>95719</v>
      </c>
      <c r="G2340">
        <v>66</v>
      </c>
      <c r="H2340">
        <v>95686</v>
      </c>
      <c r="I2340">
        <v>6129700</v>
      </c>
    </row>
    <row r="2341" spans="1:9">
      <c r="A2341" s="2">
        <v>1971</v>
      </c>
      <c r="B2341">
        <v>6</v>
      </c>
      <c r="C2341">
        <v>4.8999999999999998E-4</v>
      </c>
      <c r="D2341">
        <v>4.8999999999999998E-4</v>
      </c>
      <c r="E2341">
        <v>0.5</v>
      </c>
      <c r="F2341">
        <v>95653</v>
      </c>
      <c r="G2341">
        <v>47</v>
      </c>
      <c r="H2341">
        <v>95630</v>
      </c>
      <c r="I2341">
        <v>6034013</v>
      </c>
    </row>
    <row r="2342" spans="1:9">
      <c r="A2342" s="2">
        <v>1971</v>
      </c>
      <c r="B2342">
        <v>7</v>
      </c>
      <c r="C2342">
        <v>5.5000000000000003E-4</v>
      </c>
      <c r="D2342">
        <v>5.5000000000000003E-4</v>
      </c>
      <c r="E2342">
        <v>0.5</v>
      </c>
      <c r="F2342">
        <v>95607</v>
      </c>
      <c r="G2342">
        <v>53</v>
      </c>
      <c r="H2342">
        <v>95580</v>
      </c>
      <c r="I2342">
        <v>5938383</v>
      </c>
    </row>
    <row r="2343" spans="1:9">
      <c r="A2343" s="2">
        <v>1971</v>
      </c>
      <c r="B2343">
        <v>8</v>
      </c>
      <c r="C2343">
        <v>5.0000000000000001E-4</v>
      </c>
      <c r="D2343">
        <v>5.0000000000000001E-4</v>
      </c>
      <c r="E2343">
        <v>0.5</v>
      </c>
      <c r="F2343">
        <v>95554</v>
      </c>
      <c r="G2343">
        <v>48</v>
      </c>
      <c r="H2343">
        <v>95530</v>
      </c>
      <c r="I2343">
        <v>5842803</v>
      </c>
    </row>
    <row r="2344" spans="1:9">
      <c r="A2344" s="2">
        <v>1971</v>
      </c>
      <c r="B2344">
        <v>9</v>
      </c>
      <c r="C2344">
        <v>4.6999999999999999E-4</v>
      </c>
      <c r="D2344">
        <v>4.6999999999999999E-4</v>
      </c>
      <c r="E2344">
        <v>0.5</v>
      </c>
      <c r="F2344">
        <v>95506</v>
      </c>
      <c r="G2344">
        <v>45</v>
      </c>
      <c r="H2344">
        <v>95484</v>
      </c>
      <c r="I2344">
        <v>5747273</v>
      </c>
    </row>
    <row r="2345" spans="1:9">
      <c r="A2345" s="2">
        <v>1971</v>
      </c>
      <c r="B2345">
        <v>10</v>
      </c>
      <c r="C2345">
        <v>4.2999999999999999E-4</v>
      </c>
      <c r="D2345">
        <v>4.2999999999999999E-4</v>
      </c>
      <c r="E2345">
        <v>0.5</v>
      </c>
      <c r="F2345">
        <v>95461</v>
      </c>
      <c r="G2345">
        <v>41</v>
      </c>
      <c r="H2345">
        <v>95441</v>
      </c>
      <c r="I2345">
        <v>5651790</v>
      </c>
    </row>
    <row r="2346" spans="1:9">
      <c r="A2346" s="2">
        <v>1971</v>
      </c>
      <c r="B2346">
        <v>11</v>
      </c>
      <c r="C2346">
        <v>5.2999999999999998E-4</v>
      </c>
      <c r="D2346">
        <v>5.2999999999999998E-4</v>
      </c>
      <c r="E2346">
        <v>0.5</v>
      </c>
      <c r="F2346">
        <v>95420</v>
      </c>
      <c r="G2346">
        <v>50</v>
      </c>
      <c r="H2346">
        <v>95395</v>
      </c>
      <c r="I2346">
        <v>5556349</v>
      </c>
    </row>
    <row r="2347" spans="1:9">
      <c r="A2347" s="2">
        <v>1971</v>
      </c>
      <c r="B2347">
        <v>12</v>
      </c>
      <c r="C2347">
        <v>3.5E-4</v>
      </c>
      <c r="D2347">
        <v>3.5E-4</v>
      </c>
      <c r="E2347">
        <v>0.5</v>
      </c>
      <c r="F2347">
        <v>95370</v>
      </c>
      <c r="G2347">
        <v>33</v>
      </c>
      <c r="H2347">
        <v>95353</v>
      </c>
      <c r="I2347">
        <v>5460954</v>
      </c>
    </row>
    <row r="2348" spans="1:9">
      <c r="A2348" s="2">
        <v>1971</v>
      </c>
      <c r="B2348">
        <v>13</v>
      </c>
      <c r="C2348">
        <v>4.2999999999999999E-4</v>
      </c>
      <c r="D2348">
        <v>4.2999999999999999E-4</v>
      </c>
      <c r="E2348">
        <v>0.5</v>
      </c>
      <c r="F2348">
        <v>95337</v>
      </c>
      <c r="G2348">
        <v>41</v>
      </c>
      <c r="H2348">
        <v>95316</v>
      </c>
      <c r="I2348">
        <v>5365601</v>
      </c>
    </row>
    <row r="2349" spans="1:9">
      <c r="A2349" s="2">
        <v>1971</v>
      </c>
      <c r="B2349">
        <v>14</v>
      </c>
      <c r="C2349">
        <v>6.2E-4</v>
      </c>
      <c r="D2349">
        <v>6.2E-4</v>
      </c>
      <c r="E2349">
        <v>0.5</v>
      </c>
      <c r="F2349">
        <v>95296</v>
      </c>
      <c r="G2349">
        <v>59</v>
      </c>
      <c r="H2349">
        <v>95266</v>
      </c>
      <c r="I2349">
        <v>5270284</v>
      </c>
    </row>
    <row r="2350" spans="1:9">
      <c r="A2350" s="2">
        <v>1971</v>
      </c>
      <c r="B2350">
        <v>15</v>
      </c>
      <c r="C2350">
        <v>6.9999999999999999E-4</v>
      </c>
      <c r="D2350">
        <v>6.9999999999999999E-4</v>
      </c>
      <c r="E2350">
        <v>0.5</v>
      </c>
      <c r="F2350">
        <v>95237</v>
      </c>
      <c r="G2350">
        <v>67</v>
      </c>
      <c r="H2350">
        <v>95203</v>
      </c>
      <c r="I2350">
        <v>5175018</v>
      </c>
    </row>
    <row r="2351" spans="1:9">
      <c r="A2351" s="2">
        <v>1971</v>
      </c>
      <c r="B2351">
        <v>16</v>
      </c>
      <c r="C2351">
        <v>8.8999999999999995E-4</v>
      </c>
      <c r="D2351">
        <v>8.8999999999999995E-4</v>
      </c>
      <c r="E2351">
        <v>0.5</v>
      </c>
      <c r="F2351">
        <v>95170</v>
      </c>
      <c r="G2351">
        <v>84</v>
      </c>
      <c r="H2351">
        <v>95128</v>
      </c>
      <c r="I2351">
        <v>5079815</v>
      </c>
    </row>
    <row r="2352" spans="1:9">
      <c r="A2352" s="2">
        <v>1971</v>
      </c>
      <c r="B2352">
        <v>17</v>
      </c>
      <c r="C2352">
        <v>1.1199999999999999E-3</v>
      </c>
      <c r="D2352">
        <v>1.1199999999999999E-3</v>
      </c>
      <c r="E2352">
        <v>0.5</v>
      </c>
      <c r="F2352">
        <v>95086</v>
      </c>
      <c r="G2352">
        <v>106</v>
      </c>
      <c r="H2352">
        <v>95033</v>
      </c>
      <c r="I2352">
        <v>4984687</v>
      </c>
    </row>
    <row r="2353" spans="1:9">
      <c r="A2353" s="2">
        <v>1971</v>
      </c>
      <c r="B2353">
        <v>18</v>
      </c>
      <c r="C2353">
        <v>1.5900000000000001E-3</v>
      </c>
      <c r="D2353">
        <v>1.5900000000000001E-3</v>
      </c>
      <c r="E2353">
        <v>0.5</v>
      </c>
      <c r="F2353">
        <v>94979</v>
      </c>
      <c r="G2353">
        <v>151</v>
      </c>
      <c r="H2353">
        <v>94904</v>
      </c>
      <c r="I2353">
        <v>4889654</v>
      </c>
    </row>
    <row r="2354" spans="1:9">
      <c r="A2354" s="2">
        <v>1971</v>
      </c>
      <c r="B2354">
        <v>19</v>
      </c>
      <c r="C2354">
        <v>1.47E-3</v>
      </c>
      <c r="D2354">
        <v>1.47E-3</v>
      </c>
      <c r="E2354">
        <v>0.5</v>
      </c>
      <c r="F2354">
        <v>94829</v>
      </c>
      <c r="G2354">
        <v>139</v>
      </c>
      <c r="H2354">
        <v>94759</v>
      </c>
      <c r="I2354">
        <v>4794750</v>
      </c>
    </row>
    <row r="2355" spans="1:9">
      <c r="A2355" s="2">
        <v>1971</v>
      </c>
      <c r="B2355">
        <v>20</v>
      </c>
      <c r="C2355">
        <v>1.57E-3</v>
      </c>
      <c r="D2355">
        <v>1.57E-3</v>
      </c>
      <c r="E2355">
        <v>0.5</v>
      </c>
      <c r="F2355">
        <v>94690</v>
      </c>
      <c r="G2355">
        <v>148</v>
      </c>
      <c r="H2355">
        <v>94615</v>
      </c>
      <c r="I2355">
        <v>4699991</v>
      </c>
    </row>
    <row r="2356" spans="1:9">
      <c r="A2356" s="2">
        <v>1971</v>
      </c>
      <c r="B2356">
        <v>21</v>
      </c>
      <c r="C2356">
        <v>1.6999999999999999E-3</v>
      </c>
      <c r="D2356">
        <v>1.6999999999999999E-3</v>
      </c>
      <c r="E2356">
        <v>0.5</v>
      </c>
      <c r="F2356">
        <v>94541</v>
      </c>
      <c r="G2356">
        <v>161</v>
      </c>
      <c r="H2356">
        <v>94461</v>
      </c>
      <c r="I2356">
        <v>4605376</v>
      </c>
    </row>
    <row r="2357" spans="1:9">
      <c r="A2357" s="2">
        <v>1971</v>
      </c>
      <c r="B2357">
        <v>22</v>
      </c>
      <c r="C2357">
        <v>1.9300000000000001E-3</v>
      </c>
      <c r="D2357">
        <v>1.92E-3</v>
      </c>
      <c r="E2357">
        <v>0.5</v>
      </c>
      <c r="F2357">
        <v>94381</v>
      </c>
      <c r="G2357">
        <v>182</v>
      </c>
      <c r="H2357">
        <v>94290</v>
      </c>
      <c r="I2357">
        <v>4510915</v>
      </c>
    </row>
    <row r="2358" spans="1:9">
      <c r="A2358" s="2">
        <v>1971</v>
      </c>
      <c r="B2358">
        <v>23</v>
      </c>
      <c r="C2358">
        <v>1.7099999999999999E-3</v>
      </c>
      <c r="D2358">
        <v>1.7099999999999999E-3</v>
      </c>
      <c r="E2358">
        <v>0.5</v>
      </c>
      <c r="F2358">
        <v>94199</v>
      </c>
      <c r="G2358">
        <v>161</v>
      </c>
      <c r="H2358">
        <v>94119</v>
      </c>
      <c r="I2358">
        <v>4416625</v>
      </c>
    </row>
    <row r="2359" spans="1:9">
      <c r="A2359" s="2">
        <v>1971</v>
      </c>
      <c r="B2359">
        <v>24</v>
      </c>
      <c r="C2359">
        <v>1.73E-3</v>
      </c>
      <c r="D2359">
        <v>1.73E-3</v>
      </c>
      <c r="E2359">
        <v>0.5</v>
      </c>
      <c r="F2359">
        <v>94038</v>
      </c>
      <c r="G2359">
        <v>163</v>
      </c>
      <c r="H2359">
        <v>93957</v>
      </c>
      <c r="I2359">
        <v>4322506</v>
      </c>
    </row>
    <row r="2360" spans="1:9">
      <c r="A2360" s="2">
        <v>1971</v>
      </c>
      <c r="B2360">
        <v>25</v>
      </c>
      <c r="C2360">
        <v>1.4E-3</v>
      </c>
      <c r="D2360">
        <v>1.4E-3</v>
      </c>
      <c r="E2360">
        <v>0.5</v>
      </c>
      <c r="F2360">
        <v>93876</v>
      </c>
      <c r="G2360">
        <v>132</v>
      </c>
      <c r="H2360">
        <v>93810</v>
      </c>
      <c r="I2360">
        <v>4228549</v>
      </c>
    </row>
    <row r="2361" spans="1:9">
      <c r="A2361" s="2">
        <v>1971</v>
      </c>
      <c r="B2361">
        <v>26</v>
      </c>
      <c r="C2361">
        <v>1.4400000000000001E-3</v>
      </c>
      <c r="D2361">
        <v>1.4400000000000001E-3</v>
      </c>
      <c r="E2361">
        <v>0.5</v>
      </c>
      <c r="F2361">
        <v>93744</v>
      </c>
      <c r="G2361">
        <v>135</v>
      </c>
      <c r="H2361">
        <v>93676</v>
      </c>
      <c r="I2361">
        <v>4134739</v>
      </c>
    </row>
    <row r="2362" spans="1:9">
      <c r="A2362" s="2">
        <v>1971</v>
      </c>
      <c r="B2362">
        <v>27</v>
      </c>
      <c r="C2362">
        <v>1.82E-3</v>
      </c>
      <c r="D2362">
        <v>1.82E-3</v>
      </c>
      <c r="E2362">
        <v>0.5</v>
      </c>
      <c r="F2362">
        <v>93609</v>
      </c>
      <c r="G2362">
        <v>170</v>
      </c>
      <c r="H2362">
        <v>93523</v>
      </c>
      <c r="I2362">
        <v>4041063</v>
      </c>
    </row>
    <row r="2363" spans="1:9">
      <c r="A2363" s="2">
        <v>1971</v>
      </c>
      <c r="B2363">
        <v>28</v>
      </c>
      <c r="C2363">
        <v>1.75E-3</v>
      </c>
      <c r="D2363">
        <v>1.75E-3</v>
      </c>
      <c r="E2363">
        <v>0.5</v>
      </c>
      <c r="F2363">
        <v>93438</v>
      </c>
      <c r="G2363">
        <v>164</v>
      </c>
      <c r="H2363">
        <v>93357</v>
      </c>
      <c r="I2363">
        <v>3947540</v>
      </c>
    </row>
    <row r="2364" spans="1:9">
      <c r="A2364" s="2">
        <v>1971</v>
      </c>
      <c r="B2364">
        <v>29</v>
      </c>
      <c r="C2364">
        <v>1.6100000000000001E-3</v>
      </c>
      <c r="D2364">
        <v>1.6100000000000001E-3</v>
      </c>
      <c r="E2364">
        <v>0.5</v>
      </c>
      <c r="F2364">
        <v>93275</v>
      </c>
      <c r="G2364">
        <v>150</v>
      </c>
      <c r="H2364">
        <v>93200</v>
      </c>
      <c r="I2364">
        <v>3854183</v>
      </c>
    </row>
    <row r="2365" spans="1:9">
      <c r="A2365" s="2">
        <v>1971</v>
      </c>
      <c r="B2365">
        <v>30</v>
      </c>
      <c r="C2365">
        <v>1.8400000000000001E-3</v>
      </c>
      <c r="D2365">
        <v>1.83E-3</v>
      </c>
      <c r="E2365">
        <v>0.5</v>
      </c>
      <c r="F2365">
        <v>93125</v>
      </c>
      <c r="G2365">
        <v>171</v>
      </c>
      <c r="H2365">
        <v>93039</v>
      </c>
      <c r="I2365">
        <v>3760984</v>
      </c>
    </row>
    <row r="2366" spans="1:9">
      <c r="A2366" s="2">
        <v>1971</v>
      </c>
      <c r="B2366">
        <v>31</v>
      </c>
      <c r="C2366">
        <v>1.92E-3</v>
      </c>
      <c r="D2366">
        <v>1.92E-3</v>
      </c>
      <c r="E2366">
        <v>0.5</v>
      </c>
      <c r="F2366">
        <v>92954</v>
      </c>
      <c r="G2366">
        <v>179</v>
      </c>
      <c r="H2366">
        <v>92865</v>
      </c>
      <c r="I2366">
        <v>3667944</v>
      </c>
    </row>
    <row r="2367" spans="1:9">
      <c r="A2367" s="2">
        <v>1971</v>
      </c>
      <c r="B2367">
        <v>32</v>
      </c>
      <c r="C2367">
        <v>2.32E-3</v>
      </c>
      <c r="D2367">
        <v>2.31E-3</v>
      </c>
      <c r="E2367">
        <v>0.5</v>
      </c>
      <c r="F2367">
        <v>92775</v>
      </c>
      <c r="G2367">
        <v>215</v>
      </c>
      <c r="H2367">
        <v>92668</v>
      </c>
      <c r="I2367">
        <v>3575080</v>
      </c>
    </row>
    <row r="2368" spans="1:9">
      <c r="A2368" s="2">
        <v>1971</v>
      </c>
      <c r="B2368">
        <v>33</v>
      </c>
      <c r="C2368">
        <v>2.5100000000000001E-3</v>
      </c>
      <c r="D2368">
        <v>2.5100000000000001E-3</v>
      </c>
      <c r="E2368">
        <v>0.5</v>
      </c>
      <c r="F2368">
        <v>92561</v>
      </c>
      <c r="G2368">
        <v>232</v>
      </c>
      <c r="H2368">
        <v>92445</v>
      </c>
      <c r="I2368">
        <v>3482412</v>
      </c>
    </row>
    <row r="2369" spans="1:9">
      <c r="A2369" s="2">
        <v>1971</v>
      </c>
      <c r="B2369">
        <v>34</v>
      </c>
      <c r="C2369">
        <v>2.4099999999999998E-3</v>
      </c>
      <c r="D2369">
        <v>2.3999999999999998E-3</v>
      </c>
      <c r="E2369">
        <v>0.5</v>
      </c>
      <c r="F2369">
        <v>92328</v>
      </c>
      <c r="G2369">
        <v>222</v>
      </c>
      <c r="H2369">
        <v>92218</v>
      </c>
      <c r="I2369">
        <v>3389967</v>
      </c>
    </row>
    <row r="2370" spans="1:9">
      <c r="A2370" s="2">
        <v>1971</v>
      </c>
      <c r="B2370">
        <v>35</v>
      </c>
      <c r="C2370">
        <v>2.7499999999999998E-3</v>
      </c>
      <c r="D2370">
        <v>2.7499999999999998E-3</v>
      </c>
      <c r="E2370">
        <v>0.5</v>
      </c>
      <c r="F2370">
        <v>92107</v>
      </c>
      <c r="G2370">
        <v>253</v>
      </c>
      <c r="H2370">
        <v>91980</v>
      </c>
      <c r="I2370">
        <v>3297750</v>
      </c>
    </row>
    <row r="2371" spans="1:9">
      <c r="A2371" s="2">
        <v>1971</v>
      </c>
      <c r="B2371">
        <v>36</v>
      </c>
      <c r="C2371">
        <v>2.9399999999999999E-3</v>
      </c>
      <c r="D2371">
        <v>2.9399999999999999E-3</v>
      </c>
      <c r="E2371">
        <v>0.5</v>
      </c>
      <c r="F2371">
        <v>91853</v>
      </c>
      <c r="G2371">
        <v>270</v>
      </c>
      <c r="H2371">
        <v>91719</v>
      </c>
      <c r="I2371">
        <v>3205770</v>
      </c>
    </row>
    <row r="2372" spans="1:9">
      <c r="A2372" s="2">
        <v>1971</v>
      </c>
      <c r="B2372">
        <v>37</v>
      </c>
      <c r="C2372">
        <v>2.47E-3</v>
      </c>
      <c r="D2372">
        <v>2.4599999999999999E-3</v>
      </c>
      <c r="E2372">
        <v>0.5</v>
      </c>
      <c r="F2372">
        <v>91584</v>
      </c>
      <c r="G2372">
        <v>226</v>
      </c>
      <c r="H2372">
        <v>91471</v>
      </c>
      <c r="I2372">
        <v>3114051</v>
      </c>
    </row>
    <row r="2373" spans="1:9">
      <c r="A2373" s="2">
        <v>1971</v>
      </c>
      <c r="B2373">
        <v>38</v>
      </c>
      <c r="C2373">
        <v>2.82E-3</v>
      </c>
      <c r="D2373">
        <v>2.82E-3</v>
      </c>
      <c r="E2373">
        <v>0.5</v>
      </c>
      <c r="F2373">
        <v>91358</v>
      </c>
      <c r="G2373">
        <v>257</v>
      </c>
      <c r="H2373">
        <v>91229</v>
      </c>
      <c r="I2373">
        <v>3022581</v>
      </c>
    </row>
    <row r="2374" spans="1:9">
      <c r="A2374" s="2">
        <v>1971</v>
      </c>
      <c r="B2374">
        <v>39</v>
      </c>
      <c r="C2374">
        <v>3.2000000000000002E-3</v>
      </c>
      <c r="D2374">
        <v>3.2000000000000002E-3</v>
      </c>
      <c r="E2374">
        <v>0.5</v>
      </c>
      <c r="F2374">
        <v>91101</v>
      </c>
      <c r="G2374">
        <v>291</v>
      </c>
      <c r="H2374">
        <v>90955</v>
      </c>
      <c r="I2374">
        <v>2931351</v>
      </c>
    </row>
    <row r="2375" spans="1:9">
      <c r="A2375" s="2">
        <v>1971</v>
      </c>
      <c r="B2375">
        <v>40</v>
      </c>
      <c r="C2375">
        <v>4.0499999999999998E-3</v>
      </c>
      <c r="D2375">
        <v>4.0499999999999998E-3</v>
      </c>
      <c r="E2375">
        <v>0.5</v>
      </c>
      <c r="F2375">
        <v>90809</v>
      </c>
      <c r="G2375">
        <v>367</v>
      </c>
      <c r="H2375">
        <v>90626</v>
      </c>
      <c r="I2375">
        <v>2840396</v>
      </c>
    </row>
    <row r="2376" spans="1:9">
      <c r="A2376" s="2">
        <v>1971</v>
      </c>
      <c r="B2376">
        <v>41</v>
      </c>
      <c r="C2376">
        <v>4.4400000000000004E-3</v>
      </c>
      <c r="D2376">
        <v>4.4299999999999999E-3</v>
      </c>
      <c r="E2376">
        <v>0.5</v>
      </c>
      <c r="F2376">
        <v>90442</v>
      </c>
      <c r="G2376">
        <v>400</v>
      </c>
      <c r="H2376">
        <v>90242</v>
      </c>
      <c r="I2376">
        <v>2749770</v>
      </c>
    </row>
    <row r="2377" spans="1:9">
      <c r="A2377" s="2">
        <v>1971</v>
      </c>
      <c r="B2377">
        <v>42</v>
      </c>
      <c r="C2377">
        <v>4.6499999999999996E-3</v>
      </c>
      <c r="D2377">
        <v>4.64E-3</v>
      </c>
      <c r="E2377">
        <v>0.5</v>
      </c>
      <c r="F2377">
        <v>90042</v>
      </c>
      <c r="G2377">
        <v>418</v>
      </c>
      <c r="H2377">
        <v>89833</v>
      </c>
      <c r="I2377">
        <v>2659529</v>
      </c>
    </row>
    <row r="2378" spans="1:9">
      <c r="A2378" s="2">
        <v>1971</v>
      </c>
      <c r="B2378">
        <v>43</v>
      </c>
      <c r="C2378">
        <v>4.8799999999999998E-3</v>
      </c>
      <c r="D2378">
        <v>4.8599999999999997E-3</v>
      </c>
      <c r="E2378">
        <v>0.5</v>
      </c>
      <c r="F2378">
        <v>89624</v>
      </c>
      <c r="G2378">
        <v>436</v>
      </c>
      <c r="H2378">
        <v>89406</v>
      </c>
      <c r="I2378">
        <v>2569696</v>
      </c>
    </row>
    <row r="2379" spans="1:9">
      <c r="A2379" s="2">
        <v>1971</v>
      </c>
      <c r="B2379">
        <v>44</v>
      </c>
      <c r="C2379">
        <v>4.9899999999999996E-3</v>
      </c>
      <c r="D2379">
        <v>4.9800000000000001E-3</v>
      </c>
      <c r="E2379">
        <v>0.5</v>
      </c>
      <c r="F2379">
        <v>89188</v>
      </c>
      <c r="G2379">
        <v>444</v>
      </c>
      <c r="H2379">
        <v>88966</v>
      </c>
      <c r="I2379">
        <v>2480290</v>
      </c>
    </row>
    <row r="2380" spans="1:9">
      <c r="A2380" s="2">
        <v>1971</v>
      </c>
      <c r="B2380">
        <v>45</v>
      </c>
      <c r="C2380">
        <v>5.6100000000000004E-3</v>
      </c>
      <c r="D2380">
        <v>5.5900000000000004E-3</v>
      </c>
      <c r="E2380">
        <v>0.5</v>
      </c>
      <c r="F2380">
        <v>88744</v>
      </c>
      <c r="G2380">
        <v>496</v>
      </c>
      <c r="H2380">
        <v>88496</v>
      </c>
      <c r="I2380">
        <v>2391324</v>
      </c>
    </row>
    <row r="2381" spans="1:9">
      <c r="A2381" s="2">
        <v>1971</v>
      </c>
      <c r="B2381">
        <v>46</v>
      </c>
      <c r="C2381">
        <v>6.2599999999999999E-3</v>
      </c>
      <c r="D2381">
        <v>6.2399999999999999E-3</v>
      </c>
      <c r="E2381">
        <v>0.5</v>
      </c>
      <c r="F2381">
        <v>88248</v>
      </c>
      <c r="G2381">
        <v>551</v>
      </c>
      <c r="H2381">
        <v>87972</v>
      </c>
      <c r="I2381">
        <v>2302828</v>
      </c>
    </row>
    <row r="2382" spans="1:9">
      <c r="A2382" s="2">
        <v>1971</v>
      </c>
      <c r="B2382">
        <v>47</v>
      </c>
      <c r="C2382">
        <v>7.1999999999999998E-3</v>
      </c>
      <c r="D2382">
        <v>7.1700000000000002E-3</v>
      </c>
      <c r="E2382">
        <v>0.5</v>
      </c>
      <c r="F2382">
        <v>87697</v>
      </c>
      <c r="G2382">
        <v>629</v>
      </c>
      <c r="H2382">
        <v>87383</v>
      </c>
      <c r="I2382">
        <v>2214855</v>
      </c>
    </row>
    <row r="2383" spans="1:9">
      <c r="A2383" s="2">
        <v>1971</v>
      </c>
      <c r="B2383">
        <v>48</v>
      </c>
      <c r="C2383">
        <v>6.5799999999999999E-3</v>
      </c>
      <c r="D2383">
        <v>6.5500000000000003E-3</v>
      </c>
      <c r="E2383">
        <v>0.5</v>
      </c>
      <c r="F2383">
        <v>87068</v>
      </c>
      <c r="G2383">
        <v>571</v>
      </c>
      <c r="H2383">
        <v>86783</v>
      </c>
      <c r="I2383">
        <v>2127473</v>
      </c>
    </row>
    <row r="2384" spans="1:9">
      <c r="A2384" s="2">
        <v>1971</v>
      </c>
      <c r="B2384">
        <v>49</v>
      </c>
      <c r="C2384">
        <v>7.9100000000000004E-3</v>
      </c>
      <c r="D2384">
        <v>7.8799999999999999E-3</v>
      </c>
      <c r="E2384">
        <v>0.5</v>
      </c>
      <c r="F2384">
        <v>86497</v>
      </c>
      <c r="G2384">
        <v>681</v>
      </c>
      <c r="H2384">
        <v>86157</v>
      </c>
      <c r="I2384">
        <v>2040690</v>
      </c>
    </row>
    <row r="2385" spans="1:9">
      <c r="A2385" s="2">
        <v>1971</v>
      </c>
      <c r="B2385">
        <v>50</v>
      </c>
      <c r="C2385">
        <v>8.0000000000000002E-3</v>
      </c>
      <c r="D2385">
        <v>7.9699999999999997E-3</v>
      </c>
      <c r="E2385">
        <v>0.5</v>
      </c>
      <c r="F2385">
        <v>85816</v>
      </c>
      <c r="G2385">
        <v>684</v>
      </c>
      <c r="H2385">
        <v>85474</v>
      </c>
      <c r="I2385">
        <v>1954533</v>
      </c>
    </row>
    <row r="2386" spans="1:9">
      <c r="A2386" s="2">
        <v>1971</v>
      </c>
      <c r="B2386">
        <v>51</v>
      </c>
      <c r="C2386">
        <v>1.031E-2</v>
      </c>
      <c r="D2386">
        <v>1.026E-2</v>
      </c>
      <c r="E2386">
        <v>0.5</v>
      </c>
      <c r="F2386">
        <v>85132</v>
      </c>
      <c r="G2386">
        <v>873</v>
      </c>
      <c r="H2386">
        <v>84696</v>
      </c>
      <c r="I2386">
        <v>1869059</v>
      </c>
    </row>
    <row r="2387" spans="1:9">
      <c r="A2387" s="2">
        <v>1971</v>
      </c>
      <c r="B2387">
        <v>52</v>
      </c>
      <c r="C2387">
        <v>9.0399999999999994E-3</v>
      </c>
      <c r="D2387">
        <v>8.9999999999999993E-3</v>
      </c>
      <c r="E2387">
        <v>0.5</v>
      </c>
      <c r="F2387">
        <v>84259</v>
      </c>
      <c r="G2387">
        <v>758</v>
      </c>
      <c r="H2387">
        <v>83880</v>
      </c>
      <c r="I2387">
        <v>1784364</v>
      </c>
    </row>
    <row r="2388" spans="1:9">
      <c r="A2388" s="2">
        <v>1971</v>
      </c>
      <c r="B2388">
        <v>53</v>
      </c>
      <c r="C2388">
        <v>1.034E-2</v>
      </c>
      <c r="D2388">
        <v>1.0279999999999999E-2</v>
      </c>
      <c r="E2388">
        <v>0.5</v>
      </c>
      <c r="F2388">
        <v>83501</v>
      </c>
      <c r="G2388">
        <v>859</v>
      </c>
      <c r="H2388">
        <v>83071</v>
      </c>
      <c r="I2388">
        <v>1700484</v>
      </c>
    </row>
    <row r="2389" spans="1:9">
      <c r="A2389" s="2">
        <v>1971</v>
      </c>
      <c r="B2389">
        <v>54</v>
      </c>
      <c r="C2389">
        <v>1.157E-2</v>
      </c>
      <c r="D2389">
        <v>1.15E-2</v>
      </c>
      <c r="E2389">
        <v>0.5</v>
      </c>
      <c r="F2389">
        <v>82642</v>
      </c>
      <c r="G2389">
        <v>951</v>
      </c>
      <c r="H2389">
        <v>82167</v>
      </c>
      <c r="I2389">
        <v>1617412</v>
      </c>
    </row>
    <row r="2390" spans="1:9">
      <c r="A2390" s="2">
        <v>1971</v>
      </c>
      <c r="B2390">
        <v>55</v>
      </c>
      <c r="C2390">
        <v>1.191E-2</v>
      </c>
      <c r="D2390">
        <v>1.184E-2</v>
      </c>
      <c r="E2390">
        <v>0.5</v>
      </c>
      <c r="F2390">
        <v>81691</v>
      </c>
      <c r="G2390">
        <v>968</v>
      </c>
      <c r="H2390">
        <v>81208</v>
      </c>
      <c r="I2390">
        <v>1535246</v>
      </c>
    </row>
    <row r="2391" spans="1:9">
      <c r="A2391" s="2">
        <v>1971</v>
      </c>
      <c r="B2391">
        <v>56</v>
      </c>
      <c r="C2391">
        <v>1.498E-2</v>
      </c>
      <c r="D2391">
        <v>1.487E-2</v>
      </c>
      <c r="E2391">
        <v>0.5</v>
      </c>
      <c r="F2391">
        <v>80724</v>
      </c>
      <c r="G2391">
        <v>1200</v>
      </c>
      <c r="H2391">
        <v>80124</v>
      </c>
      <c r="I2391">
        <v>1454038</v>
      </c>
    </row>
    <row r="2392" spans="1:9">
      <c r="A2392" s="2">
        <v>1971</v>
      </c>
      <c r="B2392">
        <v>57</v>
      </c>
      <c r="C2392">
        <v>1.6109999999999999E-2</v>
      </c>
      <c r="D2392">
        <v>1.5980000000000001E-2</v>
      </c>
      <c r="E2392">
        <v>0.5</v>
      </c>
      <c r="F2392">
        <v>79524</v>
      </c>
      <c r="G2392">
        <v>1271</v>
      </c>
      <c r="H2392">
        <v>78888</v>
      </c>
      <c r="I2392">
        <v>1373915</v>
      </c>
    </row>
    <row r="2393" spans="1:9">
      <c r="A2393" s="2">
        <v>1971</v>
      </c>
      <c r="B2393">
        <v>58</v>
      </c>
      <c r="C2393">
        <v>1.6279999999999999E-2</v>
      </c>
      <c r="D2393">
        <v>1.6150000000000001E-2</v>
      </c>
      <c r="E2393">
        <v>0.5</v>
      </c>
      <c r="F2393">
        <v>78252</v>
      </c>
      <c r="G2393">
        <v>1263</v>
      </c>
      <c r="H2393">
        <v>77621</v>
      </c>
      <c r="I2393">
        <v>1295027</v>
      </c>
    </row>
    <row r="2394" spans="1:9">
      <c r="A2394" s="2">
        <v>1971</v>
      </c>
      <c r="B2394">
        <v>59</v>
      </c>
      <c r="C2394">
        <v>1.9359999999999999E-2</v>
      </c>
      <c r="D2394">
        <v>1.9179999999999999E-2</v>
      </c>
      <c r="E2394">
        <v>0.5</v>
      </c>
      <c r="F2394">
        <v>76989</v>
      </c>
      <c r="G2394">
        <v>1476</v>
      </c>
      <c r="H2394">
        <v>76251</v>
      </c>
      <c r="I2394">
        <v>1217406</v>
      </c>
    </row>
    <row r="2395" spans="1:9">
      <c r="A2395" s="2">
        <v>1971</v>
      </c>
      <c r="B2395">
        <v>60</v>
      </c>
      <c r="C2395">
        <v>2.052E-2</v>
      </c>
      <c r="D2395">
        <v>2.0310000000000002E-2</v>
      </c>
      <c r="E2395">
        <v>0.5</v>
      </c>
      <c r="F2395">
        <v>75513</v>
      </c>
      <c r="G2395">
        <v>1534</v>
      </c>
      <c r="H2395">
        <v>74746</v>
      </c>
      <c r="I2395">
        <v>1141155</v>
      </c>
    </row>
    <row r="2396" spans="1:9">
      <c r="A2396" s="2">
        <v>1971</v>
      </c>
      <c r="B2396">
        <v>61</v>
      </c>
      <c r="C2396">
        <v>2.359E-2</v>
      </c>
      <c r="D2396">
        <v>2.3310000000000001E-2</v>
      </c>
      <c r="E2396">
        <v>0.5</v>
      </c>
      <c r="F2396">
        <v>73979</v>
      </c>
      <c r="G2396">
        <v>1725</v>
      </c>
      <c r="H2396">
        <v>73117</v>
      </c>
      <c r="I2396">
        <v>1066409</v>
      </c>
    </row>
    <row r="2397" spans="1:9">
      <c r="A2397" s="2">
        <v>1971</v>
      </c>
      <c r="B2397">
        <v>62</v>
      </c>
      <c r="C2397">
        <v>2.5770000000000001E-2</v>
      </c>
      <c r="D2397">
        <v>2.5440000000000001E-2</v>
      </c>
      <c r="E2397">
        <v>0.5</v>
      </c>
      <c r="F2397">
        <v>72254</v>
      </c>
      <c r="G2397">
        <v>1838</v>
      </c>
      <c r="H2397">
        <v>71335</v>
      </c>
      <c r="I2397">
        <v>993292</v>
      </c>
    </row>
    <row r="2398" spans="1:9">
      <c r="A2398" s="2">
        <v>1971</v>
      </c>
      <c r="B2398">
        <v>63</v>
      </c>
      <c r="C2398">
        <v>2.9760000000000002E-2</v>
      </c>
      <c r="D2398">
        <v>2.9319999999999999E-2</v>
      </c>
      <c r="E2398">
        <v>0.5</v>
      </c>
      <c r="F2398">
        <v>70416</v>
      </c>
      <c r="G2398">
        <v>2065</v>
      </c>
      <c r="H2398">
        <v>69384</v>
      </c>
      <c r="I2398">
        <v>921957</v>
      </c>
    </row>
    <row r="2399" spans="1:9">
      <c r="A2399" s="2">
        <v>1971</v>
      </c>
      <c r="B2399">
        <v>64</v>
      </c>
      <c r="C2399">
        <v>3.1199999999999999E-2</v>
      </c>
      <c r="D2399">
        <v>3.0720000000000001E-2</v>
      </c>
      <c r="E2399">
        <v>0.5</v>
      </c>
      <c r="F2399">
        <v>68351</v>
      </c>
      <c r="G2399">
        <v>2100</v>
      </c>
      <c r="H2399">
        <v>67301</v>
      </c>
      <c r="I2399">
        <v>852574</v>
      </c>
    </row>
    <row r="2400" spans="1:9">
      <c r="A2400" s="2">
        <v>1971</v>
      </c>
      <c r="B2400">
        <v>65</v>
      </c>
      <c r="C2400">
        <v>3.5869999999999999E-2</v>
      </c>
      <c r="D2400">
        <v>3.524E-2</v>
      </c>
      <c r="E2400">
        <v>0.5</v>
      </c>
      <c r="F2400">
        <v>66252</v>
      </c>
      <c r="G2400">
        <v>2335</v>
      </c>
      <c r="H2400">
        <v>65084</v>
      </c>
      <c r="I2400">
        <v>785272</v>
      </c>
    </row>
    <row r="2401" spans="1:9">
      <c r="A2401" s="2">
        <v>1971</v>
      </c>
      <c r="B2401">
        <v>66</v>
      </c>
      <c r="C2401">
        <v>3.8890000000000001E-2</v>
      </c>
      <c r="D2401">
        <v>3.8150000000000003E-2</v>
      </c>
      <c r="E2401">
        <v>0.5</v>
      </c>
      <c r="F2401">
        <v>63917</v>
      </c>
      <c r="G2401">
        <v>2439</v>
      </c>
      <c r="H2401">
        <v>62698</v>
      </c>
      <c r="I2401">
        <v>720188</v>
      </c>
    </row>
    <row r="2402" spans="1:9">
      <c r="A2402" s="2">
        <v>1971</v>
      </c>
      <c r="B2402">
        <v>67</v>
      </c>
      <c r="C2402">
        <v>4.3270000000000003E-2</v>
      </c>
      <c r="D2402">
        <v>4.2349999999999999E-2</v>
      </c>
      <c r="E2402">
        <v>0.5</v>
      </c>
      <c r="F2402">
        <v>61479</v>
      </c>
      <c r="G2402">
        <v>2604</v>
      </c>
      <c r="H2402">
        <v>60177</v>
      </c>
      <c r="I2402">
        <v>657490</v>
      </c>
    </row>
    <row r="2403" spans="1:9">
      <c r="A2403" s="2">
        <v>1971</v>
      </c>
      <c r="B2403">
        <v>68</v>
      </c>
      <c r="C2403">
        <v>4.6249999999999999E-2</v>
      </c>
      <c r="D2403">
        <v>4.521E-2</v>
      </c>
      <c r="E2403">
        <v>0.5</v>
      </c>
      <c r="F2403">
        <v>58875</v>
      </c>
      <c r="G2403">
        <v>2662</v>
      </c>
      <c r="H2403">
        <v>57544</v>
      </c>
      <c r="I2403">
        <v>597313</v>
      </c>
    </row>
    <row r="2404" spans="1:9">
      <c r="A2404" s="2">
        <v>1971</v>
      </c>
      <c r="B2404">
        <v>69</v>
      </c>
      <c r="C2404">
        <v>5.441E-2</v>
      </c>
      <c r="D2404">
        <v>5.2970000000000003E-2</v>
      </c>
      <c r="E2404">
        <v>0.5</v>
      </c>
      <c r="F2404">
        <v>56213</v>
      </c>
      <c r="G2404">
        <v>2978</v>
      </c>
      <c r="H2404">
        <v>54724</v>
      </c>
      <c r="I2404">
        <v>539770</v>
      </c>
    </row>
    <row r="2405" spans="1:9">
      <c r="A2405" s="2">
        <v>1971</v>
      </c>
      <c r="B2405">
        <v>70</v>
      </c>
      <c r="C2405">
        <v>5.8689999999999999E-2</v>
      </c>
      <c r="D2405">
        <v>5.7020000000000001E-2</v>
      </c>
      <c r="E2405">
        <v>0.5</v>
      </c>
      <c r="F2405">
        <v>53235</v>
      </c>
      <c r="G2405">
        <v>3036</v>
      </c>
      <c r="H2405">
        <v>51718</v>
      </c>
      <c r="I2405">
        <v>485045</v>
      </c>
    </row>
    <row r="2406" spans="1:9">
      <c r="A2406" s="2">
        <v>1971</v>
      </c>
      <c r="B2406">
        <v>71</v>
      </c>
      <c r="C2406">
        <v>6.6570000000000004E-2</v>
      </c>
      <c r="D2406">
        <v>6.4420000000000005E-2</v>
      </c>
      <c r="E2406">
        <v>0.5</v>
      </c>
      <c r="F2406">
        <v>50200</v>
      </c>
      <c r="G2406">
        <v>3234</v>
      </c>
      <c r="H2406">
        <v>48583</v>
      </c>
      <c r="I2406">
        <v>433328</v>
      </c>
    </row>
    <row r="2407" spans="1:9">
      <c r="A2407" s="2">
        <v>1971</v>
      </c>
      <c r="B2407">
        <v>72</v>
      </c>
      <c r="C2407">
        <v>6.862E-2</v>
      </c>
      <c r="D2407">
        <v>6.6339999999999996E-2</v>
      </c>
      <c r="E2407">
        <v>0.5</v>
      </c>
      <c r="F2407">
        <v>46966</v>
      </c>
      <c r="G2407">
        <v>3116</v>
      </c>
      <c r="H2407">
        <v>45408</v>
      </c>
      <c r="I2407">
        <v>384745</v>
      </c>
    </row>
    <row r="2408" spans="1:9">
      <c r="A2408" s="2">
        <v>1971</v>
      </c>
      <c r="B2408">
        <v>73</v>
      </c>
      <c r="C2408">
        <v>7.6619999999999994E-2</v>
      </c>
      <c r="D2408">
        <v>7.3800000000000004E-2</v>
      </c>
      <c r="E2408">
        <v>0.5</v>
      </c>
      <c r="F2408">
        <v>43850</v>
      </c>
      <c r="G2408">
        <v>3236</v>
      </c>
      <c r="H2408">
        <v>42232</v>
      </c>
      <c r="I2408">
        <v>339337</v>
      </c>
    </row>
    <row r="2409" spans="1:9">
      <c r="A2409" s="2">
        <v>1971</v>
      </c>
      <c r="B2409">
        <v>74</v>
      </c>
      <c r="C2409">
        <v>8.5089999999999999E-2</v>
      </c>
      <c r="D2409">
        <v>8.1610000000000002E-2</v>
      </c>
      <c r="E2409">
        <v>0.5</v>
      </c>
      <c r="F2409">
        <v>40614</v>
      </c>
      <c r="G2409">
        <v>3315</v>
      </c>
      <c r="H2409">
        <v>38957</v>
      </c>
      <c r="I2409">
        <v>297104</v>
      </c>
    </row>
    <row r="2410" spans="1:9">
      <c r="A2410" s="2">
        <v>1971</v>
      </c>
      <c r="B2410">
        <v>75</v>
      </c>
      <c r="C2410">
        <v>9.0759999999999993E-2</v>
      </c>
      <c r="D2410">
        <v>8.6819999999999994E-2</v>
      </c>
      <c r="E2410">
        <v>0.5</v>
      </c>
      <c r="F2410">
        <v>37300</v>
      </c>
      <c r="G2410">
        <v>3238</v>
      </c>
      <c r="H2410">
        <v>35680</v>
      </c>
      <c r="I2410">
        <v>258147</v>
      </c>
    </row>
    <row r="2411" spans="1:9">
      <c r="A2411" s="2">
        <v>1971</v>
      </c>
      <c r="B2411">
        <v>76</v>
      </c>
      <c r="C2411">
        <v>9.9519999999999997E-2</v>
      </c>
      <c r="D2411">
        <v>9.4799999999999995E-2</v>
      </c>
      <c r="E2411">
        <v>0.5</v>
      </c>
      <c r="F2411">
        <v>34061</v>
      </c>
      <c r="G2411">
        <v>3229</v>
      </c>
      <c r="H2411">
        <v>32447</v>
      </c>
      <c r="I2411">
        <v>222467</v>
      </c>
    </row>
    <row r="2412" spans="1:9">
      <c r="A2412" s="2">
        <v>1971</v>
      </c>
      <c r="B2412">
        <v>77</v>
      </c>
      <c r="C2412">
        <v>0.10799</v>
      </c>
      <c r="D2412">
        <v>0.10245</v>
      </c>
      <c r="E2412">
        <v>0.5</v>
      </c>
      <c r="F2412">
        <v>30832</v>
      </c>
      <c r="G2412">
        <v>3159</v>
      </c>
      <c r="H2412">
        <v>29253</v>
      </c>
      <c r="I2412">
        <v>190020</v>
      </c>
    </row>
    <row r="2413" spans="1:9">
      <c r="A2413" s="2">
        <v>1971</v>
      </c>
      <c r="B2413">
        <v>78</v>
      </c>
      <c r="C2413">
        <v>0.11482000000000001</v>
      </c>
      <c r="D2413">
        <v>0.10859000000000001</v>
      </c>
      <c r="E2413">
        <v>0.5</v>
      </c>
      <c r="F2413">
        <v>27673</v>
      </c>
      <c r="G2413">
        <v>3005</v>
      </c>
      <c r="H2413">
        <v>26171</v>
      </c>
      <c r="I2413">
        <v>160768</v>
      </c>
    </row>
    <row r="2414" spans="1:9">
      <c r="A2414" s="2">
        <v>1971</v>
      </c>
      <c r="B2414">
        <v>79</v>
      </c>
      <c r="C2414">
        <v>0.13125000000000001</v>
      </c>
      <c r="D2414">
        <v>0.12316000000000001</v>
      </c>
      <c r="E2414">
        <v>0.5</v>
      </c>
      <c r="F2414">
        <v>24668</v>
      </c>
      <c r="G2414">
        <v>3038</v>
      </c>
      <c r="H2414">
        <v>23149</v>
      </c>
      <c r="I2414">
        <v>134597</v>
      </c>
    </row>
    <row r="2415" spans="1:9">
      <c r="A2415" s="2">
        <v>1971</v>
      </c>
      <c r="B2415">
        <v>80</v>
      </c>
      <c r="C2415">
        <v>0.13621</v>
      </c>
      <c r="D2415">
        <v>0.12753</v>
      </c>
      <c r="E2415">
        <v>0.5</v>
      </c>
      <c r="F2415">
        <v>21630</v>
      </c>
      <c r="G2415">
        <v>2758</v>
      </c>
      <c r="H2415">
        <v>20251</v>
      </c>
      <c r="I2415">
        <v>111448</v>
      </c>
    </row>
    <row r="2416" spans="1:9">
      <c r="A2416" s="2">
        <v>1971</v>
      </c>
      <c r="B2416">
        <v>81</v>
      </c>
      <c r="C2416">
        <v>0.14748</v>
      </c>
      <c r="D2416">
        <v>0.13735</v>
      </c>
      <c r="E2416">
        <v>0.5</v>
      </c>
      <c r="F2416">
        <v>18872</v>
      </c>
      <c r="G2416">
        <v>2592</v>
      </c>
      <c r="H2416">
        <v>17576</v>
      </c>
      <c r="I2416">
        <v>91197</v>
      </c>
    </row>
    <row r="2417" spans="1:9">
      <c r="A2417" s="2">
        <v>1971</v>
      </c>
      <c r="B2417">
        <v>82</v>
      </c>
      <c r="C2417">
        <v>0.16258</v>
      </c>
      <c r="D2417">
        <v>0.15035999999999999</v>
      </c>
      <c r="E2417">
        <v>0.5</v>
      </c>
      <c r="F2417">
        <v>16279</v>
      </c>
      <c r="G2417">
        <v>2448</v>
      </c>
      <c r="H2417">
        <v>15056</v>
      </c>
      <c r="I2417">
        <v>73622</v>
      </c>
    </row>
    <row r="2418" spans="1:9">
      <c r="A2418" s="2">
        <v>1971</v>
      </c>
      <c r="B2418">
        <v>83</v>
      </c>
      <c r="C2418">
        <v>0.18690999999999999</v>
      </c>
      <c r="D2418">
        <v>0.17093</v>
      </c>
      <c r="E2418">
        <v>0.5</v>
      </c>
      <c r="F2418">
        <v>13832</v>
      </c>
      <c r="G2418">
        <v>2364</v>
      </c>
      <c r="H2418">
        <v>12650</v>
      </c>
      <c r="I2418">
        <v>58566</v>
      </c>
    </row>
    <row r="2419" spans="1:9">
      <c r="A2419" s="2">
        <v>1971</v>
      </c>
      <c r="B2419">
        <v>84</v>
      </c>
      <c r="C2419">
        <v>0.20043</v>
      </c>
      <c r="D2419">
        <v>0.18217</v>
      </c>
      <c r="E2419">
        <v>0.5</v>
      </c>
      <c r="F2419">
        <v>11467</v>
      </c>
      <c r="G2419">
        <v>2089</v>
      </c>
      <c r="H2419">
        <v>10423</v>
      </c>
      <c r="I2419">
        <v>45916</v>
      </c>
    </row>
    <row r="2420" spans="1:9">
      <c r="A2420" s="2">
        <v>1971</v>
      </c>
      <c r="B2420">
        <v>85</v>
      </c>
      <c r="C2420">
        <v>0.20094999999999999</v>
      </c>
      <c r="D2420">
        <v>0.18260000000000001</v>
      </c>
      <c r="E2420">
        <v>0.5</v>
      </c>
      <c r="F2420">
        <v>9378</v>
      </c>
      <c r="G2420">
        <v>1713</v>
      </c>
      <c r="H2420">
        <v>8522</v>
      </c>
      <c r="I2420">
        <v>35493</v>
      </c>
    </row>
    <row r="2421" spans="1:9">
      <c r="A2421" s="2">
        <v>1971</v>
      </c>
      <c r="B2421">
        <v>86</v>
      </c>
      <c r="C2421">
        <v>0.22620000000000001</v>
      </c>
      <c r="D2421">
        <v>0.20321</v>
      </c>
      <c r="E2421">
        <v>0.5</v>
      </c>
      <c r="F2421">
        <v>7666</v>
      </c>
      <c r="G2421">
        <v>1558</v>
      </c>
      <c r="H2421">
        <v>6887</v>
      </c>
      <c r="I2421">
        <v>26971</v>
      </c>
    </row>
    <row r="2422" spans="1:9">
      <c r="A2422" s="2">
        <v>1971</v>
      </c>
      <c r="B2422">
        <v>87</v>
      </c>
      <c r="C2422">
        <v>0.25044</v>
      </c>
      <c r="D2422">
        <v>0.22256999999999999</v>
      </c>
      <c r="E2422">
        <v>0.5</v>
      </c>
      <c r="F2422">
        <v>6108</v>
      </c>
      <c r="G2422">
        <v>1359</v>
      </c>
      <c r="H2422">
        <v>5428</v>
      </c>
      <c r="I2422">
        <v>20084</v>
      </c>
    </row>
    <row r="2423" spans="1:9">
      <c r="A2423" s="2">
        <v>1971</v>
      </c>
      <c r="B2423">
        <v>88</v>
      </c>
      <c r="C2423">
        <v>0.28533999999999998</v>
      </c>
      <c r="D2423">
        <v>0.24970999999999999</v>
      </c>
      <c r="E2423">
        <v>0.5</v>
      </c>
      <c r="F2423">
        <v>4749</v>
      </c>
      <c r="G2423">
        <v>1186</v>
      </c>
      <c r="H2423">
        <v>4156</v>
      </c>
      <c r="I2423">
        <v>14656</v>
      </c>
    </row>
    <row r="2424" spans="1:9">
      <c r="A2424" s="2">
        <v>1971</v>
      </c>
      <c r="B2424">
        <v>89</v>
      </c>
      <c r="C2424">
        <v>0.28926000000000002</v>
      </c>
      <c r="D2424">
        <v>0.25270999999999999</v>
      </c>
      <c r="E2424">
        <v>0.5</v>
      </c>
      <c r="F2424">
        <v>3563</v>
      </c>
      <c r="G2424">
        <v>900</v>
      </c>
      <c r="H2424">
        <v>3113</v>
      </c>
      <c r="I2424">
        <v>10500</v>
      </c>
    </row>
    <row r="2425" spans="1:9">
      <c r="A2425" s="2">
        <v>1971</v>
      </c>
      <c r="B2425">
        <v>90</v>
      </c>
      <c r="C2425">
        <v>0.30327999999999999</v>
      </c>
      <c r="D2425">
        <v>0.26334000000000002</v>
      </c>
      <c r="E2425">
        <v>0.5</v>
      </c>
      <c r="F2425">
        <v>2662</v>
      </c>
      <c r="G2425">
        <v>701</v>
      </c>
      <c r="H2425">
        <v>2312</v>
      </c>
      <c r="I2425">
        <v>7388</v>
      </c>
    </row>
    <row r="2426" spans="1:9">
      <c r="A2426" s="2">
        <v>1971</v>
      </c>
      <c r="B2426">
        <v>91</v>
      </c>
      <c r="C2426">
        <v>0.33801999999999999</v>
      </c>
      <c r="D2426">
        <v>0.28915000000000002</v>
      </c>
      <c r="E2426">
        <v>0.5</v>
      </c>
      <c r="F2426">
        <v>1961</v>
      </c>
      <c r="G2426">
        <v>567</v>
      </c>
      <c r="H2426">
        <v>1678</v>
      </c>
      <c r="I2426">
        <v>5076</v>
      </c>
    </row>
    <row r="2427" spans="1:9">
      <c r="A2427" s="2">
        <v>1971</v>
      </c>
      <c r="B2427">
        <v>92</v>
      </c>
      <c r="C2427">
        <v>0.41167999999999999</v>
      </c>
      <c r="D2427">
        <v>0.34140999999999999</v>
      </c>
      <c r="E2427">
        <v>0.5</v>
      </c>
      <c r="F2427">
        <v>1394</v>
      </c>
      <c r="G2427">
        <v>476</v>
      </c>
      <c r="H2427">
        <v>1156</v>
      </c>
      <c r="I2427">
        <v>3398</v>
      </c>
    </row>
    <row r="2428" spans="1:9">
      <c r="A2428" s="2">
        <v>1971</v>
      </c>
      <c r="B2428">
        <v>93</v>
      </c>
      <c r="C2428">
        <v>0.32527</v>
      </c>
      <c r="D2428">
        <v>0.27977000000000002</v>
      </c>
      <c r="E2428">
        <v>0.5</v>
      </c>
      <c r="F2428">
        <v>918</v>
      </c>
      <c r="G2428">
        <v>257</v>
      </c>
      <c r="H2428">
        <v>790</v>
      </c>
      <c r="I2428">
        <v>2242</v>
      </c>
    </row>
    <row r="2429" spans="1:9">
      <c r="A2429" s="2">
        <v>1971</v>
      </c>
      <c r="B2429">
        <v>94</v>
      </c>
      <c r="C2429">
        <v>0.41549999999999998</v>
      </c>
      <c r="D2429">
        <v>0.34401999999999999</v>
      </c>
      <c r="E2429">
        <v>0.5</v>
      </c>
      <c r="F2429">
        <v>661</v>
      </c>
      <c r="G2429">
        <v>228</v>
      </c>
      <c r="H2429">
        <v>548</v>
      </c>
      <c r="I2429">
        <v>1452</v>
      </c>
    </row>
    <row r="2430" spans="1:9">
      <c r="A2430" s="2">
        <v>1971</v>
      </c>
      <c r="B2430">
        <v>95</v>
      </c>
      <c r="C2430">
        <v>0.44181999999999999</v>
      </c>
      <c r="D2430">
        <v>0.36187999999999998</v>
      </c>
      <c r="E2430">
        <v>0.5</v>
      </c>
      <c r="F2430">
        <v>434</v>
      </c>
      <c r="G2430">
        <v>157</v>
      </c>
      <c r="H2430">
        <v>355</v>
      </c>
      <c r="I2430">
        <v>904</v>
      </c>
    </row>
    <row r="2431" spans="1:9">
      <c r="A2431" s="2">
        <v>1971</v>
      </c>
      <c r="B2431">
        <v>96</v>
      </c>
      <c r="C2431">
        <v>0.46847</v>
      </c>
      <c r="D2431">
        <v>0.37956000000000001</v>
      </c>
      <c r="E2431">
        <v>0.5</v>
      </c>
      <c r="F2431">
        <v>277</v>
      </c>
      <c r="G2431">
        <v>105</v>
      </c>
      <c r="H2431">
        <v>224</v>
      </c>
      <c r="I2431">
        <v>549</v>
      </c>
    </row>
    <row r="2432" spans="1:9">
      <c r="A2432" s="2">
        <v>1971</v>
      </c>
      <c r="B2432">
        <v>97</v>
      </c>
      <c r="C2432">
        <v>0.49530999999999997</v>
      </c>
      <c r="D2432">
        <v>0.39699000000000001</v>
      </c>
      <c r="E2432">
        <v>0.5</v>
      </c>
      <c r="F2432">
        <v>172</v>
      </c>
      <c r="G2432">
        <v>68</v>
      </c>
      <c r="H2432">
        <v>138</v>
      </c>
      <c r="I2432">
        <v>325</v>
      </c>
    </row>
    <row r="2433" spans="1:9">
      <c r="A2433" s="2">
        <v>1971</v>
      </c>
      <c r="B2433">
        <v>98</v>
      </c>
      <c r="C2433">
        <v>0.52217000000000002</v>
      </c>
      <c r="D2433">
        <v>0.41405999999999998</v>
      </c>
      <c r="E2433">
        <v>0.5</v>
      </c>
      <c r="F2433">
        <v>104</v>
      </c>
      <c r="G2433">
        <v>43</v>
      </c>
      <c r="H2433">
        <v>82</v>
      </c>
      <c r="I2433">
        <v>187</v>
      </c>
    </row>
    <row r="2434" spans="1:9">
      <c r="A2434" s="2">
        <v>1971</v>
      </c>
      <c r="B2434">
        <v>99</v>
      </c>
      <c r="C2434">
        <v>0.54890000000000005</v>
      </c>
      <c r="D2434">
        <v>0.43070000000000003</v>
      </c>
      <c r="E2434">
        <v>0.5</v>
      </c>
      <c r="F2434">
        <v>61</v>
      </c>
      <c r="G2434">
        <v>26</v>
      </c>
      <c r="H2434">
        <v>48</v>
      </c>
      <c r="I2434">
        <v>105</v>
      </c>
    </row>
    <row r="2435" spans="1:9">
      <c r="A2435" s="2">
        <v>1971</v>
      </c>
      <c r="B2435">
        <v>100</v>
      </c>
      <c r="C2435">
        <v>0.57535999999999998</v>
      </c>
      <c r="D2435">
        <v>0.44681999999999999</v>
      </c>
      <c r="E2435">
        <v>0.5</v>
      </c>
      <c r="F2435">
        <v>35</v>
      </c>
      <c r="G2435">
        <v>15</v>
      </c>
      <c r="H2435">
        <v>27</v>
      </c>
      <c r="I2435">
        <v>57</v>
      </c>
    </row>
    <row r="2436" spans="1:9">
      <c r="A2436" s="2">
        <v>1971</v>
      </c>
      <c r="B2436">
        <v>101</v>
      </c>
      <c r="C2436">
        <v>0.60138999999999998</v>
      </c>
      <c r="D2436">
        <v>0.46235999999999999</v>
      </c>
      <c r="E2436">
        <v>0.5</v>
      </c>
      <c r="F2436">
        <v>19</v>
      </c>
      <c r="G2436">
        <v>9</v>
      </c>
      <c r="H2436">
        <v>15</v>
      </c>
      <c r="I2436">
        <v>30</v>
      </c>
    </row>
    <row r="2437" spans="1:9">
      <c r="A2437" s="2">
        <v>1971</v>
      </c>
      <c r="B2437">
        <v>102</v>
      </c>
      <c r="C2437">
        <v>0.62685999999999997</v>
      </c>
      <c r="D2437">
        <v>0.47727000000000003</v>
      </c>
      <c r="E2437">
        <v>0.5</v>
      </c>
      <c r="F2437">
        <v>10</v>
      </c>
      <c r="G2437">
        <v>5</v>
      </c>
      <c r="H2437">
        <v>8</v>
      </c>
      <c r="I2437">
        <v>16</v>
      </c>
    </row>
    <row r="2438" spans="1:9">
      <c r="A2438" s="2">
        <v>1971</v>
      </c>
      <c r="B2438">
        <v>103</v>
      </c>
      <c r="C2438">
        <v>0.65164</v>
      </c>
      <c r="D2438">
        <v>0.49149999999999999</v>
      </c>
      <c r="E2438">
        <v>0.5</v>
      </c>
      <c r="F2438">
        <v>5</v>
      </c>
      <c r="G2438">
        <v>3</v>
      </c>
      <c r="H2438">
        <v>4</v>
      </c>
      <c r="I2438">
        <v>8</v>
      </c>
    </row>
    <row r="2439" spans="1:9">
      <c r="A2439" s="2">
        <v>1971</v>
      </c>
      <c r="B2439">
        <v>104</v>
      </c>
      <c r="C2439">
        <v>0.67562999999999995</v>
      </c>
      <c r="D2439">
        <v>0.50502999999999998</v>
      </c>
      <c r="E2439">
        <v>0.5</v>
      </c>
      <c r="F2439">
        <v>3</v>
      </c>
      <c r="G2439">
        <v>1</v>
      </c>
      <c r="H2439">
        <v>2</v>
      </c>
      <c r="I2439">
        <v>4</v>
      </c>
    </row>
    <row r="2440" spans="1:9">
      <c r="A2440" s="2">
        <v>1971</v>
      </c>
      <c r="B2440">
        <v>105</v>
      </c>
      <c r="C2440">
        <v>0.69874000000000003</v>
      </c>
      <c r="D2440">
        <v>0.51781999999999995</v>
      </c>
      <c r="E2440">
        <v>0.5</v>
      </c>
      <c r="F2440">
        <v>1</v>
      </c>
      <c r="G2440">
        <v>1</v>
      </c>
      <c r="H2440">
        <v>1</v>
      </c>
      <c r="I2440">
        <v>2</v>
      </c>
    </row>
    <row r="2441" spans="1:9">
      <c r="A2441" s="2">
        <v>1971</v>
      </c>
      <c r="B2441">
        <v>106</v>
      </c>
      <c r="C2441">
        <v>0.72087000000000001</v>
      </c>
      <c r="D2441">
        <v>0.52988000000000002</v>
      </c>
      <c r="E2441">
        <v>0.5</v>
      </c>
      <c r="F2441">
        <v>1</v>
      </c>
      <c r="G2441">
        <v>0</v>
      </c>
      <c r="H2441">
        <v>0</v>
      </c>
      <c r="I2441">
        <v>1</v>
      </c>
    </row>
    <row r="2442" spans="1:9">
      <c r="A2442" s="2">
        <v>1971</v>
      </c>
      <c r="B2442">
        <v>107</v>
      </c>
      <c r="C2442">
        <v>0.74197999999999997</v>
      </c>
      <c r="D2442">
        <v>0.54120000000000001</v>
      </c>
      <c r="E2442">
        <v>0.5</v>
      </c>
      <c r="F2442">
        <v>0</v>
      </c>
      <c r="G2442">
        <v>0</v>
      </c>
      <c r="H2442">
        <v>0</v>
      </c>
      <c r="I2442">
        <v>0</v>
      </c>
    </row>
    <row r="2443" spans="1:9">
      <c r="A2443" s="2">
        <v>1971</v>
      </c>
      <c r="B2443">
        <v>108</v>
      </c>
      <c r="C2443">
        <v>0.76202000000000003</v>
      </c>
      <c r="D2443">
        <v>0.55179</v>
      </c>
      <c r="E2443">
        <v>0.5</v>
      </c>
      <c r="F2443">
        <v>0</v>
      </c>
      <c r="G2443">
        <v>0</v>
      </c>
      <c r="H2443">
        <v>0</v>
      </c>
      <c r="I2443">
        <v>0</v>
      </c>
    </row>
    <row r="2444" spans="1:9">
      <c r="A2444" s="2">
        <v>1971</v>
      </c>
      <c r="B2444">
        <v>109</v>
      </c>
      <c r="C2444">
        <v>0.78097000000000005</v>
      </c>
      <c r="D2444">
        <v>0.56164999999999998</v>
      </c>
      <c r="E2444">
        <v>0.5</v>
      </c>
      <c r="F2444">
        <v>0</v>
      </c>
      <c r="G2444">
        <v>0</v>
      </c>
      <c r="H2444">
        <v>0</v>
      </c>
      <c r="I2444">
        <v>0</v>
      </c>
    </row>
    <row r="2445" spans="1:9">
      <c r="A2445" s="2">
        <v>1971</v>
      </c>
      <c r="B2445" t="s">
        <v>26</v>
      </c>
      <c r="C2445">
        <v>0.79879999999999995</v>
      </c>
      <c r="D2445">
        <v>1</v>
      </c>
      <c r="E2445" s="3" t="s">
        <v>39</v>
      </c>
      <c r="F2445">
        <v>0</v>
      </c>
      <c r="G2445">
        <v>0</v>
      </c>
      <c r="H2445">
        <v>0</v>
      </c>
      <c r="I2445">
        <v>0</v>
      </c>
    </row>
    <row r="2446" spans="1:9">
      <c r="A2446" s="2">
        <v>1972</v>
      </c>
      <c r="B2446">
        <v>0</v>
      </c>
      <c r="C2446">
        <v>3.8739999999999997E-2</v>
      </c>
      <c r="D2446">
        <v>3.7510000000000002E-2</v>
      </c>
      <c r="E2446">
        <v>0.15</v>
      </c>
      <c r="F2446">
        <v>100000</v>
      </c>
      <c r="G2446">
        <v>3751</v>
      </c>
      <c r="H2446">
        <v>96829</v>
      </c>
      <c r="I2446">
        <v>6681242</v>
      </c>
    </row>
    <row r="2447" spans="1:9">
      <c r="A2447" s="2">
        <v>1972</v>
      </c>
      <c r="B2447">
        <v>1</v>
      </c>
      <c r="C2447">
        <v>1.3500000000000001E-3</v>
      </c>
      <c r="D2447">
        <v>1.3500000000000001E-3</v>
      </c>
      <c r="E2447">
        <v>0.5</v>
      </c>
      <c r="F2447">
        <v>96249</v>
      </c>
      <c r="G2447">
        <v>130</v>
      </c>
      <c r="H2447">
        <v>96184</v>
      </c>
      <c r="I2447">
        <v>6584413</v>
      </c>
    </row>
    <row r="2448" spans="1:9">
      <c r="A2448" s="2">
        <v>1972</v>
      </c>
      <c r="B2448">
        <v>2</v>
      </c>
      <c r="C2448">
        <v>8.0000000000000004E-4</v>
      </c>
      <c r="D2448">
        <v>8.0000000000000004E-4</v>
      </c>
      <c r="E2448">
        <v>0.5</v>
      </c>
      <c r="F2448">
        <v>96119</v>
      </c>
      <c r="G2448">
        <v>77</v>
      </c>
      <c r="H2448">
        <v>96081</v>
      </c>
      <c r="I2448">
        <v>6488229</v>
      </c>
    </row>
    <row r="2449" spans="1:9">
      <c r="A2449" s="2">
        <v>1972</v>
      </c>
      <c r="B2449">
        <v>3</v>
      </c>
      <c r="C2449">
        <v>5.1000000000000004E-4</v>
      </c>
      <c r="D2449">
        <v>5.1000000000000004E-4</v>
      </c>
      <c r="E2449">
        <v>0.5</v>
      </c>
      <c r="F2449">
        <v>96043</v>
      </c>
      <c r="G2449">
        <v>49</v>
      </c>
      <c r="H2449">
        <v>96018</v>
      </c>
      <c r="I2449">
        <v>6392148</v>
      </c>
    </row>
    <row r="2450" spans="1:9">
      <c r="A2450" s="2">
        <v>1972</v>
      </c>
      <c r="B2450">
        <v>4</v>
      </c>
      <c r="C2450">
        <v>4.8999999999999998E-4</v>
      </c>
      <c r="D2450">
        <v>4.8999999999999998E-4</v>
      </c>
      <c r="E2450">
        <v>0.5</v>
      </c>
      <c r="F2450">
        <v>95994</v>
      </c>
      <c r="G2450">
        <v>47</v>
      </c>
      <c r="H2450">
        <v>95971</v>
      </c>
      <c r="I2450">
        <v>6296129</v>
      </c>
    </row>
    <row r="2451" spans="1:9">
      <c r="A2451" s="2">
        <v>1972</v>
      </c>
      <c r="B2451">
        <v>5</v>
      </c>
      <c r="C2451">
        <v>5.0000000000000001E-4</v>
      </c>
      <c r="D2451">
        <v>5.0000000000000001E-4</v>
      </c>
      <c r="E2451">
        <v>0.5</v>
      </c>
      <c r="F2451">
        <v>95947</v>
      </c>
      <c r="G2451">
        <v>48</v>
      </c>
      <c r="H2451">
        <v>95923</v>
      </c>
      <c r="I2451">
        <v>6200159</v>
      </c>
    </row>
    <row r="2452" spans="1:9">
      <c r="A2452" s="2">
        <v>1972</v>
      </c>
      <c r="B2452">
        <v>6</v>
      </c>
      <c r="C2452">
        <v>5.1000000000000004E-4</v>
      </c>
      <c r="D2452">
        <v>5.1000000000000004E-4</v>
      </c>
      <c r="E2452">
        <v>0.5</v>
      </c>
      <c r="F2452">
        <v>95900</v>
      </c>
      <c r="G2452">
        <v>49</v>
      </c>
      <c r="H2452">
        <v>95875</v>
      </c>
      <c r="I2452">
        <v>6104235</v>
      </c>
    </row>
    <row r="2453" spans="1:9">
      <c r="A2453" s="2">
        <v>1972</v>
      </c>
      <c r="B2453">
        <v>7</v>
      </c>
      <c r="C2453">
        <v>3.5E-4</v>
      </c>
      <c r="D2453">
        <v>3.5E-4</v>
      </c>
      <c r="E2453">
        <v>0.5</v>
      </c>
      <c r="F2453">
        <v>95851</v>
      </c>
      <c r="G2453">
        <v>34</v>
      </c>
      <c r="H2453">
        <v>95834</v>
      </c>
      <c r="I2453">
        <v>6008360</v>
      </c>
    </row>
    <row r="2454" spans="1:9">
      <c r="A2454" s="2">
        <v>1972</v>
      </c>
      <c r="B2454">
        <v>8</v>
      </c>
      <c r="C2454">
        <v>3.5E-4</v>
      </c>
      <c r="D2454">
        <v>3.5E-4</v>
      </c>
      <c r="E2454">
        <v>0.5</v>
      </c>
      <c r="F2454">
        <v>95817</v>
      </c>
      <c r="G2454">
        <v>34</v>
      </c>
      <c r="H2454">
        <v>95800</v>
      </c>
      <c r="I2454">
        <v>5912526</v>
      </c>
    </row>
    <row r="2455" spans="1:9">
      <c r="A2455" s="2">
        <v>1972</v>
      </c>
      <c r="B2455">
        <v>9</v>
      </c>
      <c r="C2455">
        <v>6.2E-4</v>
      </c>
      <c r="D2455">
        <v>6.2E-4</v>
      </c>
      <c r="E2455">
        <v>0.5</v>
      </c>
      <c r="F2455">
        <v>95783</v>
      </c>
      <c r="G2455">
        <v>60</v>
      </c>
      <c r="H2455">
        <v>95754</v>
      </c>
      <c r="I2455">
        <v>5816726</v>
      </c>
    </row>
    <row r="2456" spans="1:9">
      <c r="A2456" s="2">
        <v>1972</v>
      </c>
      <c r="B2456">
        <v>10</v>
      </c>
      <c r="C2456">
        <v>3.5E-4</v>
      </c>
      <c r="D2456">
        <v>3.5E-4</v>
      </c>
      <c r="E2456">
        <v>0.5</v>
      </c>
      <c r="F2456">
        <v>95724</v>
      </c>
      <c r="G2456">
        <v>33</v>
      </c>
      <c r="H2456">
        <v>95707</v>
      </c>
      <c r="I2456">
        <v>5720972</v>
      </c>
    </row>
    <row r="2457" spans="1:9">
      <c r="A2457" s="2">
        <v>1972</v>
      </c>
      <c r="B2457">
        <v>11</v>
      </c>
      <c r="C2457">
        <v>3.8999999999999999E-4</v>
      </c>
      <c r="D2457">
        <v>3.8999999999999999E-4</v>
      </c>
      <c r="E2457">
        <v>0.5</v>
      </c>
      <c r="F2457">
        <v>95690</v>
      </c>
      <c r="G2457">
        <v>37</v>
      </c>
      <c r="H2457">
        <v>95672</v>
      </c>
      <c r="I2457">
        <v>5625265</v>
      </c>
    </row>
    <row r="2458" spans="1:9">
      <c r="A2458" s="2">
        <v>1972</v>
      </c>
      <c r="B2458">
        <v>12</v>
      </c>
      <c r="C2458">
        <v>4.0000000000000002E-4</v>
      </c>
      <c r="D2458">
        <v>4.0000000000000002E-4</v>
      </c>
      <c r="E2458">
        <v>0.5</v>
      </c>
      <c r="F2458">
        <v>95653</v>
      </c>
      <c r="G2458">
        <v>38</v>
      </c>
      <c r="H2458">
        <v>95634</v>
      </c>
      <c r="I2458">
        <v>5529593</v>
      </c>
    </row>
    <row r="2459" spans="1:9">
      <c r="A2459" s="2">
        <v>1972</v>
      </c>
      <c r="B2459">
        <v>13</v>
      </c>
      <c r="C2459">
        <v>3.6999999999999999E-4</v>
      </c>
      <c r="D2459">
        <v>3.6999999999999999E-4</v>
      </c>
      <c r="E2459">
        <v>0.5</v>
      </c>
      <c r="F2459">
        <v>95615</v>
      </c>
      <c r="G2459">
        <v>36</v>
      </c>
      <c r="H2459">
        <v>95597</v>
      </c>
      <c r="I2459">
        <v>5433959</v>
      </c>
    </row>
    <row r="2460" spans="1:9">
      <c r="A2460" s="2">
        <v>1972</v>
      </c>
      <c r="B2460">
        <v>14</v>
      </c>
      <c r="C2460">
        <v>5.1999999999999995E-4</v>
      </c>
      <c r="D2460">
        <v>5.1999999999999995E-4</v>
      </c>
      <c r="E2460">
        <v>0.5</v>
      </c>
      <c r="F2460">
        <v>95579</v>
      </c>
      <c r="G2460">
        <v>49</v>
      </c>
      <c r="H2460">
        <v>95554</v>
      </c>
      <c r="I2460">
        <v>5338362</v>
      </c>
    </row>
    <row r="2461" spans="1:9">
      <c r="A2461" s="2">
        <v>1972</v>
      </c>
      <c r="B2461">
        <v>15</v>
      </c>
      <c r="C2461">
        <v>6.7000000000000002E-4</v>
      </c>
      <c r="D2461">
        <v>6.7000000000000002E-4</v>
      </c>
      <c r="E2461">
        <v>0.5</v>
      </c>
      <c r="F2461">
        <v>95530</v>
      </c>
      <c r="G2461">
        <v>64</v>
      </c>
      <c r="H2461">
        <v>95498</v>
      </c>
      <c r="I2461">
        <v>5242808</v>
      </c>
    </row>
    <row r="2462" spans="1:9">
      <c r="A2462" s="2">
        <v>1972</v>
      </c>
      <c r="B2462">
        <v>16</v>
      </c>
      <c r="C2462">
        <v>6.3000000000000003E-4</v>
      </c>
      <c r="D2462">
        <v>6.3000000000000003E-4</v>
      </c>
      <c r="E2462">
        <v>0.5</v>
      </c>
      <c r="F2462">
        <v>95466</v>
      </c>
      <c r="G2462">
        <v>60</v>
      </c>
      <c r="H2462">
        <v>95436</v>
      </c>
      <c r="I2462">
        <v>5147310</v>
      </c>
    </row>
    <row r="2463" spans="1:9">
      <c r="A2463" s="2">
        <v>1972</v>
      </c>
      <c r="B2463">
        <v>17</v>
      </c>
      <c r="C2463">
        <v>8.1999999999999998E-4</v>
      </c>
      <c r="D2463">
        <v>8.1999999999999998E-4</v>
      </c>
      <c r="E2463">
        <v>0.5</v>
      </c>
      <c r="F2463">
        <v>95406</v>
      </c>
      <c r="G2463">
        <v>78</v>
      </c>
      <c r="H2463">
        <v>95366</v>
      </c>
      <c r="I2463">
        <v>5051874</v>
      </c>
    </row>
    <row r="2464" spans="1:9">
      <c r="A2464" s="2">
        <v>1972</v>
      </c>
      <c r="B2464">
        <v>18</v>
      </c>
      <c r="C2464">
        <v>1.1900000000000001E-3</v>
      </c>
      <c r="D2464">
        <v>1.1900000000000001E-3</v>
      </c>
      <c r="E2464">
        <v>0.5</v>
      </c>
      <c r="F2464">
        <v>95327</v>
      </c>
      <c r="G2464">
        <v>113</v>
      </c>
      <c r="H2464">
        <v>95271</v>
      </c>
      <c r="I2464">
        <v>4956508</v>
      </c>
    </row>
    <row r="2465" spans="1:9">
      <c r="A2465" s="2">
        <v>1972</v>
      </c>
      <c r="B2465">
        <v>19</v>
      </c>
      <c r="C2465">
        <v>1.5499999999999999E-3</v>
      </c>
      <c r="D2465">
        <v>1.5499999999999999E-3</v>
      </c>
      <c r="E2465">
        <v>0.5</v>
      </c>
      <c r="F2465">
        <v>95214</v>
      </c>
      <c r="G2465">
        <v>148</v>
      </c>
      <c r="H2465">
        <v>95140</v>
      </c>
      <c r="I2465">
        <v>4861238</v>
      </c>
    </row>
    <row r="2466" spans="1:9">
      <c r="A2466" s="2">
        <v>1972</v>
      </c>
      <c r="B2466">
        <v>20</v>
      </c>
      <c r="C2466">
        <v>1.4499999999999999E-3</v>
      </c>
      <c r="D2466">
        <v>1.4499999999999999E-3</v>
      </c>
      <c r="E2466">
        <v>0.5</v>
      </c>
      <c r="F2466">
        <v>95066</v>
      </c>
      <c r="G2466">
        <v>138</v>
      </c>
      <c r="H2466">
        <v>94997</v>
      </c>
      <c r="I2466">
        <v>4766098</v>
      </c>
    </row>
    <row r="2467" spans="1:9">
      <c r="A2467" s="2">
        <v>1972</v>
      </c>
      <c r="B2467">
        <v>21</v>
      </c>
      <c r="C2467">
        <v>1.33E-3</v>
      </c>
      <c r="D2467">
        <v>1.33E-3</v>
      </c>
      <c r="E2467">
        <v>0.5</v>
      </c>
      <c r="F2467">
        <v>94928</v>
      </c>
      <c r="G2467">
        <v>126</v>
      </c>
      <c r="H2467">
        <v>94865</v>
      </c>
      <c r="I2467">
        <v>4671100</v>
      </c>
    </row>
    <row r="2468" spans="1:9">
      <c r="A2468" s="2">
        <v>1972</v>
      </c>
      <c r="B2468">
        <v>22</v>
      </c>
      <c r="C2468">
        <v>1.73E-3</v>
      </c>
      <c r="D2468">
        <v>1.72E-3</v>
      </c>
      <c r="E2468">
        <v>0.5</v>
      </c>
      <c r="F2468">
        <v>94802</v>
      </c>
      <c r="G2468">
        <v>163</v>
      </c>
      <c r="H2468">
        <v>94720</v>
      </c>
      <c r="I2468">
        <v>4576235</v>
      </c>
    </row>
    <row r="2469" spans="1:9">
      <c r="A2469" s="2">
        <v>1972</v>
      </c>
      <c r="B2469">
        <v>23</v>
      </c>
      <c r="C2469">
        <v>1.42E-3</v>
      </c>
      <c r="D2469">
        <v>1.42E-3</v>
      </c>
      <c r="E2469">
        <v>0.5</v>
      </c>
      <c r="F2469">
        <v>94639</v>
      </c>
      <c r="G2469">
        <v>135</v>
      </c>
      <c r="H2469">
        <v>94571</v>
      </c>
      <c r="I2469">
        <v>4481515</v>
      </c>
    </row>
    <row r="2470" spans="1:9">
      <c r="A2470" s="2">
        <v>1972</v>
      </c>
      <c r="B2470">
        <v>24</v>
      </c>
      <c r="C2470">
        <v>1.7899999999999999E-3</v>
      </c>
      <c r="D2470">
        <v>1.7799999999999999E-3</v>
      </c>
      <c r="E2470">
        <v>0.5</v>
      </c>
      <c r="F2470">
        <v>94504</v>
      </c>
      <c r="G2470">
        <v>169</v>
      </c>
      <c r="H2470">
        <v>94420</v>
      </c>
      <c r="I2470">
        <v>4386943</v>
      </c>
    </row>
    <row r="2471" spans="1:9">
      <c r="A2471" s="2">
        <v>1972</v>
      </c>
      <c r="B2471">
        <v>25</v>
      </c>
      <c r="C2471">
        <v>1.6199999999999999E-3</v>
      </c>
      <c r="D2471">
        <v>1.6199999999999999E-3</v>
      </c>
      <c r="E2471">
        <v>0.5</v>
      </c>
      <c r="F2471">
        <v>94336</v>
      </c>
      <c r="G2471">
        <v>153</v>
      </c>
      <c r="H2471">
        <v>94259</v>
      </c>
      <c r="I2471">
        <v>4292523</v>
      </c>
    </row>
    <row r="2472" spans="1:9">
      <c r="A2472" s="2">
        <v>1972</v>
      </c>
      <c r="B2472">
        <v>26</v>
      </c>
      <c r="C2472">
        <v>1.7899999999999999E-3</v>
      </c>
      <c r="D2472">
        <v>1.7899999999999999E-3</v>
      </c>
      <c r="E2472">
        <v>0.5</v>
      </c>
      <c r="F2472">
        <v>94183</v>
      </c>
      <c r="G2472">
        <v>169</v>
      </c>
      <c r="H2472">
        <v>94099</v>
      </c>
      <c r="I2472">
        <v>4198264</v>
      </c>
    </row>
    <row r="2473" spans="1:9">
      <c r="A2473" s="2">
        <v>1972</v>
      </c>
      <c r="B2473">
        <v>27</v>
      </c>
      <c r="C2473">
        <v>1.5399999999999999E-3</v>
      </c>
      <c r="D2473">
        <v>1.5399999999999999E-3</v>
      </c>
      <c r="E2473">
        <v>0.5</v>
      </c>
      <c r="F2473">
        <v>94014</v>
      </c>
      <c r="G2473">
        <v>145</v>
      </c>
      <c r="H2473">
        <v>93942</v>
      </c>
      <c r="I2473">
        <v>4104165</v>
      </c>
    </row>
    <row r="2474" spans="1:9">
      <c r="A2474" s="2">
        <v>1972</v>
      </c>
      <c r="B2474">
        <v>28</v>
      </c>
      <c r="C2474">
        <v>1.8500000000000001E-3</v>
      </c>
      <c r="D2474">
        <v>1.8500000000000001E-3</v>
      </c>
      <c r="E2474">
        <v>0.5</v>
      </c>
      <c r="F2474">
        <v>93869</v>
      </c>
      <c r="G2474">
        <v>174</v>
      </c>
      <c r="H2474">
        <v>93783</v>
      </c>
      <c r="I2474">
        <v>4010223</v>
      </c>
    </row>
    <row r="2475" spans="1:9">
      <c r="A2475" s="2">
        <v>1972</v>
      </c>
      <c r="B2475">
        <v>29</v>
      </c>
      <c r="C2475">
        <v>1.5399999999999999E-3</v>
      </c>
      <c r="D2475">
        <v>1.5399999999999999E-3</v>
      </c>
      <c r="E2475">
        <v>0.5</v>
      </c>
      <c r="F2475">
        <v>93696</v>
      </c>
      <c r="G2475">
        <v>144</v>
      </c>
      <c r="H2475">
        <v>93624</v>
      </c>
      <c r="I2475">
        <v>3916441</v>
      </c>
    </row>
    <row r="2476" spans="1:9">
      <c r="A2476" s="2">
        <v>1972</v>
      </c>
      <c r="B2476">
        <v>30</v>
      </c>
      <c r="C2476">
        <v>2.2399999999999998E-3</v>
      </c>
      <c r="D2476">
        <v>2.2399999999999998E-3</v>
      </c>
      <c r="E2476">
        <v>0.5</v>
      </c>
      <c r="F2476">
        <v>93552</v>
      </c>
      <c r="G2476">
        <v>209</v>
      </c>
      <c r="H2476">
        <v>93447</v>
      </c>
      <c r="I2476">
        <v>3822817</v>
      </c>
    </row>
    <row r="2477" spans="1:9">
      <c r="A2477" s="2">
        <v>1972</v>
      </c>
      <c r="B2477">
        <v>31</v>
      </c>
      <c r="C2477">
        <v>1.73E-3</v>
      </c>
      <c r="D2477">
        <v>1.73E-3</v>
      </c>
      <c r="E2477">
        <v>0.5</v>
      </c>
      <c r="F2477">
        <v>93342</v>
      </c>
      <c r="G2477">
        <v>161</v>
      </c>
      <c r="H2477">
        <v>93262</v>
      </c>
      <c r="I2477">
        <v>3729370</v>
      </c>
    </row>
    <row r="2478" spans="1:9">
      <c r="A2478" s="2">
        <v>1972</v>
      </c>
      <c r="B2478">
        <v>32</v>
      </c>
      <c r="C2478">
        <v>2.1299999999999999E-3</v>
      </c>
      <c r="D2478">
        <v>2.1299999999999999E-3</v>
      </c>
      <c r="E2478">
        <v>0.5</v>
      </c>
      <c r="F2478">
        <v>93181</v>
      </c>
      <c r="G2478">
        <v>198</v>
      </c>
      <c r="H2478">
        <v>93082</v>
      </c>
      <c r="I2478">
        <v>3636108</v>
      </c>
    </row>
    <row r="2479" spans="1:9">
      <c r="A2479" s="2">
        <v>1972</v>
      </c>
      <c r="B2479">
        <v>33</v>
      </c>
      <c r="C2479">
        <v>2.0200000000000001E-3</v>
      </c>
      <c r="D2479">
        <v>2.0200000000000001E-3</v>
      </c>
      <c r="E2479">
        <v>0.5</v>
      </c>
      <c r="F2479">
        <v>92983</v>
      </c>
      <c r="G2479">
        <v>188</v>
      </c>
      <c r="H2479">
        <v>92889</v>
      </c>
      <c r="I2479">
        <v>3543026</v>
      </c>
    </row>
    <row r="2480" spans="1:9">
      <c r="A2480" s="2">
        <v>1972</v>
      </c>
      <c r="B2480">
        <v>34</v>
      </c>
      <c r="C2480">
        <v>2.3600000000000001E-3</v>
      </c>
      <c r="D2480">
        <v>2.3600000000000001E-3</v>
      </c>
      <c r="E2480">
        <v>0.5</v>
      </c>
      <c r="F2480">
        <v>92795</v>
      </c>
      <c r="G2480">
        <v>219</v>
      </c>
      <c r="H2480">
        <v>92686</v>
      </c>
      <c r="I2480">
        <v>3450138</v>
      </c>
    </row>
    <row r="2481" spans="1:9">
      <c r="A2481" s="2">
        <v>1972</v>
      </c>
      <c r="B2481">
        <v>35</v>
      </c>
      <c r="C2481">
        <v>2.4099999999999998E-3</v>
      </c>
      <c r="D2481">
        <v>2.4099999999999998E-3</v>
      </c>
      <c r="E2481">
        <v>0.5</v>
      </c>
      <c r="F2481">
        <v>92576</v>
      </c>
      <c r="G2481">
        <v>223</v>
      </c>
      <c r="H2481">
        <v>92465</v>
      </c>
      <c r="I2481">
        <v>3357452</v>
      </c>
    </row>
    <row r="2482" spans="1:9">
      <c r="A2482" s="2">
        <v>1972</v>
      </c>
      <c r="B2482">
        <v>36</v>
      </c>
      <c r="C2482">
        <v>2.8600000000000001E-3</v>
      </c>
      <c r="D2482">
        <v>2.8500000000000001E-3</v>
      </c>
      <c r="E2482">
        <v>0.5</v>
      </c>
      <c r="F2482">
        <v>92353</v>
      </c>
      <c r="G2482">
        <v>263</v>
      </c>
      <c r="H2482">
        <v>92221</v>
      </c>
      <c r="I2482">
        <v>3264987</v>
      </c>
    </row>
    <row r="2483" spans="1:9">
      <c r="A2483" s="2">
        <v>1972</v>
      </c>
      <c r="B2483">
        <v>37</v>
      </c>
      <c r="C2483">
        <v>2.9499999999999999E-3</v>
      </c>
      <c r="D2483">
        <v>2.9499999999999999E-3</v>
      </c>
      <c r="E2483">
        <v>0.5</v>
      </c>
      <c r="F2483">
        <v>92090</v>
      </c>
      <c r="G2483">
        <v>271</v>
      </c>
      <c r="H2483">
        <v>91954</v>
      </c>
      <c r="I2483">
        <v>3172766</v>
      </c>
    </row>
    <row r="2484" spans="1:9">
      <c r="A2484" s="2">
        <v>1972</v>
      </c>
      <c r="B2484">
        <v>38</v>
      </c>
      <c r="C2484">
        <v>3.0500000000000002E-3</v>
      </c>
      <c r="D2484">
        <v>3.0500000000000002E-3</v>
      </c>
      <c r="E2484">
        <v>0.5</v>
      </c>
      <c r="F2484">
        <v>91818</v>
      </c>
      <c r="G2484">
        <v>280</v>
      </c>
      <c r="H2484">
        <v>91678</v>
      </c>
      <c r="I2484">
        <v>3080812</v>
      </c>
    </row>
    <row r="2485" spans="1:9">
      <c r="A2485" s="2">
        <v>1972</v>
      </c>
      <c r="B2485">
        <v>39</v>
      </c>
      <c r="C2485">
        <v>3.48E-3</v>
      </c>
      <c r="D2485">
        <v>3.48E-3</v>
      </c>
      <c r="E2485">
        <v>0.5</v>
      </c>
      <c r="F2485">
        <v>91539</v>
      </c>
      <c r="G2485">
        <v>318</v>
      </c>
      <c r="H2485">
        <v>91379</v>
      </c>
      <c r="I2485">
        <v>2989133</v>
      </c>
    </row>
    <row r="2486" spans="1:9">
      <c r="A2486" s="2">
        <v>1972</v>
      </c>
      <c r="B2486">
        <v>40</v>
      </c>
      <c r="C2486">
        <v>3.5200000000000001E-3</v>
      </c>
      <c r="D2486">
        <v>3.5200000000000001E-3</v>
      </c>
      <c r="E2486">
        <v>0.5</v>
      </c>
      <c r="F2486">
        <v>91220</v>
      </c>
      <c r="G2486">
        <v>321</v>
      </c>
      <c r="H2486">
        <v>91060</v>
      </c>
      <c r="I2486">
        <v>2897754</v>
      </c>
    </row>
    <row r="2487" spans="1:9">
      <c r="A2487" s="2">
        <v>1972</v>
      </c>
      <c r="B2487">
        <v>41</v>
      </c>
      <c r="C2487">
        <v>4.1700000000000001E-3</v>
      </c>
      <c r="D2487">
        <v>4.1599999999999996E-3</v>
      </c>
      <c r="E2487">
        <v>0.5</v>
      </c>
      <c r="F2487">
        <v>90899</v>
      </c>
      <c r="G2487">
        <v>378</v>
      </c>
      <c r="H2487">
        <v>90710</v>
      </c>
      <c r="I2487">
        <v>2806694</v>
      </c>
    </row>
    <row r="2488" spans="1:9">
      <c r="A2488" s="2">
        <v>1972</v>
      </c>
      <c r="B2488">
        <v>42</v>
      </c>
      <c r="C2488">
        <v>4.5700000000000003E-3</v>
      </c>
      <c r="D2488">
        <v>4.5599999999999998E-3</v>
      </c>
      <c r="E2488">
        <v>0.5</v>
      </c>
      <c r="F2488">
        <v>90521</v>
      </c>
      <c r="G2488">
        <v>413</v>
      </c>
      <c r="H2488">
        <v>90315</v>
      </c>
      <c r="I2488">
        <v>2715984</v>
      </c>
    </row>
    <row r="2489" spans="1:9">
      <c r="A2489" s="2">
        <v>1972</v>
      </c>
      <c r="B2489">
        <v>43</v>
      </c>
      <c r="C2489">
        <v>4.4600000000000004E-3</v>
      </c>
      <c r="D2489">
        <v>4.45E-3</v>
      </c>
      <c r="E2489">
        <v>0.5</v>
      </c>
      <c r="F2489">
        <v>90109</v>
      </c>
      <c r="G2489">
        <v>401</v>
      </c>
      <c r="H2489">
        <v>89908</v>
      </c>
      <c r="I2489">
        <v>2625669</v>
      </c>
    </row>
    <row r="2490" spans="1:9">
      <c r="A2490" s="2">
        <v>1972</v>
      </c>
      <c r="B2490">
        <v>44</v>
      </c>
      <c r="C2490">
        <v>5.3200000000000001E-3</v>
      </c>
      <c r="D2490">
        <v>5.3E-3</v>
      </c>
      <c r="E2490">
        <v>0.5</v>
      </c>
      <c r="F2490">
        <v>89708</v>
      </c>
      <c r="G2490">
        <v>476</v>
      </c>
      <c r="H2490">
        <v>89470</v>
      </c>
      <c r="I2490">
        <v>2535761</v>
      </c>
    </row>
    <row r="2491" spans="1:9">
      <c r="A2491" s="2">
        <v>1972</v>
      </c>
      <c r="B2491">
        <v>45</v>
      </c>
      <c r="C2491">
        <v>5.5399999999999998E-3</v>
      </c>
      <c r="D2491">
        <v>5.5199999999999997E-3</v>
      </c>
      <c r="E2491">
        <v>0.5</v>
      </c>
      <c r="F2491">
        <v>89232</v>
      </c>
      <c r="G2491">
        <v>493</v>
      </c>
      <c r="H2491">
        <v>88985</v>
      </c>
      <c r="I2491">
        <v>2446291</v>
      </c>
    </row>
    <row r="2492" spans="1:9">
      <c r="A2492" s="2">
        <v>1972</v>
      </c>
      <c r="B2492">
        <v>46</v>
      </c>
      <c r="C2492">
        <v>6.45E-3</v>
      </c>
      <c r="D2492">
        <v>6.43E-3</v>
      </c>
      <c r="E2492">
        <v>0.5</v>
      </c>
      <c r="F2492">
        <v>88739</v>
      </c>
      <c r="G2492">
        <v>571</v>
      </c>
      <c r="H2492">
        <v>88454</v>
      </c>
      <c r="I2492">
        <v>2357305</v>
      </c>
    </row>
    <row r="2493" spans="1:9">
      <c r="A2493" s="2">
        <v>1972</v>
      </c>
      <c r="B2493">
        <v>47</v>
      </c>
      <c r="C2493">
        <v>6.5599999999999999E-3</v>
      </c>
      <c r="D2493">
        <v>6.5399999999999998E-3</v>
      </c>
      <c r="E2493">
        <v>0.5</v>
      </c>
      <c r="F2493">
        <v>88168</v>
      </c>
      <c r="G2493">
        <v>577</v>
      </c>
      <c r="H2493">
        <v>87880</v>
      </c>
      <c r="I2493">
        <v>2268852</v>
      </c>
    </row>
    <row r="2494" spans="1:9">
      <c r="A2494" s="2">
        <v>1972</v>
      </c>
      <c r="B2494">
        <v>48</v>
      </c>
      <c r="C2494">
        <v>7.1999999999999998E-3</v>
      </c>
      <c r="D2494">
        <v>7.1799999999999998E-3</v>
      </c>
      <c r="E2494">
        <v>0.5</v>
      </c>
      <c r="F2494">
        <v>87592</v>
      </c>
      <c r="G2494">
        <v>629</v>
      </c>
      <c r="H2494">
        <v>87277</v>
      </c>
      <c r="I2494">
        <v>2180972</v>
      </c>
    </row>
    <row r="2495" spans="1:9">
      <c r="A2495" s="2">
        <v>1972</v>
      </c>
      <c r="B2495">
        <v>49</v>
      </c>
      <c r="C2495">
        <v>7.6299999999999996E-3</v>
      </c>
      <c r="D2495">
        <v>7.6E-3</v>
      </c>
      <c r="E2495">
        <v>0.5</v>
      </c>
      <c r="F2495">
        <v>86963</v>
      </c>
      <c r="G2495">
        <v>661</v>
      </c>
      <c r="H2495">
        <v>86632</v>
      </c>
      <c r="I2495">
        <v>2093695</v>
      </c>
    </row>
    <row r="2496" spans="1:9">
      <c r="A2496" s="2">
        <v>1972</v>
      </c>
      <c r="B2496">
        <v>50</v>
      </c>
      <c r="C2496">
        <v>8.1799999999999998E-3</v>
      </c>
      <c r="D2496">
        <v>8.1399999999999997E-3</v>
      </c>
      <c r="E2496">
        <v>0.5</v>
      </c>
      <c r="F2496">
        <v>86302</v>
      </c>
      <c r="G2496">
        <v>703</v>
      </c>
      <c r="H2496">
        <v>85950</v>
      </c>
      <c r="I2496">
        <v>2007062</v>
      </c>
    </row>
    <row r="2497" spans="1:9">
      <c r="A2497" s="2">
        <v>1972</v>
      </c>
      <c r="B2497">
        <v>51</v>
      </c>
      <c r="C2497">
        <v>8.6099999999999996E-3</v>
      </c>
      <c r="D2497">
        <v>8.5699999999999995E-3</v>
      </c>
      <c r="E2497">
        <v>0.5</v>
      </c>
      <c r="F2497">
        <v>85599</v>
      </c>
      <c r="G2497">
        <v>734</v>
      </c>
      <c r="H2497">
        <v>85232</v>
      </c>
      <c r="I2497">
        <v>1921112</v>
      </c>
    </row>
    <row r="2498" spans="1:9">
      <c r="A2498" s="2">
        <v>1972</v>
      </c>
      <c r="B2498">
        <v>52</v>
      </c>
      <c r="C2498">
        <v>1.1050000000000001E-2</v>
      </c>
      <c r="D2498">
        <v>1.099E-2</v>
      </c>
      <c r="E2498">
        <v>0.5</v>
      </c>
      <c r="F2498">
        <v>84865</v>
      </c>
      <c r="G2498">
        <v>933</v>
      </c>
      <c r="H2498">
        <v>84399</v>
      </c>
      <c r="I2498">
        <v>1835880</v>
      </c>
    </row>
    <row r="2499" spans="1:9">
      <c r="A2499" s="2">
        <v>1972</v>
      </c>
      <c r="B2499">
        <v>53</v>
      </c>
      <c r="C2499">
        <v>9.92E-3</v>
      </c>
      <c r="D2499">
        <v>9.8700000000000003E-3</v>
      </c>
      <c r="E2499">
        <v>0.5</v>
      </c>
      <c r="F2499">
        <v>83933</v>
      </c>
      <c r="G2499">
        <v>828</v>
      </c>
      <c r="H2499">
        <v>83519</v>
      </c>
      <c r="I2499">
        <v>1751481</v>
      </c>
    </row>
    <row r="2500" spans="1:9">
      <c r="A2500" s="2">
        <v>1972</v>
      </c>
      <c r="B2500">
        <v>54</v>
      </c>
      <c r="C2500">
        <v>1.1089999999999999E-2</v>
      </c>
      <c r="D2500">
        <v>1.103E-2</v>
      </c>
      <c r="E2500">
        <v>0.5</v>
      </c>
      <c r="F2500">
        <v>83105</v>
      </c>
      <c r="G2500">
        <v>916</v>
      </c>
      <c r="H2500">
        <v>82647</v>
      </c>
      <c r="I2500">
        <v>1667962</v>
      </c>
    </row>
    <row r="2501" spans="1:9">
      <c r="A2501" s="2">
        <v>1972</v>
      </c>
      <c r="B2501">
        <v>55</v>
      </c>
      <c r="C2501">
        <v>1.3169999999999999E-2</v>
      </c>
      <c r="D2501">
        <v>1.3089999999999999E-2</v>
      </c>
      <c r="E2501">
        <v>0.5</v>
      </c>
      <c r="F2501">
        <v>82189</v>
      </c>
      <c r="G2501">
        <v>1076</v>
      </c>
      <c r="H2501">
        <v>81651</v>
      </c>
      <c r="I2501">
        <v>1585315</v>
      </c>
    </row>
    <row r="2502" spans="1:9">
      <c r="A2502" s="2">
        <v>1972</v>
      </c>
      <c r="B2502">
        <v>56</v>
      </c>
      <c r="C2502">
        <v>1.213E-2</v>
      </c>
      <c r="D2502">
        <v>1.206E-2</v>
      </c>
      <c r="E2502">
        <v>0.5</v>
      </c>
      <c r="F2502">
        <v>81113</v>
      </c>
      <c r="G2502">
        <v>978</v>
      </c>
      <c r="H2502">
        <v>80624</v>
      </c>
      <c r="I2502">
        <v>1503665</v>
      </c>
    </row>
    <row r="2503" spans="1:9">
      <c r="A2503" s="2">
        <v>1972</v>
      </c>
      <c r="B2503">
        <v>57</v>
      </c>
      <c r="C2503">
        <v>1.5740000000000001E-2</v>
      </c>
      <c r="D2503">
        <v>1.562E-2</v>
      </c>
      <c r="E2503">
        <v>0.5</v>
      </c>
      <c r="F2503">
        <v>80135</v>
      </c>
      <c r="G2503">
        <v>1251</v>
      </c>
      <c r="H2503">
        <v>79509</v>
      </c>
      <c r="I2503">
        <v>1423041</v>
      </c>
    </row>
    <row r="2504" spans="1:9">
      <c r="A2504" s="2">
        <v>1972</v>
      </c>
      <c r="B2504">
        <v>58</v>
      </c>
      <c r="C2504">
        <v>1.6660000000000001E-2</v>
      </c>
      <c r="D2504">
        <v>1.652E-2</v>
      </c>
      <c r="E2504">
        <v>0.5</v>
      </c>
      <c r="F2504">
        <v>78883</v>
      </c>
      <c r="G2504">
        <v>1303</v>
      </c>
      <c r="H2504">
        <v>78232</v>
      </c>
      <c r="I2504">
        <v>1343531</v>
      </c>
    </row>
    <row r="2505" spans="1:9">
      <c r="A2505" s="2">
        <v>1972</v>
      </c>
      <c r="B2505">
        <v>59</v>
      </c>
      <c r="C2505">
        <v>1.753E-2</v>
      </c>
      <c r="D2505">
        <v>1.738E-2</v>
      </c>
      <c r="E2505">
        <v>0.5</v>
      </c>
      <c r="F2505">
        <v>77580</v>
      </c>
      <c r="G2505">
        <v>1348</v>
      </c>
      <c r="H2505">
        <v>76906</v>
      </c>
      <c r="I2505">
        <v>1265300</v>
      </c>
    </row>
    <row r="2506" spans="1:9">
      <c r="A2506" s="2">
        <v>1972</v>
      </c>
      <c r="B2506">
        <v>60</v>
      </c>
      <c r="C2506">
        <v>1.899E-2</v>
      </c>
      <c r="D2506">
        <v>1.881E-2</v>
      </c>
      <c r="E2506">
        <v>0.5</v>
      </c>
      <c r="F2506">
        <v>76232</v>
      </c>
      <c r="G2506">
        <v>1434</v>
      </c>
      <c r="H2506">
        <v>75515</v>
      </c>
      <c r="I2506">
        <v>1188394</v>
      </c>
    </row>
    <row r="2507" spans="1:9">
      <c r="A2507" s="2">
        <v>1972</v>
      </c>
      <c r="B2507">
        <v>61</v>
      </c>
      <c r="C2507">
        <v>2.2700000000000001E-2</v>
      </c>
      <c r="D2507">
        <v>2.2450000000000001E-2</v>
      </c>
      <c r="E2507">
        <v>0.5</v>
      </c>
      <c r="F2507">
        <v>74797</v>
      </c>
      <c r="G2507">
        <v>1679</v>
      </c>
      <c r="H2507">
        <v>73958</v>
      </c>
      <c r="I2507">
        <v>1112879</v>
      </c>
    </row>
    <row r="2508" spans="1:9">
      <c r="A2508" s="2">
        <v>1972</v>
      </c>
      <c r="B2508">
        <v>62</v>
      </c>
      <c r="C2508">
        <v>2.5010000000000001E-2</v>
      </c>
      <c r="D2508">
        <v>2.4709999999999999E-2</v>
      </c>
      <c r="E2508">
        <v>0.5</v>
      </c>
      <c r="F2508">
        <v>73118</v>
      </c>
      <c r="G2508">
        <v>1806</v>
      </c>
      <c r="H2508">
        <v>72215</v>
      </c>
      <c r="I2508">
        <v>1038922</v>
      </c>
    </row>
    <row r="2509" spans="1:9">
      <c r="A2509" s="2">
        <v>1972</v>
      </c>
      <c r="B2509">
        <v>63</v>
      </c>
      <c r="C2509">
        <v>2.631E-2</v>
      </c>
      <c r="D2509">
        <v>2.597E-2</v>
      </c>
      <c r="E2509">
        <v>0.5</v>
      </c>
      <c r="F2509">
        <v>71312</v>
      </c>
      <c r="G2509">
        <v>1852</v>
      </c>
      <c r="H2509">
        <v>70386</v>
      </c>
      <c r="I2509">
        <v>966706</v>
      </c>
    </row>
    <row r="2510" spans="1:9">
      <c r="A2510" s="2">
        <v>1972</v>
      </c>
      <c r="B2510">
        <v>64</v>
      </c>
      <c r="C2510">
        <v>3.065E-2</v>
      </c>
      <c r="D2510">
        <v>3.0190000000000002E-2</v>
      </c>
      <c r="E2510">
        <v>0.5</v>
      </c>
      <c r="F2510">
        <v>69460</v>
      </c>
      <c r="G2510">
        <v>2097</v>
      </c>
      <c r="H2510">
        <v>68411</v>
      </c>
      <c r="I2510">
        <v>896321</v>
      </c>
    </row>
    <row r="2511" spans="1:9">
      <c r="A2511" s="2">
        <v>1972</v>
      </c>
      <c r="B2511">
        <v>65</v>
      </c>
      <c r="C2511">
        <v>3.2669999999999998E-2</v>
      </c>
      <c r="D2511">
        <v>3.2149999999999998E-2</v>
      </c>
      <c r="E2511">
        <v>0.5</v>
      </c>
      <c r="F2511">
        <v>67363</v>
      </c>
      <c r="G2511">
        <v>2166</v>
      </c>
      <c r="H2511">
        <v>66280</v>
      </c>
      <c r="I2511">
        <v>827909</v>
      </c>
    </row>
    <row r="2512" spans="1:9">
      <c r="A2512" s="2">
        <v>1972</v>
      </c>
      <c r="B2512">
        <v>66</v>
      </c>
      <c r="C2512">
        <v>3.6519999999999997E-2</v>
      </c>
      <c r="D2512">
        <v>3.5869999999999999E-2</v>
      </c>
      <c r="E2512">
        <v>0.5</v>
      </c>
      <c r="F2512">
        <v>65197</v>
      </c>
      <c r="G2512">
        <v>2339</v>
      </c>
      <c r="H2512">
        <v>64028</v>
      </c>
      <c r="I2512">
        <v>761629</v>
      </c>
    </row>
    <row r="2513" spans="1:9">
      <c r="A2513" s="2">
        <v>1972</v>
      </c>
      <c r="B2513">
        <v>67</v>
      </c>
      <c r="C2513">
        <v>3.9809999999999998E-2</v>
      </c>
      <c r="D2513">
        <v>3.9030000000000002E-2</v>
      </c>
      <c r="E2513">
        <v>0.5</v>
      </c>
      <c r="F2513">
        <v>62859</v>
      </c>
      <c r="G2513">
        <v>2453</v>
      </c>
      <c r="H2513">
        <v>61632</v>
      </c>
      <c r="I2513">
        <v>697601</v>
      </c>
    </row>
    <row r="2514" spans="1:9">
      <c r="A2514" s="2">
        <v>1972</v>
      </c>
      <c r="B2514">
        <v>68</v>
      </c>
      <c r="C2514">
        <v>4.5580000000000002E-2</v>
      </c>
      <c r="D2514">
        <v>4.4560000000000002E-2</v>
      </c>
      <c r="E2514">
        <v>0.5</v>
      </c>
      <c r="F2514">
        <v>60406</v>
      </c>
      <c r="G2514">
        <v>2692</v>
      </c>
      <c r="H2514">
        <v>59060</v>
      </c>
      <c r="I2514">
        <v>635969</v>
      </c>
    </row>
    <row r="2515" spans="1:9">
      <c r="A2515" s="2">
        <v>1972</v>
      </c>
      <c r="B2515">
        <v>69</v>
      </c>
      <c r="C2515">
        <v>4.8759999999999998E-2</v>
      </c>
      <c r="D2515">
        <v>4.7600000000000003E-2</v>
      </c>
      <c r="E2515">
        <v>0.5</v>
      </c>
      <c r="F2515">
        <v>57714</v>
      </c>
      <c r="G2515">
        <v>2747</v>
      </c>
      <c r="H2515">
        <v>56340</v>
      </c>
      <c r="I2515">
        <v>576909</v>
      </c>
    </row>
    <row r="2516" spans="1:9">
      <c r="A2516" s="2">
        <v>1972</v>
      </c>
      <c r="B2516">
        <v>70</v>
      </c>
      <c r="C2516">
        <v>5.3589999999999999E-2</v>
      </c>
      <c r="D2516">
        <v>5.219E-2</v>
      </c>
      <c r="E2516">
        <v>0.5</v>
      </c>
      <c r="F2516">
        <v>54966</v>
      </c>
      <c r="G2516">
        <v>2869</v>
      </c>
      <c r="H2516">
        <v>53532</v>
      </c>
      <c r="I2516">
        <v>520569</v>
      </c>
    </row>
    <row r="2517" spans="1:9">
      <c r="A2517" s="2">
        <v>1972</v>
      </c>
      <c r="B2517">
        <v>71</v>
      </c>
      <c r="C2517">
        <v>5.6309999999999999E-2</v>
      </c>
      <c r="D2517">
        <v>5.4760000000000003E-2</v>
      </c>
      <c r="E2517">
        <v>0.5</v>
      </c>
      <c r="F2517">
        <v>52098</v>
      </c>
      <c r="G2517">
        <v>2853</v>
      </c>
      <c r="H2517">
        <v>50671</v>
      </c>
      <c r="I2517">
        <v>467037</v>
      </c>
    </row>
    <row r="2518" spans="1:9">
      <c r="A2518" s="2">
        <v>1972</v>
      </c>
      <c r="B2518">
        <v>72</v>
      </c>
      <c r="C2518">
        <v>6.5549999999999997E-2</v>
      </c>
      <c r="D2518">
        <v>6.3469999999999999E-2</v>
      </c>
      <c r="E2518">
        <v>0.5</v>
      </c>
      <c r="F2518">
        <v>49245</v>
      </c>
      <c r="G2518">
        <v>3126</v>
      </c>
      <c r="H2518">
        <v>47682</v>
      </c>
      <c r="I2518">
        <v>416366</v>
      </c>
    </row>
    <row r="2519" spans="1:9">
      <c r="A2519" s="2">
        <v>1972</v>
      </c>
      <c r="B2519">
        <v>73</v>
      </c>
      <c r="C2519">
        <v>7.2770000000000001E-2</v>
      </c>
      <c r="D2519">
        <v>7.0220000000000005E-2</v>
      </c>
      <c r="E2519">
        <v>0.5</v>
      </c>
      <c r="F2519">
        <v>46119</v>
      </c>
      <c r="G2519">
        <v>3238</v>
      </c>
      <c r="H2519">
        <v>44500</v>
      </c>
      <c r="I2519">
        <v>368684</v>
      </c>
    </row>
    <row r="2520" spans="1:9">
      <c r="A2520" s="2">
        <v>1972</v>
      </c>
      <c r="B2520">
        <v>74</v>
      </c>
      <c r="C2520">
        <v>7.6310000000000003E-2</v>
      </c>
      <c r="D2520">
        <v>7.3499999999999996E-2</v>
      </c>
      <c r="E2520">
        <v>0.5</v>
      </c>
      <c r="F2520">
        <v>42880</v>
      </c>
      <c r="G2520">
        <v>3152</v>
      </c>
      <c r="H2520">
        <v>41305</v>
      </c>
      <c r="I2520">
        <v>324185</v>
      </c>
    </row>
    <row r="2521" spans="1:9">
      <c r="A2521" s="2">
        <v>1972</v>
      </c>
      <c r="B2521">
        <v>75</v>
      </c>
      <c r="C2521">
        <v>8.7349999999999997E-2</v>
      </c>
      <c r="D2521">
        <v>8.3699999999999997E-2</v>
      </c>
      <c r="E2521">
        <v>0.5</v>
      </c>
      <c r="F2521">
        <v>39729</v>
      </c>
      <c r="G2521">
        <v>3325</v>
      </c>
      <c r="H2521">
        <v>38066</v>
      </c>
      <c r="I2521">
        <v>282880</v>
      </c>
    </row>
    <row r="2522" spans="1:9">
      <c r="A2522" s="2">
        <v>1972</v>
      </c>
      <c r="B2522">
        <v>76</v>
      </c>
      <c r="C2522">
        <v>9.4329999999999997E-2</v>
      </c>
      <c r="D2522">
        <v>9.0079999999999993E-2</v>
      </c>
      <c r="E2522">
        <v>0.5</v>
      </c>
      <c r="F2522">
        <v>36403</v>
      </c>
      <c r="G2522">
        <v>3279</v>
      </c>
      <c r="H2522">
        <v>34764</v>
      </c>
      <c r="I2522">
        <v>244814</v>
      </c>
    </row>
    <row r="2523" spans="1:9">
      <c r="A2523" s="2">
        <v>1972</v>
      </c>
      <c r="B2523">
        <v>77</v>
      </c>
      <c r="C2523">
        <v>0.10019</v>
      </c>
      <c r="D2523">
        <v>9.5409999999999995E-2</v>
      </c>
      <c r="E2523">
        <v>0.5</v>
      </c>
      <c r="F2523">
        <v>33124</v>
      </c>
      <c r="G2523">
        <v>3160</v>
      </c>
      <c r="H2523">
        <v>31544</v>
      </c>
      <c r="I2523">
        <v>210050</v>
      </c>
    </row>
    <row r="2524" spans="1:9">
      <c r="A2524" s="2">
        <v>1972</v>
      </c>
      <c r="B2524">
        <v>78</v>
      </c>
      <c r="C2524">
        <v>0.10965</v>
      </c>
      <c r="D2524">
        <v>0.10395</v>
      </c>
      <c r="E2524">
        <v>0.5</v>
      </c>
      <c r="F2524">
        <v>29964</v>
      </c>
      <c r="G2524">
        <v>3115</v>
      </c>
      <c r="H2524">
        <v>28406</v>
      </c>
      <c r="I2524">
        <v>178506</v>
      </c>
    </row>
    <row r="2525" spans="1:9">
      <c r="A2525" s="2">
        <v>1972</v>
      </c>
      <c r="B2525">
        <v>79</v>
      </c>
      <c r="C2525">
        <v>0.11622</v>
      </c>
      <c r="D2525">
        <v>0.10983999999999999</v>
      </c>
      <c r="E2525">
        <v>0.5</v>
      </c>
      <c r="F2525">
        <v>26849</v>
      </c>
      <c r="G2525">
        <v>2949</v>
      </c>
      <c r="H2525">
        <v>25375</v>
      </c>
      <c r="I2525">
        <v>150100</v>
      </c>
    </row>
    <row r="2526" spans="1:9">
      <c r="A2526" s="2">
        <v>1972</v>
      </c>
      <c r="B2526">
        <v>80</v>
      </c>
      <c r="C2526">
        <v>0.12758</v>
      </c>
      <c r="D2526">
        <v>0.11992999999999999</v>
      </c>
      <c r="E2526">
        <v>0.5</v>
      </c>
      <c r="F2526">
        <v>23900</v>
      </c>
      <c r="G2526">
        <v>2866</v>
      </c>
      <c r="H2526">
        <v>22467</v>
      </c>
      <c r="I2526">
        <v>124725</v>
      </c>
    </row>
    <row r="2527" spans="1:9">
      <c r="A2527" s="2">
        <v>1972</v>
      </c>
      <c r="B2527">
        <v>81</v>
      </c>
      <c r="C2527">
        <v>0.14207</v>
      </c>
      <c r="D2527">
        <v>0.13264999999999999</v>
      </c>
      <c r="E2527">
        <v>0.5</v>
      </c>
      <c r="F2527">
        <v>21034</v>
      </c>
      <c r="G2527">
        <v>2790</v>
      </c>
      <c r="H2527">
        <v>19639</v>
      </c>
      <c r="I2527">
        <v>102259</v>
      </c>
    </row>
    <row r="2528" spans="1:9">
      <c r="A2528" s="2">
        <v>1972</v>
      </c>
      <c r="B2528">
        <v>82</v>
      </c>
      <c r="C2528">
        <v>0.16744000000000001</v>
      </c>
      <c r="D2528">
        <v>0.1545</v>
      </c>
      <c r="E2528">
        <v>0.5</v>
      </c>
      <c r="F2528">
        <v>18244</v>
      </c>
      <c r="G2528">
        <v>2819</v>
      </c>
      <c r="H2528">
        <v>16834</v>
      </c>
      <c r="I2528">
        <v>82620</v>
      </c>
    </row>
    <row r="2529" spans="1:9">
      <c r="A2529" s="2">
        <v>1972</v>
      </c>
      <c r="B2529">
        <v>83</v>
      </c>
      <c r="C2529">
        <v>0.17494000000000001</v>
      </c>
      <c r="D2529">
        <v>0.16087000000000001</v>
      </c>
      <c r="E2529">
        <v>0.5</v>
      </c>
      <c r="F2529">
        <v>15425</v>
      </c>
      <c r="G2529">
        <v>2481</v>
      </c>
      <c r="H2529">
        <v>14184</v>
      </c>
      <c r="I2529">
        <v>65786</v>
      </c>
    </row>
    <row r="2530" spans="1:9">
      <c r="A2530" s="2">
        <v>1972</v>
      </c>
      <c r="B2530">
        <v>84</v>
      </c>
      <c r="C2530">
        <v>0.19855</v>
      </c>
      <c r="D2530">
        <v>0.18062</v>
      </c>
      <c r="E2530">
        <v>0.5</v>
      </c>
      <c r="F2530">
        <v>12943</v>
      </c>
      <c r="G2530">
        <v>2338</v>
      </c>
      <c r="H2530">
        <v>11775</v>
      </c>
      <c r="I2530">
        <v>51601</v>
      </c>
    </row>
    <row r="2531" spans="1:9">
      <c r="A2531" s="2">
        <v>1972</v>
      </c>
      <c r="B2531">
        <v>85</v>
      </c>
      <c r="C2531">
        <v>0.20979</v>
      </c>
      <c r="D2531">
        <v>0.18987000000000001</v>
      </c>
      <c r="E2531">
        <v>0.5</v>
      </c>
      <c r="F2531">
        <v>10606</v>
      </c>
      <c r="G2531">
        <v>2014</v>
      </c>
      <c r="H2531">
        <v>9599</v>
      </c>
      <c r="I2531">
        <v>39827</v>
      </c>
    </row>
    <row r="2532" spans="1:9">
      <c r="A2532" s="2">
        <v>1972</v>
      </c>
      <c r="B2532">
        <v>86</v>
      </c>
      <c r="C2532">
        <v>0.23430999999999999</v>
      </c>
      <c r="D2532">
        <v>0.20974000000000001</v>
      </c>
      <c r="E2532">
        <v>0.5</v>
      </c>
      <c r="F2532">
        <v>8592</v>
      </c>
      <c r="G2532">
        <v>1802</v>
      </c>
      <c r="H2532">
        <v>7691</v>
      </c>
      <c r="I2532">
        <v>30228</v>
      </c>
    </row>
    <row r="2533" spans="1:9">
      <c r="A2533" s="2">
        <v>1972</v>
      </c>
      <c r="B2533">
        <v>87</v>
      </c>
      <c r="C2533">
        <v>0.24199999999999999</v>
      </c>
      <c r="D2533">
        <v>0.21587000000000001</v>
      </c>
      <c r="E2533">
        <v>0.5</v>
      </c>
      <c r="F2533">
        <v>6790</v>
      </c>
      <c r="G2533">
        <v>1466</v>
      </c>
      <c r="H2533">
        <v>6057</v>
      </c>
      <c r="I2533">
        <v>22537</v>
      </c>
    </row>
    <row r="2534" spans="1:9">
      <c r="A2534" s="2">
        <v>1972</v>
      </c>
      <c r="B2534">
        <v>88</v>
      </c>
      <c r="C2534">
        <v>0.27390999999999999</v>
      </c>
      <c r="D2534">
        <v>0.24092</v>
      </c>
      <c r="E2534">
        <v>0.5</v>
      </c>
      <c r="F2534">
        <v>5324</v>
      </c>
      <c r="G2534">
        <v>1283</v>
      </c>
      <c r="H2534">
        <v>4683</v>
      </c>
      <c r="I2534">
        <v>16480</v>
      </c>
    </row>
    <row r="2535" spans="1:9">
      <c r="A2535" s="2">
        <v>1972</v>
      </c>
      <c r="B2535">
        <v>89</v>
      </c>
      <c r="C2535">
        <v>0.28820000000000001</v>
      </c>
      <c r="D2535">
        <v>0.25190000000000001</v>
      </c>
      <c r="E2535">
        <v>0.5</v>
      </c>
      <c r="F2535">
        <v>4041</v>
      </c>
      <c r="G2535">
        <v>1018</v>
      </c>
      <c r="H2535">
        <v>3532</v>
      </c>
      <c r="I2535">
        <v>11797</v>
      </c>
    </row>
    <row r="2536" spans="1:9">
      <c r="A2536" s="2">
        <v>1972</v>
      </c>
      <c r="B2536">
        <v>90</v>
      </c>
      <c r="C2536">
        <v>0.32240999999999997</v>
      </c>
      <c r="D2536">
        <v>0.27765000000000001</v>
      </c>
      <c r="E2536">
        <v>0.5</v>
      </c>
      <c r="F2536">
        <v>3023</v>
      </c>
      <c r="G2536">
        <v>839</v>
      </c>
      <c r="H2536">
        <v>2604</v>
      </c>
      <c r="I2536">
        <v>8265</v>
      </c>
    </row>
    <row r="2537" spans="1:9">
      <c r="A2537" s="2">
        <v>1972</v>
      </c>
      <c r="B2537">
        <v>91</v>
      </c>
      <c r="C2537">
        <v>0.30486000000000002</v>
      </c>
      <c r="D2537">
        <v>0.26454</v>
      </c>
      <c r="E2537">
        <v>0.5</v>
      </c>
      <c r="F2537">
        <v>2184</v>
      </c>
      <c r="G2537">
        <v>578</v>
      </c>
      <c r="H2537">
        <v>1895</v>
      </c>
      <c r="I2537">
        <v>5661</v>
      </c>
    </row>
    <row r="2538" spans="1:9">
      <c r="A2538" s="2">
        <v>1972</v>
      </c>
      <c r="B2538">
        <v>92</v>
      </c>
      <c r="C2538">
        <v>0.38995999999999997</v>
      </c>
      <c r="D2538">
        <v>0.32634000000000002</v>
      </c>
      <c r="E2538">
        <v>0.5</v>
      </c>
      <c r="F2538">
        <v>1606</v>
      </c>
      <c r="G2538">
        <v>524</v>
      </c>
      <c r="H2538">
        <v>1344</v>
      </c>
      <c r="I2538">
        <v>3766</v>
      </c>
    </row>
    <row r="2539" spans="1:9">
      <c r="A2539" s="2">
        <v>1972</v>
      </c>
      <c r="B2539">
        <v>93</v>
      </c>
      <c r="C2539">
        <v>0.41338999999999998</v>
      </c>
      <c r="D2539">
        <v>0.34258</v>
      </c>
      <c r="E2539">
        <v>0.5</v>
      </c>
      <c r="F2539">
        <v>1082</v>
      </c>
      <c r="G2539">
        <v>371</v>
      </c>
      <c r="H2539">
        <v>897</v>
      </c>
      <c r="I2539">
        <v>2422</v>
      </c>
    </row>
    <row r="2540" spans="1:9">
      <c r="A2540" s="2">
        <v>1972</v>
      </c>
      <c r="B2540">
        <v>94</v>
      </c>
      <c r="C2540">
        <v>0.42536000000000002</v>
      </c>
      <c r="D2540">
        <v>0.35076000000000002</v>
      </c>
      <c r="E2540">
        <v>0.5</v>
      </c>
      <c r="F2540">
        <v>711</v>
      </c>
      <c r="G2540">
        <v>250</v>
      </c>
      <c r="H2540">
        <v>587</v>
      </c>
      <c r="I2540">
        <v>1525</v>
      </c>
    </row>
    <row r="2541" spans="1:9">
      <c r="A2541" s="2">
        <v>1972</v>
      </c>
      <c r="B2541">
        <v>95</v>
      </c>
      <c r="C2541">
        <v>0.45330999999999999</v>
      </c>
      <c r="D2541">
        <v>0.36954999999999999</v>
      </c>
      <c r="E2541">
        <v>0.5</v>
      </c>
      <c r="F2541">
        <v>462</v>
      </c>
      <c r="G2541">
        <v>171</v>
      </c>
      <c r="H2541">
        <v>377</v>
      </c>
      <c r="I2541">
        <v>939</v>
      </c>
    </row>
    <row r="2542" spans="1:9">
      <c r="A2542" s="2">
        <v>1972</v>
      </c>
      <c r="B2542">
        <v>96</v>
      </c>
      <c r="C2542">
        <v>0.48155999999999999</v>
      </c>
      <c r="D2542">
        <v>0.38811000000000001</v>
      </c>
      <c r="E2542">
        <v>0.5</v>
      </c>
      <c r="F2542">
        <v>291</v>
      </c>
      <c r="G2542">
        <v>113</v>
      </c>
      <c r="H2542">
        <v>235</v>
      </c>
      <c r="I2542">
        <v>562</v>
      </c>
    </row>
    <row r="2543" spans="1:9">
      <c r="A2543" s="2">
        <v>1972</v>
      </c>
      <c r="B2543">
        <v>97</v>
      </c>
      <c r="C2543">
        <v>0.50992000000000004</v>
      </c>
      <c r="D2543">
        <v>0.40632000000000001</v>
      </c>
      <c r="E2543">
        <v>0.5</v>
      </c>
      <c r="F2543">
        <v>178</v>
      </c>
      <c r="G2543">
        <v>72</v>
      </c>
      <c r="H2543">
        <v>142</v>
      </c>
      <c r="I2543">
        <v>328</v>
      </c>
    </row>
    <row r="2544" spans="1:9">
      <c r="A2544" s="2">
        <v>1972</v>
      </c>
      <c r="B2544">
        <v>98</v>
      </c>
      <c r="C2544">
        <v>0.53822000000000003</v>
      </c>
      <c r="D2544">
        <v>0.42409000000000002</v>
      </c>
      <c r="E2544">
        <v>0.5</v>
      </c>
      <c r="F2544">
        <v>106</v>
      </c>
      <c r="G2544">
        <v>45</v>
      </c>
      <c r="H2544">
        <v>83</v>
      </c>
      <c r="I2544">
        <v>186</v>
      </c>
    </row>
    <row r="2545" spans="1:9">
      <c r="A2545" s="2">
        <v>1972</v>
      </c>
      <c r="B2545">
        <v>99</v>
      </c>
      <c r="C2545">
        <v>0.56628000000000001</v>
      </c>
      <c r="D2545">
        <v>0.44131999999999999</v>
      </c>
      <c r="E2545">
        <v>0.5</v>
      </c>
      <c r="F2545">
        <v>61</v>
      </c>
      <c r="G2545">
        <v>27</v>
      </c>
      <c r="H2545">
        <v>47</v>
      </c>
      <c r="I2545">
        <v>102</v>
      </c>
    </row>
    <row r="2546" spans="1:9">
      <c r="A2546" s="2">
        <v>1972</v>
      </c>
      <c r="B2546">
        <v>100</v>
      </c>
      <c r="C2546">
        <v>0.59392</v>
      </c>
      <c r="D2546">
        <v>0.45793</v>
      </c>
      <c r="E2546">
        <v>0.5</v>
      </c>
      <c r="F2546">
        <v>34</v>
      </c>
      <c r="G2546">
        <v>16</v>
      </c>
      <c r="H2546">
        <v>26</v>
      </c>
      <c r="I2546">
        <v>55</v>
      </c>
    </row>
    <row r="2547" spans="1:9">
      <c r="A2547" s="2">
        <v>1972</v>
      </c>
      <c r="B2547">
        <v>101</v>
      </c>
      <c r="C2547">
        <v>0.62097999999999998</v>
      </c>
      <c r="D2547">
        <v>0.47384999999999999</v>
      </c>
      <c r="E2547">
        <v>0.5</v>
      </c>
      <c r="F2547">
        <v>18</v>
      </c>
      <c r="G2547">
        <v>9</v>
      </c>
      <c r="H2547">
        <v>14</v>
      </c>
      <c r="I2547">
        <v>29</v>
      </c>
    </row>
    <row r="2548" spans="1:9">
      <c r="A2548" s="2">
        <v>1972</v>
      </c>
      <c r="B2548">
        <v>102</v>
      </c>
      <c r="C2548">
        <v>0.64729999999999999</v>
      </c>
      <c r="D2548">
        <v>0.48903000000000002</v>
      </c>
      <c r="E2548">
        <v>0.5</v>
      </c>
      <c r="F2548">
        <v>10</v>
      </c>
      <c r="G2548">
        <v>5</v>
      </c>
      <c r="H2548">
        <v>7</v>
      </c>
      <c r="I2548">
        <v>14</v>
      </c>
    </row>
    <row r="2549" spans="1:9">
      <c r="A2549" s="2">
        <v>1972</v>
      </c>
      <c r="B2549">
        <v>103</v>
      </c>
      <c r="C2549">
        <v>0.67276000000000002</v>
      </c>
      <c r="D2549">
        <v>0.50341999999999998</v>
      </c>
      <c r="E2549">
        <v>0.5</v>
      </c>
      <c r="F2549">
        <v>5</v>
      </c>
      <c r="G2549">
        <v>2</v>
      </c>
      <c r="H2549">
        <v>4</v>
      </c>
      <c r="I2549">
        <v>7</v>
      </c>
    </row>
    <row r="2550" spans="1:9">
      <c r="A2550" s="2">
        <v>1972</v>
      </c>
      <c r="B2550">
        <v>104</v>
      </c>
      <c r="C2550">
        <v>0.69723999999999997</v>
      </c>
      <c r="D2550">
        <v>0.51700000000000002</v>
      </c>
      <c r="E2550">
        <v>0.5</v>
      </c>
      <c r="F2550">
        <v>2</v>
      </c>
      <c r="G2550">
        <v>1</v>
      </c>
      <c r="H2550">
        <v>2</v>
      </c>
      <c r="I2550">
        <v>3</v>
      </c>
    </row>
    <row r="2551" spans="1:9">
      <c r="A2551" s="2">
        <v>1972</v>
      </c>
      <c r="B2551">
        <v>105</v>
      </c>
      <c r="C2551">
        <v>0.72065000000000001</v>
      </c>
      <c r="D2551">
        <v>0.52976000000000001</v>
      </c>
      <c r="E2551">
        <v>0.5</v>
      </c>
      <c r="F2551">
        <v>1</v>
      </c>
      <c r="G2551">
        <v>1</v>
      </c>
      <c r="H2551">
        <v>1</v>
      </c>
      <c r="I2551">
        <v>2</v>
      </c>
    </row>
    <row r="2552" spans="1:9">
      <c r="A2552" s="2">
        <v>1972</v>
      </c>
      <c r="B2552">
        <v>106</v>
      </c>
      <c r="C2552">
        <v>0.74292000000000002</v>
      </c>
      <c r="D2552">
        <v>0.54169999999999996</v>
      </c>
      <c r="E2552">
        <v>0.5</v>
      </c>
      <c r="F2552">
        <v>1</v>
      </c>
      <c r="G2552">
        <v>0</v>
      </c>
      <c r="H2552">
        <v>0</v>
      </c>
      <c r="I2552">
        <v>1</v>
      </c>
    </row>
    <row r="2553" spans="1:9">
      <c r="A2553" s="2">
        <v>1972</v>
      </c>
      <c r="B2553">
        <v>107</v>
      </c>
      <c r="C2553">
        <v>0.76398999999999995</v>
      </c>
      <c r="D2553">
        <v>0.55281999999999998</v>
      </c>
      <c r="E2553">
        <v>0.5</v>
      </c>
      <c r="F2553">
        <v>0</v>
      </c>
      <c r="G2553">
        <v>0</v>
      </c>
      <c r="H2553">
        <v>0</v>
      </c>
      <c r="I2553">
        <v>0</v>
      </c>
    </row>
    <row r="2554" spans="1:9">
      <c r="A2554" s="2">
        <v>1972</v>
      </c>
      <c r="B2554">
        <v>108</v>
      </c>
      <c r="C2554">
        <v>0.78383999999999998</v>
      </c>
      <c r="D2554">
        <v>0.56313999999999997</v>
      </c>
      <c r="E2554">
        <v>0.5</v>
      </c>
      <c r="F2554">
        <v>0</v>
      </c>
      <c r="G2554">
        <v>0</v>
      </c>
      <c r="H2554">
        <v>0</v>
      </c>
      <c r="I2554">
        <v>0</v>
      </c>
    </row>
    <row r="2555" spans="1:9">
      <c r="A2555" s="2">
        <v>1972</v>
      </c>
      <c r="B2555">
        <v>109</v>
      </c>
      <c r="C2555">
        <v>0.80245</v>
      </c>
      <c r="D2555">
        <v>0.57267999999999997</v>
      </c>
      <c r="E2555">
        <v>0.5</v>
      </c>
      <c r="F2555">
        <v>0</v>
      </c>
      <c r="G2555">
        <v>0</v>
      </c>
      <c r="H2555">
        <v>0</v>
      </c>
      <c r="I2555">
        <v>0</v>
      </c>
    </row>
    <row r="2556" spans="1:9">
      <c r="A2556" s="2">
        <v>1972</v>
      </c>
      <c r="B2556" t="s">
        <v>26</v>
      </c>
      <c r="C2556">
        <v>0.81982999999999995</v>
      </c>
      <c r="D2556">
        <v>1</v>
      </c>
      <c r="E2556" s="3" t="s">
        <v>27</v>
      </c>
      <c r="F2556">
        <v>0</v>
      </c>
      <c r="G2556">
        <v>0</v>
      </c>
      <c r="H2556">
        <v>0</v>
      </c>
      <c r="I2556">
        <v>0</v>
      </c>
    </row>
    <row r="2557" spans="1:9">
      <c r="A2557" s="2">
        <v>1973</v>
      </c>
      <c r="B2557">
        <v>0</v>
      </c>
      <c r="C2557">
        <v>3.9649999999999998E-2</v>
      </c>
      <c r="D2557">
        <v>3.8370000000000001E-2</v>
      </c>
      <c r="E2557">
        <v>0.16</v>
      </c>
      <c r="F2557">
        <v>100000</v>
      </c>
      <c r="G2557">
        <v>3837</v>
      </c>
      <c r="H2557">
        <v>96768</v>
      </c>
      <c r="I2557">
        <v>6662921</v>
      </c>
    </row>
    <row r="2558" spans="1:9">
      <c r="A2558" s="2">
        <v>1973</v>
      </c>
      <c r="B2558">
        <v>1</v>
      </c>
      <c r="C2558">
        <v>1.73E-3</v>
      </c>
      <c r="D2558">
        <v>1.73E-3</v>
      </c>
      <c r="E2558">
        <v>0.5</v>
      </c>
      <c r="F2558">
        <v>96163</v>
      </c>
      <c r="G2558">
        <v>166</v>
      </c>
      <c r="H2558">
        <v>96080</v>
      </c>
      <c r="I2558">
        <v>6566153</v>
      </c>
    </row>
    <row r="2559" spans="1:9">
      <c r="A2559" s="2">
        <v>1973</v>
      </c>
      <c r="B2559">
        <v>2</v>
      </c>
      <c r="C2559">
        <v>9.7000000000000005E-4</v>
      </c>
      <c r="D2559">
        <v>9.7000000000000005E-4</v>
      </c>
      <c r="E2559">
        <v>0.5</v>
      </c>
      <c r="F2559">
        <v>95997</v>
      </c>
      <c r="G2559">
        <v>93</v>
      </c>
      <c r="H2559">
        <v>95950</v>
      </c>
      <c r="I2559">
        <v>6470073</v>
      </c>
    </row>
    <row r="2560" spans="1:9">
      <c r="A2560" s="2">
        <v>1973</v>
      </c>
      <c r="B2560">
        <v>3</v>
      </c>
      <c r="C2560">
        <v>6.2E-4</v>
      </c>
      <c r="D2560">
        <v>6.2E-4</v>
      </c>
      <c r="E2560">
        <v>0.5</v>
      </c>
      <c r="F2560">
        <v>95904</v>
      </c>
      <c r="G2560">
        <v>59</v>
      </c>
      <c r="H2560">
        <v>95874</v>
      </c>
      <c r="I2560">
        <v>6374123</v>
      </c>
    </row>
    <row r="2561" spans="1:9">
      <c r="A2561" s="2">
        <v>1973</v>
      </c>
      <c r="B2561">
        <v>4</v>
      </c>
      <c r="C2561">
        <v>5.5000000000000003E-4</v>
      </c>
      <c r="D2561">
        <v>5.5000000000000003E-4</v>
      </c>
      <c r="E2561">
        <v>0.5</v>
      </c>
      <c r="F2561">
        <v>95845</v>
      </c>
      <c r="G2561">
        <v>52</v>
      </c>
      <c r="H2561">
        <v>95819</v>
      </c>
      <c r="I2561">
        <v>6278248</v>
      </c>
    </row>
    <row r="2562" spans="1:9">
      <c r="A2562" s="2">
        <v>1973</v>
      </c>
      <c r="B2562">
        <v>5</v>
      </c>
      <c r="C2562">
        <v>3.8000000000000002E-4</v>
      </c>
      <c r="D2562">
        <v>3.8000000000000002E-4</v>
      </c>
      <c r="E2562">
        <v>0.5</v>
      </c>
      <c r="F2562">
        <v>95792</v>
      </c>
      <c r="G2562">
        <v>36</v>
      </c>
      <c r="H2562">
        <v>95774</v>
      </c>
      <c r="I2562">
        <v>6182430</v>
      </c>
    </row>
    <row r="2563" spans="1:9">
      <c r="A2563" s="2">
        <v>1973</v>
      </c>
      <c r="B2563">
        <v>6</v>
      </c>
      <c r="C2563">
        <v>4.8000000000000001E-4</v>
      </c>
      <c r="D2563">
        <v>4.8000000000000001E-4</v>
      </c>
      <c r="E2563">
        <v>0.5</v>
      </c>
      <c r="F2563">
        <v>95756</v>
      </c>
      <c r="G2563">
        <v>46</v>
      </c>
      <c r="H2563">
        <v>95733</v>
      </c>
      <c r="I2563">
        <v>6086656</v>
      </c>
    </row>
    <row r="2564" spans="1:9">
      <c r="A2564" s="2">
        <v>1973</v>
      </c>
      <c r="B2564">
        <v>7</v>
      </c>
      <c r="C2564">
        <v>2.7999999999999998E-4</v>
      </c>
      <c r="D2564">
        <v>2.7999999999999998E-4</v>
      </c>
      <c r="E2564">
        <v>0.5</v>
      </c>
      <c r="F2564">
        <v>95710</v>
      </c>
      <c r="G2564">
        <v>27</v>
      </c>
      <c r="H2564">
        <v>95696</v>
      </c>
      <c r="I2564">
        <v>5990923</v>
      </c>
    </row>
    <row r="2565" spans="1:9">
      <c r="A2565" s="2">
        <v>1973</v>
      </c>
      <c r="B2565">
        <v>8</v>
      </c>
      <c r="C2565">
        <v>3.8000000000000002E-4</v>
      </c>
      <c r="D2565">
        <v>3.8000000000000002E-4</v>
      </c>
      <c r="E2565">
        <v>0.5</v>
      </c>
      <c r="F2565">
        <v>95683</v>
      </c>
      <c r="G2565">
        <v>36</v>
      </c>
      <c r="H2565">
        <v>95664</v>
      </c>
      <c r="I2565">
        <v>5895227</v>
      </c>
    </row>
    <row r="2566" spans="1:9">
      <c r="A2566" s="2">
        <v>1973</v>
      </c>
      <c r="B2566">
        <v>9</v>
      </c>
      <c r="C2566">
        <v>4.0000000000000002E-4</v>
      </c>
      <c r="D2566">
        <v>4.0000000000000002E-4</v>
      </c>
      <c r="E2566">
        <v>0.5</v>
      </c>
      <c r="F2566">
        <v>95646</v>
      </c>
      <c r="G2566">
        <v>38</v>
      </c>
      <c r="H2566">
        <v>95627</v>
      </c>
      <c r="I2566">
        <v>5799563</v>
      </c>
    </row>
    <row r="2567" spans="1:9">
      <c r="A2567" s="2">
        <v>1973</v>
      </c>
      <c r="B2567">
        <v>10</v>
      </c>
      <c r="C2567">
        <v>2.7999999999999998E-4</v>
      </c>
      <c r="D2567">
        <v>2.7999999999999998E-4</v>
      </c>
      <c r="E2567">
        <v>0.5</v>
      </c>
      <c r="F2567">
        <v>95608</v>
      </c>
      <c r="G2567">
        <v>27</v>
      </c>
      <c r="H2567">
        <v>95595</v>
      </c>
      <c r="I2567">
        <v>5703936</v>
      </c>
    </row>
    <row r="2568" spans="1:9">
      <c r="A2568" s="2">
        <v>1973</v>
      </c>
      <c r="B2568">
        <v>11</v>
      </c>
      <c r="C2568">
        <v>3.3E-4</v>
      </c>
      <c r="D2568">
        <v>3.3E-4</v>
      </c>
      <c r="E2568">
        <v>0.5</v>
      </c>
      <c r="F2568">
        <v>95581</v>
      </c>
      <c r="G2568">
        <v>32</v>
      </c>
      <c r="H2568">
        <v>95565</v>
      </c>
      <c r="I2568">
        <v>5608341</v>
      </c>
    </row>
    <row r="2569" spans="1:9">
      <c r="A2569" s="2">
        <v>1973</v>
      </c>
      <c r="B2569">
        <v>12</v>
      </c>
      <c r="C2569">
        <v>4.6999999999999999E-4</v>
      </c>
      <c r="D2569">
        <v>4.6999999999999999E-4</v>
      </c>
      <c r="E2569">
        <v>0.5</v>
      </c>
      <c r="F2569">
        <v>95549</v>
      </c>
      <c r="G2569">
        <v>45</v>
      </c>
      <c r="H2569">
        <v>95527</v>
      </c>
      <c r="I2569">
        <v>5512776</v>
      </c>
    </row>
    <row r="2570" spans="1:9">
      <c r="A2570" s="2">
        <v>1973</v>
      </c>
      <c r="B2570">
        <v>13</v>
      </c>
      <c r="C2570">
        <v>4.6000000000000001E-4</v>
      </c>
      <c r="D2570">
        <v>4.6000000000000001E-4</v>
      </c>
      <c r="E2570">
        <v>0.5</v>
      </c>
      <c r="F2570">
        <v>95504</v>
      </c>
      <c r="G2570">
        <v>44</v>
      </c>
      <c r="H2570">
        <v>95482</v>
      </c>
      <c r="I2570">
        <v>5417249</v>
      </c>
    </row>
    <row r="2571" spans="1:9">
      <c r="A2571" s="2">
        <v>1973</v>
      </c>
      <c r="B2571">
        <v>14</v>
      </c>
      <c r="C2571">
        <v>6.4999999999999997E-4</v>
      </c>
      <c r="D2571">
        <v>6.4999999999999997E-4</v>
      </c>
      <c r="E2571">
        <v>0.5</v>
      </c>
      <c r="F2571">
        <v>95460</v>
      </c>
      <c r="G2571">
        <v>62</v>
      </c>
      <c r="H2571">
        <v>95429</v>
      </c>
      <c r="I2571">
        <v>5321767</v>
      </c>
    </row>
    <row r="2572" spans="1:9">
      <c r="A2572" s="2">
        <v>1973</v>
      </c>
      <c r="B2572">
        <v>15</v>
      </c>
      <c r="C2572">
        <v>5.9000000000000003E-4</v>
      </c>
      <c r="D2572">
        <v>5.9000000000000003E-4</v>
      </c>
      <c r="E2572">
        <v>0.5</v>
      </c>
      <c r="F2572">
        <v>95398</v>
      </c>
      <c r="G2572">
        <v>57</v>
      </c>
      <c r="H2572">
        <v>95370</v>
      </c>
      <c r="I2572">
        <v>5226338</v>
      </c>
    </row>
    <row r="2573" spans="1:9">
      <c r="A2573" s="2">
        <v>1973</v>
      </c>
      <c r="B2573">
        <v>16</v>
      </c>
      <c r="C2573">
        <v>5.5000000000000003E-4</v>
      </c>
      <c r="D2573">
        <v>5.5000000000000003E-4</v>
      </c>
      <c r="E2573">
        <v>0.5</v>
      </c>
      <c r="F2573">
        <v>95341</v>
      </c>
      <c r="G2573">
        <v>53</v>
      </c>
      <c r="H2573">
        <v>95315</v>
      </c>
      <c r="I2573">
        <v>5130968</v>
      </c>
    </row>
    <row r="2574" spans="1:9">
      <c r="A2574" s="2">
        <v>1973</v>
      </c>
      <c r="B2574">
        <v>17</v>
      </c>
      <c r="C2574">
        <v>9.3999999999999997E-4</v>
      </c>
      <c r="D2574">
        <v>9.3999999999999997E-4</v>
      </c>
      <c r="E2574">
        <v>0.5</v>
      </c>
      <c r="F2574">
        <v>95289</v>
      </c>
      <c r="G2574">
        <v>89</v>
      </c>
      <c r="H2574">
        <v>95244</v>
      </c>
      <c r="I2574">
        <v>5035653</v>
      </c>
    </row>
    <row r="2575" spans="1:9">
      <c r="A2575" s="2">
        <v>1973</v>
      </c>
      <c r="B2575">
        <v>18</v>
      </c>
      <c r="C2575">
        <v>1.47E-3</v>
      </c>
      <c r="D2575">
        <v>1.47E-3</v>
      </c>
      <c r="E2575">
        <v>0.5</v>
      </c>
      <c r="F2575">
        <v>95199</v>
      </c>
      <c r="G2575">
        <v>139</v>
      </c>
      <c r="H2575">
        <v>95130</v>
      </c>
      <c r="I2575">
        <v>4940409</v>
      </c>
    </row>
    <row r="2576" spans="1:9">
      <c r="A2576" s="2">
        <v>1973</v>
      </c>
      <c r="B2576">
        <v>19</v>
      </c>
      <c r="C2576">
        <v>1.3699999999999999E-3</v>
      </c>
      <c r="D2576">
        <v>1.3699999999999999E-3</v>
      </c>
      <c r="E2576">
        <v>0.5</v>
      </c>
      <c r="F2576">
        <v>95060</v>
      </c>
      <c r="G2576">
        <v>130</v>
      </c>
      <c r="H2576">
        <v>94995</v>
      </c>
      <c r="I2576">
        <v>4845279</v>
      </c>
    </row>
    <row r="2577" spans="1:9">
      <c r="A2577" s="2">
        <v>1973</v>
      </c>
      <c r="B2577">
        <v>20</v>
      </c>
      <c r="C2577">
        <v>1.31E-3</v>
      </c>
      <c r="D2577">
        <v>1.31E-3</v>
      </c>
      <c r="E2577">
        <v>0.5</v>
      </c>
      <c r="F2577">
        <v>94930</v>
      </c>
      <c r="G2577">
        <v>124</v>
      </c>
      <c r="H2577">
        <v>94867</v>
      </c>
      <c r="I2577">
        <v>4750285</v>
      </c>
    </row>
    <row r="2578" spans="1:9">
      <c r="A2578" s="2">
        <v>1973</v>
      </c>
      <c r="B2578">
        <v>21</v>
      </c>
      <c r="C2578">
        <v>1.3699999999999999E-3</v>
      </c>
      <c r="D2578">
        <v>1.3699999999999999E-3</v>
      </c>
      <c r="E2578">
        <v>0.5</v>
      </c>
      <c r="F2578">
        <v>94805</v>
      </c>
      <c r="G2578">
        <v>130</v>
      </c>
      <c r="H2578">
        <v>94740</v>
      </c>
      <c r="I2578">
        <v>4655417</v>
      </c>
    </row>
    <row r="2579" spans="1:9">
      <c r="A2579" s="2">
        <v>1973</v>
      </c>
      <c r="B2579">
        <v>22</v>
      </c>
      <c r="C2579">
        <v>1.3699999999999999E-3</v>
      </c>
      <c r="D2579">
        <v>1.3699999999999999E-3</v>
      </c>
      <c r="E2579">
        <v>0.5</v>
      </c>
      <c r="F2579">
        <v>94675</v>
      </c>
      <c r="G2579">
        <v>129</v>
      </c>
      <c r="H2579">
        <v>94611</v>
      </c>
      <c r="I2579">
        <v>4560677</v>
      </c>
    </row>
    <row r="2580" spans="1:9">
      <c r="A2580" s="2">
        <v>1973</v>
      </c>
      <c r="B2580">
        <v>23</v>
      </c>
      <c r="C2580">
        <v>1.34E-3</v>
      </c>
      <c r="D2580">
        <v>1.34E-3</v>
      </c>
      <c r="E2580">
        <v>0.5</v>
      </c>
      <c r="F2580">
        <v>94546</v>
      </c>
      <c r="G2580">
        <v>127</v>
      </c>
      <c r="H2580">
        <v>94483</v>
      </c>
      <c r="I2580">
        <v>4466066</v>
      </c>
    </row>
    <row r="2581" spans="1:9">
      <c r="A2581" s="2">
        <v>1973</v>
      </c>
      <c r="B2581">
        <v>24</v>
      </c>
      <c r="C2581">
        <v>1.58E-3</v>
      </c>
      <c r="D2581">
        <v>1.58E-3</v>
      </c>
      <c r="E2581">
        <v>0.5</v>
      </c>
      <c r="F2581">
        <v>94420</v>
      </c>
      <c r="G2581">
        <v>149</v>
      </c>
      <c r="H2581">
        <v>94345</v>
      </c>
      <c r="I2581">
        <v>4371583</v>
      </c>
    </row>
    <row r="2582" spans="1:9">
      <c r="A2582" s="2">
        <v>1973</v>
      </c>
      <c r="B2582">
        <v>25</v>
      </c>
      <c r="C2582">
        <v>1.3600000000000001E-3</v>
      </c>
      <c r="D2582">
        <v>1.3600000000000001E-3</v>
      </c>
      <c r="E2582">
        <v>0.5</v>
      </c>
      <c r="F2582">
        <v>94270</v>
      </c>
      <c r="G2582">
        <v>128</v>
      </c>
      <c r="H2582">
        <v>94206</v>
      </c>
      <c r="I2582">
        <v>4277238</v>
      </c>
    </row>
    <row r="2583" spans="1:9">
      <c r="A2583" s="2">
        <v>1973</v>
      </c>
      <c r="B2583">
        <v>26</v>
      </c>
      <c r="C2583">
        <v>1.65E-3</v>
      </c>
      <c r="D2583">
        <v>1.65E-3</v>
      </c>
      <c r="E2583">
        <v>0.5</v>
      </c>
      <c r="F2583">
        <v>94142</v>
      </c>
      <c r="G2583">
        <v>155</v>
      </c>
      <c r="H2583">
        <v>94064</v>
      </c>
      <c r="I2583">
        <v>4183032</v>
      </c>
    </row>
    <row r="2584" spans="1:9">
      <c r="A2584" s="2">
        <v>1973</v>
      </c>
      <c r="B2584">
        <v>27</v>
      </c>
      <c r="C2584">
        <v>1.3699999999999999E-3</v>
      </c>
      <c r="D2584">
        <v>1.3699999999999999E-3</v>
      </c>
      <c r="E2584">
        <v>0.5</v>
      </c>
      <c r="F2584">
        <v>93987</v>
      </c>
      <c r="G2584">
        <v>129</v>
      </c>
      <c r="H2584">
        <v>93922</v>
      </c>
      <c r="I2584">
        <v>4088968</v>
      </c>
    </row>
    <row r="2585" spans="1:9">
      <c r="A2585" s="2">
        <v>1973</v>
      </c>
      <c r="B2585">
        <v>28</v>
      </c>
      <c r="C2585">
        <v>1.64E-3</v>
      </c>
      <c r="D2585">
        <v>1.64E-3</v>
      </c>
      <c r="E2585">
        <v>0.5</v>
      </c>
      <c r="F2585">
        <v>93858</v>
      </c>
      <c r="G2585">
        <v>154</v>
      </c>
      <c r="H2585">
        <v>93781</v>
      </c>
      <c r="I2585">
        <v>3995046</v>
      </c>
    </row>
    <row r="2586" spans="1:9">
      <c r="A2586" s="2">
        <v>1973</v>
      </c>
      <c r="B2586">
        <v>29</v>
      </c>
      <c r="C2586">
        <v>1.8400000000000001E-3</v>
      </c>
      <c r="D2586">
        <v>1.8400000000000001E-3</v>
      </c>
      <c r="E2586">
        <v>0.5</v>
      </c>
      <c r="F2586">
        <v>93704</v>
      </c>
      <c r="G2586">
        <v>172</v>
      </c>
      <c r="H2586">
        <v>93618</v>
      </c>
      <c r="I2586">
        <v>3901265</v>
      </c>
    </row>
    <row r="2587" spans="1:9">
      <c r="A2587" s="2">
        <v>1973</v>
      </c>
      <c r="B2587">
        <v>30</v>
      </c>
      <c r="C2587">
        <v>1.73E-3</v>
      </c>
      <c r="D2587">
        <v>1.73E-3</v>
      </c>
      <c r="E2587">
        <v>0.5</v>
      </c>
      <c r="F2587">
        <v>93531</v>
      </c>
      <c r="G2587">
        <v>162</v>
      </c>
      <c r="H2587">
        <v>93450</v>
      </c>
      <c r="I2587">
        <v>3807647</v>
      </c>
    </row>
    <row r="2588" spans="1:9">
      <c r="A2588" s="2">
        <v>1973</v>
      </c>
      <c r="B2588">
        <v>31</v>
      </c>
      <c r="C2588">
        <v>2.14E-3</v>
      </c>
      <c r="D2588">
        <v>2.1299999999999999E-3</v>
      </c>
      <c r="E2588">
        <v>0.5</v>
      </c>
      <c r="F2588">
        <v>93369</v>
      </c>
      <c r="G2588">
        <v>199</v>
      </c>
      <c r="H2588">
        <v>93270</v>
      </c>
      <c r="I2588">
        <v>3714197</v>
      </c>
    </row>
    <row r="2589" spans="1:9">
      <c r="A2589" s="2">
        <v>1973</v>
      </c>
      <c r="B2589">
        <v>32</v>
      </c>
      <c r="C2589">
        <v>2.0300000000000001E-3</v>
      </c>
      <c r="D2589">
        <v>2.0300000000000001E-3</v>
      </c>
      <c r="E2589">
        <v>0.5</v>
      </c>
      <c r="F2589">
        <v>93170</v>
      </c>
      <c r="G2589">
        <v>189</v>
      </c>
      <c r="H2589">
        <v>93076</v>
      </c>
      <c r="I2589">
        <v>3620927</v>
      </c>
    </row>
    <row r="2590" spans="1:9">
      <c r="A2590" s="2">
        <v>1973</v>
      </c>
      <c r="B2590">
        <v>33</v>
      </c>
      <c r="C2590">
        <v>2.1800000000000001E-3</v>
      </c>
      <c r="D2590">
        <v>2.1800000000000001E-3</v>
      </c>
      <c r="E2590">
        <v>0.5</v>
      </c>
      <c r="F2590">
        <v>92981</v>
      </c>
      <c r="G2590">
        <v>203</v>
      </c>
      <c r="H2590">
        <v>92880</v>
      </c>
      <c r="I2590">
        <v>3527852</v>
      </c>
    </row>
    <row r="2591" spans="1:9">
      <c r="A2591" s="2">
        <v>1973</v>
      </c>
      <c r="B2591">
        <v>34</v>
      </c>
      <c r="C2591">
        <v>2.1900000000000001E-3</v>
      </c>
      <c r="D2591">
        <v>2.1900000000000001E-3</v>
      </c>
      <c r="E2591">
        <v>0.5</v>
      </c>
      <c r="F2591">
        <v>92779</v>
      </c>
      <c r="G2591">
        <v>203</v>
      </c>
      <c r="H2591">
        <v>92677</v>
      </c>
      <c r="I2591">
        <v>3434972</v>
      </c>
    </row>
    <row r="2592" spans="1:9">
      <c r="A2592" s="2">
        <v>1973</v>
      </c>
      <c r="B2592">
        <v>35</v>
      </c>
      <c r="C2592">
        <v>2.66E-3</v>
      </c>
      <c r="D2592">
        <v>2.66E-3</v>
      </c>
      <c r="E2592">
        <v>0.5</v>
      </c>
      <c r="F2592">
        <v>92575</v>
      </c>
      <c r="G2592">
        <v>246</v>
      </c>
      <c r="H2592">
        <v>92452</v>
      </c>
      <c r="I2592">
        <v>3342295</v>
      </c>
    </row>
    <row r="2593" spans="1:9">
      <c r="A2593" s="2">
        <v>1973</v>
      </c>
      <c r="B2593">
        <v>36</v>
      </c>
      <c r="C2593">
        <v>2.4499999999999999E-3</v>
      </c>
      <c r="D2593">
        <v>2.4499999999999999E-3</v>
      </c>
      <c r="E2593">
        <v>0.5</v>
      </c>
      <c r="F2593">
        <v>92329</v>
      </c>
      <c r="G2593">
        <v>226</v>
      </c>
      <c r="H2593">
        <v>92216</v>
      </c>
      <c r="I2593">
        <v>3249842</v>
      </c>
    </row>
    <row r="2594" spans="1:9">
      <c r="A2594" s="2">
        <v>1973</v>
      </c>
      <c r="B2594">
        <v>37</v>
      </c>
      <c r="C2594">
        <v>2.8300000000000001E-3</v>
      </c>
      <c r="D2594">
        <v>2.8300000000000001E-3</v>
      </c>
      <c r="E2594">
        <v>0.5</v>
      </c>
      <c r="F2594">
        <v>92103</v>
      </c>
      <c r="G2594">
        <v>261</v>
      </c>
      <c r="H2594">
        <v>91973</v>
      </c>
      <c r="I2594">
        <v>3157626</v>
      </c>
    </row>
    <row r="2595" spans="1:9">
      <c r="A2595" s="2">
        <v>1973</v>
      </c>
      <c r="B2595">
        <v>38</v>
      </c>
      <c r="C2595">
        <v>3.0999999999999999E-3</v>
      </c>
      <c r="D2595">
        <v>3.0899999999999999E-3</v>
      </c>
      <c r="E2595">
        <v>0.5</v>
      </c>
      <c r="F2595">
        <v>91842</v>
      </c>
      <c r="G2595">
        <v>284</v>
      </c>
      <c r="H2595">
        <v>91700</v>
      </c>
      <c r="I2595">
        <v>3065654</v>
      </c>
    </row>
    <row r="2596" spans="1:9">
      <c r="A2596" s="2">
        <v>1973</v>
      </c>
      <c r="B2596">
        <v>39</v>
      </c>
      <c r="C2596">
        <v>3.1099999999999999E-3</v>
      </c>
      <c r="D2596">
        <v>3.0999999999999999E-3</v>
      </c>
      <c r="E2596">
        <v>0.5</v>
      </c>
      <c r="F2596">
        <v>91558</v>
      </c>
      <c r="G2596">
        <v>284</v>
      </c>
      <c r="H2596">
        <v>91416</v>
      </c>
      <c r="I2596">
        <v>2973954</v>
      </c>
    </row>
    <row r="2597" spans="1:9">
      <c r="A2597" s="2">
        <v>1973</v>
      </c>
      <c r="B2597">
        <v>40</v>
      </c>
      <c r="C2597">
        <v>3.9100000000000003E-3</v>
      </c>
      <c r="D2597">
        <v>3.8999999999999998E-3</v>
      </c>
      <c r="E2597">
        <v>0.5</v>
      </c>
      <c r="F2597">
        <v>91274</v>
      </c>
      <c r="G2597">
        <v>356</v>
      </c>
      <c r="H2597">
        <v>91096</v>
      </c>
      <c r="I2597">
        <v>2882537</v>
      </c>
    </row>
    <row r="2598" spans="1:9">
      <c r="A2598" s="2">
        <v>1973</v>
      </c>
      <c r="B2598">
        <v>41</v>
      </c>
      <c r="C2598">
        <v>3.8E-3</v>
      </c>
      <c r="D2598">
        <v>3.79E-3</v>
      </c>
      <c r="E2598">
        <v>0.5</v>
      </c>
      <c r="F2598">
        <v>90918</v>
      </c>
      <c r="G2598">
        <v>345</v>
      </c>
      <c r="H2598">
        <v>90746</v>
      </c>
      <c r="I2598">
        <v>2791441</v>
      </c>
    </row>
    <row r="2599" spans="1:9">
      <c r="A2599" s="2">
        <v>1973</v>
      </c>
      <c r="B2599">
        <v>42</v>
      </c>
      <c r="C2599">
        <v>4.64E-3</v>
      </c>
      <c r="D2599">
        <v>4.6299999999999996E-3</v>
      </c>
      <c r="E2599">
        <v>0.5</v>
      </c>
      <c r="F2599">
        <v>90573</v>
      </c>
      <c r="G2599">
        <v>419</v>
      </c>
      <c r="H2599">
        <v>90364</v>
      </c>
      <c r="I2599">
        <v>2700695</v>
      </c>
    </row>
    <row r="2600" spans="1:9">
      <c r="A2600" s="2">
        <v>1973</v>
      </c>
      <c r="B2600">
        <v>43</v>
      </c>
      <c r="C2600">
        <v>4.62E-3</v>
      </c>
      <c r="D2600">
        <v>4.6100000000000004E-3</v>
      </c>
      <c r="E2600">
        <v>0.5</v>
      </c>
      <c r="F2600">
        <v>90154</v>
      </c>
      <c r="G2600">
        <v>415</v>
      </c>
      <c r="H2600">
        <v>89947</v>
      </c>
      <c r="I2600">
        <v>2610331</v>
      </c>
    </row>
    <row r="2601" spans="1:9">
      <c r="A2601" s="2">
        <v>1973</v>
      </c>
      <c r="B2601">
        <v>44</v>
      </c>
      <c r="C2601">
        <v>5.0200000000000002E-3</v>
      </c>
      <c r="D2601">
        <v>5.0099999999999997E-3</v>
      </c>
      <c r="E2601">
        <v>0.5</v>
      </c>
      <c r="F2601">
        <v>89739</v>
      </c>
      <c r="G2601">
        <v>450</v>
      </c>
      <c r="H2601">
        <v>89514</v>
      </c>
      <c r="I2601">
        <v>2520385</v>
      </c>
    </row>
    <row r="2602" spans="1:9">
      <c r="A2602" s="2">
        <v>1973</v>
      </c>
      <c r="B2602">
        <v>45</v>
      </c>
      <c r="C2602">
        <v>5.7000000000000002E-3</v>
      </c>
      <c r="D2602">
        <v>5.6800000000000002E-3</v>
      </c>
      <c r="E2602">
        <v>0.5</v>
      </c>
      <c r="F2602">
        <v>89289</v>
      </c>
      <c r="G2602">
        <v>507</v>
      </c>
      <c r="H2602">
        <v>89036</v>
      </c>
      <c r="I2602">
        <v>2430870</v>
      </c>
    </row>
    <row r="2603" spans="1:9">
      <c r="A2603" s="2">
        <v>1973</v>
      </c>
      <c r="B2603">
        <v>46</v>
      </c>
      <c r="C2603">
        <v>6.1500000000000001E-3</v>
      </c>
      <c r="D2603">
        <v>6.13E-3</v>
      </c>
      <c r="E2603">
        <v>0.5</v>
      </c>
      <c r="F2603">
        <v>88782</v>
      </c>
      <c r="G2603">
        <v>544</v>
      </c>
      <c r="H2603">
        <v>88510</v>
      </c>
      <c r="I2603">
        <v>2341835</v>
      </c>
    </row>
    <row r="2604" spans="1:9">
      <c r="A2604" s="2">
        <v>1973</v>
      </c>
      <c r="B2604">
        <v>47</v>
      </c>
      <c r="C2604">
        <v>6.9199999999999999E-3</v>
      </c>
      <c r="D2604">
        <v>6.8999999999999999E-3</v>
      </c>
      <c r="E2604">
        <v>0.5</v>
      </c>
      <c r="F2604">
        <v>88238</v>
      </c>
      <c r="G2604">
        <v>609</v>
      </c>
      <c r="H2604">
        <v>87934</v>
      </c>
      <c r="I2604">
        <v>2253324</v>
      </c>
    </row>
    <row r="2605" spans="1:9">
      <c r="A2605" s="2">
        <v>1973</v>
      </c>
      <c r="B2605">
        <v>48</v>
      </c>
      <c r="C2605">
        <v>6.9800000000000001E-3</v>
      </c>
      <c r="D2605">
        <v>6.96E-3</v>
      </c>
      <c r="E2605">
        <v>0.5</v>
      </c>
      <c r="F2605">
        <v>87630</v>
      </c>
      <c r="G2605">
        <v>610</v>
      </c>
      <c r="H2605">
        <v>87325</v>
      </c>
      <c r="I2605">
        <v>2165390</v>
      </c>
    </row>
    <row r="2606" spans="1:9">
      <c r="A2606" s="2">
        <v>1973</v>
      </c>
      <c r="B2606">
        <v>49</v>
      </c>
      <c r="C2606">
        <v>7.79E-3</v>
      </c>
      <c r="D2606">
        <v>7.7600000000000004E-3</v>
      </c>
      <c r="E2606">
        <v>0.5</v>
      </c>
      <c r="F2606">
        <v>87020</v>
      </c>
      <c r="G2606">
        <v>675</v>
      </c>
      <c r="H2606">
        <v>86682</v>
      </c>
      <c r="I2606">
        <v>2078066</v>
      </c>
    </row>
    <row r="2607" spans="1:9">
      <c r="A2607" s="2">
        <v>1973</v>
      </c>
      <c r="B2607">
        <v>50</v>
      </c>
      <c r="C2607">
        <v>8.1499999999999993E-3</v>
      </c>
      <c r="D2607">
        <v>8.1200000000000005E-3</v>
      </c>
      <c r="E2607">
        <v>0.5</v>
      </c>
      <c r="F2607">
        <v>86345</v>
      </c>
      <c r="G2607">
        <v>701</v>
      </c>
      <c r="H2607">
        <v>85994</v>
      </c>
      <c r="I2607">
        <v>1991384</v>
      </c>
    </row>
    <row r="2608" spans="1:9">
      <c r="A2608" s="2">
        <v>1973</v>
      </c>
      <c r="B2608">
        <v>51</v>
      </c>
      <c r="C2608">
        <v>9.4699999999999993E-3</v>
      </c>
      <c r="D2608">
        <v>9.4199999999999996E-3</v>
      </c>
      <c r="E2608">
        <v>0.5</v>
      </c>
      <c r="F2608">
        <v>85644</v>
      </c>
      <c r="G2608">
        <v>807</v>
      </c>
      <c r="H2608">
        <v>85240</v>
      </c>
      <c r="I2608">
        <v>1905389</v>
      </c>
    </row>
    <row r="2609" spans="1:9">
      <c r="A2609" s="2">
        <v>1973</v>
      </c>
      <c r="B2609">
        <v>52</v>
      </c>
      <c r="C2609">
        <v>8.9899999999999997E-3</v>
      </c>
      <c r="D2609">
        <v>8.9499999999999996E-3</v>
      </c>
      <c r="E2609">
        <v>0.5</v>
      </c>
      <c r="F2609">
        <v>84837</v>
      </c>
      <c r="G2609">
        <v>759</v>
      </c>
      <c r="H2609">
        <v>84457</v>
      </c>
      <c r="I2609">
        <v>1820149</v>
      </c>
    </row>
    <row r="2610" spans="1:9">
      <c r="A2610" s="2">
        <v>1973</v>
      </c>
      <c r="B2610">
        <v>53</v>
      </c>
      <c r="C2610">
        <v>1.154E-2</v>
      </c>
      <c r="D2610">
        <v>1.1469999999999999E-2</v>
      </c>
      <c r="E2610">
        <v>0.5</v>
      </c>
      <c r="F2610">
        <v>84077</v>
      </c>
      <c r="G2610">
        <v>965</v>
      </c>
      <c r="H2610">
        <v>83595</v>
      </c>
      <c r="I2610">
        <v>1735692</v>
      </c>
    </row>
    <row r="2611" spans="1:9">
      <c r="A2611" s="2">
        <v>1973</v>
      </c>
      <c r="B2611">
        <v>54</v>
      </c>
      <c r="C2611">
        <v>1.1339999999999999E-2</v>
      </c>
      <c r="D2611">
        <v>1.128E-2</v>
      </c>
      <c r="E2611">
        <v>0.5</v>
      </c>
      <c r="F2611">
        <v>83113</v>
      </c>
      <c r="G2611">
        <v>937</v>
      </c>
      <c r="H2611">
        <v>82644</v>
      </c>
      <c r="I2611">
        <v>1652097</v>
      </c>
    </row>
    <row r="2612" spans="1:9">
      <c r="A2612" s="2">
        <v>1973</v>
      </c>
      <c r="B2612">
        <v>55</v>
      </c>
      <c r="C2612">
        <v>1.3140000000000001E-2</v>
      </c>
      <c r="D2612">
        <v>1.3050000000000001E-2</v>
      </c>
      <c r="E2612">
        <v>0.5</v>
      </c>
      <c r="F2612">
        <v>82176</v>
      </c>
      <c r="G2612">
        <v>1073</v>
      </c>
      <c r="H2612">
        <v>81639</v>
      </c>
      <c r="I2612">
        <v>1569453</v>
      </c>
    </row>
    <row r="2613" spans="1:9">
      <c r="A2613" s="2">
        <v>1973</v>
      </c>
      <c r="B2613">
        <v>56</v>
      </c>
      <c r="C2613">
        <v>1.4069999999999999E-2</v>
      </c>
      <c r="D2613">
        <v>1.397E-2</v>
      </c>
      <c r="E2613">
        <v>0.5</v>
      </c>
      <c r="F2613">
        <v>81103</v>
      </c>
      <c r="G2613">
        <v>1133</v>
      </c>
      <c r="H2613">
        <v>80536</v>
      </c>
      <c r="I2613">
        <v>1487814</v>
      </c>
    </row>
    <row r="2614" spans="1:9">
      <c r="A2614" s="2">
        <v>1973</v>
      </c>
      <c r="B2614">
        <v>57</v>
      </c>
      <c r="C2614">
        <v>1.289E-2</v>
      </c>
      <c r="D2614">
        <v>1.281E-2</v>
      </c>
      <c r="E2614">
        <v>0.5</v>
      </c>
      <c r="F2614">
        <v>79970</v>
      </c>
      <c r="G2614">
        <v>1024</v>
      </c>
      <c r="H2614">
        <v>79458</v>
      </c>
      <c r="I2614">
        <v>1407277</v>
      </c>
    </row>
    <row r="2615" spans="1:9">
      <c r="A2615" s="2">
        <v>1973</v>
      </c>
      <c r="B2615">
        <v>58</v>
      </c>
      <c r="C2615">
        <v>1.8519999999999998E-2</v>
      </c>
      <c r="D2615">
        <v>1.8350000000000002E-2</v>
      </c>
      <c r="E2615">
        <v>0.5</v>
      </c>
      <c r="F2615">
        <v>78945</v>
      </c>
      <c r="G2615">
        <v>1448</v>
      </c>
      <c r="H2615">
        <v>78221</v>
      </c>
      <c r="I2615">
        <v>1327820</v>
      </c>
    </row>
    <row r="2616" spans="1:9">
      <c r="A2616" s="2">
        <v>1973</v>
      </c>
      <c r="B2616">
        <v>59</v>
      </c>
      <c r="C2616">
        <v>1.796E-2</v>
      </c>
      <c r="D2616">
        <v>1.78E-2</v>
      </c>
      <c r="E2616">
        <v>0.5</v>
      </c>
      <c r="F2616">
        <v>77497</v>
      </c>
      <c r="G2616">
        <v>1379</v>
      </c>
      <c r="H2616">
        <v>76807</v>
      </c>
      <c r="I2616">
        <v>1249599</v>
      </c>
    </row>
    <row r="2617" spans="1:9">
      <c r="A2617" s="2">
        <v>1973</v>
      </c>
      <c r="B2617">
        <v>60</v>
      </c>
      <c r="C2617">
        <v>2.0049999999999998E-2</v>
      </c>
      <c r="D2617">
        <v>1.985E-2</v>
      </c>
      <c r="E2617">
        <v>0.5</v>
      </c>
      <c r="F2617">
        <v>76118</v>
      </c>
      <c r="G2617">
        <v>1511</v>
      </c>
      <c r="H2617">
        <v>75362</v>
      </c>
      <c r="I2617">
        <v>1172791</v>
      </c>
    </row>
    <row r="2618" spans="1:9">
      <c r="A2618" s="2">
        <v>1973</v>
      </c>
      <c r="B2618">
        <v>61</v>
      </c>
      <c r="C2618">
        <v>2.2460000000000001E-2</v>
      </c>
      <c r="D2618">
        <v>2.2210000000000001E-2</v>
      </c>
      <c r="E2618">
        <v>0.5</v>
      </c>
      <c r="F2618">
        <v>74606</v>
      </c>
      <c r="G2618">
        <v>1657</v>
      </c>
      <c r="H2618">
        <v>73778</v>
      </c>
      <c r="I2618">
        <v>1097429</v>
      </c>
    </row>
    <row r="2619" spans="1:9">
      <c r="A2619" s="2">
        <v>1973</v>
      </c>
      <c r="B2619">
        <v>62</v>
      </c>
      <c r="C2619">
        <v>2.4299999999999999E-2</v>
      </c>
      <c r="D2619">
        <v>2.401E-2</v>
      </c>
      <c r="E2619">
        <v>0.5</v>
      </c>
      <c r="F2619">
        <v>72949</v>
      </c>
      <c r="G2619">
        <v>1752</v>
      </c>
      <c r="H2619">
        <v>72074</v>
      </c>
      <c r="I2619">
        <v>1023651</v>
      </c>
    </row>
    <row r="2620" spans="1:9">
      <c r="A2620" s="2">
        <v>1973</v>
      </c>
      <c r="B2620">
        <v>63</v>
      </c>
      <c r="C2620">
        <v>2.589E-2</v>
      </c>
      <c r="D2620">
        <v>2.5559999999999999E-2</v>
      </c>
      <c r="E2620">
        <v>0.5</v>
      </c>
      <c r="F2620">
        <v>71198</v>
      </c>
      <c r="G2620">
        <v>1820</v>
      </c>
      <c r="H2620">
        <v>70288</v>
      </c>
      <c r="I2620">
        <v>951578</v>
      </c>
    </row>
    <row r="2621" spans="1:9">
      <c r="A2621" s="2">
        <v>1973</v>
      </c>
      <c r="B2621">
        <v>64</v>
      </c>
      <c r="C2621">
        <v>3.056E-2</v>
      </c>
      <c r="D2621">
        <v>3.0099999999999998E-2</v>
      </c>
      <c r="E2621">
        <v>0.5</v>
      </c>
      <c r="F2621">
        <v>69378</v>
      </c>
      <c r="G2621">
        <v>2088</v>
      </c>
      <c r="H2621">
        <v>68334</v>
      </c>
      <c r="I2621">
        <v>881290</v>
      </c>
    </row>
    <row r="2622" spans="1:9">
      <c r="A2622" s="2">
        <v>1973</v>
      </c>
      <c r="B2622">
        <v>65</v>
      </c>
      <c r="C2622">
        <v>3.2099999999999997E-2</v>
      </c>
      <c r="D2622">
        <v>3.159E-2</v>
      </c>
      <c r="E2622">
        <v>0.5</v>
      </c>
      <c r="F2622">
        <v>67290</v>
      </c>
      <c r="G2622">
        <v>2126</v>
      </c>
      <c r="H2622">
        <v>66227</v>
      </c>
      <c r="I2622">
        <v>812956</v>
      </c>
    </row>
    <row r="2623" spans="1:9">
      <c r="A2623" s="2">
        <v>1973</v>
      </c>
      <c r="B2623">
        <v>66</v>
      </c>
      <c r="C2623">
        <v>3.8030000000000001E-2</v>
      </c>
      <c r="D2623">
        <v>3.7319999999999999E-2</v>
      </c>
      <c r="E2623">
        <v>0.5</v>
      </c>
      <c r="F2623">
        <v>65164</v>
      </c>
      <c r="G2623">
        <v>2432</v>
      </c>
      <c r="H2623">
        <v>63948</v>
      </c>
      <c r="I2623">
        <v>746729</v>
      </c>
    </row>
    <row r="2624" spans="1:9">
      <c r="A2624" s="2">
        <v>1973</v>
      </c>
      <c r="B2624">
        <v>67</v>
      </c>
      <c r="C2624">
        <v>4.1829999999999999E-2</v>
      </c>
      <c r="D2624">
        <v>4.0980000000000003E-2</v>
      </c>
      <c r="E2624">
        <v>0.5</v>
      </c>
      <c r="F2624">
        <v>62732</v>
      </c>
      <c r="G2624">
        <v>2570</v>
      </c>
      <c r="H2624">
        <v>61447</v>
      </c>
      <c r="I2624">
        <v>682781</v>
      </c>
    </row>
    <row r="2625" spans="1:9">
      <c r="A2625" s="2">
        <v>1973</v>
      </c>
      <c r="B2625">
        <v>68</v>
      </c>
      <c r="C2625">
        <v>4.6620000000000002E-2</v>
      </c>
      <c r="D2625">
        <v>4.5560000000000003E-2</v>
      </c>
      <c r="E2625">
        <v>0.5</v>
      </c>
      <c r="F2625">
        <v>60162</v>
      </c>
      <c r="G2625">
        <v>2741</v>
      </c>
      <c r="H2625">
        <v>58791</v>
      </c>
      <c r="I2625">
        <v>621334</v>
      </c>
    </row>
    <row r="2626" spans="1:9">
      <c r="A2626" s="2">
        <v>1973</v>
      </c>
      <c r="B2626">
        <v>69</v>
      </c>
      <c r="C2626">
        <v>5.0020000000000002E-2</v>
      </c>
      <c r="D2626">
        <v>4.8800000000000003E-2</v>
      </c>
      <c r="E2626">
        <v>0.5</v>
      </c>
      <c r="F2626">
        <v>57421</v>
      </c>
      <c r="G2626">
        <v>2802</v>
      </c>
      <c r="H2626">
        <v>56020</v>
      </c>
      <c r="I2626">
        <v>562542</v>
      </c>
    </row>
    <row r="2627" spans="1:9">
      <c r="A2627" s="2">
        <v>1973</v>
      </c>
      <c r="B2627">
        <v>70</v>
      </c>
      <c r="C2627">
        <v>5.416E-2</v>
      </c>
      <c r="D2627">
        <v>5.2729999999999999E-2</v>
      </c>
      <c r="E2627">
        <v>0.5</v>
      </c>
      <c r="F2627">
        <v>54619</v>
      </c>
      <c r="G2627">
        <v>2880</v>
      </c>
      <c r="H2627">
        <v>53179</v>
      </c>
      <c r="I2627">
        <v>506523</v>
      </c>
    </row>
    <row r="2628" spans="1:9">
      <c r="A2628" s="2">
        <v>1973</v>
      </c>
      <c r="B2628">
        <v>71</v>
      </c>
      <c r="C2628">
        <v>5.7680000000000002E-2</v>
      </c>
      <c r="D2628">
        <v>5.6059999999999999E-2</v>
      </c>
      <c r="E2628">
        <v>0.5</v>
      </c>
      <c r="F2628">
        <v>51739</v>
      </c>
      <c r="G2628">
        <v>2901</v>
      </c>
      <c r="H2628">
        <v>50288</v>
      </c>
      <c r="I2628">
        <v>453344</v>
      </c>
    </row>
    <row r="2629" spans="1:9">
      <c r="A2629" s="2">
        <v>1973</v>
      </c>
      <c r="B2629">
        <v>72</v>
      </c>
      <c r="C2629">
        <v>6.6589999999999996E-2</v>
      </c>
      <c r="D2629">
        <v>6.4449999999999993E-2</v>
      </c>
      <c r="E2629">
        <v>0.5</v>
      </c>
      <c r="F2629">
        <v>48838</v>
      </c>
      <c r="G2629">
        <v>3147</v>
      </c>
      <c r="H2629">
        <v>47264</v>
      </c>
      <c r="I2629">
        <v>403056</v>
      </c>
    </row>
    <row r="2630" spans="1:9">
      <c r="A2630" s="2">
        <v>1973</v>
      </c>
      <c r="B2630">
        <v>73</v>
      </c>
      <c r="C2630">
        <v>7.6999999999999999E-2</v>
      </c>
      <c r="D2630">
        <v>7.4149999999999994E-2</v>
      </c>
      <c r="E2630">
        <v>0.5</v>
      </c>
      <c r="F2630">
        <v>45691</v>
      </c>
      <c r="G2630">
        <v>3388</v>
      </c>
      <c r="H2630">
        <v>43997</v>
      </c>
      <c r="I2630">
        <v>355792</v>
      </c>
    </row>
    <row r="2631" spans="1:9">
      <c r="A2631" s="2">
        <v>1973</v>
      </c>
      <c r="B2631">
        <v>74</v>
      </c>
      <c r="C2631">
        <v>7.9240000000000005E-2</v>
      </c>
      <c r="D2631">
        <v>7.6219999999999996E-2</v>
      </c>
      <c r="E2631">
        <v>0.5</v>
      </c>
      <c r="F2631">
        <v>42303</v>
      </c>
      <c r="G2631">
        <v>3224</v>
      </c>
      <c r="H2631">
        <v>40690</v>
      </c>
      <c r="I2631">
        <v>311795</v>
      </c>
    </row>
    <row r="2632" spans="1:9">
      <c r="A2632" s="2">
        <v>1973</v>
      </c>
      <c r="B2632">
        <v>75</v>
      </c>
      <c r="C2632">
        <v>8.6830000000000004E-2</v>
      </c>
      <c r="D2632">
        <v>8.3220000000000002E-2</v>
      </c>
      <c r="E2632">
        <v>0.5</v>
      </c>
      <c r="F2632">
        <v>39078</v>
      </c>
      <c r="G2632">
        <v>3252</v>
      </c>
      <c r="H2632">
        <v>37452</v>
      </c>
      <c r="I2632">
        <v>271105</v>
      </c>
    </row>
    <row r="2633" spans="1:9">
      <c r="A2633" s="2">
        <v>1973</v>
      </c>
      <c r="B2633">
        <v>76</v>
      </c>
      <c r="C2633">
        <v>9.7809999999999994E-2</v>
      </c>
      <c r="D2633">
        <v>9.325E-2</v>
      </c>
      <c r="E2633">
        <v>0.5</v>
      </c>
      <c r="F2633">
        <v>35826</v>
      </c>
      <c r="G2633">
        <v>3341</v>
      </c>
      <c r="H2633">
        <v>34156</v>
      </c>
      <c r="I2633">
        <v>233653</v>
      </c>
    </row>
    <row r="2634" spans="1:9">
      <c r="A2634" s="2">
        <v>1973</v>
      </c>
      <c r="B2634">
        <v>77</v>
      </c>
      <c r="C2634">
        <v>0.10457</v>
      </c>
      <c r="D2634">
        <v>9.937E-2</v>
      </c>
      <c r="E2634">
        <v>0.5</v>
      </c>
      <c r="F2634">
        <v>32485</v>
      </c>
      <c r="G2634">
        <v>3228</v>
      </c>
      <c r="H2634">
        <v>30871</v>
      </c>
      <c r="I2634">
        <v>199497</v>
      </c>
    </row>
    <row r="2635" spans="1:9">
      <c r="A2635" s="2">
        <v>1973</v>
      </c>
      <c r="B2635">
        <v>78</v>
      </c>
      <c r="C2635">
        <v>0.11260000000000001</v>
      </c>
      <c r="D2635">
        <v>0.10659</v>
      </c>
      <c r="E2635">
        <v>0.5</v>
      </c>
      <c r="F2635">
        <v>29257</v>
      </c>
      <c r="G2635">
        <v>3119</v>
      </c>
      <c r="H2635">
        <v>27698</v>
      </c>
      <c r="I2635">
        <v>168626</v>
      </c>
    </row>
    <row r="2636" spans="1:9">
      <c r="A2636" s="2">
        <v>1973</v>
      </c>
      <c r="B2636">
        <v>79</v>
      </c>
      <c r="C2636">
        <v>0.12939999999999999</v>
      </c>
      <c r="D2636">
        <v>0.12154</v>
      </c>
      <c r="E2636">
        <v>0.5</v>
      </c>
      <c r="F2636">
        <v>26139</v>
      </c>
      <c r="G2636">
        <v>3177</v>
      </c>
      <c r="H2636">
        <v>24550</v>
      </c>
      <c r="I2636">
        <v>140928</v>
      </c>
    </row>
    <row r="2637" spans="1:9">
      <c r="A2637" s="2">
        <v>1973</v>
      </c>
      <c r="B2637">
        <v>80</v>
      </c>
      <c r="C2637">
        <v>0.13847999999999999</v>
      </c>
      <c r="D2637">
        <v>0.12950999999999999</v>
      </c>
      <c r="E2637">
        <v>0.5</v>
      </c>
      <c r="F2637">
        <v>22962</v>
      </c>
      <c r="G2637">
        <v>2974</v>
      </c>
      <c r="H2637">
        <v>21475</v>
      </c>
      <c r="I2637">
        <v>116378</v>
      </c>
    </row>
    <row r="2638" spans="1:9">
      <c r="A2638" s="2">
        <v>1973</v>
      </c>
      <c r="B2638">
        <v>81</v>
      </c>
      <c r="C2638">
        <v>0.15959999999999999</v>
      </c>
      <c r="D2638">
        <v>0.14779999999999999</v>
      </c>
      <c r="E2638">
        <v>0.5</v>
      </c>
      <c r="F2638">
        <v>19988</v>
      </c>
      <c r="G2638">
        <v>2954</v>
      </c>
      <c r="H2638">
        <v>18511</v>
      </c>
      <c r="I2638">
        <v>94903</v>
      </c>
    </row>
    <row r="2639" spans="1:9">
      <c r="A2639" s="2">
        <v>1973</v>
      </c>
      <c r="B2639">
        <v>82</v>
      </c>
      <c r="C2639">
        <v>0.16384000000000001</v>
      </c>
      <c r="D2639">
        <v>0.15143999999999999</v>
      </c>
      <c r="E2639">
        <v>0.5</v>
      </c>
      <c r="F2639">
        <v>17034</v>
      </c>
      <c r="G2639">
        <v>2580</v>
      </c>
      <c r="H2639">
        <v>15744</v>
      </c>
      <c r="I2639">
        <v>76392</v>
      </c>
    </row>
    <row r="2640" spans="1:9">
      <c r="A2640" s="2">
        <v>1973</v>
      </c>
      <c r="B2640">
        <v>83</v>
      </c>
      <c r="C2640">
        <v>0.18673999999999999</v>
      </c>
      <c r="D2640">
        <v>0.17079</v>
      </c>
      <c r="E2640">
        <v>0.5</v>
      </c>
      <c r="F2640">
        <v>14454</v>
      </c>
      <c r="G2640">
        <v>2469</v>
      </c>
      <c r="H2640">
        <v>13220</v>
      </c>
      <c r="I2640">
        <v>60648</v>
      </c>
    </row>
    <row r="2641" spans="1:9">
      <c r="A2641" s="2">
        <v>1973</v>
      </c>
      <c r="B2641">
        <v>84</v>
      </c>
      <c r="C2641">
        <v>0.19431999999999999</v>
      </c>
      <c r="D2641">
        <v>0.17710999999999999</v>
      </c>
      <c r="E2641">
        <v>0.5</v>
      </c>
      <c r="F2641">
        <v>11986</v>
      </c>
      <c r="G2641">
        <v>2123</v>
      </c>
      <c r="H2641">
        <v>10924</v>
      </c>
      <c r="I2641">
        <v>47428</v>
      </c>
    </row>
    <row r="2642" spans="1:9">
      <c r="A2642" s="2">
        <v>1973</v>
      </c>
      <c r="B2642">
        <v>85</v>
      </c>
      <c r="C2642">
        <v>0.22184999999999999</v>
      </c>
      <c r="D2642">
        <v>0.19969999999999999</v>
      </c>
      <c r="E2642">
        <v>0.5</v>
      </c>
      <c r="F2642">
        <v>9863</v>
      </c>
      <c r="G2642">
        <v>1970</v>
      </c>
      <c r="H2642">
        <v>8878</v>
      </c>
      <c r="I2642">
        <v>36504</v>
      </c>
    </row>
    <row r="2643" spans="1:9">
      <c r="A2643" s="2">
        <v>1973</v>
      </c>
      <c r="B2643">
        <v>86</v>
      </c>
      <c r="C2643">
        <v>0.22796</v>
      </c>
      <c r="D2643">
        <v>0.20463999999999999</v>
      </c>
      <c r="E2643">
        <v>0.5</v>
      </c>
      <c r="F2643">
        <v>7893</v>
      </c>
      <c r="G2643">
        <v>1615</v>
      </c>
      <c r="H2643">
        <v>7086</v>
      </c>
      <c r="I2643">
        <v>27626</v>
      </c>
    </row>
    <row r="2644" spans="1:9">
      <c r="A2644" s="2">
        <v>1973</v>
      </c>
      <c r="B2644">
        <v>87</v>
      </c>
      <c r="C2644">
        <v>0.24968000000000001</v>
      </c>
      <c r="D2644">
        <v>0.22197</v>
      </c>
      <c r="E2644">
        <v>0.5</v>
      </c>
      <c r="F2644">
        <v>6278</v>
      </c>
      <c r="G2644">
        <v>1394</v>
      </c>
      <c r="H2644">
        <v>5581</v>
      </c>
      <c r="I2644">
        <v>20541</v>
      </c>
    </row>
    <row r="2645" spans="1:9">
      <c r="A2645" s="2">
        <v>1973</v>
      </c>
      <c r="B2645">
        <v>88</v>
      </c>
      <c r="C2645">
        <v>0.27573999999999999</v>
      </c>
      <c r="D2645">
        <v>0.24232999999999999</v>
      </c>
      <c r="E2645">
        <v>0.5</v>
      </c>
      <c r="F2645">
        <v>4884</v>
      </c>
      <c r="G2645">
        <v>1184</v>
      </c>
      <c r="H2645">
        <v>4293</v>
      </c>
      <c r="I2645">
        <v>14959</v>
      </c>
    </row>
    <row r="2646" spans="1:9">
      <c r="A2646" s="2">
        <v>1973</v>
      </c>
      <c r="B2646">
        <v>89</v>
      </c>
      <c r="C2646">
        <v>0.30325999999999997</v>
      </c>
      <c r="D2646">
        <v>0.26333000000000001</v>
      </c>
      <c r="E2646">
        <v>0.5</v>
      </c>
      <c r="F2646">
        <v>3701</v>
      </c>
      <c r="G2646">
        <v>975</v>
      </c>
      <c r="H2646">
        <v>3213</v>
      </c>
      <c r="I2646">
        <v>10667</v>
      </c>
    </row>
    <row r="2647" spans="1:9">
      <c r="A2647" s="2">
        <v>1973</v>
      </c>
      <c r="B2647">
        <v>90</v>
      </c>
      <c r="C2647">
        <v>0.33877000000000002</v>
      </c>
      <c r="D2647">
        <v>0.28970000000000001</v>
      </c>
      <c r="E2647">
        <v>0.5</v>
      </c>
      <c r="F2647">
        <v>2726</v>
      </c>
      <c r="G2647">
        <v>790</v>
      </c>
      <c r="H2647">
        <v>2331</v>
      </c>
      <c r="I2647">
        <v>7453</v>
      </c>
    </row>
    <row r="2648" spans="1:9">
      <c r="A2648" s="2">
        <v>1973</v>
      </c>
      <c r="B2648">
        <v>91</v>
      </c>
      <c r="C2648">
        <v>0.31029000000000001</v>
      </c>
      <c r="D2648">
        <v>0.26861000000000002</v>
      </c>
      <c r="E2648">
        <v>0.5</v>
      </c>
      <c r="F2648">
        <v>1936</v>
      </c>
      <c r="G2648">
        <v>520</v>
      </c>
      <c r="H2648">
        <v>1676</v>
      </c>
      <c r="I2648">
        <v>5122</v>
      </c>
    </row>
    <row r="2649" spans="1:9">
      <c r="A2649" s="2">
        <v>1973</v>
      </c>
      <c r="B2649">
        <v>92</v>
      </c>
      <c r="C2649">
        <v>0.38668000000000002</v>
      </c>
      <c r="D2649">
        <v>0.32402999999999998</v>
      </c>
      <c r="E2649">
        <v>0.5</v>
      </c>
      <c r="F2649">
        <v>1416</v>
      </c>
      <c r="G2649">
        <v>459</v>
      </c>
      <c r="H2649">
        <v>1187</v>
      </c>
      <c r="I2649">
        <v>3446</v>
      </c>
    </row>
    <row r="2650" spans="1:9">
      <c r="A2650" s="2">
        <v>1973</v>
      </c>
      <c r="B2650">
        <v>93</v>
      </c>
      <c r="C2650">
        <v>0.36107</v>
      </c>
      <c r="D2650">
        <v>0.30586000000000002</v>
      </c>
      <c r="E2650">
        <v>0.5</v>
      </c>
      <c r="F2650">
        <v>957</v>
      </c>
      <c r="G2650">
        <v>293</v>
      </c>
      <c r="H2650">
        <v>811</v>
      </c>
      <c r="I2650">
        <v>2259</v>
      </c>
    </row>
    <row r="2651" spans="1:9">
      <c r="A2651" s="2">
        <v>1973</v>
      </c>
      <c r="B2651">
        <v>94</v>
      </c>
      <c r="C2651">
        <v>0.41968</v>
      </c>
      <c r="D2651">
        <v>0.34688999999999998</v>
      </c>
      <c r="E2651">
        <v>0.5</v>
      </c>
      <c r="F2651">
        <v>665</v>
      </c>
      <c r="G2651">
        <v>231</v>
      </c>
      <c r="H2651">
        <v>549</v>
      </c>
      <c r="I2651">
        <v>1448</v>
      </c>
    </row>
    <row r="2652" spans="1:9">
      <c r="A2652" s="2">
        <v>1973</v>
      </c>
      <c r="B2652">
        <v>95</v>
      </c>
      <c r="C2652">
        <v>0.44580999999999998</v>
      </c>
      <c r="D2652">
        <v>0.36454999999999999</v>
      </c>
      <c r="E2652">
        <v>0.5</v>
      </c>
      <c r="F2652">
        <v>434</v>
      </c>
      <c r="G2652">
        <v>158</v>
      </c>
      <c r="H2652">
        <v>355</v>
      </c>
      <c r="I2652">
        <v>898</v>
      </c>
    </row>
    <row r="2653" spans="1:9">
      <c r="A2653" s="2">
        <v>1973</v>
      </c>
      <c r="B2653">
        <v>96</v>
      </c>
      <c r="C2653">
        <v>0.47225</v>
      </c>
      <c r="D2653">
        <v>0.38203999999999999</v>
      </c>
      <c r="E2653">
        <v>0.5</v>
      </c>
      <c r="F2653">
        <v>276</v>
      </c>
      <c r="G2653">
        <v>105</v>
      </c>
      <c r="H2653">
        <v>223</v>
      </c>
      <c r="I2653">
        <v>544</v>
      </c>
    </row>
    <row r="2654" spans="1:9">
      <c r="A2654" s="2">
        <v>1973</v>
      </c>
      <c r="B2654">
        <v>97</v>
      </c>
      <c r="C2654">
        <v>0.49884000000000001</v>
      </c>
      <c r="D2654">
        <v>0.39926</v>
      </c>
      <c r="E2654">
        <v>0.5</v>
      </c>
      <c r="F2654">
        <v>170</v>
      </c>
      <c r="G2654">
        <v>68</v>
      </c>
      <c r="H2654">
        <v>136</v>
      </c>
      <c r="I2654">
        <v>320</v>
      </c>
    </row>
    <row r="2655" spans="1:9">
      <c r="A2655" s="2">
        <v>1973</v>
      </c>
      <c r="B2655">
        <v>98</v>
      </c>
      <c r="C2655">
        <v>0.52544000000000002</v>
      </c>
      <c r="D2655">
        <v>0.41611999999999999</v>
      </c>
      <c r="E2655">
        <v>0.5</v>
      </c>
      <c r="F2655">
        <v>102</v>
      </c>
      <c r="G2655">
        <v>43</v>
      </c>
      <c r="H2655">
        <v>81</v>
      </c>
      <c r="I2655">
        <v>184</v>
      </c>
    </row>
    <row r="2656" spans="1:9">
      <c r="A2656" s="2">
        <v>1973</v>
      </c>
      <c r="B2656">
        <v>99</v>
      </c>
      <c r="C2656">
        <v>0.55188999999999999</v>
      </c>
      <c r="D2656">
        <v>0.43253000000000003</v>
      </c>
      <c r="E2656">
        <v>0.5</v>
      </c>
      <c r="F2656">
        <v>60</v>
      </c>
      <c r="G2656">
        <v>26</v>
      </c>
      <c r="H2656">
        <v>47</v>
      </c>
      <c r="I2656">
        <v>103</v>
      </c>
    </row>
    <row r="2657" spans="1:9">
      <c r="A2657" s="2">
        <v>1973</v>
      </c>
      <c r="B2657">
        <v>100</v>
      </c>
      <c r="C2657">
        <v>0.57804999999999995</v>
      </c>
      <c r="D2657">
        <v>0.44844000000000001</v>
      </c>
      <c r="E2657">
        <v>0.5</v>
      </c>
      <c r="F2657">
        <v>34</v>
      </c>
      <c r="G2657">
        <v>15</v>
      </c>
      <c r="H2657">
        <v>26</v>
      </c>
      <c r="I2657">
        <v>56</v>
      </c>
    </row>
    <row r="2658" spans="1:9">
      <c r="A2658" s="2">
        <v>1973</v>
      </c>
      <c r="B2658">
        <v>101</v>
      </c>
      <c r="C2658">
        <v>0.60379000000000005</v>
      </c>
      <c r="D2658">
        <v>0.46378000000000003</v>
      </c>
      <c r="E2658">
        <v>0.5</v>
      </c>
      <c r="F2658">
        <v>19</v>
      </c>
      <c r="G2658">
        <v>9</v>
      </c>
      <c r="H2658">
        <v>14</v>
      </c>
      <c r="I2658">
        <v>30</v>
      </c>
    </row>
    <row r="2659" spans="1:9">
      <c r="A2659" s="2">
        <v>1973</v>
      </c>
      <c r="B2659">
        <v>102</v>
      </c>
      <c r="C2659">
        <v>0.62895999999999996</v>
      </c>
      <c r="D2659">
        <v>0.47848000000000002</v>
      </c>
      <c r="E2659">
        <v>0.5</v>
      </c>
      <c r="F2659">
        <v>10</v>
      </c>
      <c r="G2659">
        <v>5</v>
      </c>
      <c r="H2659">
        <v>8</v>
      </c>
      <c r="I2659">
        <v>15</v>
      </c>
    </row>
    <row r="2660" spans="1:9">
      <c r="A2660" s="2">
        <v>1973</v>
      </c>
      <c r="B2660">
        <v>103</v>
      </c>
      <c r="C2660">
        <v>0.65344999999999998</v>
      </c>
      <c r="D2660">
        <v>0.49253000000000002</v>
      </c>
      <c r="E2660">
        <v>0.5</v>
      </c>
      <c r="F2660">
        <v>5</v>
      </c>
      <c r="G2660">
        <v>3</v>
      </c>
      <c r="H2660">
        <v>4</v>
      </c>
      <c r="I2660">
        <v>8</v>
      </c>
    </row>
    <row r="2661" spans="1:9">
      <c r="A2661" s="2">
        <v>1973</v>
      </c>
      <c r="B2661">
        <v>104</v>
      </c>
      <c r="C2661">
        <v>0.67715000000000003</v>
      </c>
      <c r="D2661">
        <v>0.50587000000000004</v>
      </c>
      <c r="E2661">
        <v>0.5</v>
      </c>
      <c r="F2661">
        <v>3</v>
      </c>
      <c r="G2661">
        <v>1</v>
      </c>
      <c r="H2661">
        <v>2</v>
      </c>
      <c r="I2661">
        <v>4</v>
      </c>
    </row>
    <row r="2662" spans="1:9">
      <c r="A2662" s="2">
        <v>1973</v>
      </c>
      <c r="B2662">
        <v>105</v>
      </c>
      <c r="C2662">
        <v>0.69996999999999998</v>
      </c>
      <c r="D2662">
        <v>0.51849999999999996</v>
      </c>
      <c r="E2662">
        <v>0.5</v>
      </c>
      <c r="F2662">
        <v>1</v>
      </c>
      <c r="G2662">
        <v>1</v>
      </c>
      <c r="H2662">
        <v>1</v>
      </c>
      <c r="I2662">
        <v>2</v>
      </c>
    </row>
    <row r="2663" spans="1:9">
      <c r="A2663" s="2">
        <v>1973</v>
      </c>
      <c r="B2663">
        <v>106</v>
      </c>
      <c r="C2663">
        <v>0.72184999999999999</v>
      </c>
      <c r="D2663">
        <v>0.53041000000000005</v>
      </c>
      <c r="E2663">
        <v>0.5</v>
      </c>
      <c r="F2663">
        <v>1</v>
      </c>
      <c r="G2663">
        <v>0</v>
      </c>
      <c r="H2663">
        <v>0</v>
      </c>
      <c r="I2663">
        <v>1</v>
      </c>
    </row>
    <row r="2664" spans="1:9">
      <c r="A2664" s="2">
        <v>1973</v>
      </c>
      <c r="B2664">
        <v>107</v>
      </c>
      <c r="C2664">
        <v>0.74270999999999998</v>
      </c>
      <c r="D2664">
        <v>0.54159000000000002</v>
      </c>
      <c r="E2664">
        <v>0.5</v>
      </c>
      <c r="F2664">
        <v>0</v>
      </c>
      <c r="G2664">
        <v>0</v>
      </c>
      <c r="H2664">
        <v>0</v>
      </c>
      <c r="I2664">
        <v>0</v>
      </c>
    </row>
    <row r="2665" spans="1:9">
      <c r="A2665" s="2">
        <v>1973</v>
      </c>
      <c r="B2665">
        <v>108</v>
      </c>
      <c r="C2665">
        <v>0.76253000000000004</v>
      </c>
      <c r="D2665">
        <v>0.55205000000000004</v>
      </c>
      <c r="E2665">
        <v>0.5</v>
      </c>
      <c r="F2665">
        <v>0</v>
      </c>
      <c r="G2665">
        <v>0</v>
      </c>
      <c r="H2665">
        <v>0</v>
      </c>
      <c r="I2665">
        <v>0</v>
      </c>
    </row>
    <row r="2666" spans="1:9">
      <c r="A2666" s="2">
        <v>1973</v>
      </c>
      <c r="B2666">
        <v>109</v>
      </c>
      <c r="C2666">
        <v>0.78127000000000002</v>
      </c>
      <c r="D2666">
        <v>0.56181000000000003</v>
      </c>
      <c r="E2666">
        <v>0.5</v>
      </c>
      <c r="F2666">
        <v>0</v>
      </c>
      <c r="G2666">
        <v>0</v>
      </c>
      <c r="H2666">
        <v>0</v>
      </c>
      <c r="I2666">
        <v>0</v>
      </c>
    </row>
    <row r="2667" spans="1:9">
      <c r="A2667" s="2">
        <v>1973</v>
      </c>
      <c r="B2667" t="s">
        <v>26</v>
      </c>
      <c r="C2667">
        <v>0.79891999999999996</v>
      </c>
      <c r="D2667">
        <v>1</v>
      </c>
      <c r="E2667" s="3" t="s">
        <v>39</v>
      </c>
      <c r="F2667">
        <v>0</v>
      </c>
      <c r="G2667">
        <v>0</v>
      </c>
      <c r="H2667">
        <v>0</v>
      </c>
      <c r="I2667">
        <v>0</v>
      </c>
    </row>
    <row r="2668" spans="1:9">
      <c r="A2668" s="2">
        <v>1974</v>
      </c>
      <c r="B2668">
        <v>0</v>
      </c>
      <c r="C2668">
        <v>4.2799999999999998E-2</v>
      </c>
      <c r="D2668">
        <v>4.1329999999999999E-2</v>
      </c>
      <c r="E2668">
        <v>0.17</v>
      </c>
      <c r="F2668">
        <v>100000</v>
      </c>
      <c r="G2668">
        <v>4133</v>
      </c>
      <c r="H2668">
        <v>96561</v>
      </c>
      <c r="I2668">
        <v>6629855</v>
      </c>
    </row>
    <row r="2669" spans="1:9">
      <c r="A2669" s="2">
        <v>1974</v>
      </c>
      <c r="B2669">
        <v>1</v>
      </c>
      <c r="C2669">
        <v>1.4400000000000001E-3</v>
      </c>
      <c r="D2669">
        <v>1.4400000000000001E-3</v>
      </c>
      <c r="E2669">
        <v>0.5</v>
      </c>
      <c r="F2669">
        <v>95867</v>
      </c>
      <c r="G2669">
        <v>138</v>
      </c>
      <c r="H2669">
        <v>95798</v>
      </c>
      <c r="I2669">
        <v>6533294</v>
      </c>
    </row>
    <row r="2670" spans="1:9">
      <c r="A2670" s="2">
        <v>1974</v>
      </c>
      <c r="B2670">
        <v>2</v>
      </c>
      <c r="C2670">
        <v>7.6999999999999996E-4</v>
      </c>
      <c r="D2670">
        <v>7.6999999999999996E-4</v>
      </c>
      <c r="E2670">
        <v>0.5</v>
      </c>
      <c r="F2670">
        <v>95730</v>
      </c>
      <c r="G2670">
        <v>74</v>
      </c>
      <c r="H2670">
        <v>95693</v>
      </c>
      <c r="I2670">
        <v>6437496</v>
      </c>
    </row>
    <row r="2671" spans="1:9">
      <c r="A2671" s="2">
        <v>1974</v>
      </c>
      <c r="B2671">
        <v>3</v>
      </c>
      <c r="C2671">
        <v>5.6999999999999998E-4</v>
      </c>
      <c r="D2671">
        <v>5.6999999999999998E-4</v>
      </c>
      <c r="E2671">
        <v>0.5</v>
      </c>
      <c r="F2671">
        <v>95656</v>
      </c>
      <c r="G2671">
        <v>54</v>
      </c>
      <c r="H2671">
        <v>95629</v>
      </c>
      <c r="I2671">
        <v>6341803</v>
      </c>
    </row>
    <row r="2672" spans="1:9">
      <c r="A2672" s="2">
        <v>1974</v>
      </c>
      <c r="B2672">
        <v>4</v>
      </c>
      <c r="C2672">
        <v>5.8E-4</v>
      </c>
      <c r="D2672">
        <v>5.8E-4</v>
      </c>
      <c r="E2672">
        <v>0.5</v>
      </c>
      <c r="F2672">
        <v>95601</v>
      </c>
      <c r="G2672">
        <v>55</v>
      </c>
      <c r="H2672">
        <v>95574</v>
      </c>
      <c r="I2672">
        <v>6246174</v>
      </c>
    </row>
    <row r="2673" spans="1:9">
      <c r="A2673" s="2">
        <v>1974</v>
      </c>
      <c r="B2673">
        <v>5</v>
      </c>
      <c r="C2673">
        <v>5.5000000000000003E-4</v>
      </c>
      <c r="D2673">
        <v>5.5000000000000003E-4</v>
      </c>
      <c r="E2673">
        <v>0.5</v>
      </c>
      <c r="F2673">
        <v>95546</v>
      </c>
      <c r="G2673">
        <v>52</v>
      </c>
      <c r="H2673">
        <v>95520</v>
      </c>
      <c r="I2673">
        <v>6150600</v>
      </c>
    </row>
    <row r="2674" spans="1:9">
      <c r="A2674" s="2">
        <v>1974</v>
      </c>
      <c r="B2674">
        <v>6</v>
      </c>
      <c r="C2674">
        <v>4.4999999999999999E-4</v>
      </c>
      <c r="D2674">
        <v>4.4999999999999999E-4</v>
      </c>
      <c r="E2674">
        <v>0.5</v>
      </c>
      <c r="F2674">
        <v>95494</v>
      </c>
      <c r="G2674">
        <v>43</v>
      </c>
      <c r="H2674">
        <v>95473</v>
      </c>
      <c r="I2674">
        <v>6055080</v>
      </c>
    </row>
    <row r="2675" spans="1:9">
      <c r="A2675" s="2">
        <v>1974</v>
      </c>
      <c r="B2675">
        <v>7</v>
      </c>
      <c r="C2675">
        <v>4.0000000000000002E-4</v>
      </c>
      <c r="D2675">
        <v>4.0000000000000002E-4</v>
      </c>
      <c r="E2675">
        <v>0.5</v>
      </c>
      <c r="F2675">
        <v>95452</v>
      </c>
      <c r="G2675">
        <v>38</v>
      </c>
      <c r="H2675">
        <v>95433</v>
      </c>
      <c r="I2675">
        <v>5959607</v>
      </c>
    </row>
    <row r="2676" spans="1:9">
      <c r="A2676" s="2">
        <v>1974</v>
      </c>
      <c r="B2676">
        <v>8</v>
      </c>
      <c r="C2676">
        <v>3.4000000000000002E-4</v>
      </c>
      <c r="D2676">
        <v>3.4000000000000002E-4</v>
      </c>
      <c r="E2676">
        <v>0.5</v>
      </c>
      <c r="F2676">
        <v>95414</v>
      </c>
      <c r="G2676">
        <v>33</v>
      </c>
      <c r="H2676">
        <v>95397</v>
      </c>
      <c r="I2676">
        <v>5864175</v>
      </c>
    </row>
    <row r="2677" spans="1:9">
      <c r="A2677" s="2">
        <v>1974</v>
      </c>
      <c r="B2677">
        <v>9</v>
      </c>
      <c r="C2677">
        <v>2.9999999999999997E-4</v>
      </c>
      <c r="D2677">
        <v>2.9999999999999997E-4</v>
      </c>
      <c r="E2677">
        <v>0.5</v>
      </c>
      <c r="F2677">
        <v>95381</v>
      </c>
      <c r="G2677">
        <v>29</v>
      </c>
      <c r="H2677">
        <v>95366</v>
      </c>
      <c r="I2677">
        <v>5768778</v>
      </c>
    </row>
    <row r="2678" spans="1:9">
      <c r="A2678" s="2">
        <v>1974</v>
      </c>
      <c r="B2678">
        <v>10</v>
      </c>
      <c r="C2678">
        <v>4.4000000000000002E-4</v>
      </c>
      <c r="D2678">
        <v>4.4000000000000002E-4</v>
      </c>
      <c r="E2678">
        <v>0.5</v>
      </c>
      <c r="F2678">
        <v>95352</v>
      </c>
      <c r="G2678">
        <v>42</v>
      </c>
      <c r="H2678">
        <v>95331</v>
      </c>
      <c r="I2678">
        <v>5673411</v>
      </c>
    </row>
    <row r="2679" spans="1:9">
      <c r="A2679" s="2">
        <v>1974</v>
      </c>
      <c r="B2679">
        <v>11</v>
      </c>
      <c r="C2679">
        <v>3.8999999999999999E-4</v>
      </c>
      <c r="D2679">
        <v>3.8999999999999999E-4</v>
      </c>
      <c r="E2679">
        <v>0.5</v>
      </c>
      <c r="F2679">
        <v>95310</v>
      </c>
      <c r="G2679">
        <v>37</v>
      </c>
      <c r="H2679">
        <v>95291</v>
      </c>
      <c r="I2679">
        <v>5578080</v>
      </c>
    </row>
    <row r="2680" spans="1:9">
      <c r="A2680" s="2">
        <v>1974</v>
      </c>
      <c r="B2680">
        <v>12</v>
      </c>
      <c r="C2680">
        <v>3.2000000000000003E-4</v>
      </c>
      <c r="D2680">
        <v>3.2000000000000003E-4</v>
      </c>
      <c r="E2680">
        <v>0.5</v>
      </c>
      <c r="F2680">
        <v>95273</v>
      </c>
      <c r="G2680">
        <v>30</v>
      </c>
      <c r="H2680">
        <v>95257</v>
      </c>
      <c r="I2680">
        <v>5482789</v>
      </c>
    </row>
    <row r="2681" spans="1:9">
      <c r="A2681" s="2">
        <v>1974</v>
      </c>
      <c r="B2681">
        <v>13</v>
      </c>
      <c r="C2681">
        <v>4.4000000000000002E-4</v>
      </c>
      <c r="D2681">
        <v>4.4000000000000002E-4</v>
      </c>
      <c r="E2681">
        <v>0.5</v>
      </c>
      <c r="F2681">
        <v>95242</v>
      </c>
      <c r="G2681">
        <v>42</v>
      </c>
      <c r="H2681">
        <v>95221</v>
      </c>
      <c r="I2681">
        <v>5387532</v>
      </c>
    </row>
    <row r="2682" spans="1:9">
      <c r="A2682" s="2">
        <v>1974</v>
      </c>
      <c r="B2682">
        <v>14</v>
      </c>
      <c r="C2682">
        <v>5.5999999999999995E-4</v>
      </c>
      <c r="D2682">
        <v>5.5999999999999995E-4</v>
      </c>
      <c r="E2682">
        <v>0.5</v>
      </c>
      <c r="F2682">
        <v>95200</v>
      </c>
      <c r="G2682">
        <v>53</v>
      </c>
      <c r="H2682">
        <v>95173</v>
      </c>
      <c r="I2682">
        <v>5292311</v>
      </c>
    </row>
    <row r="2683" spans="1:9">
      <c r="A2683" s="2">
        <v>1974</v>
      </c>
      <c r="B2683">
        <v>15</v>
      </c>
      <c r="C2683">
        <v>5.9000000000000003E-4</v>
      </c>
      <c r="D2683">
        <v>5.9000000000000003E-4</v>
      </c>
      <c r="E2683">
        <v>0.5</v>
      </c>
      <c r="F2683">
        <v>95147</v>
      </c>
      <c r="G2683">
        <v>56</v>
      </c>
      <c r="H2683">
        <v>95119</v>
      </c>
      <c r="I2683">
        <v>5197138</v>
      </c>
    </row>
    <row r="2684" spans="1:9">
      <c r="A2684" s="2">
        <v>1974</v>
      </c>
      <c r="B2684">
        <v>16</v>
      </c>
      <c r="C2684">
        <v>7.1000000000000002E-4</v>
      </c>
      <c r="D2684">
        <v>7.1000000000000002E-4</v>
      </c>
      <c r="E2684">
        <v>0.5</v>
      </c>
      <c r="F2684">
        <v>95091</v>
      </c>
      <c r="G2684">
        <v>67</v>
      </c>
      <c r="H2684">
        <v>95057</v>
      </c>
      <c r="I2684">
        <v>5102019</v>
      </c>
    </row>
    <row r="2685" spans="1:9">
      <c r="A2685" s="2">
        <v>1974</v>
      </c>
      <c r="B2685">
        <v>17</v>
      </c>
      <c r="C2685">
        <v>9.7999999999999997E-4</v>
      </c>
      <c r="D2685">
        <v>9.7999999999999997E-4</v>
      </c>
      <c r="E2685">
        <v>0.5</v>
      </c>
      <c r="F2685">
        <v>95024</v>
      </c>
      <c r="G2685">
        <v>93</v>
      </c>
      <c r="H2685">
        <v>94977</v>
      </c>
      <c r="I2685">
        <v>5006961</v>
      </c>
    </row>
    <row r="2686" spans="1:9">
      <c r="A2686" s="2">
        <v>1974</v>
      </c>
      <c r="B2686">
        <v>18</v>
      </c>
      <c r="C2686">
        <v>1.31E-3</v>
      </c>
      <c r="D2686">
        <v>1.31E-3</v>
      </c>
      <c r="E2686">
        <v>0.5</v>
      </c>
      <c r="F2686">
        <v>94931</v>
      </c>
      <c r="G2686">
        <v>124</v>
      </c>
      <c r="H2686">
        <v>94869</v>
      </c>
      <c r="I2686">
        <v>4911984</v>
      </c>
    </row>
    <row r="2687" spans="1:9">
      <c r="A2687" s="2">
        <v>1974</v>
      </c>
      <c r="B2687">
        <v>19</v>
      </c>
      <c r="C2687">
        <v>1.31E-3</v>
      </c>
      <c r="D2687">
        <v>1.31E-3</v>
      </c>
      <c r="E2687">
        <v>0.5</v>
      </c>
      <c r="F2687">
        <v>94807</v>
      </c>
      <c r="G2687">
        <v>124</v>
      </c>
      <c r="H2687">
        <v>94745</v>
      </c>
      <c r="I2687">
        <v>4817115</v>
      </c>
    </row>
    <row r="2688" spans="1:9">
      <c r="A2688" s="2">
        <v>1974</v>
      </c>
      <c r="B2688">
        <v>20</v>
      </c>
      <c r="C2688">
        <v>1.4E-3</v>
      </c>
      <c r="D2688">
        <v>1.4E-3</v>
      </c>
      <c r="E2688">
        <v>0.5</v>
      </c>
      <c r="F2688">
        <v>94683</v>
      </c>
      <c r="G2688">
        <v>132</v>
      </c>
      <c r="H2688">
        <v>94617</v>
      </c>
      <c r="I2688">
        <v>4722371</v>
      </c>
    </row>
    <row r="2689" spans="1:9">
      <c r="A2689" s="2">
        <v>1974</v>
      </c>
      <c r="B2689">
        <v>21</v>
      </c>
      <c r="C2689">
        <v>1.47E-3</v>
      </c>
      <c r="D2689">
        <v>1.47E-3</v>
      </c>
      <c r="E2689">
        <v>0.5</v>
      </c>
      <c r="F2689">
        <v>94550</v>
      </c>
      <c r="G2689">
        <v>139</v>
      </c>
      <c r="H2689">
        <v>94481</v>
      </c>
      <c r="I2689">
        <v>4627754</v>
      </c>
    </row>
    <row r="2690" spans="1:9">
      <c r="A2690" s="2">
        <v>1974</v>
      </c>
      <c r="B2690">
        <v>22</v>
      </c>
      <c r="C2690">
        <v>1.66E-3</v>
      </c>
      <c r="D2690">
        <v>1.66E-3</v>
      </c>
      <c r="E2690">
        <v>0.5</v>
      </c>
      <c r="F2690">
        <v>94412</v>
      </c>
      <c r="G2690">
        <v>157</v>
      </c>
      <c r="H2690">
        <v>94333</v>
      </c>
      <c r="I2690">
        <v>4533273</v>
      </c>
    </row>
    <row r="2691" spans="1:9">
      <c r="A2691" s="2">
        <v>1974</v>
      </c>
      <c r="B2691">
        <v>23</v>
      </c>
      <c r="C2691">
        <v>1.5900000000000001E-3</v>
      </c>
      <c r="D2691">
        <v>1.5900000000000001E-3</v>
      </c>
      <c r="E2691">
        <v>0.5</v>
      </c>
      <c r="F2691">
        <v>94255</v>
      </c>
      <c r="G2691">
        <v>150</v>
      </c>
      <c r="H2691">
        <v>94180</v>
      </c>
      <c r="I2691">
        <v>4438939</v>
      </c>
    </row>
    <row r="2692" spans="1:9">
      <c r="A2692" s="2">
        <v>1974</v>
      </c>
      <c r="B2692">
        <v>24</v>
      </c>
      <c r="C2692">
        <v>1.4599999999999999E-3</v>
      </c>
      <c r="D2692">
        <v>1.4599999999999999E-3</v>
      </c>
      <c r="E2692">
        <v>0.5</v>
      </c>
      <c r="F2692">
        <v>94105</v>
      </c>
      <c r="G2692">
        <v>137</v>
      </c>
      <c r="H2692">
        <v>94037</v>
      </c>
      <c r="I2692">
        <v>4344759</v>
      </c>
    </row>
    <row r="2693" spans="1:9">
      <c r="A2693" s="2">
        <v>1974</v>
      </c>
      <c r="B2693">
        <v>25</v>
      </c>
      <c r="C2693">
        <v>1.6100000000000001E-3</v>
      </c>
      <c r="D2693">
        <v>1.6100000000000001E-3</v>
      </c>
      <c r="E2693">
        <v>0.5</v>
      </c>
      <c r="F2693">
        <v>93968</v>
      </c>
      <c r="G2693">
        <v>151</v>
      </c>
      <c r="H2693">
        <v>93893</v>
      </c>
      <c r="I2693">
        <v>4250722</v>
      </c>
    </row>
    <row r="2694" spans="1:9">
      <c r="A2694" s="2">
        <v>1974</v>
      </c>
      <c r="B2694">
        <v>26</v>
      </c>
      <c r="C2694">
        <v>1.66E-3</v>
      </c>
      <c r="D2694">
        <v>1.66E-3</v>
      </c>
      <c r="E2694">
        <v>0.5</v>
      </c>
      <c r="F2694">
        <v>93817</v>
      </c>
      <c r="G2694">
        <v>156</v>
      </c>
      <c r="H2694">
        <v>93739</v>
      </c>
      <c r="I2694">
        <v>4156830</v>
      </c>
    </row>
    <row r="2695" spans="1:9">
      <c r="A2695" s="2">
        <v>1974</v>
      </c>
      <c r="B2695">
        <v>27</v>
      </c>
      <c r="C2695">
        <v>1.4300000000000001E-3</v>
      </c>
      <c r="D2695">
        <v>1.4300000000000001E-3</v>
      </c>
      <c r="E2695">
        <v>0.5</v>
      </c>
      <c r="F2695">
        <v>93662</v>
      </c>
      <c r="G2695">
        <v>134</v>
      </c>
      <c r="H2695">
        <v>93595</v>
      </c>
      <c r="I2695">
        <v>4063090</v>
      </c>
    </row>
    <row r="2696" spans="1:9">
      <c r="A2696" s="2">
        <v>1974</v>
      </c>
      <c r="B2696">
        <v>28</v>
      </c>
      <c r="C2696">
        <v>1.58E-3</v>
      </c>
      <c r="D2696">
        <v>1.57E-3</v>
      </c>
      <c r="E2696">
        <v>0.5</v>
      </c>
      <c r="F2696">
        <v>93528</v>
      </c>
      <c r="G2696">
        <v>147</v>
      </c>
      <c r="H2696">
        <v>93454</v>
      </c>
      <c r="I2696">
        <v>3969496</v>
      </c>
    </row>
    <row r="2697" spans="1:9">
      <c r="A2697" s="2">
        <v>1974</v>
      </c>
      <c r="B2697">
        <v>29</v>
      </c>
      <c r="C2697">
        <v>1.39E-3</v>
      </c>
      <c r="D2697">
        <v>1.39E-3</v>
      </c>
      <c r="E2697">
        <v>0.5</v>
      </c>
      <c r="F2697">
        <v>93380</v>
      </c>
      <c r="G2697">
        <v>130</v>
      </c>
      <c r="H2697">
        <v>93316</v>
      </c>
      <c r="I2697">
        <v>3876042</v>
      </c>
    </row>
    <row r="2698" spans="1:9">
      <c r="A2698" s="2">
        <v>1974</v>
      </c>
      <c r="B2698">
        <v>30</v>
      </c>
      <c r="C2698">
        <v>1.9E-3</v>
      </c>
      <c r="D2698">
        <v>1.9E-3</v>
      </c>
      <c r="E2698">
        <v>0.5</v>
      </c>
      <c r="F2698">
        <v>93251</v>
      </c>
      <c r="G2698">
        <v>177</v>
      </c>
      <c r="H2698">
        <v>93162</v>
      </c>
      <c r="I2698">
        <v>3782726</v>
      </c>
    </row>
    <row r="2699" spans="1:9">
      <c r="A2699" s="2">
        <v>1974</v>
      </c>
      <c r="B2699">
        <v>31</v>
      </c>
      <c r="C2699">
        <v>2.32E-3</v>
      </c>
      <c r="D2699">
        <v>2.31E-3</v>
      </c>
      <c r="E2699">
        <v>0.5</v>
      </c>
      <c r="F2699">
        <v>93074</v>
      </c>
      <c r="G2699">
        <v>215</v>
      </c>
      <c r="H2699">
        <v>92966</v>
      </c>
      <c r="I2699">
        <v>3689564</v>
      </c>
    </row>
    <row r="2700" spans="1:9">
      <c r="A2700" s="2">
        <v>1974</v>
      </c>
      <c r="B2700">
        <v>32</v>
      </c>
      <c r="C2700">
        <v>1.9599999999999999E-3</v>
      </c>
      <c r="D2700">
        <v>1.9599999999999999E-3</v>
      </c>
      <c r="E2700">
        <v>0.5</v>
      </c>
      <c r="F2700">
        <v>92858</v>
      </c>
      <c r="G2700">
        <v>182</v>
      </c>
      <c r="H2700">
        <v>92767</v>
      </c>
      <c r="I2700">
        <v>3596598</v>
      </c>
    </row>
    <row r="2701" spans="1:9">
      <c r="A2701" s="2">
        <v>1974</v>
      </c>
      <c r="B2701">
        <v>33</v>
      </c>
      <c r="C2701">
        <v>2.32E-3</v>
      </c>
      <c r="D2701">
        <v>2.32E-3</v>
      </c>
      <c r="E2701">
        <v>0.5</v>
      </c>
      <c r="F2701">
        <v>92676</v>
      </c>
      <c r="G2701">
        <v>215</v>
      </c>
      <c r="H2701">
        <v>92569</v>
      </c>
      <c r="I2701">
        <v>3503831</v>
      </c>
    </row>
    <row r="2702" spans="1:9">
      <c r="A2702" s="2">
        <v>1974</v>
      </c>
      <c r="B2702">
        <v>34</v>
      </c>
      <c r="C2702">
        <v>2.33E-3</v>
      </c>
      <c r="D2702">
        <v>2.33E-3</v>
      </c>
      <c r="E2702">
        <v>0.5</v>
      </c>
      <c r="F2702">
        <v>92462</v>
      </c>
      <c r="G2702">
        <v>215</v>
      </c>
      <c r="H2702">
        <v>92354</v>
      </c>
      <c r="I2702">
        <v>3411261</v>
      </c>
    </row>
    <row r="2703" spans="1:9">
      <c r="A2703" s="2">
        <v>1974</v>
      </c>
      <c r="B2703">
        <v>35</v>
      </c>
      <c r="C2703">
        <v>2.6099999999999999E-3</v>
      </c>
      <c r="D2703">
        <v>2.6099999999999999E-3</v>
      </c>
      <c r="E2703">
        <v>0.5</v>
      </c>
      <c r="F2703">
        <v>92246</v>
      </c>
      <c r="G2703">
        <v>241</v>
      </c>
      <c r="H2703">
        <v>92126</v>
      </c>
      <c r="I2703">
        <v>3318908</v>
      </c>
    </row>
    <row r="2704" spans="1:9">
      <c r="A2704" s="2">
        <v>1974</v>
      </c>
      <c r="B2704">
        <v>36</v>
      </c>
      <c r="C2704">
        <v>2.2699999999999999E-3</v>
      </c>
      <c r="D2704">
        <v>2.2599999999999999E-3</v>
      </c>
      <c r="E2704">
        <v>0.5</v>
      </c>
      <c r="F2704">
        <v>92006</v>
      </c>
      <c r="G2704">
        <v>208</v>
      </c>
      <c r="H2704">
        <v>91902</v>
      </c>
      <c r="I2704">
        <v>3226782</v>
      </c>
    </row>
    <row r="2705" spans="1:9">
      <c r="A2705" s="2">
        <v>1974</v>
      </c>
      <c r="B2705">
        <v>37</v>
      </c>
      <c r="C2705">
        <v>2.9099999999999998E-3</v>
      </c>
      <c r="D2705">
        <v>2.8999999999999998E-3</v>
      </c>
      <c r="E2705">
        <v>0.5</v>
      </c>
      <c r="F2705">
        <v>91797</v>
      </c>
      <c r="G2705">
        <v>267</v>
      </c>
      <c r="H2705">
        <v>91664</v>
      </c>
      <c r="I2705">
        <v>3134880</v>
      </c>
    </row>
    <row r="2706" spans="1:9">
      <c r="A2706" s="2">
        <v>1974</v>
      </c>
      <c r="B2706">
        <v>38</v>
      </c>
      <c r="C2706">
        <v>3.4299999999999999E-3</v>
      </c>
      <c r="D2706">
        <v>3.4199999999999999E-3</v>
      </c>
      <c r="E2706">
        <v>0.5</v>
      </c>
      <c r="F2706">
        <v>91531</v>
      </c>
      <c r="G2706">
        <v>313</v>
      </c>
      <c r="H2706">
        <v>91374</v>
      </c>
      <c r="I2706">
        <v>3043216</v>
      </c>
    </row>
    <row r="2707" spans="1:9">
      <c r="A2707" s="2">
        <v>1974</v>
      </c>
      <c r="B2707">
        <v>39</v>
      </c>
      <c r="C2707">
        <v>3.2100000000000002E-3</v>
      </c>
      <c r="D2707">
        <v>3.2100000000000002E-3</v>
      </c>
      <c r="E2707">
        <v>0.5</v>
      </c>
      <c r="F2707">
        <v>91218</v>
      </c>
      <c r="G2707">
        <v>293</v>
      </c>
      <c r="H2707">
        <v>91071</v>
      </c>
      <c r="I2707">
        <v>2951842</v>
      </c>
    </row>
    <row r="2708" spans="1:9">
      <c r="A2708" s="2">
        <v>1974</v>
      </c>
      <c r="B2708">
        <v>40</v>
      </c>
      <c r="C2708">
        <v>3.6900000000000001E-3</v>
      </c>
      <c r="D2708">
        <v>3.6800000000000001E-3</v>
      </c>
      <c r="E2708">
        <v>0.5</v>
      </c>
      <c r="F2708">
        <v>90925</v>
      </c>
      <c r="G2708">
        <v>334</v>
      </c>
      <c r="H2708">
        <v>90758</v>
      </c>
      <c r="I2708">
        <v>2860770</v>
      </c>
    </row>
    <row r="2709" spans="1:9">
      <c r="A2709" s="2">
        <v>1974</v>
      </c>
      <c r="B2709">
        <v>41</v>
      </c>
      <c r="C2709">
        <v>4.5599999999999998E-3</v>
      </c>
      <c r="D2709">
        <v>4.5500000000000002E-3</v>
      </c>
      <c r="E2709">
        <v>0.5</v>
      </c>
      <c r="F2709">
        <v>90591</v>
      </c>
      <c r="G2709">
        <v>412</v>
      </c>
      <c r="H2709">
        <v>90385</v>
      </c>
      <c r="I2709">
        <v>2770012</v>
      </c>
    </row>
    <row r="2710" spans="1:9">
      <c r="A2710" s="2">
        <v>1974</v>
      </c>
      <c r="B2710">
        <v>42</v>
      </c>
      <c r="C2710">
        <v>4.9199999999999999E-3</v>
      </c>
      <c r="D2710">
        <v>4.9100000000000003E-3</v>
      </c>
      <c r="E2710">
        <v>0.5</v>
      </c>
      <c r="F2710">
        <v>90179</v>
      </c>
      <c r="G2710">
        <v>442</v>
      </c>
      <c r="H2710">
        <v>89958</v>
      </c>
      <c r="I2710">
        <v>2679628</v>
      </c>
    </row>
    <row r="2711" spans="1:9">
      <c r="A2711" s="2">
        <v>1974</v>
      </c>
      <c r="B2711">
        <v>43</v>
      </c>
      <c r="C2711">
        <v>4.7999999999999996E-3</v>
      </c>
      <c r="D2711">
        <v>4.79E-3</v>
      </c>
      <c r="E2711">
        <v>0.5</v>
      </c>
      <c r="F2711">
        <v>89736</v>
      </c>
      <c r="G2711">
        <v>430</v>
      </c>
      <c r="H2711">
        <v>89521</v>
      </c>
      <c r="I2711">
        <v>2589670</v>
      </c>
    </row>
    <row r="2712" spans="1:9">
      <c r="A2712" s="2">
        <v>1974</v>
      </c>
      <c r="B2712">
        <v>44</v>
      </c>
      <c r="C2712">
        <v>5.5500000000000002E-3</v>
      </c>
      <c r="D2712">
        <v>5.5399999999999998E-3</v>
      </c>
      <c r="E2712">
        <v>0.5</v>
      </c>
      <c r="F2712">
        <v>89306</v>
      </c>
      <c r="G2712">
        <v>494</v>
      </c>
      <c r="H2712">
        <v>89059</v>
      </c>
      <c r="I2712">
        <v>2500149</v>
      </c>
    </row>
    <row r="2713" spans="1:9">
      <c r="A2713" s="2">
        <v>1974</v>
      </c>
      <c r="B2713">
        <v>45</v>
      </c>
      <c r="C2713">
        <v>5.3800000000000002E-3</v>
      </c>
      <c r="D2713">
        <v>5.3699999999999998E-3</v>
      </c>
      <c r="E2713">
        <v>0.5</v>
      </c>
      <c r="F2713">
        <v>88812</v>
      </c>
      <c r="G2713">
        <v>476</v>
      </c>
      <c r="H2713">
        <v>88574</v>
      </c>
      <c r="I2713">
        <v>2411089</v>
      </c>
    </row>
    <row r="2714" spans="1:9">
      <c r="A2714" s="2">
        <v>1974</v>
      </c>
      <c r="B2714">
        <v>46</v>
      </c>
      <c r="C2714">
        <v>6.7999999999999996E-3</v>
      </c>
      <c r="D2714">
        <v>6.7799999999999996E-3</v>
      </c>
      <c r="E2714">
        <v>0.5</v>
      </c>
      <c r="F2714">
        <v>88336</v>
      </c>
      <c r="G2714">
        <v>599</v>
      </c>
      <c r="H2714">
        <v>88036</v>
      </c>
      <c r="I2714">
        <v>2322515</v>
      </c>
    </row>
    <row r="2715" spans="1:9">
      <c r="A2715" s="2">
        <v>1974</v>
      </c>
      <c r="B2715">
        <v>47</v>
      </c>
      <c r="C2715">
        <v>7.0000000000000001E-3</v>
      </c>
      <c r="D2715">
        <v>6.9699999999999996E-3</v>
      </c>
      <c r="E2715">
        <v>0.5</v>
      </c>
      <c r="F2715">
        <v>87737</v>
      </c>
      <c r="G2715">
        <v>612</v>
      </c>
      <c r="H2715">
        <v>87431</v>
      </c>
      <c r="I2715">
        <v>2234479</v>
      </c>
    </row>
    <row r="2716" spans="1:9">
      <c r="A2716" s="2">
        <v>1974</v>
      </c>
      <c r="B2716">
        <v>48</v>
      </c>
      <c r="C2716">
        <v>7.62E-3</v>
      </c>
      <c r="D2716">
        <v>7.5900000000000004E-3</v>
      </c>
      <c r="E2716">
        <v>0.5</v>
      </c>
      <c r="F2716">
        <v>87125</v>
      </c>
      <c r="G2716">
        <v>662</v>
      </c>
      <c r="H2716">
        <v>86794</v>
      </c>
      <c r="I2716">
        <v>2147049</v>
      </c>
    </row>
    <row r="2717" spans="1:9">
      <c r="A2717" s="2">
        <v>1974</v>
      </c>
      <c r="B2717">
        <v>49</v>
      </c>
      <c r="C2717">
        <v>8.6400000000000001E-3</v>
      </c>
      <c r="D2717">
        <v>8.6E-3</v>
      </c>
      <c r="E2717">
        <v>0.5</v>
      </c>
      <c r="F2717">
        <v>86463</v>
      </c>
      <c r="G2717">
        <v>744</v>
      </c>
      <c r="H2717">
        <v>86091</v>
      </c>
      <c r="I2717">
        <v>2060255</v>
      </c>
    </row>
    <row r="2718" spans="1:9">
      <c r="A2718" s="2">
        <v>1974</v>
      </c>
      <c r="B2718">
        <v>50</v>
      </c>
      <c r="C2718">
        <v>8.77E-3</v>
      </c>
      <c r="D2718">
        <v>8.7299999999999999E-3</v>
      </c>
      <c r="E2718">
        <v>0.5</v>
      </c>
      <c r="F2718">
        <v>85720</v>
      </c>
      <c r="G2718">
        <v>748</v>
      </c>
      <c r="H2718">
        <v>85345</v>
      </c>
      <c r="I2718">
        <v>1974163</v>
      </c>
    </row>
    <row r="2719" spans="1:9">
      <c r="A2719" s="2">
        <v>1974</v>
      </c>
      <c r="B2719">
        <v>51</v>
      </c>
      <c r="C2719">
        <v>9.5399999999999999E-3</v>
      </c>
      <c r="D2719">
        <v>9.4999999999999998E-3</v>
      </c>
      <c r="E2719">
        <v>0.5</v>
      </c>
      <c r="F2719">
        <v>84971</v>
      </c>
      <c r="G2719">
        <v>807</v>
      </c>
      <c r="H2719">
        <v>84568</v>
      </c>
      <c r="I2719">
        <v>1888818</v>
      </c>
    </row>
    <row r="2720" spans="1:9">
      <c r="A2720" s="2">
        <v>1974</v>
      </c>
      <c r="B2720">
        <v>52</v>
      </c>
      <c r="C2720">
        <v>1.0109999999999999E-2</v>
      </c>
      <c r="D2720">
        <v>1.0059999999999999E-2</v>
      </c>
      <c r="E2720">
        <v>0.5</v>
      </c>
      <c r="F2720">
        <v>84164</v>
      </c>
      <c r="G2720">
        <v>846</v>
      </c>
      <c r="H2720">
        <v>83741</v>
      </c>
      <c r="I2720">
        <v>1804250</v>
      </c>
    </row>
    <row r="2721" spans="1:9">
      <c r="A2721" s="2">
        <v>1974</v>
      </c>
      <c r="B2721">
        <v>53</v>
      </c>
      <c r="C2721">
        <v>1.0880000000000001E-2</v>
      </c>
      <c r="D2721">
        <v>1.0829999999999999E-2</v>
      </c>
      <c r="E2721">
        <v>0.5</v>
      </c>
      <c r="F2721">
        <v>83318</v>
      </c>
      <c r="G2721">
        <v>902</v>
      </c>
      <c r="H2721">
        <v>82867</v>
      </c>
      <c r="I2721">
        <v>1720509</v>
      </c>
    </row>
    <row r="2722" spans="1:9">
      <c r="A2722" s="2">
        <v>1974</v>
      </c>
      <c r="B2722">
        <v>54</v>
      </c>
      <c r="C2722">
        <v>1.3390000000000001E-2</v>
      </c>
      <c r="D2722">
        <v>1.3299999999999999E-2</v>
      </c>
      <c r="E2722">
        <v>0.5</v>
      </c>
      <c r="F2722">
        <v>82416</v>
      </c>
      <c r="G2722">
        <v>1096</v>
      </c>
      <c r="H2722">
        <v>81868</v>
      </c>
      <c r="I2722">
        <v>1637642</v>
      </c>
    </row>
    <row r="2723" spans="1:9">
      <c r="A2723" s="2">
        <v>1974</v>
      </c>
      <c r="B2723">
        <v>55</v>
      </c>
      <c r="C2723">
        <v>1.1900000000000001E-2</v>
      </c>
      <c r="D2723">
        <v>1.183E-2</v>
      </c>
      <c r="E2723">
        <v>0.5</v>
      </c>
      <c r="F2723">
        <v>81320</v>
      </c>
      <c r="G2723">
        <v>962</v>
      </c>
      <c r="H2723">
        <v>80839</v>
      </c>
      <c r="I2723">
        <v>1555774</v>
      </c>
    </row>
    <row r="2724" spans="1:9">
      <c r="A2724" s="2">
        <v>1974</v>
      </c>
      <c r="B2724">
        <v>56</v>
      </c>
      <c r="C2724">
        <v>1.406E-2</v>
      </c>
      <c r="D2724">
        <v>1.396E-2</v>
      </c>
      <c r="E2724">
        <v>0.5</v>
      </c>
      <c r="F2724">
        <v>80358</v>
      </c>
      <c r="G2724">
        <v>1122</v>
      </c>
      <c r="H2724">
        <v>79796</v>
      </c>
      <c r="I2724">
        <v>1474936</v>
      </c>
    </row>
    <row r="2725" spans="1:9">
      <c r="A2725" s="2">
        <v>1974</v>
      </c>
      <c r="B2725">
        <v>57</v>
      </c>
      <c r="C2725">
        <v>1.546E-2</v>
      </c>
      <c r="D2725">
        <v>1.5339999999999999E-2</v>
      </c>
      <c r="E2725">
        <v>0.5</v>
      </c>
      <c r="F2725">
        <v>79235</v>
      </c>
      <c r="G2725">
        <v>1215</v>
      </c>
      <c r="H2725">
        <v>78628</v>
      </c>
      <c r="I2725">
        <v>1395139</v>
      </c>
    </row>
    <row r="2726" spans="1:9">
      <c r="A2726" s="2">
        <v>1974</v>
      </c>
      <c r="B2726">
        <v>58</v>
      </c>
      <c r="C2726">
        <v>1.6039999999999999E-2</v>
      </c>
      <c r="D2726">
        <v>1.5910000000000001E-2</v>
      </c>
      <c r="E2726">
        <v>0.5</v>
      </c>
      <c r="F2726">
        <v>78020</v>
      </c>
      <c r="G2726">
        <v>1241</v>
      </c>
      <c r="H2726">
        <v>77400</v>
      </c>
      <c r="I2726">
        <v>1316512</v>
      </c>
    </row>
    <row r="2727" spans="1:9">
      <c r="A2727" s="2">
        <v>1974</v>
      </c>
      <c r="B2727">
        <v>59</v>
      </c>
      <c r="C2727">
        <v>1.9890000000000001E-2</v>
      </c>
      <c r="D2727">
        <v>1.9699999999999999E-2</v>
      </c>
      <c r="E2727">
        <v>0.5</v>
      </c>
      <c r="F2727">
        <v>76779</v>
      </c>
      <c r="G2727">
        <v>1512</v>
      </c>
      <c r="H2727">
        <v>76023</v>
      </c>
      <c r="I2727">
        <v>1239112</v>
      </c>
    </row>
    <row r="2728" spans="1:9">
      <c r="A2728" s="2">
        <v>1974</v>
      </c>
      <c r="B2728">
        <v>60</v>
      </c>
      <c r="C2728">
        <v>2.0879999999999999E-2</v>
      </c>
      <c r="D2728">
        <v>2.0660000000000001E-2</v>
      </c>
      <c r="E2728">
        <v>0.5</v>
      </c>
      <c r="F2728">
        <v>75267</v>
      </c>
      <c r="G2728">
        <v>1555</v>
      </c>
      <c r="H2728">
        <v>74489</v>
      </c>
      <c r="I2728">
        <v>1163089</v>
      </c>
    </row>
    <row r="2729" spans="1:9">
      <c r="A2729" s="2">
        <v>1974</v>
      </c>
      <c r="B2729">
        <v>61</v>
      </c>
      <c r="C2729">
        <v>2.1839999999999998E-2</v>
      </c>
      <c r="D2729">
        <v>2.1610000000000001E-2</v>
      </c>
      <c r="E2729">
        <v>0.5</v>
      </c>
      <c r="F2729">
        <v>73712</v>
      </c>
      <c r="G2729">
        <v>1593</v>
      </c>
      <c r="H2729">
        <v>72915</v>
      </c>
      <c r="I2729">
        <v>1088600</v>
      </c>
    </row>
    <row r="2730" spans="1:9">
      <c r="A2730" s="2">
        <v>1974</v>
      </c>
      <c r="B2730">
        <v>62</v>
      </c>
      <c r="C2730">
        <v>2.486E-2</v>
      </c>
      <c r="D2730">
        <v>2.4549999999999999E-2</v>
      </c>
      <c r="E2730">
        <v>0.5</v>
      </c>
      <c r="F2730">
        <v>72119</v>
      </c>
      <c r="G2730">
        <v>1771</v>
      </c>
      <c r="H2730">
        <v>71234</v>
      </c>
      <c r="I2730">
        <v>1015685</v>
      </c>
    </row>
    <row r="2731" spans="1:9">
      <c r="A2731" s="2">
        <v>1974</v>
      </c>
      <c r="B2731">
        <v>63</v>
      </c>
      <c r="C2731">
        <v>2.7650000000000001E-2</v>
      </c>
      <c r="D2731">
        <v>2.7269999999999999E-2</v>
      </c>
      <c r="E2731">
        <v>0.5</v>
      </c>
      <c r="F2731">
        <v>70348</v>
      </c>
      <c r="G2731">
        <v>1919</v>
      </c>
      <c r="H2731">
        <v>69389</v>
      </c>
      <c r="I2731">
        <v>944451</v>
      </c>
    </row>
    <row r="2732" spans="1:9">
      <c r="A2732" s="2">
        <v>1974</v>
      </c>
      <c r="B2732">
        <v>64</v>
      </c>
      <c r="C2732">
        <v>3.0419999999999999E-2</v>
      </c>
      <c r="D2732">
        <v>2.997E-2</v>
      </c>
      <c r="E2732">
        <v>0.5</v>
      </c>
      <c r="F2732">
        <v>68430</v>
      </c>
      <c r="G2732">
        <v>2051</v>
      </c>
      <c r="H2732">
        <v>67404</v>
      </c>
      <c r="I2732">
        <v>875062</v>
      </c>
    </row>
    <row r="2733" spans="1:9">
      <c r="A2733" s="2">
        <v>1974</v>
      </c>
      <c r="B2733">
        <v>65</v>
      </c>
      <c r="C2733">
        <v>3.3759999999999998E-2</v>
      </c>
      <c r="D2733">
        <v>3.32E-2</v>
      </c>
      <c r="E2733">
        <v>0.5</v>
      </c>
      <c r="F2733">
        <v>66379</v>
      </c>
      <c r="G2733">
        <v>2204</v>
      </c>
      <c r="H2733">
        <v>65277</v>
      </c>
      <c r="I2733">
        <v>807658</v>
      </c>
    </row>
    <row r="2734" spans="1:9">
      <c r="A2734" s="2">
        <v>1974</v>
      </c>
      <c r="B2734">
        <v>66</v>
      </c>
      <c r="C2734">
        <v>3.8010000000000002E-2</v>
      </c>
      <c r="D2734">
        <v>3.73E-2</v>
      </c>
      <c r="E2734">
        <v>0.5</v>
      </c>
      <c r="F2734">
        <v>64175</v>
      </c>
      <c r="G2734">
        <v>2394</v>
      </c>
      <c r="H2734">
        <v>62978</v>
      </c>
      <c r="I2734">
        <v>742381</v>
      </c>
    </row>
    <row r="2735" spans="1:9">
      <c r="A2735" s="2">
        <v>1974</v>
      </c>
      <c r="B2735">
        <v>67</v>
      </c>
      <c r="C2735">
        <v>4.045E-2</v>
      </c>
      <c r="D2735">
        <v>3.9649999999999998E-2</v>
      </c>
      <c r="E2735">
        <v>0.5</v>
      </c>
      <c r="F2735">
        <v>61781</v>
      </c>
      <c r="G2735">
        <v>2449</v>
      </c>
      <c r="H2735">
        <v>60556</v>
      </c>
      <c r="I2735">
        <v>679403</v>
      </c>
    </row>
    <row r="2736" spans="1:9">
      <c r="A2736" s="2">
        <v>1974</v>
      </c>
      <c r="B2736">
        <v>68</v>
      </c>
      <c r="C2736">
        <v>4.5019999999999998E-2</v>
      </c>
      <c r="D2736">
        <v>4.403E-2</v>
      </c>
      <c r="E2736">
        <v>0.5</v>
      </c>
      <c r="F2736">
        <v>59332</v>
      </c>
      <c r="G2736">
        <v>2612</v>
      </c>
      <c r="H2736">
        <v>58025</v>
      </c>
      <c r="I2736">
        <v>618847</v>
      </c>
    </row>
    <row r="2737" spans="1:9">
      <c r="A2737" s="2">
        <v>1974</v>
      </c>
      <c r="B2737">
        <v>69</v>
      </c>
      <c r="C2737">
        <v>4.9660000000000003E-2</v>
      </c>
      <c r="D2737">
        <v>4.8460000000000003E-2</v>
      </c>
      <c r="E2737">
        <v>0.5</v>
      </c>
      <c r="F2737">
        <v>56719</v>
      </c>
      <c r="G2737">
        <v>2749</v>
      </c>
      <c r="H2737">
        <v>55345</v>
      </c>
      <c r="I2737">
        <v>560821</v>
      </c>
    </row>
    <row r="2738" spans="1:9">
      <c r="A2738" s="2">
        <v>1974</v>
      </c>
      <c r="B2738">
        <v>70</v>
      </c>
      <c r="C2738">
        <v>5.6770000000000001E-2</v>
      </c>
      <c r="D2738">
        <v>5.5199999999999999E-2</v>
      </c>
      <c r="E2738">
        <v>0.5</v>
      </c>
      <c r="F2738">
        <v>53970</v>
      </c>
      <c r="G2738">
        <v>2979</v>
      </c>
      <c r="H2738">
        <v>52481</v>
      </c>
      <c r="I2738">
        <v>505477</v>
      </c>
    </row>
    <row r="2739" spans="1:9">
      <c r="A2739" s="2">
        <v>1974</v>
      </c>
      <c r="B2739">
        <v>71</v>
      </c>
      <c r="C2739">
        <v>6.0979999999999999E-2</v>
      </c>
      <c r="D2739">
        <v>5.9180000000000003E-2</v>
      </c>
      <c r="E2739">
        <v>0.5</v>
      </c>
      <c r="F2739">
        <v>50991</v>
      </c>
      <c r="G2739">
        <v>3017</v>
      </c>
      <c r="H2739">
        <v>49483</v>
      </c>
      <c r="I2739">
        <v>452996</v>
      </c>
    </row>
    <row r="2740" spans="1:9">
      <c r="A2740" s="2">
        <v>1974</v>
      </c>
      <c r="B2740">
        <v>72</v>
      </c>
      <c r="C2740">
        <v>6.83E-2</v>
      </c>
      <c r="D2740">
        <v>6.6040000000000001E-2</v>
      </c>
      <c r="E2740">
        <v>0.5</v>
      </c>
      <c r="F2740">
        <v>47974</v>
      </c>
      <c r="G2740">
        <v>3168</v>
      </c>
      <c r="H2740">
        <v>46390</v>
      </c>
      <c r="I2740">
        <v>403513</v>
      </c>
    </row>
    <row r="2741" spans="1:9">
      <c r="A2741" s="2">
        <v>1974</v>
      </c>
      <c r="B2741">
        <v>73</v>
      </c>
      <c r="C2741">
        <v>7.0610000000000006E-2</v>
      </c>
      <c r="D2741">
        <v>6.8199999999999997E-2</v>
      </c>
      <c r="E2741">
        <v>0.5</v>
      </c>
      <c r="F2741">
        <v>44805</v>
      </c>
      <c r="G2741">
        <v>3056</v>
      </c>
      <c r="H2741">
        <v>43278</v>
      </c>
      <c r="I2741">
        <v>357123</v>
      </c>
    </row>
    <row r="2742" spans="1:9">
      <c r="A2742" s="2">
        <v>1974</v>
      </c>
      <c r="B2742">
        <v>74</v>
      </c>
      <c r="C2742">
        <v>7.9159999999999994E-2</v>
      </c>
      <c r="D2742">
        <v>7.6149999999999995E-2</v>
      </c>
      <c r="E2742">
        <v>0.5</v>
      </c>
      <c r="F2742">
        <v>41750</v>
      </c>
      <c r="G2742">
        <v>3179</v>
      </c>
      <c r="H2742">
        <v>40160</v>
      </c>
      <c r="I2742">
        <v>313846</v>
      </c>
    </row>
    <row r="2743" spans="1:9">
      <c r="A2743" s="2">
        <v>1974</v>
      </c>
      <c r="B2743">
        <v>75</v>
      </c>
      <c r="C2743">
        <v>8.7370000000000003E-2</v>
      </c>
      <c r="D2743">
        <v>8.3710000000000007E-2</v>
      </c>
      <c r="E2743">
        <v>0.5</v>
      </c>
      <c r="F2743">
        <v>38570</v>
      </c>
      <c r="G2743">
        <v>3229</v>
      </c>
      <c r="H2743">
        <v>36956</v>
      </c>
      <c r="I2743">
        <v>273686</v>
      </c>
    </row>
    <row r="2744" spans="1:9">
      <c r="A2744" s="2">
        <v>1974</v>
      </c>
      <c r="B2744">
        <v>76</v>
      </c>
      <c r="C2744">
        <v>9.4079999999999997E-2</v>
      </c>
      <c r="D2744">
        <v>8.9849999999999999E-2</v>
      </c>
      <c r="E2744">
        <v>0.5</v>
      </c>
      <c r="F2744">
        <v>35342</v>
      </c>
      <c r="G2744">
        <v>3176</v>
      </c>
      <c r="H2744">
        <v>33754</v>
      </c>
      <c r="I2744">
        <v>236730</v>
      </c>
    </row>
    <row r="2745" spans="1:9">
      <c r="A2745" s="2">
        <v>1974</v>
      </c>
      <c r="B2745">
        <v>77</v>
      </c>
      <c r="C2745">
        <v>0.10158</v>
      </c>
      <c r="D2745">
        <v>9.6670000000000006E-2</v>
      </c>
      <c r="E2745">
        <v>0.5</v>
      </c>
      <c r="F2745">
        <v>32166</v>
      </c>
      <c r="G2745">
        <v>3110</v>
      </c>
      <c r="H2745">
        <v>30611</v>
      </c>
      <c r="I2745">
        <v>202976</v>
      </c>
    </row>
    <row r="2746" spans="1:9">
      <c r="A2746" s="2">
        <v>1974</v>
      </c>
      <c r="B2746">
        <v>78</v>
      </c>
      <c r="C2746">
        <v>0.1119</v>
      </c>
      <c r="D2746">
        <v>0.10596999999999999</v>
      </c>
      <c r="E2746">
        <v>0.5</v>
      </c>
      <c r="F2746">
        <v>29056</v>
      </c>
      <c r="G2746">
        <v>3079</v>
      </c>
      <c r="H2746">
        <v>27517</v>
      </c>
      <c r="I2746">
        <v>172365</v>
      </c>
    </row>
    <row r="2747" spans="1:9">
      <c r="A2747" s="2">
        <v>1974</v>
      </c>
      <c r="B2747">
        <v>79</v>
      </c>
      <c r="C2747">
        <v>0.12194000000000001</v>
      </c>
      <c r="D2747">
        <v>0.11493</v>
      </c>
      <c r="E2747">
        <v>0.5</v>
      </c>
      <c r="F2747">
        <v>25977</v>
      </c>
      <c r="G2747">
        <v>2986</v>
      </c>
      <c r="H2747">
        <v>24484</v>
      </c>
      <c r="I2747">
        <v>144848</v>
      </c>
    </row>
    <row r="2748" spans="1:9">
      <c r="A2748" s="2">
        <v>1974</v>
      </c>
      <c r="B2748">
        <v>80</v>
      </c>
      <c r="C2748">
        <v>0.1348</v>
      </c>
      <c r="D2748">
        <v>0.12629000000000001</v>
      </c>
      <c r="E2748">
        <v>0.5</v>
      </c>
      <c r="F2748">
        <v>22992</v>
      </c>
      <c r="G2748">
        <v>2903</v>
      </c>
      <c r="H2748">
        <v>21540</v>
      </c>
      <c r="I2748">
        <v>120364</v>
      </c>
    </row>
    <row r="2749" spans="1:9">
      <c r="A2749" s="2">
        <v>1974</v>
      </c>
      <c r="B2749">
        <v>81</v>
      </c>
      <c r="C2749">
        <v>0.14776</v>
      </c>
      <c r="D2749">
        <v>0.13758999999999999</v>
      </c>
      <c r="E2749">
        <v>0.5</v>
      </c>
      <c r="F2749">
        <v>20088</v>
      </c>
      <c r="G2749">
        <v>2764</v>
      </c>
      <c r="H2749">
        <v>18706</v>
      </c>
      <c r="I2749">
        <v>98824</v>
      </c>
    </row>
    <row r="2750" spans="1:9">
      <c r="A2750" s="2">
        <v>1974</v>
      </c>
      <c r="B2750">
        <v>82</v>
      </c>
      <c r="C2750">
        <v>0.15523000000000001</v>
      </c>
      <c r="D2750">
        <v>0.14405000000000001</v>
      </c>
      <c r="E2750">
        <v>0.5</v>
      </c>
      <c r="F2750">
        <v>17324</v>
      </c>
      <c r="G2750">
        <v>2496</v>
      </c>
      <c r="H2750">
        <v>16076</v>
      </c>
      <c r="I2750">
        <v>80118</v>
      </c>
    </row>
    <row r="2751" spans="1:9">
      <c r="A2751" s="2">
        <v>1974</v>
      </c>
      <c r="B2751">
        <v>83</v>
      </c>
      <c r="C2751">
        <v>0.17902999999999999</v>
      </c>
      <c r="D2751">
        <v>0.16431999999999999</v>
      </c>
      <c r="E2751">
        <v>0.5</v>
      </c>
      <c r="F2751">
        <v>14829</v>
      </c>
      <c r="G2751">
        <v>2437</v>
      </c>
      <c r="H2751">
        <v>13610</v>
      </c>
      <c r="I2751">
        <v>64042</v>
      </c>
    </row>
    <row r="2752" spans="1:9">
      <c r="A2752" s="2">
        <v>1974</v>
      </c>
      <c r="B2752">
        <v>84</v>
      </c>
      <c r="C2752">
        <v>0.18806999999999999</v>
      </c>
      <c r="D2752">
        <v>0.1719</v>
      </c>
      <c r="E2752">
        <v>0.5</v>
      </c>
      <c r="F2752">
        <v>12392</v>
      </c>
      <c r="G2752">
        <v>2130</v>
      </c>
      <c r="H2752">
        <v>11327</v>
      </c>
      <c r="I2752">
        <v>50431</v>
      </c>
    </row>
    <row r="2753" spans="1:9">
      <c r="A2753" s="2">
        <v>1974</v>
      </c>
      <c r="B2753">
        <v>85</v>
      </c>
      <c r="C2753">
        <v>0.19991999999999999</v>
      </c>
      <c r="D2753">
        <v>0.18174999999999999</v>
      </c>
      <c r="E2753">
        <v>0.5</v>
      </c>
      <c r="F2753">
        <v>10262</v>
      </c>
      <c r="G2753">
        <v>1865</v>
      </c>
      <c r="H2753">
        <v>9329</v>
      </c>
      <c r="I2753">
        <v>39104</v>
      </c>
    </row>
    <row r="2754" spans="1:9">
      <c r="A2754" s="2">
        <v>1974</v>
      </c>
      <c r="B2754">
        <v>86</v>
      </c>
      <c r="C2754">
        <v>0.23472000000000001</v>
      </c>
      <c r="D2754">
        <v>0.21007000000000001</v>
      </c>
      <c r="E2754">
        <v>0.5</v>
      </c>
      <c r="F2754">
        <v>8397</v>
      </c>
      <c r="G2754">
        <v>1764</v>
      </c>
      <c r="H2754">
        <v>7515</v>
      </c>
      <c r="I2754">
        <v>29775</v>
      </c>
    </row>
    <row r="2755" spans="1:9">
      <c r="A2755" s="2">
        <v>1974</v>
      </c>
      <c r="B2755">
        <v>87</v>
      </c>
      <c r="C2755">
        <v>0.24271000000000001</v>
      </c>
      <c r="D2755">
        <v>0.21645</v>
      </c>
      <c r="E2755">
        <v>0.5</v>
      </c>
      <c r="F2755">
        <v>6633</v>
      </c>
      <c r="G2755">
        <v>1436</v>
      </c>
      <c r="H2755">
        <v>5915</v>
      </c>
      <c r="I2755">
        <v>22261</v>
      </c>
    </row>
    <row r="2756" spans="1:9">
      <c r="A2756" s="2">
        <v>1974</v>
      </c>
      <c r="B2756">
        <v>88</v>
      </c>
      <c r="C2756">
        <v>0.26621</v>
      </c>
      <c r="D2756">
        <v>0.23494000000000001</v>
      </c>
      <c r="E2756">
        <v>0.5</v>
      </c>
      <c r="F2756">
        <v>5197</v>
      </c>
      <c r="G2756">
        <v>1221</v>
      </c>
      <c r="H2756">
        <v>4587</v>
      </c>
      <c r="I2756">
        <v>16346</v>
      </c>
    </row>
    <row r="2757" spans="1:9">
      <c r="A2757" s="2">
        <v>1974</v>
      </c>
      <c r="B2757">
        <v>89</v>
      </c>
      <c r="C2757">
        <v>0.29043000000000002</v>
      </c>
      <c r="D2757">
        <v>0.25361</v>
      </c>
      <c r="E2757">
        <v>0.5</v>
      </c>
      <c r="F2757">
        <v>3976</v>
      </c>
      <c r="G2757">
        <v>1008</v>
      </c>
      <c r="H2757">
        <v>3472</v>
      </c>
      <c r="I2757">
        <v>11759</v>
      </c>
    </row>
    <row r="2758" spans="1:9">
      <c r="A2758" s="2">
        <v>1974</v>
      </c>
      <c r="B2758">
        <v>90</v>
      </c>
      <c r="C2758">
        <v>0.30484</v>
      </c>
      <c r="D2758">
        <v>0.26451999999999998</v>
      </c>
      <c r="E2758">
        <v>0.5</v>
      </c>
      <c r="F2758">
        <v>2968</v>
      </c>
      <c r="G2758">
        <v>785</v>
      </c>
      <c r="H2758">
        <v>2575</v>
      </c>
      <c r="I2758">
        <v>8287</v>
      </c>
    </row>
    <row r="2759" spans="1:9">
      <c r="A2759" s="2">
        <v>1974</v>
      </c>
      <c r="B2759">
        <v>91</v>
      </c>
      <c r="C2759">
        <v>0.30198000000000003</v>
      </c>
      <c r="D2759">
        <v>0.26236999999999999</v>
      </c>
      <c r="E2759">
        <v>0.5</v>
      </c>
      <c r="F2759">
        <v>2183</v>
      </c>
      <c r="G2759">
        <v>573</v>
      </c>
      <c r="H2759">
        <v>1896</v>
      </c>
      <c r="I2759">
        <v>5712</v>
      </c>
    </row>
    <row r="2760" spans="1:9">
      <c r="A2760" s="2">
        <v>1974</v>
      </c>
      <c r="B2760">
        <v>92</v>
      </c>
      <c r="C2760">
        <v>0.38957999999999998</v>
      </c>
      <c r="D2760">
        <v>0.32607000000000003</v>
      </c>
      <c r="E2760">
        <v>0.5</v>
      </c>
      <c r="F2760">
        <v>1610</v>
      </c>
      <c r="G2760">
        <v>525</v>
      </c>
      <c r="H2760">
        <v>1348</v>
      </c>
      <c r="I2760">
        <v>3815</v>
      </c>
    </row>
    <row r="2761" spans="1:9">
      <c r="A2761" s="2">
        <v>1974</v>
      </c>
      <c r="B2761">
        <v>93</v>
      </c>
      <c r="C2761">
        <v>0.39749000000000001</v>
      </c>
      <c r="D2761">
        <v>0.33159</v>
      </c>
      <c r="E2761">
        <v>0.5</v>
      </c>
      <c r="F2761">
        <v>1085</v>
      </c>
      <c r="G2761">
        <v>360</v>
      </c>
      <c r="H2761">
        <v>905</v>
      </c>
      <c r="I2761">
        <v>2468</v>
      </c>
    </row>
    <row r="2762" spans="1:9">
      <c r="A2762" s="2">
        <v>1974</v>
      </c>
      <c r="B2762">
        <v>94</v>
      </c>
      <c r="C2762">
        <v>0.45023999999999997</v>
      </c>
      <c r="D2762">
        <v>0.36749999999999999</v>
      </c>
      <c r="E2762">
        <v>0.5</v>
      </c>
      <c r="F2762">
        <v>725</v>
      </c>
      <c r="G2762">
        <v>267</v>
      </c>
      <c r="H2762">
        <v>592</v>
      </c>
      <c r="I2762">
        <v>1563</v>
      </c>
    </row>
    <row r="2763" spans="1:9">
      <c r="A2763" s="2">
        <v>1974</v>
      </c>
      <c r="B2763">
        <v>95</v>
      </c>
      <c r="C2763">
        <v>0.43423</v>
      </c>
      <c r="D2763">
        <v>0.35676999999999998</v>
      </c>
      <c r="E2763">
        <v>0.5</v>
      </c>
      <c r="F2763">
        <v>459</v>
      </c>
      <c r="G2763">
        <v>164</v>
      </c>
      <c r="H2763">
        <v>377</v>
      </c>
      <c r="I2763">
        <v>971</v>
      </c>
    </row>
    <row r="2764" spans="1:9">
      <c r="A2764" s="2">
        <v>1974</v>
      </c>
      <c r="B2764">
        <v>96</v>
      </c>
      <c r="C2764">
        <v>0.46073999999999998</v>
      </c>
      <c r="D2764">
        <v>0.37447000000000003</v>
      </c>
      <c r="E2764">
        <v>0.5</v>
      </c>
      <c r="F2764">
        <v>295</v>
      </c>
      <c r="G2764">
        <v>110</v>
      </c>
      <c r="H2764">
        <v>240</v>
      </c>
      <c r="I2764">
        <v>594</v>
      </c>
    </row>
    <row r="2765" spans="1:9">
      <c r="A2765" s="2">
        <v>1974</v>
      </c>
      <c r="B2765">
        <v>97</v>
      </c>
      <c r="C2765">
        <v>0.48747000000000001</v>
      </c>
      <c r="D2765">
        <v>0.39194000000000001</v>
      </c>
      <c r="E2765">
        <v>0.5</v>
      </c>
      <c r="F2765">
        <v>185</v>
      </c>
      <c r="G2765">
        <v>72</v>
      </c>
      <c r="H2765">
        <v>148</v>
      </c>
      <c r="I2765">
        <v>354</v>
      </c>
    </row>
    <row r="2766" spans="1:9">
      <c r="A2766" s="2">
        <v>1974</v>
      </c>
      <c r="B2766">
        <v>98</v>
      </c>
      <c r="C2766">
        <v>0.51427</v>
      </c>
      <c r="D2766">
        <v>0.40908</v>
      </c>
      <c r="E2766">
        <v>0.5</v>
      </c>
      <c r="F2766">
        <v>112</v>
      </c>
      <c r="G2766">
        <v>46</v>
      </c>
      <c r="H2766">
        <v>89</v>
      </c>
      <c r="I2766">
        <v>205</v>
      </c>
    </row>
    <row r="2767" spans="1:9">
      <c r="A2767" s="2">
        <v>1974</v>
      </c>
      <c r="B2767">
        <v>99</v>
      </c>
      <c r="C2767">
        <v>0.54098000000000002</v>
      </c>
      <c r="D2767">
        <v>0.42581000000000002</v>
      </c>
      <c r="E2767">
        <v>0.5</v>
      </c>
      <c r="F2767">
        <v>66</v>
      </c>
      <c r="G2767">
        <v>28</v>
      </c>
      <c r="H2767">
        <v>52</v>
      </c>
      <c r="I2767">
        <v>116</v>
      </c>
    </row>
    <row r="2768" spans="1:9">
      <c r="A2768" s="2">
        <v>1974</v>
      </c>
      <c r="B2768">
        <v>100</v>
      </c>
      <c r="C2768">
        <v>0.56747000000000003</v>
      </c>
      <c r="D2768">
        <v>0.44205</v>
      </c>
      <c r="E2768">
        <v>0.5</v>
      </c>
      <c r="F2768">
        <v>38</v>
      </c>
      <c r="G2768">
        <v>17</v>
      </c>
      <c r="H2768">
        <v>30</v>
      </c>
      <c r="I2768">
        <v>64</v>
      </c>
    </row>
    <row r="2769" spans="1:9">
      <c r="A2769" s="2">
        <v>1974</v>
      </c>
      <c r="B2769">
        <v>101</v>
      </c>
      <c r="C2769">
        <v>0.59357000000000004</v>
      </c>
      <c r="D2769">
        <v>0.45773000000000003</v>
      </c>
      <c r="E2769">
        <v>0.5</v>
      </c>
      <c r="F2769">
        <v>21</v>
      </c>
      <c r="G2769">
        <v>10</v>
      </c>
      <c r="H2769">
        <v>16</v>
      </c>
      <c r="I2769">
        <v>34</v>
      </c>
    </row>
    <row r="2770" spans="1:9">
      <c r="A2770" s="2">
        <v>1974</v>
      </c>
      <c r="B2770">
        <v>102</v>
      </c>
      <c r="C2770">
        <v>0.61916000000000004</v>
      </c>
      <c r="D2770">
        <v>0.47278999999999999</v>
      </c>
      <c r="E2770">
        <v>0.5</v>
      </c>
      <c r="F2770">
        <v>12</v>
      </c>
      <c r="G2770">
        <v>5</v>
      </c>
      <c r="H2770">
        <v>9</v>
      </c>
      <c r="I2770">
        <v>18</v>
      </c>
    </row>
    <row r="2771" spans="1:9">
      <c r="A2771" s="2">
        <v>1974</v>
      </c>
      <c r="B2771">
        <v>103</v>
      </c>
      <c r="C2771">
        <v>0.64410000000000001</v>
      </c>
      <c r="D2771">
        <v>0.48720000000000002</v>
      </c>
      <c r="E2771">
        <v>0.5</v>
      </c>
      <c r="F2771">
        <v>6</v>
      </c>
      <c r="G2771">
        <v>3</v>
      </c>
      <c r="H2771">
        <v>5</v>
      </c>
      <c r="I2771">
        <v>9</v>
      </c>
    </row>
    <row r="2772" spans="1:9">
      <c r="A2772" s="2">
        <v>1974</v>
      </c>
      <c r="B2772">
        <v>104</v>
      </c>
      <c r="C2772">
        <v>0.66827999999999999</v>
      </c>
      <c r="D2772">
        <v>0.50090999999999997</v>
      </c>
      <c r="E2772">
        <v>0.5</v>
      </c>
      <c r="F2772">
        <v>3</v>
      </c>
      <c r="G2772">
        <v>2</v>
      </c>
      <c r="H2772">
        <v>2</v>
      </c>
      <c r="I2772">
        <v>5</v>
      </c>
    </row>
    <row r="2773" spans="1:9">
      <c r="A2773" s="2">
        <v>1974</v>
      </c>
      <c r="B2773">
        <v>105</v>
      </c>
      <c r="C2773">
        <v>0.69160999999999995</v>
      </c>
      <c r="D2773">
        <v>0.51390000000000002</v>
      </c>
      <c r="E2773">
        <v>0.5</v>
      </c>
      <c r="F2773">
        <v>2</v>
      </c>
      <c r="G2773">
        <v>1</v>
      </c>
      <c r="H2773">
        <v>1</v>
      </c>
      <c r="I2773">
        <v>2</v>
      </c>
    </row>
    <row r="2774" spans="1:9">
      <c r="A2774" s="2">
        <v>1974</v>
      </c>
      <c r="B2774">
        <v>106</v>
      </c>
      <c r="C2774">
        <v>0.71399999999999997</v>
      </c>
      <c r="D2774">
        <v>0.52615999999999996</v>
      </c>
      <c r="E2774">
        <v>0.5</v>
      </c>
      <c r="F2774">
        <v>1</v>
      </c>
      <c r="G2774">
        <v>0</v>
      </c>
      <c r="H2774">
        <v>1</v>
      </c>
      <c r="I2774">
        <v>1</v>
      </c>
    </row>
    <row r="2775" spans="1:9">
      <c r="A2775" s="2">
        <v>1974</v>
      </c>
      <c r="B2775">
        <v>107</v>
      </c>
      <c r="C2775">
        <v>0.73538000000000003</v>
      </c>
      <c r="D2775">
        <v>0.53768000000000005</v>
      </c>
      <c r="E2775">
        <v>0.5</v>
      </c>
      <c r="F2775">
        <v>0</v>
      </c>
      <c r="G2775">
        <v>0</v>
      </c>
      <c r="H2775">
        <v>0</v>
      </c>
      <c r="I2775">
        <v>0</v>
      </c>
    </row>
    <row r="2776" spans="1:9">
      <c r="A2776" s="2">
        <v>1974</v>
      </c>
      <c r="B2776">
        <v>108</v>
      </c>
      <c r="C2776">
        <v>0.75571999999999995</v>
      </c>
      <c r="D2776">
        <v>0.54847000000000001</v>
      </c>
      <c r="E2776">
        <v>0.5</v>
      </c>
      <c r="F2776">
        <v>0</v>
      </c>
      <c r="G2776">
        <v>0</v>
      </c>
      <c r="H2776">
        <v>0</v>
      </c>
      <c r="I2776">
        <v>0</v>
      </c>
    </row>
    <row r="2777" spans="1:9">
      <c r="A2777" s="2">
        <v>1974</v>
      </c>
      <c r="B2777">
        <v>109</v>
      </c>
      <c r="C2777">
        <v>0.77497000000000005</v>
      </c>
      <c r="D2777">
        <v>0.55854000000000004</v>
      </c>
      <c r="E2777">
        <v>0.5</v>
      </c>
      <c r="F2777">
        <v>0</v>
      </c>
      <c r="G2777">
        <v>0</v>
      </c>
      <c r="H2777">
        <v>0</v>
      </c>
      <c r="I2777">
        <v>0</v>
      </c>
    </row>
    <row r="2778" spans="1:9">
      <c r="A2778" s="2">
        <v>1974</v>
      </c>
      <c r="B2778" t="s">
        <v>26</v>
      </c>
      <c r="C2778">
        <v>0.79310999999999998</v>
      </c>
      <c r="D2778">
        <v>1</v>
      </c>
      <c r="E2778" s="3" t="s">
        <v>40</v>
      </c>
      <c r="F2778">
        <v>0</v>
      </c>
      <c r="G2778">
        <v>0</v>
      </c>
      <c r="H2778">
        <v>0</v>
      </c>
      <c r="I2778">
        <v>0</v>
      </c>
    </row>
    <row r="2779" spans="1:9">
      <c r="A2779" s="2">
        <v>1975</v>
      </c>
      <c r="B2779">
        <v>0</v>
      </c>
      <c r="C2779">
        <v>3.7260000000000001E-2</v>
      </c>
      <c r="D2779">
        <v>3.6110000000000003E-2</v>
      </c>
      <c r="E2779">
        <v>0.15</v>
      </c>
      <c r="F2779">
        <v>100000</v>
      </c>
      <c r="G2779">
        <v>3611</v>
      </c>
      <c r="H2779">
        <v>96930</v>
      </c>
      <c r="I2779">
        <v>6633582</v>
      </c>
    </row>
    <row r="2780" spans="1:9">
      <c r="A2780" s="2">
        <v>1975</v>
      </c>
      <c r="B2780">
        <v>1</v>
      </c>
      <c r="C2780">
        <v>1.2899999999999999E-3</v>
      </c>
      <c r="D2780">
        <v>1.2899999999999999E-3</v>
      </c>
      <c r="E2780">
        <v>0.5</v>
      </c>
      <c r="F2780">
        <v>96389</v>
      </c>
      <c r="G2780">
        <v>125</v>
      </c>
      <c r="H2780">
        <v>96326</v>
      </c>
      <c r="I2780">
        <v>6536653</v>
      </c>
    </row>
    <row r="2781" spans="1:9">
      <c r="A2781" s="2">
        <v>1975</v>
      </c>
      <c r="B2781">
        <v>2</v>
      </c>
      <c r="C2781">
        <v>7.6000000000000004E-4</v>
      </c>
      <c r="D2781">
        <v>7.6000000000000004E-4</v>
      </c>
      <c r="E2781">
        <v>0.5</v>
      </c>
      <c r="F2781">
        <v>96264</v>
      </c>
      <c r="G2781">
        <v>74</v>
      </c>
      <c r="H2781">
        <v>96227</v>
      </c>
      <c r="I2781">
        <v>6440326</v>
      </c>
    </row>
    <row r="2782" spans="1:9">
      <c r="A2782" s="2">
        <v>1975</v>
      </c>
      <c r="B2782">
        <v>3</v>
      </c>
      <c r="C2782">
        <v>6.4000000000000005E-4</v>
      </c>
      <c r="D2782">
        <v>6.4000000000000005E-4</v>
      </c>
      <c r="E2782">
        <v>0.5</v>
      </c>
      <c r="F2782">
        <v>96191</v>
      </c>
      <c r="G2782">
        <v>61</v>
      </c>
      <c r="H2782">
        <v>96160</v>
      </c>
      <c r="I2782">
        <v>6344099</v>
      </c>
    </row>
    <row r="2783" spans="1:9">
      <c r="A2783" s="2">
        <v>1975</v>
      </c>
      <c r="B2783">
        <v>4</v>
      </c>
      <c r="C2783">
        <v>5.9000000000000003E-4</v>
      </c>
      <c r="D2783">
        <v>5.9000000000000003E-4</v>
      </c>
      <c r="E2783">
        <v>0.5</v>
      </c>
      <c r="F2783">
        <v>96129</v>
      </c>
      <c r="G2783">
        <v>57</v>
      </c>
      <c r="H2783">
        <v>96101</v>
      </c>
      <c r="I2783">
        <v>6247939</v>
      </c>
    </row>
    <row r="2784" spans="1:9">
      <c r="A2784" s="2">
        <v>1975</v>
      </c>
      <c r="B2784">
        <v>5</v>
      </c>
      <c r="C2784">
        <v>4.6999999999999999E-4</v>
      </c>
      <c r="D2784">
        <v>4.6999999999999999E-4</v>
      </c>
      <c r="E2784">
        <v>0.5</v>
      </c>
      <c r="F2784">
        <v>96072</v>
      </c>
      <c r="G2784">
        <v>45</v>
      </c>
      <c r="H2784">
        <v>96050</v>
      </c>
      <c r="I2784">
        <v>6151838</v>
      </c>
    </row>
    <row r="2785" spans="1:9">
      <c r="A2785" s="2">
        <v>1975</v>
      </c>
      <c r="B2785">
        <v>6</v>
      </c>
      <c r="C2785">
        <v>4.0000000000000002E-4</v>
      </c>
      <c r="D2785">
        <v>4.0000000000000002E-4</v>
      </c>
      <c r="E2785">
        <v>0.5</v>
      </c>
      <c r="F2785">
        <v>96027</v>
      </c>
      <c r="G2785">
        <v>39</v>
      </c>
      <c r="H2785">
        <v>96008</v>
      </c>
      <c r="I2785">
        <v>6055788</v>
      </c>
    </row>
    <row r="2786" spans="1:9">
      <c r="A2786" s="2">
        <v>1975</v>
      </c>
      <c r="B2786">
        <v>7</v>
      </c>
      <c r="C2786">
        <v>3.8999999999999999E-4</v>
      </c>
      <c r="D2786">
        <v>3.8999999999999999E-4</v>
      </c>
      <c r="E2786">
        <v>0.5</v>
      </c>
      <c r="F2786">
        <v>95988</v>
      </c>
      <c r="G2786">
        <v>38</v>
      </c>
      <c r="H2786">
        <v>95969</v>
      </c>
      <c r="I2786">
        <v>5959781</v>
      </c>
    </row>
    <row r="2787" spans="1:9">
      <c r="A2787" s="2">
        <v>1975</v>
      </c>
      <c r="B2787">
        <v>8</v>
      </c>
      <c r="C2787">
        <v>3.6999999999999999E-4</v>
      </c>
      <c r="D2787">
        <v>3.6999999999999999E-4</v>
      </c>
      <c r="E2787">
        <v>0.5</v>
      </c>
      <c r="F2787">
        <v>95950</v>
      </c>
      <c r="G2787">
        <v>35</v>
      </c>
      <c r="H2787">
        <v>95933</v>
      </c>
      <c r="I2787">
        <v>5863812</v>
      </c>
    </row>
    <row r="2788" spans="1:9">
      <c r="A2788" s="2">
        <v>1975</v>
      </c>
      <c r="B2788">
        <v>9</v>
      </c>
      <c r="C2788">
        <v>4.4999999999999999E-4</v>
      </c>
      <c r="D2788">
        <v>4.4999999999999999E-4</v>
      </c>
      <c r="E2788">
        <v>0.5</v>
      </c>
      <c r="F2788">
        <v>95915</v>
      </c>
      <c r="G2788">
        <v>43</v>
      </c>
      <c r="H2788">
        <v>95894</v>
      </c>
      <c r="I2788">
        <v>5767879</v>
      </c>
    </row>
    <row r="2789" spans="1:9">
      <c r="A2789" s="2">
        <v>1975</v>
      </c>
      <c r="B2789">
        <v>10</v>
      </c>
      <c r="C2789">
        <v>2.7E-4</v>
      </c>
      <c r="D2789">
        <v>2.7E-4</v>
      </c>
      <c r="E2789">
        <v>0.5</v>
      </c>
      <c r="F2789">
        <v>95872</v>
      </c>
      <c r="G2789">
        <v>26</v>
      </c>
      <c r="H2789">
        <v>95859</v>
      </c>
      <c r="I2789">
        <v>5671985</v>
      </c>
    </row>
    <row r="2790" spans="1:9">
      <c r="A2790" s="2">
        <v>1975</v>
      </c>
      <c r="B2790">
        <v>11</v>
      </c>
      <c r="C2790">
        <v>3.5E-4</v>
      </c>
      <c r="D2790">
        <v>3.5E-4</v>
      </c>
      <c r="E2790">
        <v>0.5</v>
      </c>
      <c r="F2790">
        <v>95846</v>
      </c>
      <c r="G2790">
        <v>34</v>
      </c>
      <c r="H2790">
        <v>95829</v>
      </c>
      <c r="I2790">
        <v>5576126</v>
      </c>
    </row>
    <row r="2791" spans="1:9">
      <c r="A2791" s="2">
        <v>1975</v>
      </c>
      <c r="B2791">
        <v>12</v>
      </c>
      <c r="C2791">
        <v>4.0000000000000002E-4</v>
      </c>
      <c r="D2791">
        <v>4.0000000000000002E-4</v>
      </c>
      <c r="E2791">
        <v>0.5</v>
      </c>
      <c r="F2791">
        <v>95812</v>
      </c>
      <c r="G2791">
        <v>39</v>
      </c>
      <c r="H2791">
        <v>95793</v>
      </c>
      <c r="I2791">
        <v>5480297</v>
      </c>
    </row>
    <row r="2792" spans="1:9">
      <c r="A2792" s="2">
        <v>1975</v>
      </c>
      <c r="B2792">
        <v>13</v>
      </c>
      <c r="C2792">
        <v>4.4000000000000002E-4</v>
      </c>
      <c r="D2792">
        <v>4.4000000000000002E-4</v>
      </c>
      <c r="E2792">
        <v>0.5</v>
      </c>
      <c r="F2792">
        <v>95774</v>
      </c>
      <c r="G2792">
        <v>42</v>
      </c>
      <c r="H2792">
        <v>95753</v>
      </c>
      <c r="I2792">
        <v>5384504</v>
      </c>
    </row>
    <row r="2793" spans="1:9">
      <c r="A2793" s="2">
        <v>1975</v>
      </c>
      <c r="B2793">
        <v>14</v>
      </c>
      <c r="C2793">
        <v>7.2999999999999996E-4</v>
      </c>
      <c r="D2793">
        <v>7.2999999999999996E-4</v>
      </c>
      <c r="E2793">
        <v>0.5</v>
      </c>
      <c r="F2793">
        <v>95731</v>
      </c>
      <c r="G2793">
        <v>70</v>
      </c>
      <c r="H2793">
        <v>95696</v>
      </c>
      <c r="I2793">
        <v>5288751</v>
      </c>
    </row>
    <row r="2794" spans="1:9">
      <c r="A2794" s="2">
        <v>1975</v>
      </c>
      <c r="B2794">
        <v>15</v>
      </c>
      <c r="C2794">
        <v>6.0999999999999997E-4</v>
      </c>
      <c r="D2794">
        <v>6.0999999999999997E-4</v>
      </c>
      <c r="E2794">
        <v>0.5</v>
      </c>
      <c r="F2794">
        <v>95661</v>
      </c>
      <c r="G2794">
        <v>59</v>
      </c>
      <c r="H2794">
        <v>95632</v>
      </c>
      <c r="I2794">
        <v>5193055</v>
      </c>
    </row>
    <row r="2795" spans="1:9">
      <c r="A2795" s="2">
        <v>1975</v>
      </c>
      <c r="B2795">
        <v>16</v>
      </c>
      <c r="C2795">
        <v>7.9000000000000001E-4</v>
      </c>
      <c r="D2795">
        <v>7.9000000000000001E-4</v>
      </c>
      <c r="E2795">
        <v>0.5</v>
      </c>
      <c r="F2795">
        <v>95603</v>
      </c>
      <c r="G2795">
        <v>76</v>
      </c>
      <c r="H2795">
        <v>95565</v>
      </c>
      <c r="I2795">
        <v>5097423</v>
      </c>
    </row>
    <row r="2796" spans="1:9">
      <c r="A2796" s="2">
        <v>1975</v>
      </c>
      <c r="B2796">
        <v>17</v>
      </c>
      <c r="C2796">
        <v>1.2899999999999999E-3</v>
      </c>
      <c r="D2796">
        <v>1.2899999999999999E-3</v>
      </c>
      <c r="E2796">
        <v>0.5</v>
      </c>
      <c r="F2796">
        <v>95527</v>
      </c>
      <c r="G2796">
        <v>123</v>
      </c>
      <c r="H2796">
        <v>95466</v>
      </c>
      <c r="I2796">
        <v>5001857</v>
      </c>
    </row>
    <row r="2797" spans="1:9">
      <c r="A2797" s="2">
        <v>1975</v>
      </c>
      <c r="B2797">
        <v>18</v>
      </c>
      <c r="C2797">
        <v>1.2199999999999999E-3</v>
      </c>
      <c r="D2797">
        <v>1.2099999999999999E-3</v>
      </c>
      <c r="E2797">
        <v>0.5</v>
      </c>
      <c r="F2797">
        <v>95404</v>
      </c>
      <c r="G2797">
        <v>116</v>
      </c>
      <c r="H2797">
        <v>95346</v>
      </c>
      <c r="I2797">
        <v>4906392</v>
      </c>
    </row>
    <row r="2798" spans="1:9">
      <c r="A2798" s="2">
        <v>1975</v>
      </c>
      <c r="B2798">
        <v>19</v>
      </c>
      <c r="C2798">
        <v>1.25E-3</v>
      </c>
      <c r="D2798">
        <v>1.25E-3</v>
      </c>
      <c r="E2798">
        <v>0.5</v>
      </c>
      <c r="F2798">
        <v>95288</v>
      </c>
      <c r="G2798">
        <v>119</v>
      </c>
      <c r="H2798">
        <v>95229</v>
      </c>
      <c r="I2798">
        <v>4811046</v>
      </c>
    </row>
    <row r="2799" spans="1:9">
      <c r="A2799" s="2">
        <v>1975</v>
      </c>
      <c r="B2799">
        <v>20</v>
      </c>
      <c r="C2799">
        <v>1.48E-3</v>
      </c>
      <c r="D2799">
        <v>1.48E-3</v>
      </c>
      <c r="E2799">
        <v>0.5</v>
      </c>
      <c r="F2799">
        <v>95169</v>
      </c>
      <c r="G2799">
        <v>140</v>
      </c>
      <c r="H2799">
        <v>95099</v>
      </c>
      <c r="I2799">
        <v>4715817</v>
      </c>
    </row>
    <row r="2800" spans="1:9">
      <c r="A2800" s="2">
        <v>1975</v>
      </c>
      <c r="B2800">
        <v>21</v>
      </c>
      <c r="C2800">
        <v>1.41E-3</v>
      </c>
      <c r="D2800">
        <v>1.41E-3</v>
      </c>
      <c r="E2800">
        <v>0.5</v>
      </c>
      <c r="F2800">
        <v>95029</v>
      </c>
      <c r="G2800">
        <v>134</v>
      </c>
      <c r="H2800">
        <v>94962</v>
      </c>
      <c r="I2800">
        <v>4620718</v>
      </c>
    </row>
    <row r="2801" spans="1:9">
      <c r="A2801" s="2">
        <v>1975</v>
      </c>
      <c r="B2801">
        <v>22</v>
      </c>
      <c r="C2801">
        <v>1.42E-3</v>
      </c>
      <c r="D2801">
        <v>1.42E-3</v>
      </c>
      <c r="E2801">
        <v>0.5</v>
      </c>
      <c r="F2801">
        <v>94895</v>
      </c>
      <c r="G2801">
        <v>135</v>
      </c>
      <c r="H2801">
        <v>94827</v>
      </c>
      <c r="I2801">
        <v>4525756</v>
      </c>
    </row>
    <row r="2802" spans="1:9">
      <c r="A2802" s="2">
        <v>1975</v>
      </c>
      <c r="B2802">
        <v>23</v>
      </c>
      <c r="C2802">
        <v>1.57E-3</v>
      </c>
      <c r="D2802">
        <v>1.57E-3</v>
      </c>
      <c r="E2802">
        <v>0.5</v>
      </c>
      <c r="F2802">
        <v>94760</v>
      </c>
      <c r="G2802">
        <v>149</v>
      </c>
      <c r="H2802">
        <v>94686</v>
      </c>
      <c r="I2802">
        <v>4430929</v>
      </c>
    </row>
    <row r="2803" spans="1:9">
      <c r="A2803" s="2">
        <v>1975</v>
      </c>
      <c r="B2803">
        <v>24</v>
      </c>
      <c r="C2803">
        <v>1.4599999999999999E-3</v>
      </c>
      <c r="D2803">
        <v>1.4599999999999999E-3</v>
      </c>
      <c r="E2803">
        <v>0.5</v>
      </c>
      <c r="F2803">
        <v>94611</v>
      </c>
      <c r="G2803">
        <v>138</v>
      </c>
      <c r="H2803">
        <v>94542</v>
      </c>
      <c r="I2803">
        <v>4336243</v>
      </c>
    </row>
    <row r="2804" spans="1:9">
      <c r="A2804" s="2">
        <v>1975</v>
      </c>
      <c r="B2804">
        <v>25</v>
      </c>
      <c r="C2804">
        <v>1.5399999999999999E-3</v>
      </c>
      <c r="D2804">
        <v>1.5399999999999999E-3</v>
      </c>
      <c r="E2804">
        <v>0.5</v>
      </c>
      <c r="F2804">
        <v>94473</v>
      </c>
      <c r="G2804">
        <v>145</v>
      </c>
      <c r="H2804">
        <v>94400</v>
      </c>
      <c r="I2804">
        <v>4241702</v>
      </c>
    </row>
    <row r="2805" spans="1:9">
      <c r="A2805" s="2">
        <v>1975</v>
      </c>
      <c r="B2805">
        <v>26</v>
      </c>
      <c r="C2805">
        <v>1.24E-3</v>
      </c>
      <c r="D2805">
        <v>1.24E-3</v>
      </c>
      <c r="E2805">
        <v>0.5</v>
      </c>
      <c r="F2805">
        <v>94327</v>
      </c>
      <c r="G2805">
        <v>117</v>
      </c>
      <c r="H2805">
        <v>94269</v>
      </c>
      <c r="I2805">
        <v>4147302</v>
      </c>
    </row>
    <row r="2806" spans="1:9">
      <c r="A2806" s="2">
        <v>1975</v>
      </c>
      <c r="B2806">
        <v>27</v>
      </c>
      <c r="C2806">
        <v>1.5200000000000001E-3</v>
      </c>
      <c r="D2806">
        <v>1.5200000000000001E-3</v>
      </c>
      <c r="E2806">
        <v>0.5</v>
      </c>
      <c r="F2806">
        <v>94210</v>
      </c>
      <c r="G2806">
        <v>143</v>
      </c>
      <c r="H2806">
        <v>94139</v>
      </c>
      <c r="I2806">
        <v>4053033</v>
      </c>
    </row>
    <row r="2807" spans="1:9">
      <c r="A2807" s="2">
        <v>1975</v>
      </c>
      <c r="B2807">
        <v>28</v>
      </c>
      <c r="C2807">
        <v>1.6000000000000001E-3</v>
      </c>
      <c r="D2807">
        <v>1.5900000000000001E-3</v>
      </c>
      <c r="E2807">
        <v>0.5</v>
      </c>
      <c r="F2807">
        <v>94067</v>
      </c>
      <c r="G2807">
        <v>150</v>
      </c>
      <c r="H2807">
        <v>93992</v>
      </c>
      <c r="I2807">
        <v>3958894</v>
      </c>
    </row>
    <row r="2808" spans="1:9">
      <c r="A2808" s="2">
        <v>1975</v>
      </c>
      <c r="B2808">
        <v>29</v>
      </c>
      <c r="C2808">
        <v>1.41E-3</v>
      </c>
      <c r="D2808">
        <v>1.41E-3</v>
      </c>
      <c r="E2808">
        <v>0.5</v>
      </c>
      <c r="F2808">
        <v>93917</v>
      </c>
      <c r="G2808">
        <v>132</v>
      </c>
      <c r="H2808">
        <v>93851</v>
      </c>
      <c r="I2808">
        <v>3864902</v>
      </c>
    </row>
    <row r="2809" spans="1:9">
      <c r="A2809" s="2">
        <v>1975</v>
      </c>
      <c r="B2809">
        <v>30</v>
      </c>
      <c r="C2809">
        <v>1.8799999999999999E-3</v>
      </c>
      <c r="D2809">
        <v>1.8799999999999999E-3</v>
      </c>
      <c r="E2809">
        <v>0.5</v>
      </c>
      <c r="F2809">
        <v>93785</v>
      </c>
      <c r="G2809">
        <v>176</v>
      </c>
      <c r="H2809">
        <v>93697</v>
      </c>
      <c r="I2809">
        <v>3771051</v>
      </c>
    </row>
    <row r="2810" spans="1:9">
      <c r="A2810" s="2">
        <v>1975</v>
      </c>
      <c r="B2810">
        <v>31</v>
      </c>
      <c r="C2810">
        <v>2.2200000000000002E-3</v>
      </c>
      <c r="D2810">
        <v>2.2200000000000002E-3</v>
      </c>
      <c r="E2810">
        <v>0.5</v>
      </c>
      <c r="F2810">
        <v>93609</v>
      </c>
      <c r="G2810">
        <v>208</v>
      </c>
      <c r="H2810">
        <v>93505</v>
      </c>
      <c r="I2810">
        <v>3677354</v>
      </c>
    </row>
    <row r="2811" spans="1:9">
      <c r="A2811" s="2">
        <v>1975</v>
      </c>
      <c r="B2811">
        <v>32</v>
      </c>
      <c r="C2811">
        <v>2.14E-3</v>
      </c>
      <c r="D2811">
        <v>2.14E-3</v>
      </c>
      <c r="E2811">
        <v>0.5</v>
      </c>
      <c r="F2811">
        <v>93401</v>
      </c>
      <c r="G2811">
        <v>200</v>
      </c>
      <c r="H2811">
        <v>93301</v>
      </c>
      <c r="I2811">
        <v>3583849</v>
      </c>
    </row>
    <row r="2812" spans="1:9">
      <c r="A2812" s="2">
        <v>1975</v>
      </c>
      <c r="B2812">
        <v>33</v>
      </c>
      <c r="C2812">
        <v>2.5899999999999999E-3</v>
      </c>
      <c r="D2812">
        <v>2.5799999999999998E-3</v>
      </c>
      <c r="E2812">
        <v>0.5</v>
      </c>
      <c r="F2812">
        <v>93201</v>
      </c>
      <c r="G2812">
        <v>241</v>
      </c>
      <c r="H2812">
        <v>93081</v>
      </c>
      <c r="I2812">
        <v>3490548</v>
      </c>
    </row>
    <row r="2813" spans="1:9">
      <c r="A2813" s="2">
        <v>1975</v>
      </c>
      <c r="B2813">
        <v>34</v>
      </c>
      <c r="C2813">
        <v>2.5100000000000001E-3</v>
      </c>
      <c r="D2813">
        <v>2.5100000000000001E-3</v>
      </c>
      <c r="E2813">
        <v>0.5</v>
      </c>
      <c r="F2813">
        <v>92960</v>
      </c>
      <c r="G2813">
        <v>233</v>
      </c>
      <c r="H2813">
        <v>92844</v>
      </c>
      <c r="I2813">
        <v>3397467</v>
      </c>
    </row>
    <row r="2814" spans="1:9">
      <c r="A2814" s="2">
        <v>1975</v>
      </c>
      <c r="B2814">
        <v>35</v>
      </c>
      <c r="C2814">
        <v>2.5400000000000002E-3</v>
      </c>
      <c r="D2814">
        <v>2.5400000000000002E-3</v>
      </c>
      <c r="E2814">
        <v>0.5</v>
      </c>
      <c r="F2814">
        <v>92727</v>
      </c>
      <c r="G2814">
        <v>236</v>
      </c>
      <c r="H2814">
        <v>92609</v>
      </c>
      <c r="I2814">
        <v>3304624</v>
      </c>
    </row>
    <row r="2815" spans="1:9">
      <c r="A2815" s="2">
        <v>1975</v>
      </c>
      <c r="B2815">
        <v>36</v>
      </c>
      <c r="C2815">
        <v>2.8600000000000001E-3</v>
      </c>
      <c r="D2815">
        <v>2.8600000000000001E-3</v>
      </c>
      <c r="E2815">
        <v>0.5</v>
      </c>
      <c r="F2815">
        <v>92491</v>
      </c>
      <c r="G2815">
        <v>265</v>
      </c>
      <c r="H2815">
        <v>92359</v>
      </c>
      <c r="I2815">
        <v>3212015</v>
      </c>
    </row>
    <row r="2816" spans="1:9">
      <c r="A2816" s="2">
        <v>1975</v>
      </c>
      <c r="B2816">
        <v>37</v>
      </c>
      <c r="C2816">
        <v>2.98E-3</v>
      </c>
      <c r="D2816">
        <v>2.97E-3</v>
      </c>
      <c r="E2816">
        <v>0.5</v>
      </c>
      <c r="F2816">
        <v>92227</v>
      </c>
      <c r="G2816">
        <v>274</v>
      </c>
      <c r="H2816">
        <v>92090</v>
      </c>
      <c r="I2816">
        <v>3119656</v>
      </c>
    </row>
    <row r="2817" spans="1:9">
      <c r="A2817" s="2">
        <v>1975</v>
      </c>
      <c r="B2817">
        <v>38</v>
      </c>
      <c r="C2817">
        <v>3.0300000000000001E-3</v>
      </c>
      <c r="D2817">
        <v>3.0300000000000001E-3</v>
      </c>
      <c r="E2817">
        <v>0.5</v>
      </c>
      <c r="F2817">
        <v>91952</v>
      </c>
      <c r="G2817">
        <v>278</v>
      </c>
      <c r="H2817">
        <v>91813</v>
      </c>
      <c r="I2817">
        <v>3027566</v>
      </c>
    </row>
    <row r="2818" spans="1:9">
      <c r="A2818" s="2">
        <v>1975</v>
      </c>
      <c r="B2818">
        <v>39</v>
      </c>
      <c r="C2818">
        <v>3.4399999999999999E-3</v>
      </c>
      <c r="D2818">
        <v>3.4299999999999999E-3</v>
      </c>
      <c r="E2818">
        <v>0.5</v>
      </c>
      <c r="F2818">
        <v>91674</v>
      </c>
      <c r="G2818">
        <v>315</v>
      </c>
      <c r="H2818">
        <v>91517</v>
      </c>
      <c r="I2818">
        <v>2935753</v>
      </c>
    </row>
    <row r="2819" spans="1:9">
      <c r="A2819" s="2">
        <v>1975</v>
      </c>
      <c r="B2819">
        <v>40</v>
      </c>
      <c r="C2819">
        <v>4.1000000000000003E-3</v>
      </c>
      <c r="D2819">
        <v>4.0899999999999999E-3</v>
      </c>
      <c r="E2819">
        <v>0.5</v>
      </c>
      <c r="F2819">
        <v>91360</v>
      </c>
      <c r="G2819">
        <v>374</v>
      </c>
      <c r="H2819">
        <v>91173</v>
      </c>
      <c r="I2819">
        <v>2844236</v>
      </c>
    </row>
    <row r="2820" spans="1:9">
      <c r="A2820" s="2">
        <v>1975</v>
      </c>
      <c r="B2820">
        <v>41</v>
      </c>
      <c r="C2820">
        <v>3.8800000000000002E-3</v>
      </c>
      <c r="D2820">
        <v>3.8700000000000002E-3</v>
      </c>
      <c r="E2820">
        <v>0.5</v>
      </c>
      <c r="F2820">
        <v>90986</v>
      </c>
      <c r="G2820">
        <v>352</v>
      </c>
      <c r="H2820">
        <v>90810</v>
      </c>
      <c r="I2820">
        <v>2753063</v>
      </c>
    </row>
    <row r="2821" spans="1:9">
      <c r="A2821" s="2">
        <v>1975</v>
      </c>
      <c r="B2821">
        <v>42</v>
      </c>
      <c r="C2821">
        <v>4.7699999999999999E-3</v>
      </c>
      <c r="D2821">
        <v>4.7600000000000003E-3</v>
      </c>
      <c r="E2821">
        <v>0.5</v>
      </c>
      <c r="F2821">
        <v>90633</v>
      </c>
      <c r="G2821">
        <v>431</v>
      </c>
      <c r="H2821">
        <v>90418</v>
      </c>
      <c r="I2821">
        <v>2662253</v>
      </c>
    </row>
    <row r="2822" spans="1:9">
      <c r="A2822" s="2">
        <v>1975</v>
      </c>
      <c r="B2822">
        <v>43</v>
      </c>
      <c r="C2822">
        <v>5.11E-3</v>
      </c>
      <c r="D2822">
        <v>5.0899999999999999E-3</v>
      </c>
      <c r="E2822">
        <v>0.5</v>
      </c>
      <c r="F2822">
        <v>90202</v>
      </c>
      <c r="G2822">
        <v>459</v>
      </c>
      <c r="H2822">
        <v>89973</v>
      </c>
      <c r="I2822">
        <v>2571836</v>
      </c>
    </row>
    <row r="2823" spans="1:9">
      <c r="A2823" s="2">
        <v>1975</v>
      </c>
      <c r="B2823">
        <v>44</v>
      </c>
      <c r="C2823">
        <v>6.0800000000000003E-3</v>
      </c>
      <c r="D2823">
        <v>6.0699999999999999E-3</v>
      </c>
      <c r="E2823">
        <v>0.5</v>
      </c>
      <c r="F2823">
        <v>89743</v>
      </c>
      <c r="G2823">
        <v>544</v>
      </c>
      <c r="H2823">
        <v>89471</v>
      </c>
      <c r="I2823">
        <v>2481863</v>
      </c>
    </row>
    <row r="2824" spans="1:9">
      <c r="A2824" s="2">
        <v>1975</v>
      </c>
      <c r="B2824">
        <v>45</v>
      </c>
      <c r="C2824">
        <v>6.3E-3</v>
      </c>
      <c r="D2824">
        <v>6.28E-3</v>
      </c>
      <c r="E2824">
        <v>0.5</v>
      </c>
      <c r="F2824">
        <v>89199</v>
      </c>
      <c r="G2824">
        <v>560</v>
      </c>
      <c r="H2824">
        <v>88918</v>
      </c>
      <c r="I2824">
        <v>2392392</v>
      </c>
    </row>
    <row r="2825" spans="1:9">
      <c r="A2825" s="2">
        <v>1975</v>
      </c>
      <c r="B2825">
        <v>46</v>
      </c>
      <c r="C2825">
        <v>6.4200000000000004E-3</v>
      </c>
      <c r="D2825">
        <v>6.4000000000000003E-3</v>
      </c>
      <c r="E2825">
        <v>0.5</v>
      </c>
      <c r="F2825">
        <v>88638</v>
      </c>
      <c r="G2825">
        <v>567</v>
      </c>
      <c r="H2825">
        <v>88355</v>
      </c>
      <c r="I2825">
        <v>2303474</v>
      </c>
    </row>
    <row r="2826" spans="1:9">
      <c r="A2826" s="2">
        <v>1975</v>
      </c>
      <c r="B2826">
        <v>47</v>
      </c>
      <c r="C2826">
        <v>7.6E-3</v>
      </c>
      <c r="D2826">
        <v>7.5700000000000003E-3</v>
      </c>
      <c r="E2826">
        <v>0.5</v>
      </c>
      <c r="F2826">
        <v>88071</v>
      </c>
      <c r="G2826">
        <v>667</v>
      </c>
      <c r="H2826">
        <v>87738</v>
      </c>
      <c r="I2826">
        <v>2215119</v>
      </c>
    </row>
    <row r="2827" spans="1:9">
      <c r="A2827" s="2">
        <v>1975</v>
      </c>
      <c r="B2827">
        <v>48</v>
      </c>
      <c r="C2827">
        <v>7.9000000000000008E-3</v>
      </c>
      <c r="D2827">
        <v>7.8700000000000003E-3</v>
      </c>
      <c r="E2827">
        <v>0.5</v>
      </c>
      <c r="F2827">
        <v>87404</v>
      </c>
      <c r="G2827">
        <v>688</v>
      </c>
      <c r="H2827">
        <v>87060</v>
      </c>
      <c r="I2827">
        <v>2127382</v>
      </c>
    </row>
    <row r="2828" spans="1:9">
      <c r="A2828" s="2">
        <v>1975</v>
      </c>
      <c r="B2828">
        <v>49</v>
      </c>
      <c r="C2828">
        <v>9.3500000000000007E-3</v>
      </c>
      <c r="D2828">
        <v>9.2999999999999992E-3</v>
      </c>
      <c r="E2828">
        <v>0.5</v>
      </c>
      <c r="F2828">
        <v>86716</v>
      </c>
      <c r="G2828">
        <v>807</v>
      </c>
      <c r="H2828">
        <v>86313</v>
      </c>
      <c r="I2828">
        <v>2040322</v>
      </c>
    </row>
    <row r="2829" spans="1:9">
      <c r="A2829" s="2">
        <v>1975</v>
      </c>
      <c r="B2829">
        <v>50</v>
      </c>
      <c r="C2829">
        <v>9.5200000000000007E-3</v>
      </c>
      <c r="D2829">
        <v>9.4800000000000006E-3</v>
      </c>
      <c r="E2829">
        <v>0.5</v>
      </c>
      <c r="F2829">
        <v>85909</v>
      </c>
      <c r="G2829">
        <v>814</v>
      </c>
      <c r="H2829">
        <v>85502</v>
      </c>
      <c r="I2829">
        <v>1954009</v>
      </c>
    </row>
    <row r="2830" spans="1:9">
      <c r="A2830" s="2">
        <v>1975</v>
      </c>
      <c r="B2830">
        <v>51</v>
      </c>
      <c r="C2830">
        <v>9.6699999999999998E-3</v>
      </c>
      <c r="D2830">
        <v>9.6200000000000001E-3</v>
      </c>
      <c r="E2830">
        <v>0.5</v>
      </c>
      <c r="F2830">
        <v>85095</v>
      </c>
      <c r="G2830">
        <v>819</v>
      </c>
      <c r="H2830">
        <v>84686</v>
      </c>
      <c r="I2830">
        <v>1868507</v>
      </c>
    </row>
    <row r="2831" spans="1:9">
      <c r="A2831" s="2">
        <v>1975</v>
      </c>
      <c r="B2831">
        <v>52</v>
      </c>
      <c r="C2831">
        <v>1.141E-2</v>
      </c>
      <c r="D2831">
        <v>1.1350000000000001E-2</v>
      </c>
      <c r="E2831">
        <v>0.5</v>
      </c>
      <c r="F2831">
        <v>84276</v>
      </c>
      <c r="G2831">
        <v>956</v>
      </c>
      <c r="H2831">
        <v>83798</v>
      </c>
      <c r="I2831">
        <v>1783821</v>
      </c>
    </row>
    <row r="2832" spans="1:9">
      <c r="A2832" s="2">
        <v>1975</v>
      </c>
      <c r="B2832">
        <v>53</v>
      </c>
      <c r="C2832">
        <v>1.1599999999999999E-2</v>
      </c>
      <c r="D2832">
        <v>1.153E-2</v>
      </c>
      <c r="E2832">
        <v>0.5</v>
      </c>
      <c r="F2832">
        <v>83320</v>
      </c>
      <c r="G2832">
        <v>961</v>
      </c>
      <c r="H2832">
        <v>82839</v>
      </c>
      <c r="I2832">
        <v>1700023</v>
      </c>
    </row>
    <row r="2833" spans="1:9">
      <c r="A2833" s="2">
        <v>1975</v>
      </c>
      <c r="B2833">
        <v>54</v>
      </c>
      <c r="C2833">
        <v>1.2500000000000001E-2</v>
      </c>
      <c r="D2833">
        <v>1.242E-2</v>
      </c>
      <c r="E2833">
        <v>0.5</v>
      </c>
      <c r="F2833">
        <v>82359</v>
      </c>
      <c r="G2833">
        <v>1023</v>
      </c>
      <c r="H2833">
        <v>81847</v>
      </c>
      <c r="I2833">
        <v>1617184</v>
      </c>
    </row>
    <row r="2834" spans="1:9">
      <c r="A2834" s="2">
        <v>1975</v>
      </c>
      <c r="B2834">
        <v>55</v>
      </c>
      <c r="C2834">
        <v>1.4489999999999999E-2</v>
      </c>
      <c r="D2834">
        <v>1.438E-2</v>
      </c>
      <c r="E2834">
        <v>0.5</v>
      </c>
      <c r="F2834">
        <v>81336</v>
      </c>
      <c r="G2834">
        <v>1170</v>
      </c>
      <c r="H2834">
        <v>80751</v>
      </c>
      <c r="I2834">
        <v>1535337</v>
      </c>
    </row>
    <row r="2835" spans="1:9">
      <c r="A2835" s="2">
        <v>1975</v>
      </c>
      <c r="B2835">
        <v>56</v>
      </c>
      <c r="C2835">
        <v>1.353E-2</v>
      </c>
      <c r="D2835">
        <v>1.3440000000000001E-2</v>
      </c>
      <c r="E2835">
        <v>0.5</v>
      </c>
      <c r="F2835">
        <v>80166</v>
      </c>
      <c r="G2835">
        <v>1077</v>
      </c>
      <c r="H2835">
        <v>79627</v>
      </c>
      <c r="I2835">
        <v>1454586</v>
      </c>
    </row>
    <row r="2836" spans="1:9">
      <c r="A2836" s="2">
        <v>1975</v>
      </c>
      <c r="B2836">
        <v>57</v>
      </c>
      <c r="C2836">
        <v>1.575E-2</v>
      </c>
      <c r="D2836">
        <v>1.5630000000000002E-2</v>
      </c>
      <c r="E2836">
        <v>0.5</v>
      </c>
      <c r="F2836">
        <v>79089</v>
      </c>
      <c r="G2836">
        <v>1236</v>
      </c>
      <c r="H2836">
        <v>78471</v>
      </c>
      <c r="I2836">
        <v>1374958</v>
      </c>
    </row>
    <row r="2837" spans="1:9">
      <c r="A2837" s="2">
        <v>1975</v>
      </c>
      <c r="B2837">
        <v>58</v>
      </c>
      <c r="C2837">
        <v>1.7139999999999999E-2</v>
      </c>
      <c r="D2837">
        <v>1.7000000000000001E-2</v>
      </c>
      <c r="E2837">
        <v>0.5</v>
      </c>
      <c r="F2837">
        <v>77853</v>
      </c>
      <c r="G2837">
        <v>1323</v>
      </c>
      <c r="H2837">
        <v>77191</v>
      </c>
      <c r="I2837">
        <v>1296488</v>
      </c>
    </row>
    <row r="2838" spans="1:9">
      <c r="A2838" s="2">
        <v>1975</v>
      </c>
      <c r="B2838">
        <v>59</v>
      </c>
      <c r="C2838">
        <v>1.7469999999999999E-2</v>
      </c>
      <c r="D2838">
        <v>1.7319999999999999E-2</v>
      </c>
      <c r="E2838">
        <v>0.5</v>
      </c>
      <c r="F2838">
        <v>76529</v>
      </c>
      <c r="G2838">
        <v>1325</v>
      </c>
      <c r="H2838">
        <v>75867</v>
      </c>
      <c r="I2838">
        <v>1219297</v>
      </c>
    </row>
    <row r="2839" spans="1:9">
      <c r="A2839" s="2">
        <v>1975</v>
      </c>
      <c r="B2839">
        <v>60</v>
      </c>
      <c r="C2839">
        <v>2.3429999999999999E-2</v>
      </c>
      <c r="D2839">
        <v>2.316E-2</v>
      </c>
      <c r="E2839">
        <v>0.5</v>
      </c>
      <c r="F2839">
        <v>75204</v>
      </c>
      <c r="G2839">
        <v>1742</v>
      </c>
      <c r="H2839">
        <v>74333</v>
      </c>
      <c r="I2839">
        <v>1143430</v>
      </c>
    </row>
    <row r="2840" spans="1:9">
      <c r="A2840" s="2">
        <v>1975</v>
      </c>
      <c r="B2840">
        <v>61</v>
      </c>
      <c r="C2840">
        <v>2.3699999999999999E-2</v>
      </c>
      <c r="D2840">
        <v>2.342E-2</v>
      </c>
      <c r="E2840">
        <v>0.5</v>
      </c>
      <c r="F2840">
        <v>73462</v>
      </c>
      <c r="G2840">
        <v>1721</v>
      </c>
      <c r="H2840">
        <v>72602</v>
      </c>
      <c r="I2840">
        <v>1069097</v>
      </c>
    </row>
    <row r="2841" spans="1:9">
      <c r="A2841" s="2">
        <v>1975</v>
      </c>
      <c r="B2841">
        <v>62</v>
      </c>
      <c r="C2841">
        <v>2.6749999999999999E-2</v>
      </c>
      <c r="D2841">
        <v>2.639E-2</v>
      </c>
      <c r="E2841">
        <v>0.5</v>
      </c>
      <c r="F2841">
        <v>71742</v>
      </c>
      <c r="G2841">
        <v>1894</v>
      </c>
      <c r="H2841">
        <v>70795</v>
      </c>
      <c r="I2841">
        <v>996495</v>
      </c>
    </row>
    <row r="2842" spans="1:9">
      <c r="A2842" s="2">
        <v>1975</v>
      </c>
      <c r="B2842">
        <v>63</v>
      </c>
      <c r="C2842">
        <v>2.9260000000000001E-2</v>
      </c>
      <c r="D2842">
        <v>2.8840000000000001E-2</v>
      </c>
      <c r="E2842">
        <v>0.5</v>
      </c>
      <c r="F2842">
        <v>69848</v>
      </c>
      <c r="G2842">
        <v>2014</v>
      </c>
      <c r="H2842">
        <v>68841</v>
      </c>
      <c r="I2842">
        <v>925700</v>
      </c>
    </row>
    <row r="2843" spans="1:9">
      <c r="A2843" s="2">
        <v>1975</v>
      </c>
      <c r="B2843">
        <v>64</v>
      </c>
      <c r="C2843">
        <v>2.972E-2</v>
      </c>
      <c r="D2843">
        <v>2.929E-2</v>
      </c>
      <c r="E2843">
        <v>0.5</v>
      </c>
      <c r="F2843">
        <v>67834</v>
      </c>
      <c r="G2843">
        <v>1987</v>
      </c>
      <c r="H2843">
        <v>66840</v>
      </c>
      <c r="I2843">
        <v>856859</v>
      </c>
    </row>
    <row r="2844" spans="1:9">
      <c r="A2844" s="2">
        <v>1975</v>
      </c>
      <c r="B2844">
        <v>65</v>
      </c>
      <c r="C2844">
        <v>3.3959999999999997E-2</v>
      </c>
      <c r="D2844">
        <v>3.3390000000000003E-2</v>
      </c>
      <c r="E2844">
        <v>0.5</v>
      </c>
      <c r="F2844">
        <v>65847</v>
      </c>
      <c r="G2844">
        <v>2199</v>
      </c>
      <c r="H2844">
        <v>64748</v>
      </c>
      <c r="I2844">
        <v>790019</v>
      </c>
    </row>
    <row r="2845" spans="1:9">
      <c r="A2845" s="2">
        <v>1975</v>
      </c>
      <c r="B2845">
        <v>66</v>
      </c>
      <c r="C2845">
        <v>3.746E-2</v>
      </c>
      <c r="D2845">
        <v>3.6769999999999997E-2</v>
      </c>
      <c r="E2845">
        <v>0.5</v>
      </c>
      <c r="F2845">
        <v>63648</v>
      </c>
      <c r="G2845">
        <v>2340</v>
      </c>
      <c r="H2845">
        <v>62478</v>
      </c>
      <c r="I2845">
        <v>725272</v>
      </c>
    </row>
    <row r="2846" spans="1:9">
      <c r="A2846" s="2">
        <v>1975</v>
      </c>
      <c r="B2846">
        <v>67</v>
      </c>
      <c r="C2846">
        <v>4.1579999999999999E-2</v>
      </c>
      <c r="D2846">
        <v>4.0739999999999998E-2</v>
      </c>
      <c r="E2846">
        <v>0.5</v>
      </c>
      <c r="F2846">
        <v>61308</v>
      </c>
      <c r="G2846">
        <v>2497</v>
      </c>
      <c r="H2846">
        <v>60059</v>
      </c>
      <c r="I2846">
        <v>662793</v>
      </c>
    </row>
    <row r="2847" spans="1:9">
      <c r="A2847" s="2">
        <v>1975</v>
      </c>
      <c r="B2847">
        <v>68</v>
      </c>
      <c r="C2847">
        <v>4.6730000000000001E-2</v>
      </c>
      <c r="D2847">
        <v>4.5659999999999999E-2</v>
      </c>
      <c r="E2847">
        <v>0.5</v>
      </c>
      <c r="F2847">
        <v>58810</v>
      </c>
      <c r="G2847">
        <v>2685</v>
      </c>
      <c r="H2847">
        <v>57468</v>
      </c>
      <c r="I2847">
        <v>602734</v>
      </c>
    </row>
    <row r="2848" spans="1:9">
      <c r="A2848" s="2">
        <v>1975</v>
      </c>
      <c r="B2848">
        <v>69</v>
      </c>
      <c r="C2848">
        <v>5.0220000000000001E-2</v>
      </c>
      <c r="D2848">
        <v>4.8989999999999999E-2</v>
      </c>
      <c r="E2848">
        <v>0.5</v>
      </c>
      <c r="F2848">
        <v>56125</v>
      </c>
      <c r="G2848">
        <v>2749</v>
      </c>
      <c r="H2848">
        <v>54750</v>
      </c>
      <c r="I2848">
        <v>545266</v>
      </c>
    </row>
    <row r="2849" spans="1:9">
      <c r="A2849" s="2">
        <v>1975</v>
      </c>
      <c r="B2849">
        <v>70</v>
      </c>
      <c r="C2849">
        <v>5.5489999999999998E-2</v>
      </c>
      <c r="D2849">
        <v>5.3990000000000003E-2</v>
      </c>
      <c r="E2849">
        <v>0.5</v>
      </c>
      <c r="F2849">
        <v>53376</v>
      </c>
      <c r="G2849">
        <v>2882</v>
      </c>
      <c r="H2849">
        <v>51935</v>
      </c>
      <c r="I2849">
        <v>490516</v>
      </c>
    </row>
    <row r="2850" spans="1:9">
      <c r="A2850" s="2">
        <v>1975</v>
      </c>
      <c r="B2850">
        <v>71</v>
      </c>
      <c r="C2850">
        <v>6.6500000000000004E-2</v>
      </c>
      <c r="D2850">
        <v>6.4360000000000001E-2</v>
      </c>
      <c r="E2850">
        <v>0.5</v>
      </c>
      <c r="F2850">
        <v>50494</v>
      </c>
      <c r="G2850">
        <v>3250</v>
      </c>
      <c r="H2850">
        <v>48869</v>
      </c>
      <c r="I2850">
        <v>438581</v>
      </c>
    </row>
    <row r="2851" spans="1:9">
      <c r="A2851" s="2">
        <v>1975</v>
      </c>
      <c r="B2851">
        <v>72</v>
      </c>
      <c r="C2851">
        <v>6.5659999999999996E-2</v>
      </c>
      <c r="D2851">
        <v>6.3570000000000002E-2</v>
      </c>
      <c r="E2851">
        <v>0.5</v>
      </c>
      <c r="F2851">
        <v>47244</v>
      </c>
      <c r="G2851">
        <v>3003</v>
      </c>
      <c r="H2851">
        <v>45742</v>
      </c>
      <c r="I2851">
        <v>389712</v>
      </c>
    </row>
    <row r="2852" spans="1:9">
      <c r="A2852" s="2">
        <v>1975</v>
      </c>
      <c r="B2852">
        <v>73</v>
      </c>
      <c r="C2852">
        <v>7.4370000000000006E-2</v>
      </c>
      <c r="D2852">
        <v>7.1709999999999996E-2</v>
      </c>
      <c r="E2852">
        <v>0.5</v>
      </c>
      <c r="F2852">
        <v>44241</v>
      </c>
      <c r="G2852">
        <v>3172</v>
      </c>
      <c r="H2852">
        <v>42655</v>
      </c>
      <c r="I2852">
        <v>343970</v>
      </c>
    </row>
    <row r="2853" spans="1:9">
      <c r="A2853" s="2">
        <v>1975</v>
      </c>
      <c r="B2853">
        <v>74</v>
      </c>
      <c r="C2853">
        <v>7.8579999999999997E-2</v>
      </c>
      <c r="D2853">
        <v>7.5609999999999997E-2</v>
      </c>
      <c r="E2853">
        <v>0.5</v>
      </c>
      <c r="F2853">
        <v>41068</v>
      </c>
      <c r="G2853">
        <v>3105</v>
      </c>
      <c r="H2853">
        <v>39516</v>
      </c>
      <c r="I2853">
        <v>301315</v>
      </c>
    </row>
    <row r="2854" spans="1:9">
      <c r="A2854" s="2">
        <v>1975</v>
      </c>
      <c r="B2854">
        <v>75</v>
      </c>
      <c r="C2854">
        <v>9.0670000000000001E-2</v>
      </c>
      <c r="D2854">
        <v>8.6739999999999998E-2</v>
      </c>
      <c r="E2854">
        <v>0.5</v>
      </c>
      <c r="F2854">
        <v>37963</v>
      </c>
      <c r="G2854">
        <v>3293</v>
      </c>
      <c r="H2854">
        <v>36317</v>
      </c>
      <c r="I2854">
        <v>261800</v>
      </c>
    </row>
    <row r="2855" spans="1:9">
      <c r="A2855" s="2">
        <v>1975</v>
      </c>
      <c r="B2855">
        <v>76</v>
      </c>
      <c r="C2855">
        <v>9.7119999999999998E-2</v>
      </c>
      <c r="D2855">
        <v>9.2619999999999994E-2</v>
      </c>
      <c r="E2855">
        <v>0.5</v>
      </c>
      <c r="F2855">
        <v>34671</v>
      </c>
      <c r="G2855">
        <v>3211</v>
      </c>
      <c r="H2855">
        <v>33065</v>
      </c>
      <c r="I2855">
        <v>225483</v>
      </c>
    </row>
    <row r="2856" spans="1:9">
      <c r="A2856" s="2">
        <v>1975</v>
      </c>
      <c r="B2856">
        <v>77</v>
      </c>
      <c r="C2856">
        <v>0.10412</v>
      </c>
      <c r="D2856">
        <v>9.8970000000000002E-2</v>
      </c>
      <c r="E2856">
        <v>0.5</v>
      </c>
      <c r="F2856">
        <v>31459</v>
      </c>
      <c r="G2856">
        <v>3113</v>
      </c>
      <c r="H2856">
        <v>29903</v>
      </c>
      <c r="I2856">
        <v>192418</v>
      </c>
    </row>
    <row r="2857" spans="1:9">
      <c r="A2857" s="2">
        <v>1975</v>
      </c>
      <c r="B2857">
        <v>78</v>
      </c>
      <c r="C2857">
        <v>0.11865000000000001</v>
      </c>
      <c r="D2857">
        <v>0.11201</v>
      </c>
      <c r="E2857">
        <v>0.5</v>
      </c>
      <c r="F2857">
        <v>28346</v>
      </c>
      <c r="G2857">
        <v>3175</v>
      </c>
      <c r="H2857">
        <v>26758</v>
      </c>
      <c r="I2857">
        <v>162515</v>
      </c>
    </row>
    <row r="2858" spans="1:9">
      <c r="A2858" s="2">
        <v>1975</v>
      </c>
      <c r="B2858">
        <v>79</v>
      </c>
      <c r="C2858">
        <v>0.13099</v>
      </c>
      <c r="D2858">
        <v>0.12293999999999999</v>
      </c>
      <c r="E2858">
        <v>0.5</v>
      </c>
      <c r="F2858">
        <v>25171</v>
      </c>
      <c r="G2858">
        <v>3094</v>
      </c>
      <c r="H2858">
        <v>23624</v>
      </c>
      <c r="I2858">
        <v>135757</v>
      </c>
    </row>
    <row r="2859" spans="1:9">
      <c r="A2859" s="2">
        <v>1975</v>
      </c>
      <c r="B2859">
        <v>80</v>
      </c>
      <c r="C2859">
        <v>0.13847999999999999</v>
      </c>
      <c r="D2859">
        <v>0.12950999999999999</v>
      </c>
      <c r="E2859">
        <v>0.5</v>
      </c>
      <c r="F2859">
        <v>22076</v>
      </c>
      <c r="G2859">
        <v>2859</v>
      </c>
      <c r="H2859">
        <v>20647</v>
      </c>
      <c r="I2859">
        <v>112133</v>
      </c>
    </row>
    <row r="2860" spans="1:9">
      <c r="A2860" s="2">
        <v>1975</v>
      </c>
      <c r="B2860">
        <v>81</v>
      </c>
      <c r="C2860">
        <v>0.16070000000000001</v>
      </c>
      <c r="D2860">
        <v>0.14874000000000001</v>
      </c>
      <c r="E2860">
        <v>0.5</v>
      </c>
      <c r="F2860">
        <v>19217</v>
      </c>
      <c r="G2860">
        <v>2858</v>
      </c>
      <c r="H2860">
        <v>17788</v>
      </c>
      <c r="I2860">
        <v>91486</v>
      </c>
    </row>
    <row r="2861" spans="1:9">
      <c r="A2861" s="2">
        <v>1975</v>
      </c>
      <c r="B2861">
        <v>82</v>
      </c>
      <c r="C2861">
        <v>0.16381000000000001</v>
      </c>
      <c r="D2861">
        <v>0.15140000000000001</v>
      </c>
      <c r="E2861">
        <v>0.5</v>
      </c>
      <c r="F2861">
        <v>16359</v>
      </c>
      <c r="G2861">
        <v>2477</v>
      </c>
      <c r="H2861">
        <v>15120</v>
      </c>
      <c r="I2861">
        <v>73698</v>
      </c>
    </row>
    <row r="2862" spans="1:9">
      <c r="A2862" s="2">
        <v>1975</v>
      </c>
      <c r="B2862">
        <v>83</v>
      </c>
      <c r="C2862">
        <v>0.18184</v>
      </c>
      <c r="D2862">
        <v>0.16669</v>
      </c>
      <c r="E2862">
        <v>0.5</v>
      </c>
      <c r="F2862">
        <v>13882</v>
      </c>
      <c r="G2862">
        <v>2314</v>
      </c>
      <c r="H2862">
        <v>12725</v>
      </c>
      <c r="I2862">
        <v>58578</v>
      </c>
    </row>
    <row r="2863" spans="1:9">
      <c r="A2863" s="2">
        <v>1975</v>
      </c>
      <c r="B2863">
        <v>84</v>
      </c>
      <c r="C2863">
        <v>0.20183999999999999</v>
      </c>
      <c r="D2863">
        <v>0.18334</v>
      </c>
      <c r="E2863">
        <v>0.5</v>
      </c>
      <c r="F2863">
        <v>11568</v>
      </c>
      <c r="G2863">
        <v>2121</v>
      </c>
      <c r="H2863">
        <v>10508</v>
      </c>
      <c r="I2863">
        <v>45852</v>
      </c>
    </row>
    <row r="2864" spans="1:9">
      <c r="A2864" s="2">
        <v>1975</v>
      </c>
      <c r="B2864">
        <v>85</v>
      </c>
      <c r="C2864">
        <v>0.20424</v>
      </c>
      <c r="D2864">
        <v>0.18532000000000001</v>
      </c>
      <c r="E2864">
        <v>0.5</v>
      </c>
      <c r="F2864">
        <v>9447</v>
      </c>
      <c r="G2864">
        <v>1751</v>
      </c>
      <c r="H2864">
        <v>8572</v>
      </c>
      <c r="I2864">
        <v>35345</v>
      </c>
    </row>
    <row r="2865" spans="1:9">
      <c r="A2865" s="2">
        <v>1975</v>
      </c>
      <c r="B2865">
        <v>86</v>
      </c>
      <c r="C2865">
        <v>0.22989999999999999</v>
      </c>
      <c r="D2865">
        <v>0.20619000000000001</v>
      </c>
      <c r="E2865">
        <v>0.5</v>
      </c>
      <c r="F2865">
        <v>7697</v>
      </c>
      <c r="G2865">
        <v>1587</v>
      </c>
      <c r="H2865">
        <v>6903</v>
      </c>
      <c r="I2865">
        <v>26773</v>
      </c>
    </row>
    <row r="2866" spans="1:9">
      <c r="A2866" s="2">
        <v>1975</v>
      </c>
      <c r="B2866">
        <v>87</v>
      </c>
      <c r="C2866">
        <v>0.25507000000000002</v>
      </c>
      <c r="D2866">
        <v>0.22622</v>
      </c>
      <c r="E2866">
        <v>0.5</v>
      </c>
      <c r="F2866">
        <v>6110</v>
      </c>
      <c r="G2866">
        <v>1382</v>
      </c>
      <c r="H2866">
        <v>5418</v>
      </c>
      <c r="I2866">
        <v>19870</v>
      </c>
    </row>
    <row r="2867" spans="1:9">
      <c r="A2867" s="2">
        <v>1975</v>
      </c>
      <c r="B2867">
        <v>88</v>
      </c>
      <c r="C2867">
        <v>0.27565000000000001</v>
      </c>
      <c r="D2867">
        <v>0.24226</v>
      </c>
      <c r="E2867">
        <v>0.5</v>
      </c>
      <c r="F2867">
        <v>4727</v>
      </c>
      <c r="G2867">
        <v>1145</v>
      </c>
      <c r="H2867">
        <v>4155</v>
      </c>
      <c r="I2867">
        <v>14451</v>
      </c>
    </row>
    <row r="2868" spans="1:9">
      <c r="A2868" s="2">
        <v>1975</v>
      </c>
      <c r="B2868">
        <v>89</v>
      </c>
      <c r="C2868">
        <v>0.31568000000000002</v>
      </c>
      <c r="D2868">
        <v>0.27263999999999999</v>
      </c>
      <c r="E2868">
        <v>0.5</v>
      </c>
      <c r="F2868">
        <v>3582</v>
      </c>
      <c r="G2868">
        <v>977</v>
      </c>
      <c r="H2868">
        <v>3094</v>
      </c>
      <c r="I2868">
        <v>10297</v>
      </c>
    </row>
    <row r="2869" spans="1:9">
      <c r="A2869" s="2">
        <v>1975</v>
      </c>
      <c r="B2869">
        <v>90</v>
      </c>
      <c r="C2869">
        <v>0.31995000000000001</v>
      </c>
      <c r="D2869">
        <v>0.27583000000000002</v>
      </c>
      <c r="E2869">
        <v>0.5</v>
      </c>
      <c r="F2869">
        <v>2605</v>
      </c>
      <c r="G2869">
        <v>719</v>
      </c>
      <c r="H2869">
        <v>2246</v>
      </c>
      <c r="I2869">
        <v>7203</v>
      </c>
    </row>
    <row r="2870" spans="1:9">
      <c r="A2870" s="2">
        <v>1975</v>
      </c>
      <c r="B2870">
        <v>91</v>
      </c>
      <c r="C2870">
        <v>0.34420000000000001</v>
      </c>
      <c r="D2870">
        <v>0.29365999999999998</v>
      </c>
      <c r="E2870">
        <v>0.5</v>
      </c>
      <c r="F2870">
        <v>1887</v>
      </c>
      <c r="G2870">
        <v>554</v>
      </c>
      <c r="H2870">
        <v>1610</v>
      </c>
      <c r="I2870">
        <v>4957</v>
      </c>
    </row>
    <row r="2871" spans="1:9">
      <c r="A2871" s="2">
        <v>1975</v>
      </c>
      <c r="B2871">
        <v>92</v>
      </c>
      <c r="C2871">
        <v>0.36105999999999999</v>
      </c>
      <c r="D2871">
        <v>0.30584</v>
      </c>
      <c r="E2871">
        <v>0.5</v>
      </c>
      <c r="F2871">
        <v>1333</v>
      </c>
      <c r="G2871">
        <v>408</v>
      </c>
      <c r="H2871">
        <v>1129</v>
      </c>
      <c r="I2871">
        <v>3347</v>
      </c>
    </row>
    <row r="2872" spans="1:9">
      <c r="A2872" s="2">
        <v>1975</v>
      </c>
      <c r="B2872">
        <v>93</v>
      </c>
      <c r="C2872">
        <v>0.35463</v>
      </c>
      <c r="D2872">
        <v>0.30121999999999999</v>
      </c>
      <c r="E2872">
        <v>0.5</v>
      </c>
      <c r="F2872">
        <v>925</v>
      </c>
      <c r="G2872">
        <v>279</v>
      </c>
      <c r="H2872">
        <v>786</v>
      </c>
      <c r="I2872">
        <v>2218</v>
      </c>
    </row>
    <row r="2873" spans="1:9">
      <c r="A2873" s="2">
        <v>1975</v>
      </c>
      <c r="B2873">
        <v>94</v>
      </c>
      <c r="C2873">
        <v>0.41224</v>
      </c>
      <c r="D2873">
        <v>0.34178999999999998</v>
      </c>
      <c r="E2873">
        <v>0.5</v>
      </c>
      <c r="F2873">
        <v>646</v>
      </c>
      <c r="G2873">
        <v>221</v>
      </c>
      <c r="H2873">
        <v>536</v>
      </c>
      <c r="I2873">
        <v>1432</v>
      </c>
    </row>
    <row r="2874" spans="1:9">
      <c r="A2874" s="2">
        <v>1975</v>
      </c>
      <c r="B2874">
        <v>95</v>
      </c>
      <c r="C2874">
        <v>0.43764999999999998</v>
      </c>
      <c r="D2874">
        <v>0.35908000000000001</v>
      </c>
      <c r="E2874">
        <v>0.5</v>
      </c>
      <c r="F2874">
        <v>426</v>
      </c>
      <c r="G2874">
        <v>153</v>
      </c>
      <c r="H2874">
        <v>349</v>
      </c>
      <c r="I2874">
        <v>896</v>
      </c>
    </row>
    <row r="2875" spans="1:9">
      <c r="A2875" s="2">
        <v>1975</v>
      </c>
      <c r="B2875">
        <v>96</v>
      </c>
      <c r="C2875">
        <v>0.46339999999999998</v>
      </c>
      <c r="D2875">
        <v>0.37622</v>
      </c>
      <c r="E2875">
        <v>0.5</v>
      </c>
      <c r="F2875">
        <v>273</v>
      </c>
      <c r="G2875">
        <v>103</v>
      </c>
      <c r="H2875">
        <v>221</v>
      </c>
      <c r="I2875">
        <v>547</v>
      </c>
    </row>
    <row r="2876" spans="1:9">
      <c r="A2876" s="2">
        <v>1975</v>
      </c>
      <c r="B2876">
        <v>97</v>
      </c>
      <c r="C2876">
        <v>0.48932999999999999</v>
      </c>
      <c r="D2876">
        <v>0.39313999999999999</v>
      </c>
      <c r="E2876">
        <v>0.5</v>
      </c>
      <c r="F2876">
        <v>170</v>
      </c>
      <c r="G2876">
        <v>67</v>
      </c>
      <c r="H2876">
        <v>137</v>
      </c>
      <c r="I2876">
        <v>326</v>
      </c>
    </row>
    <row r="2877" spans="1:9">
      <c r="A2877" s="2">
        <v>1975</v>
      </c>
      <c r="B2877">
        <v>98</v>
      </c>
      <c r="C2877">
        <v>0.51532999999999995</v>
      </c>
      <c r="D2877">
        <v>0.40975</v>
      </c>
      <c r="E2877">
        <v>0.5</v>
      </c>
      <c r="F2877">
        <v>103</v>
      </c>
      <c r="G2877">
        <v>42</v>
      </c>
      <c r="H2877">
        <v>82</v>
      </c>
      <c r="I2877">
        <v>189</v>
      </c>
    </row>
    <row r="2878" spans="1:9">
      <c r="A2878" s="2">
        <v>1975</v>
      </c>
      <c r="B2878">
        <v>99</v>
      </c>
      <c r="C2878">
        <v>0.54124000000000005</v>
      </c>
      <c r="D2878">
        <v>0.42597000000000002</v>
      </c>
      <c r="E2878">
        <v>0.5</v>
      </c>
      <c r="F2878">
        <v>61</v>
      </c>
      <c r="G2878">
        <v>26</v>
      </c>
      <c r="H2878">
        <v>48</v>
      </c>
      <c r="I2878">
        <v>107</v>
      </c>
    </row>
    <row r="2879" spans="1:9">
      <c r="A2879" s="2">
        <v>1975</v>
      </c>
      <c r="B2879">
        <v>100</v>
      </c>
      <c r="C2879">
        <v>0.56694</v>
      </c>
      <c r="D2879">
        <v>0.44172</v>
      </c>
      <c r="E2879">
        <v>0.5</v>
      </c>
      <c r="F2879">
        <v>35</v>
      </c>
      <c r="G2879">
        <v>15</v>
      </c>
      <c r="H2879">
        <v>27</v>
      </c>
      <c r="I2879">
        <v>59</v>
      </c>
    </row>
    <row r="2880" spans="1:9">
      <c r="A2880" s="2">
        <v>1975</v>
      </c>
      <c r="B2880">
        <v>101</v>
      </c>
      <c r="C2880">
        <v>0.59226999999999996</v>
      </c>
      <c r="D2880">
        <v>0.45695000000000002</v>
      </c>
      <c r="E2880">
        <v>0.5</v>
      </c>
      <c r="F2880">
        <v>20</v>
      </c>
      <c r="G2880">
        <v>9</v>
      </c>
      <c r="H2880">
        <v>15</v>
      </c>
      <c r="I2880">
        <v>32</v>
      </c>
    </row>
    <row r="2881" spans="1:9">
      <c r="A2881" s="2">
        <v>1975</v>
      </c>
      <c r="B2881">
        <v>102</v>
      </c>
      <c r="C2881">
        <v>0.61712999999999996</v>
      </c>
      <c r="D2881">
        <v>0.47160999999999997</v>
      </c>
      <c r="E2881">
        <v>0.5</v>
      </c>
      <c r="F2881">
        <v>11</v>
      </c>
      <c r="G2881">
        <v>5</v>
      </c>
      <c r="H2881">
        <v>8</v>
      </c>
      <c r="I2881">
        <v>17</v>
      </c>
    </row>
    <row r="2882" spans="1:9">
      <c r="A2882" s="2">
        <v>1975</v>
      </c>
      <c r="B2882">
        <v>103</v>
      </c>
      <c r="C2882">
        <v>0.64139000000000002</v>
      </c>
      <c r="D2882">
        <v>0.48565000000000003</v>
      </c>
      <c r="E2882">
        <v>0.5</v>
      </c>
      <c r="F2882">
        <v>6</v>
      </c>
      <c r="G2882">
        <v>3</v>
      </c>
      <c r="H2882">
        <v>4</v>
      </c>
      <c r="I2882">
        <v>8</v>
      </c>
    </row>
    <row r="2883" spans="1:9">
      <c r="A2883" s="2">
        <v>1975</v>
      </c>
      <c r="B2883">
        <v>104</v>
      </c>
      <c r="C2883">
        <v>0.66493999999999998</v>
      </c>
      <c r="D2883">
        <v>0.49902999999999997</v>
      </c>
      <c r="E2883">
        <v>0.5</v>
      </c>
      <c r="F2883">
        <v>3</v>
      </c>
      <c r="G2883">
        <v>1</v>
      </c>
      <c r="H2883">
        <v>2</v>
      </c>
      <c r="I2883">
        <v>4</v>
      </c>
    </row>
    <row r="2884" spans="1:9">
      <c r="A2884" s="2">
        <v>1975</v>
      </c>
      <c r="B2884">
        <v>105</v>
      </c>
      <c r="C2884">
        <v>0.68771000000000004</v>
      </c>
      <c r="D2884">
        <v>0.51173999999999997</v>
      </c>
      <c r="E2884">
        <v>0.5</v>
      </c>
      <c r="F2884">
        <v>1</v>
      </c>
      <c r="G2884">
        <v>1</v>
      </c>
      <c r="H2884">
        <v>1</v>
      </c>
      <c r="I2884">
        <v>2</v>
      </c>
    </row>
    <row r="2885" spans="1:9">
      <c r="A2885" s="2">
        <v>1975</v>
      </c>
      <c r="B2885">
        <v>106</v>
      </c>
      <c r="C2885">
        <v>0.70960000000000001</v>
      </c>
      <c r="D2885">
        <v>0.52376999999999996</v>
      </c>
      <c r="E2885">
        <v>0.5</v>
      </c>
      <c r="F2885">
        <v>1</v>
      </c>
      <c r="G2885">
        <v>0</v>
      </c>
      <c r="H2885">
        <v>1</v>
      </c>
      <c r="I2885">
        <v>1</v>
      </c>
    </row>
    <row r="2886" spans="1:9">
      <c r="A2886" s="2">
        <v>1975</v>
      </c>
      <c r="B2886">
        <v>107</v>
      </c>
      <c r="C2886">
        <v>0.73055999999999999</v>
      </c>
      <c r="D2886">
        <v>0.53510000000000002</v>
      </c>
      <c r="E2886">
        <v>0.5</v>
      </c>
      <c r="F2886">
        <v>0</v>
      </c>
      <c r="G2886">
        <v>0</v>
      </c>
      <c r="H2886">
        <v>0</v>
      </c>
      <c r="I2886">
        <v>0</v>
      </c>
    </row>
    <row r="2887" spans="1:9">
      <c r="A2887" s="2">
        <v>1975</v>
      </c>
      <c r="B2887">
        <v>108</v>
      </c>
      <c r="C2887">
        <v>0.75053000000000003</v>
      </c>
      <c r="D2887">
        <v>0.54574</v>
      </c>
      <c r="E2887">
        <v>0.5</v>
      </c>
      <c r="F2887">
        <v>0</v>
      </c>
      <c r="G2887">
        <v>0</v>
      </c>
      <c r="H2887">
        <v>0</v>
      </c>
      <c r="I2887">
        <v>0</v>
      </c>
    </row>
    <row r="2888" spans="1:9">
      <c r="A2888" s="2">
        <v>1975</v>
      </c>
      <c r="B2888">
        <v>109</v>
      </c>
      <c r="C2888">
        <v>0.76949999999999996</v>
      </c>
      <c r="D2888">
        <v>0.55569000000000002</v>
      </c>
      <c r="E2888">
        <v>0.5</v>
      </c>
      <c r="F2888">
        <v>0</v>
      </c>
      <c r="G2888">
        <v>0</v>
      </c>
      <c r="H2888">
        <v>0</v>
      </c>
      <c r="I2888">
        <v>0</v>
      </c>
    </row>
    <row r="2889" spans="1:9">
      <c r="A2889" s="2">
        <v>1975</v>
      </c>
      <c r="B2889" t="s">
        <v>26</v>
      </c>
      <c r="C2889">
        <v>0.78742999999999996</v>
      </c>
      <c r="D2889">
        <v>1</v>
      </c>
      <c r="E2889" s="3" t="s">
        <v>37</v>
      </c>
      <c r="F2889">
        <v>0</v>
      </c>
      <c r="G2889">
        <v>0</v>
      </c>
      <c r="H2889">
        <v>0</v>
      </c>
      <c r="I2889">
        <v>0</v>
      </c>
    </row>
    <row r="2890" spans="1:9">
      <c r="A2890" s="2">
        <v>1976</v>
      </c>
      <c r="B2890">
        <v>0</v>
      </c>
      <c r="C2890">
        <v>3.313E-2</v>
      </c>
      <c r="D2890">
        <v>3.2210000000000003E-2</v>
      </c>
      <c r="E2890">
        <v>0.14000000000000001</v>
      </c>
      <c r="F2890">
        <v>100000</v>
      </c>
      <c r="G2890">
        <v>3221</v>
      </c>
      <c r="H2890">
        <v>97218</v>
      </c>
      <c r="I2890">
        <v>6668571</v>
      </c>
    </row>
    <row r="2891" spans="1:9">
      <c r="A2891" s="2">
        <v>1976</v>
      </c>
      <c r="B2891">
        <v>1</v>
      </c>
      <c r="C2891">
        <v>1.2600000000000001E-3</v>
      </c>
      <c r="D2891">
        <v>1.2600000000000001E-3</v>
      </c>
      <c r="E2891">
        <v>0.5</v>
      </c>
      <c r="F2891">
        <v>96779</v>
      </c>
      <c r="G2891">
        <v>122</v>
      </c>
      <c r="H2891">
        <v>96718</v>
      </c>
      <c r="I2891">
        <v>6571353</v>
      </c>
    </row>
    <row r="2892" spans="1:9">
      <c r="A2892" s="2">
        <v>1976</v>
      </c>
      <c r="B2892">
        <v>2</v>
      </c>
      <c r="C2892">
        <v>8.0999999999999996E-4</v>
      </c>
      <c r="D2892">
        <v>8.0999999999999996E-4</v>
      </c>
      <c r="E2892">
        <v>0.5</v>
      </c>
      <c r="F2892">
        <v>96657</v>
      </c>
      <c r="G2892">
        <v>79</v>
      </c>
      <c r="H2892">
        <v>96618</v>
      </c>
      <c r="I2892">
        <v>6474635</v>
      </c>
    </row>
    <row r="2893" spans="1:9">
      <c r="A2893" s="2">
        <v>1976</v>
      </c>
      <c r="B2893">
        <v>3</v>
      </c>
      <c r="C2893">
        <v>5.5999999999999995E-4</v>
      </c>
      <c r="D2893">
        <v>5.5999999999999995E-4</v>
      </c>
      <c r="E2893">
        <v>0.5</v>
      </c>
      <c r="F2893">
        <v>96579</v>
      </c>
      <c r="G2893">
        <v>54</v>
      </c>
      <c r="H2893">
        <v>96552</v>
      </c>
      <c r="I2893">
        <v>6378017</v>
      </c>
    </row>
    <row r="2894" spans="1:9">
      <c r="A2894" s="2">
        <v>1976</v>
      </c>
      <c r="B2894">
        <v>4</v>
      </c>
      <c r="C2894">
        <v>4.2999999999999999E-4</v>
      </c>
      <c r="D2894">
        <v>4.2999999999999999E-4</v>
      </c>
      <c r="E2894">
        <v>0.5</v>
      </c>
      <c r="F2894">
        <v>96525</v>
      </c>
      <c r="G2894">
        <v>41</v>
      </c>
      <c r="H2894">
        <v>96504</v>
      </c>
      <c r="I2894">
        <v>6281465</v>
      </c>
    </row>
    <row r="2895" spans="1:9">
      <c r="A2895" s="2">
        <v>1976</v>
      </c>
      <c r="B2895">
        <v>5</v>
      </c>
      <c r="C2895">
        <v>4.6999999999999999E-4</v>
      </c>
      <c r="D2895">
        <v>4.6999999999999999E-4</v>
      </c>
      <c r="E2895">
        <v>0.5</v>
      </c>
      <c r="F2895">
        <v>96484</v>
      </c>
      <c r="G2895">
        <v>45</v>
      </c>
      <c r="H2895">
        <v>96461</v>
      </c>
      <c r="I2895">
        <v>6184961</v>
      </c>
    </row>
    <row r="2896" spans="1:9">
      <c r="A2896" s="2">
        <v>1976</v>
      </c>
      <c r="B2896">
        <v>6</v>
      </c>
      <c r="C2896">
        <v>3.3E-4</v>
      </c>
      <c r="D2896">
        <v>3.3E-4</v>
      </c>
      <c r="E2896">
        <v>0.5</v>
      </c>
      <c r="F2896">
        <v>96438</v>
      </c>
      <c r="G2896">
        <v>32</v>
      </c>
      <c r="H2896">
        <v>96423</v>
      </c>
      <c r="I2896">
        <v>6088500</v>
      </c>
    </row>
    <row r="2897" spans="1:9">
      <c r="A2897" s="2">
        <v>1976</v>
      </c>
      <c r="B2897">
        <v>7</v>
      </c>
      <c r="C2897">
        <v>2.9E-4</v>
      </c>
      <c r="D2897">
        <v>2.9E-4</v>
      </c>
      <c r="E2897">
        <v>0.5</v>
      </c>
      <c r="F2897">
        <v>96407</v>
      </c>
      <c r="G2897">
        <v>28</v>
      </c>
      <c r="H2897">
        <v>96393</v>
      </c>
      <c r="I2897">
        <v>5992077</v>
      </c>
    </row>
    <row r="2898" spans="1:9">
      <c r="A2898" s="2">
        <v>1976</v>
      </c>
      <c r="B2898">
        <v>8</v>
      </c>
      <c r="C2898">
        <v>2.5999999999999998E-4</v>
      </c>
      <c r="D2898">
        <v>2.5999999999999998E-4</v>
      </c>
      <c r="E2898">
        <v>0.5</v>
      </c>
      <c r="F2898">
        <v>96379</v>
      </c>
      <c r="G2898">
        <v>25</v>
      </c>
      <c r="H2898">
        <v>96366</v>
      </c>
      <c r="I2898">
        <v>5895684</v>
      </c>
    </row>
    <row r="2899" spans="1:9">
      <c r="A2899" s="2">
        <v>1976</v>
      </c>
      <c r="B2899">
        <v>9</v>
      </c>
      <c r="C2899">
        <v>2.9999999999999997E-4</v>
      </c>
      <c r="D2899">
        <v>2.9999999999999997E-4</v>
      </c>
      <c r="E2899">
        <v>0.5</v>
      </c>
      <c r="F2899">
        <v>96354</v>
      </c>
      <c r="G2899">
        <v>29</v>
      </c>
      <c r="H2899">
        <v>96339</v>
      </c>
      <c r="I2899">
        <v>5799318</v>
      </c>
    </row>
    <row r="2900" spans="1:9">
      <c r="A2900" s="2">
        <v>1976</v>
      </c>
      <c r="B2900">
        <v>10</v>
      </c>
      <c r="C2900">
        <v>2.1000000000000001E-4</v>
      </c>
      <c r="D2900">
        <v>2.1000000000000001E-4</v>
      </c>
      <c r="E2900">
        <v>0.5</v>
      </c>
      <c r="F2900">
        <v>96325</v>
      </c>
      <c r="G2900">
        <v>20</v>
      </c>
      <c r="H2900">
        <v>96315</v>
      </c>
      <c r="I2900">
        <v>5702978</v>
      </c>
    </row>
    <row r="2901" spans="1:9">
      <c r="A2901" s="2">
        <v>1976</v>
      </c>
      <c r="B2901">
        <v>11</v>
      </c>
      <c r="C2901">
        <v>2.3000000000000001E-4</v>
      </c>
      <c r="D2901">
        <v>2.3000000000000001E-4</v>
      </c>
      <c r="E2901">
        <v>0.5</v>
      </c>
      <c r="F2901">
        <v>96305</v>
      </c>
      <c r="G2901">
        <v>22</v>
      </c>
      <c r="H2901">
        <v>96294</v>
      </c>
      <c r="I2901">
        <v>5606663</v>
      </c>
    </row>
    <row r="2902" spans="1:9">
      <c r="A2902" s="2">
        <v>1976</v>
      </c>
      <c r="B2902">
        <v>12</v>
      </c>
      <c r="C2902">
        <v>3.2000000000000003E-4</v>
      </c>
      <c r="D2902">
        <v>3.2000000000000003E-4</v>
      </c>
      <c r="E2902">
        <v>0.5</v>
      </c>
      <c r="F2902">
        <v>96283</v>
      </c>
      <c r="G2902">
        <v>31</v>
      </c>
      <c r="H2902">
        <v>96268</v>
      </c>
      <c r="I2902">
        <v>5510369</v>
      </c>
    </row>
    <row r="2903" spans="1:9">
      <c r="A2903" s="2">
        <v>1976</v>
      </c>
      <c r="B2903">
        <v>13</v>
      </c>
      <c r="C2903">
        <v>4.4999999999999999E-4</v>
      </c>
      <c r="D2903">
        <v>4.4999999999999999E-4</v>
      </c>
      <c r="E2903">
        <v>0.5</v>
      </c>
      <c r="F2903">
        <v>96252</v>
      </c>
      <c r="G2903">
        <v>43</v>
      </c>
      <c r="H2903">
        <v>96231</v>
      </c>
      <c r="I2903">
        <v>5414101</v>
      </c>
    </row>
    <row r="2904" spans="1:9">
      <c r="A2904" s="2">
        <v>1976</v>
      </c>
      <c r="B2904">
        <v>14</v>
      </c>
      <c r="C2904">
        <v>5.8E-4</v>
      </c>
      <c r="D2904">
        <v>5.8E-4</v>
      </c>
      <c r="E2904">
        <v>0.5</v>
      </c>
      <c r="F2904">
        <v>96209</v>
      </c>
      <c r="G2904">
        <v>56</v>
      </c>
      <c r="H2904">
        <v>96181</v>
      </c>
      <c r="I2904">
        <v>5317870</v>
      </c>
    </row>
    <row r="2905" spans="1:9">
      <c r="A2905" s="2">
        <v>1976</v>
      </c>
      <c r="B2905">
        <v>15</v>
      </c>
      <c r="C2905">
        <v>6.3000000000000003E-4</v>
      </c>
      <c r="D2905">
        <v>6.3000000000000003E-4</v>
      </c>
      <c r="E2905">
        <v>0.5</v>
      </c>
      <c r="F2905">
        <v>96154</v>
      </c>
      <c r="G2905">
        <v>61</v>
      </c>
      <c r="H2905">
        <v>96123</v>
      </c>
      <c r="I2905">
        <v>5221689</v>
      </c>
    </row>
    <row r="2906" spans="1:9">
      <c r="A2906" s="2">
        <v>1976</v>
      </c>
      <c r="B2906">
        <v>16</v>
      </c>
      <c r="C2906">
        <v>7.3999999999999999E-4</v>
      </c>
      <c r="D2906">
        <v>7.3999999999999999E-4</v>
      </c>
      <c r="E2906">
        <v>0.5</v>
      </c>
      <c r="F2906">
        <v>96093</v>
      </c>
      <c r="G2906">
        <v>71</v>
      </c>
      <c r="H2906">
        <v>96057</v>
      </c>
      <c r="I2906">
        <v>5125566</v>
      </c>
    </row>
    <row r="2907" spans="1:9">
      <c r="A2907" s="2">
        <v>1976</v>
      </c>
      <c r="B2907">
        <v>17</v>
      </c>
      <c r="C2907">
        <v>1.1100000000000001E-3</v>
      </c>
      <c r="D2907">
        <v>1.1100000000000001E-3</v>
      </c>
      <c r="E2907">
        <v>0.5</v>
      </c>
      <c r="F2907">
        <v>96022</v>
      </c>
      <c r="G2907">
        <v>107</v>
      </c>
      <c r="H2907">
        <v>95968</v>
      </c>
      <c r="I2907">
        <v>5029508</v>
      </c>
    </row>
    <row r="2908" spans="1:9">
      <c r="A2908" s="2">
        <v>1976</v>
      </c>
      <c r="B2908">
        <v>18</v>
      </c>
      <c r="C2908">
        <v>1.08E-3</v>
      </c>
      <c r="D2908">
        <v>1.08E-3</v>
      </c>
      <c r="E2908">
        <v>0.5</v>
      </c>
      <c r="F2908">
        <v>95915</v>
      </c>
      <c r="G2908">
        <v>103</v>
      </c>
      <c r="H2908">
        <v>95863</v>
      </c>
      <c r="I2908">
        <v>4933540</v>
      </c>
    </row>
    <row r="2909" spans="1:9">
      <c r="A2909" s="2">
        <v>1976</v>
      </c>
      <c r="B2909">
        <v>19</v>
      </c>
      <c r="C2909">
        <v>1.39E-3</v>
      </c>
      <c r="D2909">
        <v>1.39E-3</v>
      </c>
      <c r="E2909">
        <v>0.5</v>
      </c>
      <c r="F2909">
        <v>95811</v>
      </c>
      <c r="G2909">
        <v>134</v>
      </c>
      <c r="H2909">
        <v>95745</v>
      </c>
      <c r="I2909">
        <v>4837677</v>
      </c>
    </row>
    <row r="2910" spans="1:9">
      <c r="A2910" s="2">
        <v>1976</v>
      </c>
      <c r="B2910">
        <v>20</v>
      </c>
      <c r="C2910">
        <v>1.3799999999999999E-3</v>
      </c>
      <c r="D2910">
        <v>1.3799999999999999E-3</v>
      </c>
      <c r="E2910">
        <v>0.5</v>
      </c>
      <c r="F2910">
        <v>95678</v>
      </c>
      <c r="G2910">
        <v>132</v>
      </c>
      <c r="H2910">
        <v>95612</v>
      </c>
      <c r="I2910">
        <v>4741932</v>
      </c>
    </row>
    <row r="2911" spans="1:9">
      <c r="A2911" s="2">
        <v>1976</v>
      </c>
      <c r="B2911">
        <v>21</v>
      </c>
      <c r="C2911">
        <v>1.2899999999999999E-3</v>
      </c>
      <c r="D2911">
        <v>1.2899999999999999E-3</v>
      </c>
      <c r="E2911">
        <v>0.5</v>
      </c>
      <c r="F2911">
        <v>95546</v>
      </c>
      <c r="G2911">
        <v>123</v>
      </c>
      <c r="H2911">
        <v>95485</v>
      </c>
      <c r="I2911">
        <v>4646320</v>
      </c>
    </row>
    <row r="2912" spans="1:9">
      <c r="A2912" s="2">
        <v>1976</v>
      </c>
      <c r="B2912">
        <v>22</v>
      </c>
      <c r="C2912">
        <v>1.33E-3</v>
      </c>
      <c r="D2912">
        <v>1.33E-3</v>
      </c>
      <c r="E2912">
        <v>0.5</v>
      </c>
      <c r="F2912">
        <v>95423</v>
      </c>
      <c r="G2912">
        <v>127</v>
      </c>
      <c r="H2912">
        <v>95360</v>
      </c>
      <c r="I2912">
        <v>4550835</v>
      </c>
    </row>
    <row r="2913" spans="1:9">
      <c r="A2913" s="2">
        <v>1976</v>
      </c>
      <c r="B2913">
        <v>23</v>
      </c>
      <c r="C2913">
        <v>1.3799999999999999E-3</v>
      </c>
      <c r="D2913">
        <v>1.3799999999999999E-3</v>
      </c>
      <c r="E2913">
        <v>0.5</v>
      </c>
      <c r="F2913">
        <v>95296</v>
      </c>
      <c r="G2913">
        <v>132</v>
      </c>
      <c r="H2913">
        <v>95230</v>
      </c>
      <c r="I2913">
        <v>4455476</v>
      </c>
    </row>
    <row r="2914" spans="1:9">
      <c r="A2914" s="2">
        <v>1976</v>
      </c>
      <c r="B2914">
        <v>24</v>
      </c>
      <c r="C2914">
        <v>1.16E-3</v>
      </c>
      <c r="D2914">
        <v>1.16E-3</v>
      </c>
      <c r="E2914">
        <v>0.5</v>
      </c>
      <c r="F2914">
        <v>95165</v>
      </c>
      <c r="G2914">
        <v>110</v>
      </c>
      <c r="H2914">
        <v>95109</v>
      </c>
      <c r="I2914">
        <v>4360245</v>
      </c>
    </row>
    <row r="2915" spans="1:9">
      <c r="A2915" s="2">
        <v>1976</v>
      </c>
      <c r="B2915">
        <v>25</v>
      </c>
      <c r="C2915">
        <v>1.33E-3</v>
      </c>
      <c r="D2915">
        <v>1.33E-3</v>
      </c>
      <c r="E2915">
        <v>0.5</v>
      </c>
      <c r="F2915">
        <v>95054</v>
      </c>
      <c r="G2915">
        <v>126</v>
      </c>
      <c r="H2915">
        <v>94991</v>
      </c>
      <c r="I2915">
        <v>4265136</v>
      </c>
    </row>
    <row r="2916" spans="1:9">
      <c r="A2916" s="2">
        <v>1976</v>
      </c>
      <c r="B2916">
        <v>26</v>
      </c>
      <c r="C2916">
        <v>1.5100000000000001E-3</v>
      </c>
      <c r="D2916">
        <v>1.5100000000000001E-3</v>
      </c>
      <c r="E2916">
        <v>0.5</v>
      </c>
      <c r="F2916">
        <v>94928</v>
      </c>
      <c r="G2916">
        <v>143</v>
      </c>
      <c r="H2916">
        <v>94857</v>
      </c>
      <c r="I2916">
        <v>4170144</v>
      </c>
    </row>
    <row r="2917" spans="1:9">
      <c r="A2917" s="2">
        <v>1976</v>
      </c>
      <c r="B2917">
        <v>27</v>
      </c>
      <c r="C2917">
        <v>1.5299999999999999E-3</v>
      </c>
      <c r="D2917">
        <v>1.5299999999999999E-3</v>
      </c>
      <c r="E2917">
        <v>0.5</v>
      </c>
      <c r="F2917">
        <v>94785</v>
      </c>
      <c r="G2917">
        <v>145</v>
      </c>
      <c r="H2917">
        <v>94712</v>
      </c>
      <c r="I2917">
        <v>4075288</v>
      </c>
    </row>
    <row r="2918" spans="1:9">
      <c r="A2918" s="2">
        <v>1976</v>
      </c>
      <c r="B2918">
        <v>28</v>
      </c>
      <c r="C2918">
        <v>1.33E-3</v>
      </c>
      <c r="D2918">
        <v>1.33E-3</v>
      </c>
      <c r="E2918">
        <v>0.5</v>
      </c>
      <c r="F2918">
        <v>94640</v>
      </c>
      <c r="G2918">
        <v>126</v>
      </c>
      <c r="H2918">
        <v>94577</v>
      </c>
      <c r="I2918">
        <v>3980576</v>
      </c>
    </row>
    <row r="2919" spans="1:9">
      <c r="A2919" s="2">
        <v>1976</v>
      </c>
      <c r="B2919">
        <v>29</v>
      </c>
      <c r="C2919">
        <v>1.7700000000000001E-3</v>
      </c>
      <c r="D2919">
        <v>1.7700000000000001E-3</v>
      </c>
      <c r="E2919">
        <v>0.5</v>
      </c>
      <c r="F2919">
        <v>94514</v>
      </c>
      <c r="G2919">
        <v>167</v>
      </c>
      <c r="H2919">
        <v>94431</v>
      </c>
      <c r="I2919">
        <v>3885998</v>
      </c>
    </row>
    <row r="2920" spans="1:9">
      <c r="A2920" s="2">
        <v>1976</v>
      </c>
      <c r="B2920">
        <v>30</v>
      </c>
      <c r="C2920">
        <v>2.0500000000000002E-3</v>
      </c>
      <c r="D2920">
        <v>2.0500000000000002E-3</v>
      </c>
      <c r="E2920">
        <v>0.5</v>
      </c>
      <c r="F2920">
        <v>94347</v>
      </c>
      <c r="G2920">
        <v>193</v>
      </c>
      <c r="H2920">
        <v>94250</v>
      </c>
      <c r="I2920">
        <v>3791568</v>
      </c>
    </row>
    <row r="2921" spans="1:9">
      <c r="A2921" s="2">
        <v>1976</v>
      </c>
      <c r="B2921">
        <v>31</v>
      </c>
      <c r="C2921">
        <v>1.75E-3</v>
      </c>
      <c r="D2921">
        <v>1.75E-3</v>
      </c>
      <c r="E2921">
        <v>0.5</v>
      </c>
      <c r="F2921">
        <v>94154</v>
      </c>
      <c r="G2921">
        <v>165</v>
      </c>
      <c r="H2921">
        <v>94072</v>
      </c>
      <c r="I2921">
        <v>3697318</v>
      </c>
    </row>
    <row r="2922" spans="1:9">
      <c r="A2922" s="2">
        <v>1976</v>
      </c>
      <c r="B2922">
        <v>32</v>
      </c>
      <c r="C2922">
        <v>2.2000000000000001E-3</v>
      </c>
      <c r="D2922">
        <v>2.2000000000000001E-3</v>
      </c>
      <c r="E2922">
        <v>0.5</v>
      </c>
      <c r="F2922">
        <v>93989</v>
      </c>
      <c r="G2922">
        <v>207</v>
      </c>
      <c r="H2922">
        <v>93886</v>
      </c>
      <c r="I2922">
        <v>3603246</v>
      </c>
    </row>
    <row r="2923" spans="1:9">
      <c r="A2923" s="2">
        <v>1976</v>
      </c>
      <c r="B2923">
        <v>33</v>
      </c>
      <c r="C2923">
        <v>2.2799999999999999E-3</v>
      </c>
      <c r="D2923">
        <v>2.2699999999999999E-3</v>
      </c>
      <c r="E2923">
        <v>0.5</v>
      </c>
      <c r="F2923">
        <v>93782</v>
      </c>
      <c r="G2923">
        <v>213</v>
      </c>
      <c r="H2923">
        <v>93676</v>
      </c>
      <c r="I2923">
        <v>3509360</v>
      </c>
    </row>
    <row r="2924" spans="1:9">
      <c r="A2924" s="2">
        <v>1976</v>
      </c>
      <c r="B2924">
        <v>34</v>
      </c>
      <c r="C2924">
        <v>2.2399999999999998E-3</v>
      </c>
      <c r="D2924">
        <v>2.2399999999999998E-3</v>
      </c>
      <c r="E2924">
        <v>0.5</v>
      </c>
      <c r="F2924">
        <v>93569</v>
      </c>
      <c r="G2924">
        <v>210</v>
      </c>
      <c r="H2924">
        <v>93464</v>
      </c>
      <c r="I2924">
        <v>3415685</v>
      </c>
    </row>
    <row r="2925" spans="1:9">
      <c r="A2925" s="2">
        <v>1976</v>
      </c>
      <c r="B2925">
        <v>35</v>
      </c>
      <c r="C2925">
        <v>2.3900000000000002E-3</v>
      </c>
      <c r="D2925">
        <v>2.3900000000000002E-3</v>
      </c>
      <c r="E2925">
        <v>0.5</v>
      </c>
      <c r="F2925">
        <v>93359</v>
      </c>
      <c r="G2925">
        <v>223</v>
      </c>
      <c r="H2925">
        <v>93248</v>
      </c>
      <c r="I2925">
        <v>3322220</v>
      </c>
    </row>
    <row r="2926" spans="1:9">
      <c r="A2926" s="2">
        <v>1976</v>
      </c>
      <c r="B2926">
        <v>36</v>
      </c>
      <c r="C2926">
        <v>2.96E-3</v>
      </c>
      <c r="D2926">
        <v>2.96E-3</v>
      </c>
      <c r="E2926">
        <v>0.5</v>
      </c>
      <c r="F2926">
        <v>93137</v>
      </c>
      <c r="G2926">
        <v>276</v>
      </c>
      <c r="H2926">
        <v>92999</v>
      </c>
      <c r="I2926">
        <v>3228972</v>
      </c>
    </row>
    <row r="2927" spans="1:9">
      <c r="A2927" s="2">
        <v>1976</v>
      </c>
      <c r="B2927">
        <v>37</v>
      </c>
      <c r="C2927">
        <v>3.1099999999999999E-3</v>
      </c>
      <c r="D2927">
        <v>3.0999999999999999E-3</v>
      </c>
      <c r="E2927">
        <v>0.5</v>
      </c>
      <c r="F2927">
        <v>92861</v>
      </c>
      <c r="G2927">
        <v>288</v>
      </c>
      <c r="H2927">
        <v>92717</v>
      </c>
      <c r="I2927">
        <v>3135973</v>
      </c>
    </row>
    <row r="2928" spans="1:9">
      <c r="A2928" s="2">
        <v>1976</v>
      </c>
      <c r="B2928">
        <v>38</v>
      </c>
      <c r="C2928">
        <v>3.7000000000000002E-3</v>
      </c>
      <c r="D2928">
        <v>3.6900000000000001E-3</v>
      </c>
      <c r="E2928">
        <v>0.5</v>
      </c>
      <c r="F2928">
        <v>92573</v>
      </c>
      <c r="G2928">
        <v>342</v>
      </c>
      <c r="H2928">
        <v>92402</v>
      </c>
      <c r="I2928">
        <v>3043257</v>
      </c>
    </row>
    <row r="2929" spans="1:9">
      <c r="A2929" s="2">
        <v>1976</v>
      </c>
      <c r="B2929">
        <v>39</v>
      </c>
      <c r="C2929">
        <v>4.1900000000000001E-3</v>
      </c>
      <c r="D2929">
        <v>4.1799999999999997E-3</v>
      </c>
      <c r="E2929">
        <v>0.5</v>
      </c>
      <c r="F2929">
        <v>92231</v>
      </c>
      <c r="G2929">
        <v>385</v>
      </c>
      <c r="H2929">
        <v>92039</v>
      </c>
      <c r="I2929">
        <v>2950854</v>
      </c>
    </row>
    <row r="2930" spans="1:9">
      <c r="A2930" s="2">
        <v>1976</v>
      </c>
      <c r="B2930">
        <v>40</v>
      </c>
      <c r="C2930">
        <v>3.79E-3</v>
      </c>
      <c r="D2930">
        <v>3.7799999999999999E-3</v>
      </c>
      <c r="E2930">
        <v>0.5</v>
      </c>
      <c r="F2930">
        <v>91846</v>
      </c>
      <c r="G2930">
        <v>347</v>
      </c>
      <c r="H2930">
        <v>91673</v>
      </c>
      <c r="I2930">
        <v>2858816</v>
      </c>
    </row>
    <row r="2931" spans="1:9">
      <c r="A2931" s="2">
        <v>1976</v>
      </c>
      <c r="B2931">
        <v>41</v>
      </c>
      <c r="C2931">
        <v>3.79E-3</v>
      </c>
      <c r="D2931">
        <v>3.79E-3</v>
      </c>
      <c r="E2931">
        <v>0.5</v>
      </c>
      <c r="F2931">
        <v>91499</v>
      </c>
      <c r="G2931">
        <v>346</v>
      </c>
      <c r="H2931">
        <v>91326</v>
      </c>
      <c r="I2931">
        <v>2767143</v>
      </c>
    </row>
    <row r="2932" spans="1:9">
      <c r="A2932" s="2">
        <v>1976</v>
      </c>
      <c r="B2932">
        <v>42</v>
      </c>
      <c r="C2932">
        <v>4.3800000000000002E-3</v>
      </c>
      <c r="D2932">
        <v>4.3699999999999998E-3</v>
      </c>
      <c r="E2932">
        <v>0.5</v>
      </c>
      <c r="F2932">
        <v>91153</v>
      </c>
      <c r="G2932">
        <v>398</v>
      </c>
      <c r="H2932">
        <v>90953</v>
      </c>
      <c r="I2932">
        <v>2675817</v>
      </c>
    </row>
    <row r="2933" spans="1:9">
      <c r="A2933" s="2">
        <v>1976</v>
      </c>
      <c r="B2933">
        <v>43</v>
      </c>
      <c r="C2933">
        <v>5.4000000000000003E-3</v>
      </c>
      <c r="D2933">
        <v>5.3899999999999998E-3</v>
      </c>
      <c r="E2933">
        <v>0.5</v>
      </c>
      <c r="F2933">
        <v>90754</v>
      </c>
      <c r="G2933">
        <v>489</v>
      </c>
      <c r="H2933">
        <v>90510</v>
      </c>
      <c r="I2933">
        <v>2584864</v>
      </c>
    </row>
    <row r="2934" spans="1:9">
      <c r="A2934" s="2">
        <v>1976</v>
      </c>
      <c r="B2934">
        <v>44</v>
      </c>
      <c r="C2934">
        <v>5.45E-3</v>
      </c>
      <c r="D2934">
        <v>5.4299999999999999E-3</v>
      </c>
      <c r="E2934">
        <v>0.5</v>
      </c>
      <c r="F2934">
        <v>90265</v>
      </c>
      <c r="G2934">
        <v>490</v>
      </c>
      <c r="H2934">
        <v>90020</v>
      </c>
      <c r="I2934">
        <v>2494354</v>
      </c>
    </row>
    <row r="2935" spans="1:9">
      <c r="A2935" s="2">
        <v>1976</v>
      </c>
      <c r="B2935">
        <v>45</v>
      </c>
      <c r="C2935">
        <v>6.2899999999999996E-3</v>
      </c>
      <c r="D2935">
        <v>6.2700000000000004E-3</v>
      </c>
      <c r="E2935">
        <v>0.5</v>
      </c>
      <c r="F2935">
        <v>89775</v>
      </c>
      <c r="G2935">
        <v>563</v>
      </c>
      <c r="H2935">
        <v>89493</v>
      </c>
      <c r="I2935">
        <v>2404334</v>
      </c>
    </row>
    <row r="2936" spans="1:9">
      <c r="A2936" s="2">
        <v>1976</v>
      </c>
      <c r="B2936">
        <v>46</v>
      </c>
      <c r="C2936">
        <v>6.4700000000000001E-3</v>
      </c>
      <c r="D2936">
        <v>6.45E-3</v>
      </c>
      <c r="E2936">
        <v>0.5</v>
      </c>
      <c r="F2936">
        <v>89212</v>
      </c>
      <c r="G2936">
        <v>575</v>
      </c>
      <c r="H2936">
        <v>88924</v>
      </c>
      <c r="I2936">
        <v>2314841</v>
      </c>
    </row>
    <row r="2937" spans="1:9">
      <c r="A2937" s="2">
        <v>1976</v>
      </c>
      <c r="B2937">
        <v>47</v>
      </c>
      <c r="C2937">
        <v>7.6800000000000002E-3</v>
      </c>
      <c r="D2937">
        <v>7.6499999999999997E-3</v>
      </c>
      <c r="E2937">
        <v>0.5</v>
      </c>
      <c r="F2937">
        <v>88636</v>
      </c>
      <c r="G2937">
        <v>678</v>
      </c>
      <c r="H2937">
        <v>88297</v>
      </c>
      <c r="I2937">
        <v>2225917</v>
      </c>
    </row>
    <row r="2938" spans="1:9">
      <c r="A2938" s="2">
        <v>1976</v>
      </c>
      <c r="B2938">
        <v>48</v>
      </c>
      <c r="C2938">
        <v>8.1499999999999993E-3</v>
      </c>
      <c r="D2938">
        <v>8.1099999999999992E-3</v>
      </c>
      <c r="E2938">
        <v>0.5</v>
      </c>
      <c r="F2938">
        <v>87958</v>
      </c>
      <c r="G2938">
        <v>714</v>
      </c>
      <c r="H2938">
        <v>87601</v>
      </c>
      <c r="I2938">
        <v>2137620</v>
      </c>
    </row>
    <row r="2939" spans="1:9">
      <c r="A2939" s="2">
        <v>1976</v>
      </c>
      <c r="B2939">
        <v>49</v>
      </c>
      <c r="C2939">
        <v>8.8299999999999993E-3</v>
      </c>
      <c r="D2939">
        <v>8.7899999999999992E-3</v>
      </c>
      <c r="E2939">
        <v>0.5</v>
      </c>
      <c r="F2939">
        <v>87244</v>
      </c>
      <c r="G2939">
        <v>767</v>
      </c>
      <c r="H2939">
        <v>86861</v>
      </c>
      <c r="I2939">
        <v>2050019</v>
      </c>
    </row>
    <row r="2940" spans="1:9">
      <c r="A2940" s="2">
        <v>1976</v>
      </c>
      <c r="B2940">
        <v>50</v>
      </c>
      <c r="C2940">
        <v>9.4999999999999998E-3</v>
      </c>
      <c r="D2940">
        <v>9.4500000000000001E-3</v>
      </c>
      <c r="E2940">
        <v>0.5</v>
      </c>
      <c r="F2940">
        <v>86477</v>
      </c>
      <c r="G2940">
        <v>817</v>
      </c>
      <c r="H2940">
        <v>86068</v>
      </c>
      <c r="I2940">
        <v>1963158</v>
      </c>
    </row>
    <row r="2941" spans="1:9">
      <c r="A2941" s="2">
        <v>1976</v>
      </c>
      <c r="B2941">
        <v>51</v>
      </c>
      <c r="C2941">
        <v>1.0410000000000001E-2</v>
      </c>
      <c r="D2941">
        <v>1.035E-2</v>
      </c>
      <c r="E2941">
        <v>0.5</v>
      </c>
      <c r="F2941">
        <v>85660</v>
      </c>
      <c r="G2941">
        <v>887</v>
      </c>
      <c r="H2941">
        <v>85216</v>
      </c>
      <c r="I2941">
        <v>1877090</v>
      </c>
    </row>
    <row r="2942" spans="1:9">
      <c r="A2942" s="2">
        <v>1976</v>
      </c>
      <c r="B2942">
        <v>52</v>
      </c>
      <c r="C2942">
        <v>1.099E-2</v>
      </c>
      <c r="D2942">
        <v>1.093E-2</v>
      </c>
      <c r="E2942">
        <v>0.5</v>
      </c>
      <c r="F2942">
        <v>84773</v>
      </c>
      <c r="G2942">
        <v>927</v>
      </c>
      <c r="H2942">
        <v>84310</v>
      </c>
      <c r="I2942">
        <v>1791873</v>
      </c>
    </row>
    <row r="2943" spans="1:9">
      <c r="A2943" s="2">
        <v>1976</v>
      </c>
      <c r="B2943">
        <v>53</v>
      </c>
      <c r="C2943">
        <v>1.1849999999999999E-2</v>
      </c>
      <c r="D2943">
        <v>1.1780000000000001E-2</v>
      </c>
      <c r="E2943">
        <v>0.5</v>
      </c>
      <c r="F2943">
        <v>83846</v>
      </c>
      <c r="G2943">
        <v>988</v>
      </c>
      <c r="H2943">
        <v>83352</v>
      </c>
      <c r="I2943">
        <v>1707564</v>
      </c>
    </row>
    <row r="2944" spans="1:9">
      <c r="A2944" s="2">
        <v>1976</v>
      </c>
      <c r="B2944">
        <v>54</v>
      </c>
      <c r="C2944">
        <v>1.2529999999999999E-2</v>
      </c>
      <c r="D2944">
        <v>1.2460000000000001E-2</v>
      </c>
      <c r="E2944">
        <v>0.5</v>
      </c>
      <c r="F2944">
        <v>82858</v>
      </c>
      <c r="G2944">
        <v>1032</v>
      </c>
      <c r="H2944">
        <v>82342</v>
      </c>
      <c r="I2944">
        <v>1624212</v>
      </c>
    </row>
    <row r="2945" spans="1:9">
      <c r="A2945" s="2">
        <v>1976</v>
      </c>
      <c r="B2945">
        <v>55</v>
      </c>
      <c r="C2945">
        <v>1.3559999999999999E-2</v>
      </c>
      <c r="D2945">
        <v>1.346E-2</v>
      </c>
      <c r="E2945">
        <v>0.5</v>
      </c>
      <c r="F2945">
        <v>81826</v>
      </c>
      <c r="G2945">
        <v>1102</v>
      </c>
      <c r="H2945">
        <v>81275</v>
      </c>
      <c r="I2945">
        <v>1541870</v>
      </c>
    </row>
    <row r="2946" spans="1:9">
      <c r="A2946" s="2">
        <v>1976</v>
      </c>
      <c r="B2946">
        <v>56</v>
      </c>
      <c r="C2946">
        <v>1.6320000000000001E-2</v>
      </c>
      <c r="D2946">
        <v>1.619E-2</v>
      </c>
      <c r="E2946">
        <v>0.5</v>
      </c>
      <c r="F2946">
        <v>80724</v>
      </c>
      <c r="G2946">
        <v>1307</v>
      </c>
      <c r="H2946">
        <v>80071</v>
      </c>
      <c r="I2946">
        <v>1460595</v>
      </c>
    </row>
    <row r="2947" spans="1:9">
      <c r="A2947" s="2">
        <v>1976</v>
      </c>
      <c r="B2947">
        <v>57</v>
      </c>
      <c r="C2947">
        <v>1.5650000000000001E-2</v>
      </c>
      <c r="D2947">
        <v>1.553E-2</v>
      </c>
      <c r="E2947">
        <v>0.5</v>
      </c>
      <c r="F2947">
        <v>79417</v>
      </c>
      <c r="G2947">
        <v>1233</v>
      </c>
      <c r="H2947">
        <v>78801</v>
      </c>
      <c r="I2947">
        <v>1380524</v>
      </c>
    </row>
    <row r="2948" spans="1:9">
      <c r="A2948" s="2">
        <v>1976</v>
      </c>
      <c r="B2948">
        <v>58</v>
      </c>
      <c r="C2948">
        <v>1.7260000000000001E-2</v>
      </c>
      <c r="D2948">
        <v>1.711E-2</v>
      </c>
      <c r="E2948">
        <v>0.5</v>
      </c>
      <c r="F2948">
        <v>78184</v>
      </c>
      <c r="G2948">
        <v>1338</v>
      </c>
      <c r="H2948">
        <v>77515</v>
      </c>
      <c r="I2948">
        <v>1301723</v>
      </c>
    </row>
    <row r="2949" spans="1:9">
      <c r="A2949" s="2">
        <v>1976</v>
      </c>
      <c r="B2949">
        <v>59</v>
      </c>
      <c r="C2949">
        <v>1.9109999999999999E-2</v>
      </c>
      <c r="D2949">
        <v>1.8929999999999999E-2</v>
      </c>
      <c r="E2949">
        <v>0.5</v>
      </c>
      <c r="F2949">
        <v>76846</v>
      </c>
      <c r="G2949">
        <v>1455</v>
      </c>
      <c r="H2949">
        <v>76119</v>
      </c>
      <c r="I2949">
        <v>1224209</v>
      </c>
    </row>
    <row r="2950" spans="1:9">
      <c r="A2950" s="2">
        <v>1976</v>
      </c>
      <c r="B2950">
        <v>60</v>
      </c>
      <c r="C2950">
        <v>1.9789999999999999E-2</v>
      </c>
      <c r="D2950">
        <v>1.9599999999999999E-2</v>
      </c>
      <c r="E2950">
        <v>0.5</v>
      </c>
      <c r="F2950">
        <v>75391</v>
      </c>
      <c r="G2950">
        <v>1478</v>
      </c>
      <c r="H2950">
        <v>74652</v>
      </c>
      <c r="I2950">
        <v>1148090</v>
      </c>
    </row>
    <row r="2951" spans="1:9">
      <c r="A2951" s="2">
        <v>1976</v>
      </c>
      <c r="B2951">
        <v>61</v>
      </c>
      <c r="C2951">
        <v>2.5340000000000001E-2</v>
      </c>
      <c r="D2951">
        <v>2.503E-2</v>
      </c>
      <c r="E2951">
        <v>0.5</v>
      </c>
      <c r="F2951">
        <v>73914</v>
      </c>
      <c r="G2951">
        <v>1850</v>
      </c>
      <c r="H2951">
        <v>72989</v>
      </c>
      <c r="I2951">
        <v>1073437</v>
      </c>
    </row>
    <row r="2952" spans="1:9">
      <c r="A2952" s="2">
        <v>1976</v>
      </c>
      <c r="B2952">
        <v>62</v>
      </c>
      <c r="C2952">
        <v>2.564E-2</v>
      </c>
      <c r="D2952">
        <v>2.5319999999999999E-2</v>
      </c>
      <c r="E2952">
        <v>0.5</v>
      </c>
      <c r="F2952">
        <v>72064</v>
      </c>
      <c r="G2952">
        <v>1824</v>
      </c>
      <c r="H2952">
        <v>71152</v>
      </c>
      <c r="I2952">
        <v>1000449</v>
      </c>
    </row>
    <row r="2953" spans="1:9">
      <c r="A2953" s="2">
        <v>1976</v>
      </c>
      <c r="B2953">
        <v>63</v>
      </c>
      <c r="C2953">
        <v>2.7199999999999998E-2</v>
      </c>
      <c r="D2953">
        <v>2.683E-2</v>
      </c>
      <c r="E2953">
        <v>0.5</v>
      </c>
      <c r="F2953">
        <v>70240</v>
      </c>
      <c r="G2953">
        <v>1885</v>
      </c>
      <c r="H2953">
        <v>69297</v>
      </c>
      <c r="I2953">
        <v>929297</v>
      </c>
    </row>
    <row r="2954" spans="1:9">
      <c r="A2954" s="2">
        <v>1976</v>
      </c>
      <c r="B2954">
        <v>64</v>
      </c>
      <c r="C2954">
        <v>3.2099999999999997E-2</v>
      </c>
      <c r="D2954">
        <v>3.159E-2</v>
      </c>
      <c r="E2954">
        <v>0.5</v>
      </c>
      <c r="F2954">
        <v>68355</v>
      </c>
      <c r="G2954">
        <v>2159</v>
      </c>
      <c r="H2954">
        <v>67275</v>
      </c>
      <c r="I2954">
        <v>860000</v>
      </c>
    </row>
    <row r="2955" spans="1:9">
      <c r="A2955" s="2">
        <v>1976</v>
      </c>
      <c r="B2955">
        <v>65</v>
      </c>
      <c r="C2955">
        <v>3.3759999999999998E-2</v>
      </c>
      <c r="D2955">
        <v>3.32E-2</v>
      </c>
      <c r="E2955">
        <v>0.5</v>
      </c>
      <c r="F2955">
        <v>66195</v>
      </c>
      <c r="G2955">
        <v>2197</v>
      </c>
      <c r="H2955">
        <v>65097</v>
      </c>
      <c r="I2955">
        <v>792725</v>
      </c>
    </row>
    <row r="2956" spans="1:9">
      <c r="A2956" s="2">
        <v>1976</v>
      </c>
      <c r="B2956">
        <v>66</v>
      </c>
      <c r="C2956">
        <v>3.7420000000000002E-2</v>
      </c>
      <c r="D2956">
        <v>3.6740000000000002E-2</v>
      </c>
      <c r="E2956">
        <v>0.5</v>
      </c>
      <c r="F2956">
        <v>63998</v>
      </c>
      <c r="G2956">
        <v>2351</v>
      </c>
      <c r="H2956">
        <v>62822</v>
      </c>
      <c r="I2956">
        <v>727628</v>
      </c>
    </row>
    <row r="2957" spans="1:9">
      <c r="A2957" s="2">
        <v>1976</v>
      </c>
      <c r="B2957">
        <v>67</v>
      </c>
      <c r="C2957">
        <v>4.3090000000000003E-2</v>
      </c>
      <c r="D2957">
        <v>4.2180000000000002E-2</v>
      </c>
      <c r="E2957">
        <v>0.5</v>
      </c>
      <c r="F2957">
        <v>61647</v>
      </c>
      <c r="G2957">
        <v>2601</v>
      </c>
      <c r="H2957">
        <v>60347</v>
      </c>
      <c r="I2957">
        <v>664805</v>
      </c>
    </row>
    <row r="2958" spans="1:9">
      <c r="A2958" s="2">
        <v>1976</v>
      </c>
      <c r="B2958">
        <v>68</v>
      </c>
      <c r="C2958">
        <v>4.5089999999999998E-2</v>
      </c>
      <c r="D2958">
        <v>4.41E-2</v>
      </c>
      <c r="E2958">
        <v>0.5</v>
      </c>
      <c r="F2958">
        <v>59046</v>
      </c>
      <c r="G2958">
        <v>2604</v>
      </c>
      <c r="H2958">
        <v>57744</v>
      </c>
      <c r="I2958">
        <v>604459</v>
      </c>
    </row>
    <row r="2959" spans="1:9">
      <c r="A2959" s="2">
        <v>1976</v>
      </c>
      <c r="B2959">
        <v>69</v>
      </c>
      <c r="C2959">
        <v>5.2740000000000002E-2</v>
      </c>
      <c r="D2959">
        <v>5.1389999999999998E-2</v>
      </c>
      <c r="E2959">
        <v>0.5</v>
      </c>
      <c r="F2959">
        <v>56442</v>
      </c>
      <c r="G2959">
        <v>2900</v>
      </c>
      <c r="H2959">
        <v>54992</v>
      </c>
      <c r="I2959">
        <v>546714</v>
      </c>
    </row>
    <row r="2960" spans="1:9">
      <c r="A2960" s="2">
        <v>1976</v>
      </c>
      <c r="B2960">
        <v>70</v>
      </c>
      <c r="C2960">
        <v>5.663E-2</v>
      </c>
      <c r="D2960">
        <v>5.5070000000000001E-2</v>
      </c>
      <c r="E2960">
        <v>0.5</v>
      </c>
      <c r="F2960">
        <v>53542</v>
      </c>
      <c r="G2960">
        <v>2949</v>
      </c>
      <c r="H2960">
        <v>52068</v>
      </c>
      <c r="I2960">
        <v>491722</v>
      </c>
    </row>
    <row r="2961" spans="1:9">
      <c r="A2961" s="2">
        <v>1976</v>
      </c>
      <c r="B2961">
        <v>71</v>
      </c>
      <c r="C2961">
        <v>6.2780000000000002E-2</v>
      </c>
      <c r="D2961">
        <v>6.0859999999999997E-2</v>
      </c>
      <c r="E2961">
        <v>0.5</v>
      </c>
      <c r="F2961">
        <v>50593</v>
      </c>
      <c r="G2961">
        <v>3079</v>
      </c>
      <c r="H2961">
        <v>49054</v>
      </c>
      <c r="I2961">
        <v>439654</v>
      </c>
    </row>
    <row r="2962" spans="1:9">
      <c r="A2962" s="2">
        <v>1976</v>
      </c>
      <c r="B2962">
        <v>72</v>
      </c>
      <c r="C2962">
        <v>7.0080000000000003E-2</v>
      </c>
      <c r="D2962">
        <v>6.7710000000000006E-2</v>
      </c>
      <c r="E2962">
        <v>0.5</v>
      </c>
      <c r="F2962">
        <v>47514</v>
      </c>
      <c r="G2962">
        <v>3217</v>
      </c>
      <c r="H2962">
        <v>45905</v>
      </c>
      <c r="I2962">
        <v>390601</v>
      </c>
    </row>
    <row r="2963" spans="1:9">
      <c r="A2963" s="2">
        <v>1976</v>
      </c>
      <c r="B2963">
        <v>73</v>
      </c>
      <c r="C2963">
        <v>7.2249999999999995E-2</v>
      </c>
      <c r="D2963">
        <v>6.973E-2</v>
      </c>
      <c r="E2963">
        <v>0.5</v>
      </c>
      <c r="F2963">
        <v>44297</v>
      </c>
      <c r="G2963">
        <v>3089</v>
      </c>
      <c r="H2963">
        <v>42753</v>
      </c>
      <c r="I2963">
        <v>344696</v>
      </c>
    </row>
    <row r="2964" spans="1:9">
      <c r="A2964" s="2">
        <v>1976</v>
      </c>
      <c r="B2964">
        <v>74</v>
      </c>
      <c r="C2964">
        <v>8.3900000000000002E-2</v>
      </c>
      <c r="D2964">
        <v>8.0519999999999994E-2</v>
      </c>
      <c r="E2964">
        <v>0.5</v>
      </c>
      <c r="F2964">
        <v>41208</v>
      </c>
      <c r="G2964">
        <v>3318</v>
      </c>
      <c r="H2964">
        <v>39549</v>
      </c>
      <c r="I2964">
        <v>301943</v>
      </c>
    </row>
    <row r="2965" spans="1:9">
      <c r="A2965" s="2">
        <v>1976</v>
      </c>
      <c r="B2965">
        <v>75</v>
      </c>
      <c r="C2965">
        <v>8.9849999999999999E-2</v>
      </c>
      <c r="D2965">
        <v>8.5980000000000001E-2</v>
      </c>
      <c r="E2965">
        <v>0.5</v>
      </c>
      <c r="F2965">
        <v>37890</v>
      </c>
      <c r="G2965">
        <v>3258</v>
      </c>
      <c r="H2965">
        <v>36261</v>
      </c>
      <c r="I2965">
        <v>262394</v>
      </c>
    </row>
    <row r="2966" spans="1:9">
      <c r="A2966" s="2">
        <v>1976</v>
      </c>
      <c r="B2966">
        <v>76</v>
      </c>
      <c r="C2966">
        <v>9.8549999999999999E-2</v>
      </c>
      <c r="D2966">
        <v>9.3920000000000003E-2</v>
      </c>
      <c r="E2966">
        <v>0.5</v>
      </c>
      <c r="F2966">
        <v>34632</v>
      </c>
      <c r="G2966">
        <v>3253</v>
      </c>
      <c r="H2966">
        <v>33006</v>
      </c>
      <c r="I2966">
        <v>226133</v>
      </c>
    </row>
    <row r="2967" spans="1:9">
      <c r="A2967" s="2">
        <v>1976</v>
      </c>
      <c r="B2967">
        <v>77</v>
      </c>
      <c r="C2967">
        <v>0.10779</v>
      </c>
      <c r="D2967">
        <v>0.10228</v>
      </c>
      <c r="E2967">
        <v>0.5</v>
      </c>
      <c r="F2967">
        <v>31379</v>
      </c>
      <c r="G2967">
        <v>3209</v>
      </c>
      <c r="H2967">
        <v>29775</v>
      </c>
      <c r="I2967">
        <v>193127</v>
      </c>
    </row>
    <row r="2968" spans="1:9">
      <c r="A2968" s="2">
        <v>1976</v>
      </c>
      <c r="B2968">
        <v>78</v>
      </c>
      <c r="C2968">
        <v>0.11405</v>
      </c>
      <c r="D2968">
        <v>0.1079</v>
      </c>
      <c r="E2968">
        <v>0.5</v>
      </c>
      <c r="F2968">
        <v>28170</v>
      </c>
      <c r="G2968">
        <v>3039</v>
      </c>
      <c r="H2968">
        <v>26650</v>
      </c>
      <c r="I2968">
        <v>163353</v>
      </c>
    </row>
    <row r="2969" spans="1:9">
      <c r="A2969" s="2">
        <v>1976</v>
      </c>
      <c r="B2969">
        <v>79</v>
      </c>
      <c r="C2969">
        <v>0.12614</v>
      </c>
      <c r="D2969">
        <v>0.11866</v>
      </c>
      <c r="E2969">
        <v>0.5</v>
      </c>
      <c r="F2969">
        <v>25131</v>
      </c>
      <c r="G2969">
        <v>2982</v>
      </c>
      <c r="H2969">
        <v>23640</v>
      </c>
      <c r="I2969">
        <v>136702</v>
      </c>
    </row>
    <row r="2970" spans="1:9">
      <c r="A2970" s="2">
        <v>1976</v>
      </c>
      <c r="B2970">
        <v>80</v>
      </c>
      <c r="C2970">
        <v>0.13755000000000001</v>
      </c>
      <c r="D2970">
        <v>0.12870000000000001</v>
      </c>
      <c r="E2970">
        <v>0.5</v>
      </c>
      <c r="F2970">
        <v>22149</v>
      </c>
      <c r="G2970">
        <v>2851</v>
      </c>
      <c r="H2970">
        <v>20723</v>
      </c>
      <c r="I2970">
        <v>113063</v>
      </c>
    </row>
    <row r="2971" spans="1:9">
      <c r="A2971" s="2">
        <v>1976</v>
      </c>
      <c r="B2971">
        <v>81</v>
      </c>
      <c r="C2971">
        <v>0.14427000000000001</v>
      </c>
      <c r="D2971">
        <v>0.13456000000000001</v>
      </c>
      <c r="E2971">
        <v>0.5</v>
      </c>
      <c r="F2971">
        <v>19298</v>
      </c>
      <c r="G2971">
        <v>2597</v>
      </c>
      <c r="H2971">
        <v>18000</v>
      </c>
      <c r="I2971">
        <v>92339</v>
      </c>
    </row>
    <row r="2972" spans="1:9">
      <c r="A2972" s="2">
        <v>1976</v>
      </c>
      <c r="B2972">
        <v>82</v>
      </c>
      <c r="C2972">
        <v>0.16741</v>
      </c>
      <c r="D2972">
        <v>0.15448000000000001</v>
      </c>
      <c r="E2972">
        <v>0.5</v>
      </c>
      <c r="F2972">
        <v>16701</v>
      </c>
      <c r="G2972">
        <v>2580</v>
      </c>
      <c r="H2972">
        <v>15411</v>
      </c>
      <c r="I2972">
        <v>74340</v>
      </c>
    </row>
    <row r="2973" spans="1:9">
      <c r="A2973" s="2">
        <v>1976</v>
      </c>
      <c r="B2973">
        <v>83</v>
      </c>
      <c r="C2973">
        <v>0.18867999999999999</v>
      </c>
      <c r="D2973">
        <v>0.17241999999999999</v>
      </c>
      <c r="E2973">
        <v>0.5</v>
      </c>
      <c r="F2973">
        <v>14121</v>
      </c>
      <c r="G2973">
        <v>2435</v>
      </c>
      <c r="H2973">
        <v>12904</v>
      </c>
      <c r="I2973">
        <v>58929</v>
      </c>
    </row>
    <row r="2974" spans="1:9">
      <c r="A2974" s="2">
        <v>1976</v>
      </c>
      <c r="B2974">
        <v>84</v>
      </c>
      <c r="C2974">
        <v>0.19558</v>
      </c>
      <c r="D2974">
        <v>0.17816000000000001</v>
      </c>
      <c r="E2974">
        <v>0.5</v>
      </c>
      <c r="F2974">
        <v>11686</v>
      </c>
      <c r="G2974">
        <v>2082</v>
      </c>
      <c r="H2974">
        <v>10645</v>
      </c>
      <c r="I2974">
        <v>46025</v>
      </c>
    </row>
    <row r="2975" spans="1:9">
      <c r="A2975" s="2">
        <v>1976</v>
      </c>
      <c r="B2975">
        <v>85</v>
      </c>
      <c r="C2975">
        <v>0.22423000000000001</v>
      </c>
      <c r="D2975">
        <v>0.20161999999999999</v>
      </c>
      <c r="E2975">
        <v>0.5</v>
      </c>
      <c r="F2975">
        <v>9604</v>
      </c>
      <c r="G2975">
        <v>1936</v>
      </c>
      <c r="H2975">
        <v>8636</v>
      </c>
      <c r="I2975">
        <v>35379</v>
      </c>
    </row>
    <row r="2976" spans="1:9">
      <c r="A2976" s="2">
        <v>1976</v>
      </c>
      <c r="B2976">
        <v>86</v>
      </c>
      <c r="C2976">
        <v>0.24338000000000001</v>
      </c>
      <c r="D2976">
        <v>0.21698000000000001</v>
      </c>
      <c r="E2976">
        <v>0.5</v>
      </c>
      <c r="F2976">
        <v>7668</v>
      </c>
      <c r="G2976">
        <v>1664</v>
      </c>
      <c r="H2976">
        <v>6836</v>
      </c>
      <c r="I2976">
        <v>26743</v>
      </c>
    </row>
    <row r="2977" spans="1:9">
      <c r="A2977" s="2">
        <v>1976</v>
      </c>
      <c r="B2977">
        <v>87</v>
      </c>
      <c r="C2977">
        <v>0.24027999999999999</v>
      </c>
      <c r="D2977">
        <v>0.21451000000000001</v>
      </c>
      <c r="E2977">
        <v>0.5</v>
      </c>
      <c r="F2977">
        <v>6004</v>
      </c>
      <c r="G2977">
        <v>1288</v>
      </c>
      <c r="H2977">
        <v>5360</v>
      </c>
      <c r="I2977">
        <v>19907</v>
      </c>
    </row>
    <row r="2978" spans="1:9">
      <c r="A2978" s="2">
        <v>1976</v>
      </c>
      <c r="B2978">
        <v>88</v>
      </c>
      <c r="C2978">
        <v>0.27261000000000002</v>
      </c>
      <c r="D2978">
        <v>0.23991000000000001</v>
      </c>
      <c r="E2978">
        <v>0.5</v>
      </c>
      <c r="F2978">
        <v>4716</v>
      </c>
      <c r="G2978">
        <v>1131</v>
      </c>
      <c r="H2978">
        <v>4151</v>
      </c>
      <c r="I2978">
        <v>14547</v>
      </c>
    </row>
    <row r="2979" spans="1:9">
      <c r="A2979" s="2">
        <v>1976</v>
      </c>
      <c r="B2979">
        <v>89</v>
      </c>
      <c r="C2979">
        <v>0.27707999999999999</v>
      </c>
      <c r="D2979">
        <v>0.24335999999999999</v>
      </c>
      <c r="E2979">
        <v>0.5</v>
      </c>
      <c r="F2979">
        <v>3585</v>
      </c>
      <c r="G2979">
        <v>872</v>
      </c>
      <c r="H2979">
        <v>3149</v>
      </c>
      <c r="I2979">
        <v>10396</v>
      </c>
    </row>
    <row r="2980" spans="1:9">
      <c r="A2980" s="2">
        <v>1976</v>
      </c>
      <c r="B2980">
        <v>90</v>
      </c>
      <c r="C2980">
        <v>0.31996000000000002</v>
      </c>
      <c r="D2980">
        <v>0.27583000000000002</v>
      </c>
      <c r="E2980">
        <v>0.5</v>
      </c>
      <c r="F2980">
        <v>2712</v>
      </c>
      <c r="G2980">
        <v>748</v>
      </c>
      <c r="H2980">
        <v>2338</v>
      </c>
      <c r="I2980">
        <v>7248</v>
      </c>
    </row>
    <row r="2981" spans="1:9">
      <c r="A2981" s="2">
        <v>1976</v>
      </c>
      <c r="B2981">
        <v>91</v>
      </c>
      <c r="C2981">
        <v>0.31989000000000001</v>
      </c>
      <c r="D2981">
        <v>0.27578000000000003</v>
      </c>
      <c r="E2981">
        <v>0.5</v>
      </c>
      <c r="F2981">
        <v>1964</v>
      </c>
      <c r="G2981">
        <v>542</v>
      </c>
      <c r="H2981">
        <v>1693</v>
      </c>
      <c r="I2981">
        <v>4909</v>
      </c>
    </row>
    <row r="2982" spans="1:9">
      <c r="A2982" s="2">
        <v>1976</v>
      </c>
      <c r="B2982">
        <v>92</v>
      </c>
      <c r="C2982">
        <v>0.39659</v>
      </c>
      <c r="D2982">
        <v>0.33095999999999998</v>
      </c>
      <c r="E2982">
        <v>0.5</v>
      </c>
      <c r="F2982">
        <v>1423</v>
      </c>
      <c r="G2982">
        <v>471</v>
      </c>
      <c r="H2982">
        <v>1187</v>
      </c>
      <c r="I2982">
        <v>3216</v>
      </c>
    </row>
    <row r="2983" spans="1:9">
      <c r="A2983" s="2">
        <v>1976</v>
      </c>
      <c r="B2983">
        <v>93</v>
      </c>
      <c r="C2983">
        <v>0.45576</v>
      </c>
      <c r="D2983">
        <v>0.37118000000000001</v>
      </c>
      <c r="E2983">
        <v>0.5</v>
      </c>
      <c r="F2983">
        <v>952</v>
      </c>
      <c r="G2983">
        <v>353</v>
      </c>
      <c r="H2983">
        <v>775</v>
      </c>
      <c r="I2983">
        <v>2029</v>
      </c>
    </row>
    <row r="2984" spans="1:9">
      <c r="A2984" s="2">
        <v>1976</v>
      </c>
      <c r="B2984">
        <v>94</v>
      </c>
      <c r="C2984">
        <v>0.45523000000000002</v>
      </c>
      <c r="D2984">
        <v>0.37081999999999998</v>
      </c>
      <c r="E2984">
        <v>0.5</v>
      </c>
      <c r="F2984">
        <v>598</v>
      </c>
      <c r="G2984">
        <v>222</v>
      </c>
      <c r="H2984">
        <v>488</v>
      </c>
      <c r="I2984">
        <v>1254</v>
      </c>
    </row>
    <row r="2985" spans="1:9">
      <c r="A2985" s="2">
        <v>1976</v>
      </c>
      <c r="B2985">
        <v>95</v>
      </c>
      <c r="C2985">
        <v>0.45367000000000002</v>
      </c>
      <c r="D2985">
        <v>0.36979000000000001</v>
      </c>
      <c r="E2985">
        <v>0.5</v>
      </c>
      <c r="F2985">
        <v>377</v>
      </c>
      <c r="G2985">
        <v>139</v>
      </c>
      <c r="H2985">
        <v>307</v>
      </c>
      <c r="I2985">
        <v>766</v>
      </c>
    </row>
    <row r="2986" spans="1:9">
      <c r="A2986" s="2">
        <v>1976</v>
      </c>
      <c r="B2986">
        <v>96</v>
      </c>
      <c r="C2986">
        <v>0.48114000000000001</v>
      </c>
      <c r="D2986">
        <v>0.38783000000000001</v>
      </c>
      <c r="E2986">
        <v>0.5</v>
      </c>
      <c r="F2986">
        <v>237</v>
      </c>
      <c r="G2986">
        <v>92</v>
      </c>
      <c r="H2986">
        <v>191</v>
      </c>
      <c r="I2986">
        <v>459</v>
      </c>
    </row>
    <row r="2987" spans="1:9">
      <c r="A2987" s="2">
        <v>1976</v>
      </c>
      <c r="B2987">
        <v>97</v>
      </c>
      <c r="C2987">
        <v>0.50871999999999995</v>
      </c>
      <c r="D2987">
        <v>0.40555999999999998</v>
      </c>
      <c r="E2987">
        <v>0.5</v>
      </c>
      <c r="F2987">
        <v>145</v>
      </c>
      <c r="G2987">
        <v>59</v>
      </c>
      <c r="H2987">
        <v>116</v>
      </c>
      <c r="I2987">
        <v>268</v>
      </c>
    </row>
    <row r="2988" spans="1:9">
      <c r="A2988" s="2">
        <v>1976</v>
      </c>
      <c r="B2988">
        <v>98</v>
      </c>
      <c r="C2988">
        <v>0.53625</v>
      </c>
      <c r="D2988">
        <v>0.42287000000000002</v>
      </c>
      <c r="E2988">
        <v>0.5</v>
      </c>
      <c r="F2988">
        <v>86</v>
      </c>
      <c r="G2988">
        <v>37</v>
      </c>
      <c r="H2988">
        <v>68</v>
      </c>
      <c r="I2988">
        <v>152</v>
      </c>
    </row>
    <row r="2989" spans="1:9">
      <c r="A2989" s="2">
        <v>1976</v>
      </c>
      <c r="B2989">
        <v>99</v>
      </c>
      <c r="C2989">
        <v>0.56355999999999995</v>
      </c>
      <c r="D2989">
        <v>0.43967000000000001</v>
      </c>
      <c r="E2989">
        <v>0.5</v>
      </c>
      <c r="F2989">
        <v>50</v>
      </c>
      <c r="G2989">
        <v>22</v>
      </c>
      <c r="H2989">
        <v>39</v>
      </c>
      <c r="I2989">
        <v>84</v>
      </c>
    </row>
    <row r="2990" spans="1:9">
      <c r="A2990" s="2">
        <v>1976</v>
      </c>
      <c r="B2990">
        <v>100</v>
      </c>
      <c r="C2990">
        <v>0.59050000000000002</v>
      </c>
      <c r="D2990">
        <v>0.45589000000000002</v>
      </c>
      <c r="E2990">
        <v>0.5</v>
      </c>
      <c r="F2990">
        <v>28</v>
      </c>
      <c r="G2990">
        <v>13</v>
      </c>
      <c r="H2990">
        <v>22</v>
      </c>
      <c r="I2990">
        <v>45</v>
      </c>
    </row>
    <row r="2991" spans="1:9">
      <c r="A2991" s="2">
        <v>1976</v>
      </c>
      <c r="B2991">
        <v>101</v>
      </c>
      <c r="C2991">
        <v>0.6169</v>
      </c>
      <c r="D2991">
        <v>0.47147</v>
      </c>
      <c r="E2991">
        <v>0.5</v>
      </c>
      <c r="F2991">
        <v>15</v>
      </c>
      <c r="G2991">
        <v>7</v>
      </c>
      <c r="H2991">
        <v>12</v>
      </c>
      <c r="I2991">
        <v>24</v>
      </c>
    </row>
    <row r="2992" spans="1:9">
      <c r="A2992" s="2">
        <v>1976</v>
      </c>
      <c r="B2992">
        <v>102</v>
      </c>
      <c r="C2992">
        <v>0.64263000000000003</v>
      </c>
      <c r="D2992">
        <v>0.48635</v>
      </c>
      <c r="E2992">
        <v>0.5</v>
      </c>
      <c r="F2992">
        <v>8</v>
      </c>
      <c r="G2992">
        <v>4</v>
      </c>
      <c r="H2992">
        <v>6</v>
      </c>
      <c r="I2992">
        <v>12</v>
      </c>
    </row>
    <row r="2993" spans="1:9">
      <c r="A2993" s="2">
        <v>1976</v>
      </c>
      <c r="B2993">
        <v>103</v>
      </c>
      <c r="C2993">
        <v>0.66756000000000004</v>
      </c>
      <c r="D2993">
        <v>0.50049999999999994</v>
      </c>
      <c r="E2993">
        <v>0.5</v>
      </c>
      <c r="F2993">
        <v>4</v>
      </c>
      <c r="G2993">
        <v>2</v>
      </c>
      <c r="H2993">
        <v>3</v>
      </c>
      <c r="I2993">
        <v>6</v>
      </c>
    </row>
    <row r="2994" spans="1:9">
      <c r="A2994" s="2">
        <v>1976</v>
      </c>
      <c r="B2994">
        <v>104</v>
      </c>
      <c r="C2994">
        <v>0.69157999999999997</v>
      </c>
      <c r="D2994">
        <v>0.51388999999999996</v>
      </c>
      <c r="E2994">
        <v>0.5</v>
      </c>
      <c r="F2994">
        <v>2</v>
      </c>
      <c r="G2994">
        <v>1</v>
      </c>
      <c r="H2994">
        <v>2</v>
      </c>
      <c r="I2994">
        <v>3</v>
      </c>
    </row>
    <row r="2995" spans="1:9">
      <c r="A2995" s="2">
        <v>1976</v>
      </c>
      <c r="B2995">
        <v>105</v>
      </c>
      <c r="C2995">
        <v>0.71462000000000003</v>
      </c>
      <c r="D2995">
        <v>0.52649999999999997</v>
      </c>
      <c r="E2995">
        <v>0.5</v>
      </c>
      <c r="F2995">
        <v>1</v>
      </c>
      <c r="G2995">
        <v>1</v>
      </c>
      <c r="H2995">
        <v>1</v>
      </c>
      <c r="I2995">
        <v>1</v>
      </c>
    </row>
    <row r="2996" spans="1:9">
      <c r="A2996" s="2">
        <v>1976</v>
      </c>
      <c r="B2996">
        <v>106</v>
      </c>
      <c r="C2996">
        <v>0.73658000000000001</v>
      </c>
      <c r="D2996">
        <v>0.53832000000000002</v>
      </c>
      <c r="E2996">
        <v>0.5</v>
      </c>
      <c r="F2996">
        <v>0</v>
      </c>
      <c r="G2996">
        <v>0</v>
      </c>
      <c r="H2996">
        <v>0</v>
      </c>
      <c r="I2996">
        <v>1</v>
      </c>
    </row>
    <row r="2997" spans="1:9">
      <c r="A2997" s="2">
        <v>1976</v>
      </c>
      <c r="B2997">
        <v>107</v>
      </c>
      <c r="C2997">
        <v>0.75744</v>
      </c>
      <c r="D2997">
        <v>0.54937999999999998</v>
      </c>
      <c r="E2997">
        <v>0.5</v>
      </c>
      <c r="F2997">
        <v>0</v>
      </c>
      <c r="G2997">
        <v>0</v>
      </c>
      <c r="H2997">
        <v>0</v>
      </c>
      <c r="I2997">
        <v>0</v>
      </c>
    </row>
    <row r="2998" spans="1:9">
      <c r="A2998" s="2">
        <v>1976</v>
      </c>
      <c r="B2998">
        <v>108</v>
      </c>
      <c r="C2998">
        <v>0.77712999999999999</v>
      </c>
      <c r="D2998">
        <v>0.55967</v>
      </c>
      <c r="E2998">
        <v>0.5</v>
      </c>
      <c r="F2998">
        <v>0</v>
      </c>
      <c r="G2998">
        <v>0</v>
      </c>
      <c r="H2998">
        <v>0</v>
      </c>
      <c r="I2998">
        <v>0</v>
      </c>
    </row>
    <row r="2999" spans="1:9">
      <c r="A2999" s="2">
        <v>1976</v>
      </c>
      <c r="B2999">
        <v>109</v>
      </c>
      <c r="C2999">
        <v>0.79566999999999999</v>
      </c>
      <c r="D2999">
        <v>0.56920999999999999</v>
      </c>
      <c r="E2999">
        <v>0.5</v>
      </c>
      <c r="F2999">
        <v>0</v>
      </c>
      <c r="G2999">
        <v>0</v>
      </c>
      <c r="H2999">
        <v>0</v>
      </c>
      <c r="I2999">
        <v>0</v>
      </c>
    </row>
    <row r="3000" spans="1:9">
      <c r="A3000" s="2">
        <v>1976</v>
      </c>
      <c r="B3000" t="s">
        <v>26</v>
      </c>
      <c r="C3000">
        <v>0.81303000000000003</v>
      </c>
      <c r="D3000">
        <v>1</v>
      </c>
      <c r="E3000" s="3" t="s">
        <v>31</v>
      </c>
      <c r="F3000">
        <v>0</v>
      </c>
      <c r="G3000">
        <v>0</v>
      </c>
      <c r="H3000">
        <v>0</v>
      </c>
      <c r="I3000">
        <v>0</v>
      </c>
    </row>
    <row r="3001" spans="1:9">
      <c r="A3001" s="2">
        <v>1977</v>
      </c>
      <c r="B3001">
        <v>0</v>
      </c>
      <c r="C3001">
        <v>2.913E-2</v>
      </c>
      <c r="D3001">
        <v>2.8400000000000002E-2</v>
      </c>
      <c r="E3001">
        <v>0.12</v>
      </c>
      <c r="F3001">
        <v>100000</v>
      </c>
      <c r="G3001">
        <v>2840</v>
      </c>
      <c r="H3001">
        <v>97510</v>
      </c>
      <c r="I3001">
        <v>6676698</v>
      </c>
    </row>
    <row r="3002" spans="1:9">
      <c r="A3002" s="2">
        <v>1977</v>
      </c>
      <c r="B3002">
        <v>1</v>
      </c>
      <c r="C3002">
        <v>1.1800000000000001E-3</v>
      </c>
      <c r="D3002">
        <v>1.1800000000000001E-3</v>
      </c>
      <c r="E3002">
        <v>0.5</v>
      </c>
      <c r="F3002">
        <v>97160</v>
      </c>
      <c r="G3002">
        <v>115</v>
      </c>
      <c r="H3002">
        <v>97102</v>
      </c>
      <c r="I3002">
        <v>6579188</v>
      </c>
    </row>
    <row r="3003" spans="1:9">
      <c r="A3003" s="2">
        <v>1977</v>
      </c>
      <c r="B3003">
        <v>2</v>
      </c>
      <c r="C3003">
        <v>6.7000000000000002E-4</v>
      </c>
      <c r="D3003">
        <v>6.7000000000000002E-4</v>
      </c>
      <c r="E3003">
        <v>0.5</v>
      </c>
      <c r="F3003">
        <v>97045</v>
      </c>
      <c r="G3003">
        <v>65</v>
      </c>
      <c r="H3003">
        <v>97012</v>
      </c>
      <c r="I3003">
        <v>6482086</v>
      </c>
    </row>
    <row r="3004" spans="1:9">
      <c r="A3004" s="2">
        <v>1977</v>
      </c>
      <c r="B3004">
        <v>3</v>
      </c>
      <c r="C3004">
        <v>3.6999999999999999E-4</v>
      </c>
      <c r="D3004">
        <v>3.6999999999999999E-4</v>
      </c>
      <c r="E3004">
        <v>0.5</v>
      </c>
      <c r="F3004">
        <v>96980</v>
      </c>
      <c r="G3004">
        <v>36</v>
      </c>
      <c r="H3004">
        <v>96962</v>
      </c>
      <c r="I3004">
        <v>6385074</v>
      </c>
    </row>
    <row r="3005" spans="1:9">
      <c r="A3005" s="2">
        <v>1977</v>
      </c>
      <c r="B3005">
        <v>4</v>
      </c>
      <c r="C3005">
        <v>4.0000000000000002E-4</v>
      </c>
      <c r="D3005">
        <v>4.0000000000000002E-4</v>
      </c>
      <c r="E3005">
        <v>0.5</v>
      </c>
      <c r="F3005">
        <v>96944</v>
      </c>
      <c r="G3005">
        <v>39</v>
      </c>
      <c r="H3005">
        <v>96924</v>
      </c>
      <c r="I3005">
        <v>6288112</v>
      </c>
    </row>
    <row r="3006" spans="1:9">
      <c r="A3006" s="2">
        <v>1977</v>
      </c>
      <c r="B3006">
        <v>5</v>
      </c>
      <c r="C3006">
        <v>4.0000000000000002E-4</v>
      </c>
      <c r="D3006">
        <v>4.0000000000000002E-4</v>
      </c>
      <c r="E3006">
        <v>0.5</v>
      </c>
      <c r="F3006">
        <v>96905</v>
      </c>
      <c r="G3006">
        <v>39</v>
      </c>
      <c r="H3006">
        <v>96886</v>
      </c>
      <c r="I3006">
        <v>6191187</v>
      </c>
    </row>
    <row r="3007" spans="1:9">
      <c r="A3007" s="2">
        <v>1977</v>
      </c>
      <c r="B3007">
        <v>6</v>
      </c>
      <c r="C3007">
        <v>4.2999999999999999E-4</v>
      </c>
      <c r="D3007">
        <v>4.2999999999999999E-4</v>
      </c>
      <c r="E3007">
        <v>0.5</v>
      </c>
      <c r="F3007">
        <v>96866</v>
      </c>
      <c r="G3007">
        <v>42</v>
      </c>
      <c r="H3007">
        <v>96846</v>
      </c>
      <c r="I3007">
        <v>6094301</v>
      </c>
    </row>
    <row r="3008" spans="1:9">
      <c r="A3008" s="2">
        <v>1977</v>
      </c>
      <c r="B3008">
        <v>7</v>
      </c>
      <c r="C3008">
        <v>4.2999999999999999E-4</v>
      </c>
      <c r="D3008">
        <v>4.2999999999999999E-4</v>
      </c>
      <c r="E3008">
        <v>0.5</v>
      </c>
      <c r="F3008">
        <v>96825</v>
      </c>
      <c r="G3008">
        <v>42</v>
      </c>
      <c r="H3008">
        <v>96804</v>
      </c>
      <c r="I3008">
        <v>5997456</v>
      </c>
    </row>
    <row r="3009" spans="1:9">
      <c r="A3009" s="2">
        <v>1977</v>
      </c>
      <c r="B3009">
        <v>8</v>
      </c>
      <c r="C3009">
        <v>4.2999999999999999E-4</v>
      </c>
      <c r="D3009">
        <v>4.2999999999999999E-4</v>
      </c>
      <c r="E3009">
        <v>0.5</v>
      </c>
      <c r="F3009">
        <v>96783</v>
      </c>
      <c r="G3009">
        <v>42</v>
      </c>
      <c r="H3009">
        <v>96762</v>
      </c>
      <c r="I3009">
        <v>5900652</v>
      </c>
    </row>
    <row r="3010" spans="1:9">
      <c r="A3010" s="2">
        <v>1977</v>
      </c>
      <c r="B3010">
        <v>9</v>
      </c>
      <c r="C3010">
        <v>3.3E-4</v>
      </c>
      <c r="D3010">
        <v>3.3E-4</v>
      </c>
      <c r="E3010">
        <v>0.5</v>
      </c>
      <c r="F3010">
        <v>96741</v>
      </c>
      <c r="G3010">
        <v>32</v>
      </c>
      <c r="H3010">
        <v>96725</v>
      </c>
      <c r="I3010">
        <v>5803890</v>
      </c>
    </row>
    <row r="3011" spans="1:9">
      <c r="A3011" s="2">
        <v>1977</v>
      </c>
      <c r="B3011">
        <v>10</v>
      </c>
      <c r="C3011">
        <v>3.3E-4</v>
      </c>
      <c r="D3011">
        <v>3.3E-4</v>
      </c>
      <c r="E3011">
        <v>0.5</v>
      </c>
      <c r="F3011">
        <v>96710</v>
      </c>
      <c r="G3011">
        <v>31</v>
      </c>
      <c r="H3011">
        <v>96694</v>
      </c>
      <c r="I3011">
        <v>5707165</v>
      </c>
    </row>
    <row r="3012" spans="1:9">
      <c r="A3012" s="2">
        <v>1977</v>
      </c>
      <c r="B3012">
        <v>11</v>
      </c>
      <c r="C3012">
        <v>4.2000000000000002E-4</v>
      </c>
      <c r="D3012">
        <v>4.2000000000000002E-4</v>
      </c>
      <c r="E3012">
        <v>0.5</v>
      </c>
      <c r="F3012">
        <v>96678</v>
      </c>
      <c r="G3012">
        <v>40</v>
      </c>
      <c r="H3012">
        <v>96658</v>
      </c>
      <c r="I3012">
        <v>5610471</v>
      </c>
    </row>
    <row r="3013" spans="1:9">
      <c r="A3013" s="2">
        <v>1977</v>
      </c>
      <c r="B3013">
        <v>12</v>
      </c>
      <c r="C3013">
        <v>2.7E-4</v>
      </c>
      <c r="D3013">
        <v>2.7E-4</v>
      </c>
      <c r="E3013">
        <v>0.5</v>
      </c>
      <c r="F3013">
        <v>96638</v>
      </c>
      <c r="G3013">
        <v>26</v>
      </c>
      <c r="H3013">
        <v>96625</v>
      </c>
      <c r="I3013">
        <v>5513813</v>
      </c>
    </row>
    <row r="3014" spans="1:9">
      <c r="A3014" s="2">
        <v>1977</v>
      </c>
      <c r="B3014">
        <v>13</v>
      </c>
      <c r="C3014">
        <v>4.4000000000000002E-4</v>
      </c>
      <c r="D3014">
        <v>4.4000000000000002E-4</v>
      </c>
      <c r="E3014">
        <v>0.5</v>
      </c>
      <c r="F3014">
        <v>96611</v>
      </c>
      <c r="G3014">
        <v>42</v>
      </c>
      <c r="H3014">
        <v>96590</v>
      </c>
      <c r="I3014">
        <v>5417188</v>
      </c>
    </row>
    <row r="3015" spans="1:9">
      <c r="A3015" s="2">
        <v>1977</v>
      </c>
      <c r="B3015">
        <v>14</v>
      </c>
      <c r="C3015">
        <v>7.2999999999999996E-4</v>
      </c>
      <c r="D3015">
        <v>7.2999999999999996E-4</v>
      </c>
      <c r="E3015">
        <v>0.5</v>
      </c>
      <c r="F3015">
        <v>96569</v>
      </c>
      <c r="G3015">
        <v>70</v>
      </c>
      <c r="H3015">
        <v>96534</v>
      </c>
      <c r="I3015">
        <v>5320598</v>
      </c>
    </row>
    <row r="3016" spans="1:9">
      <c r="A3016" s="2">
        <v>1977</v>
      </c>
      <c r="B3016">
        <v>15</v>
      </c>
      <c r="C3016">
        <v>5.0000000000000001E-4</v>
      </c>
      <c r="D3016">
        <v>5.0000000000000001E-4</v>
      </c>
      <c r="E3016">
        <v>0.5</v>
      </c>
      <c r="F3016">
        <v>96499</v>
      </c>
      <c r="G3016">
        <v>48</v>
      </c>
      <c r="H3016">
        <v>96474</v>
      </c>
      <c r="I3016">
        <v>5224064</v>
      </c>
    </row>
    <row r="3017" spans="1:9">
      <c r="A3017" s="2">
        <v>1977</v>
      </c>
      <c r="B3017">
        <v>16</v>
      </c>
      <c r="C3017">
        <v>7.2999999999999996E-4</v>
      </c>
      <c r="D3017">
        <v>7.2999999999999996E-4</v>
      </c>
      <c r="E3017">
        <v>0.5</v>
      </c>
      <c r="F3017">
        <v>96450</v>
      </c>
      <c r="G3017">
        <v>71</v>
      </c>
      <c r="H3017">
        <v>96415</v>
      </c>
      <c r="I3017">
        <v>5127590</v>
      </c>
    </row>
    <row r="3018" spans="1:9">
      <c r="A3018" s="2">
        <v>1977</v>
      </c>
      <c r="B3018">
        <v>17</v>
      </c>
      <c r="C3018">
        <v>1.09E-3</v>
      </c>
      <c r="D3018">
        <v>1.09E-3</v>
      </c>
      <c r="E3018">
        <v>0.5</v>
      </c>
      <c r="F3018">
        <v>96380</v>
      </c>
      <c r="G3018">
        <v>105</v>
      </c>
      <c r="H3018">
        <v>96327</v>
      </c>
      <c r="I3018">
        <v>5031175</v>
      </c>
    </row>
    <row r="3019" spans="1:9">
      <c r="A3019" s="2">
        <v>1977</v>
      </c>
      <c r="B3019">
        <v>18</v>
      </c>
      <c r="C3019">
        <v>1.0499999999999999E-3</v>
      </c>
      <c r="D3019">
        <v>1.0499999999999999E-3</v>
      </c>
      <c r="E3019">
        <v>0.5</v>
      </c>
      <c r="F3019">
        <v>96275</v>
      </c>
      <c r="G3019">
        <v>101</v>
      </c>
      <c r="H3019">
        <v>96224</v>
      </c>
      <c r="I3019">
        <v>4934848</v>
      </c>
    </row>
    <row r="3020" spans="1:9">
      <c r="A3020" s="2">
        <v>1977</v>
      </c>
      <c r="B3020">
        <v>19</v>
      </c>
      <c r="C3020">
        <v>1.7600000000000001E-3</v>
      </c>
      <c r="D3020">
        <v>1.75E-3</v>
      </c>
      <c r="E3020">
        <v>0.5</v>
      </c>
      <c r="F3020">
        <v>96174</v>
      </c>
      <c r="G3020">
        <v>169</v>
      </c>
      <c r="H3020">
        <v>96089</v>
      </c>
      <c r="I3020">
        <v>4838624</v>
      </c>
    </row>
    <row r="3021" spans="1:9">
      <c r="A3021" s="2">
        <v>1977</v>
      </c>
      <c r="B3021">
        <v>20</v>
      </c>
      <c r="C3021">
        <v>1.3600000000000001E-3</v>
      </c>
      <c r="D3021">
        <v>1.3600000000000001E-3</v>
      </c>
      <c r="E3021">
        <v>0.5</v>
      </c>
      <c r="F3021">
        <v>96005</v>
      </c>
      <c r="G3021">
        <v>131</v>
      </c>
      <c r="H3021">
        <v>95940</v>
      </c>
      <c r="I3021">
        <v>4742534</v>
      </c>
    </row>
    <row r="3022" spans="1:9">
      <c r="A3022" s="2">
        <v>1977</v>
      </c>
      <c r="B3022">
        <v>21</v>
      </c>
      <c r="C3022">
        <v>1.3799999999999999E-3</v>
      </c>
      <c r="D3022">
        <v>1.3799999999999999E-3</v>
      </c>
      <c r="E3022">
        <v>0.5</v>
      </c>
      <c r="F3022">
        <v>95874</v>
      </c>
      <c r="G3022">
        <v>132</v>
      </c>
      <c r="H3022">
        <v>95808</v>
      </c>
      <c r="I3022">
        <v>4646595</v>
      </c>
    </row>
    <row r="3023" spans="1:9">
      <c r="A3023" s="2">
        <v>1977</v>
      </c>
      <c r="B3023">
        <v>22</v>
      </c>
      <c r="C3023">
        <v>1.5399999999999999E-3</v>
      </c>
      <c r="D3023">
        <v>1.5299999999999999E-3</v>
      </c>
      <c r="E3023">
        <v>0.5</v>
      </c>
      <c r="F3023">
        <v>95742</v>
      </c>
      <c r="G3023">
        <v>147</v>
      </c>
      <c r="H3023">
        <v>95668</v>
      </c>
      <c r="I3023">
        <v>4550787</v>
      </c>
    </row>
    <row r="3024" spans="1:9">
      <c r="A3024" s="2">
        <v>1977</v>
      </c>
      <c r="B3024">
        <v>23</v>
      </c>
      <c r="C3024">
        <v>1.24E-3</v>
      </c>
      <c r="D3024">
        <v>1.24E-3</v>
      </c>
      <c r="E3024">
        <v>0.5</v>
      </c>
      <c r="F3024">
        <v>95595</v>
      </c>
      <c r="G3024">
        <v>118</v>
      </c>
      <c r="H3024">
        <v>95536</v>
      </c>
      <c r="I3024">
        <v>4455118</v>
      </c>
    </row>
    <row r="3025" spans="1:9">
      <c r="A3025" s="2">
        <v>1977</v>
      </c>
      <c r="B3025">
        <v>24</v>
      </c>
      <c r="C3025">
        <v>1.4300000000000001E-3</v>
      </c>
      <c r="D3025">
        <v>1.4300000000000001E-3</v>
      </c>
      <c r="E3025">
        <v>0.5</v>
      </c>
      <c r="F3025">
        <v>95477</v>
      </c>
      <c r="G3025">
        <v>137</v>
      </c>
      <c r="H3025">
        <v>95408</v>
      </c>
      <c r="I3025">
        <v>4359582</v>
      </c>
    </row>
    <row r="3026" spans="1:9">
      <c r="A3026" s="2">
        <v>1977</v>
      </c>
      <c r="B3026">
        <v>25</v>
      </c>
      <c r="C3026">
        <v>1.25E-3</v>
      </c>
      <c r="D3026">
        <v>1.25E-3</v>
      </c>
      <c r="E3026">
        <v>0.5</v>
      </c>
      <c r="F3026">
        <v>95340</v>
      </c>
      <c r="G3026">
        <v>119</v>
      </c>
      <c r="H3026">
        <v>95281</v>
      </c>
      <c r="I3026">
        <v>4264174</v>
      </c>
    </row>
    <row r="3027" spans="1:9">
      <c r="A3027" s="2">
        <v>1977</v>
      </c>
      <c r="B3027">
        <v>26</v>
      </c>
      <c r="C3027">
        <v>1.7700000000000001E-3</v>
      </c>
      <c r="D3027">
        <v>1.7700000000000001E-3</v>
      </c>
      <c r="E3027">
        <v>0.5</v>
      </c>
      <c r="F3027">
        <v>95221</v>
      </c>
      <c r="G3027">
        <v>169</v>
      </c>
      <c r="H3027">
        <v>95137</v>
      </c>
      <c r="I3027">
        <v>4168893</v>
      </c>
    </row>
    <row r="3028" spans="1:9">
      <c r="A3028" s="2">
        <v>1977</v>
      </c>
      <c r="B3028">
        <v>27</v>
      </c>
      <c r="C3028">
        <v>1.58E-3</v>
      </c>
      <c r="D3028">
        <v>1.58E-3</v>
      </c>
      <c r="E3028">
        <v>0.5</v>
      </c>
      <c r="F3028">
        <v>95053</v>
      </c>
      <c r="G3028">
        <v>150</v>
      </c>
      <c r="H3028">
        <v>94978</v>
      </c>
      <c r="I3028">
        <v>4073756</v>
      </c>
    </row>
    <row r="3029" spans="1:9">
      <c r="A3029" s="2">
        <v>1977</v>
      </c>
      <c r="B3029">
        <v>28</v>
      </c>
      <c r="C3029">
        <v>1.56E-3</v>
      </c>
      <c r="D3029">
        <v>1.56E-3</v>
      </c>
      <c r="E3029">
        <v>0.5</v>
      </c>
      <c r="F3029">
        <v>94903</v>
      </c>
      <c r="G3029">
        <v>148</v>
      </c>
      <c r="H3029">
        <v>94829</v>
      </c>
      <c r="I3029">
        <v>3978779</v>
      </c>
    </row>
    <row r="3030" spans="1:9">
      <c r="A3030" s="2">
        <v>1977</v>
      </c>
      <c r="B3030">
        <v>29</v>
      </c>
      <c r="C3030">
        <v>1.73E-3</v>
      </c>
      <c r="D3030">
        <v>1.72E-3</v>
      </c>
      <c r="E3030">
        <v>0.5</v>
      </c>
      <c r="F3030">
        <v>94755</v>
      </c>
      <c r="G3030">
        <v>163</v>
      </c>
      <c r="H3030">
        <v>94673</v>
      </c>
      <c r="I3030">
        <v>3883950</v>
      </c>
    </row>
    <row r="3031" spans="1:9">
      <c r="A3031" s="2">
        <v>1977</v>
      </c>
      <c r="B3031">
        <v>30</v>
      </c>
      <c r="C3031">
        <v>1.98E-3</v>
      </c>
      <c r="D3031">
        <v>1.98E-3</v>
      </c>
      <c r="E3031">
        <v>0.5</v>
      </c>
      <c r="F3031">
        <v>94591</v>
      </c>
      <c r="G3031">
        <v>187</v>
      </c>
      <c r="H3031">
        <v>94498</v>
      </c>
      <c r="I3031">
        <v>3789277</v>
      </c>
    </row>
    <row r="3032" spans="1:9">
      <c r="A3032" s="2">
        <v>1977</v>
      </c>
      <c r="B3032">
        <v>31</v>
      </c>
      <c r="C3032">
        <v>1.98E-3</v>
      </c>
      <c r="D3032">
        <v>1.98E-3</v>
      </c>
      <c r="E3032">
        <v>0.5</v>
      </c>
      <c r="F3032">
        <v>94404</v>
      </c>
      <c r="G3032">
        <v>187</v>
      </c>
      <c r="H3032">
        <v>94311</v>
      </c>
      <c r="I3032">
        <v>3694780</v>
      </c>
    </row>
    <row r="3033" spans="1:9">
      <c r="A3033" s="2">
        <v>1977</v>
      </c>
      <c r="B3033">
        <v>32</v>
      </c>
      <c r="C3033">
        <v>2.14E-3</v>
      </c>
      <c r="D3033">
        <v>2.14E-3</v>
      </c>
      <c r="E3033">
        <v>0.5</v>
      </c>
      <c r="F3033">
        <v>94217</v>
      </c>
      <c r="G3033">
        <v>201</v>
      </c>
      <c r="H3033">
        <v>94117</v>
      </c>
      <c r="I3033">
        <v>3600469</v>
      </c>
    </row>
    <row r="3034" spans="1:9">
      <c r="A3034" s="2">
        <v>1977</v>
      </c>
      <c r="B3034">
        <v>33</v>
      </c>
      <c r="C3034">
        <v>1.98E-3</v>
      </c>
      <c r="D3034">
        <v>1.98E-3</v>
      </c>
      <c r="E3034">
        <v>0.5</v>
      </c>
      <c r="F3034">
        <v>94016</v>
      </c>
      <c r="G3034">
        <v>186</v>
      </c>
      <c r="H3034">
        <v>93923</v>
      </c>
      <c r="I3034">
        <v>3506352</v>
      </c>
    </row>
    <row r="3035" spans="1:9">
      <c r="A3035" s="2">
        <v>1977</v>
      </c>
      <c r="B3035">
        <v>34</v>
      </c>
      <c r="C3035">
        <v>2.2599999999999999E-3</v>
      </c>
      <c r="D3035">
        <v>2.2499999999999998E-3</v>
      </c>
      <c r="E3035">
        <v>0.5</v>
      </c>
      <c r="F3035">
        <v>93830</v>
      </c>
      <c r="G3035">
        <v>211</v>
      </c>
      <c r="H3035">
        <v>93724</v>
      </c>
      <c r="I3035">
        <v>3412430</v>
      </c>
    </row>
    <row r="3036" spans="1:9">
      <c r="A3036" s="2">
        <v>1977</v>
      </c>
      <c r="B3036">
        <v>35</v>
      </c>
      <c r="C3036">
        <v>2.8600000000000001E-3</v>
      </c>
      <c r="D3036">
        <v>2.8600000000000001E-3</v>
      </c>
      <c r="E3036">
        <v>0.5</v>
      </c>
      <c r="F3036">
        <v>93618</v>
      </c>
      <c r="G3036">
        <v>267</v>
      </c>
      <c r="H3036">
        <v>93485</v>
      </c>
      <c r="I3036">
        <v>3318706</v>
      </c>
    </row>
    <row r="3037" spans="1:9">
      <c r="A3037" s="2">
        <v>1977</v>
      </c>
      <c r="B3037">
        <v>36</v>
      </c>
      <c r="C3037">
        <v>2.66E-3</v>
      </c>
      <c r="D3037">
        <v>2.65E-3</v>
      </c>
      <c r="E3037">
        <v>0.5</v>
      </c>
      <c r="F3037">
        <v>93351</v>
      </c>
      <c r="G3037">
        <v>248</v>
      </c>
      <c r="H3037">
        <v>93227</v>
      </c>
      <c r="I3037">
        <v>3225221</v>
      </c>
    </row>
    <row r="3038" spans="1:9">
      <c r="A3038" s="2">
        <v>1977</v>
      </c>
      <c r="B3038">
        <v>37</v>
      </c>
      <c r="C3038">
        <v>3.3700000000000002E-3</v>
      </c>
      <c r="D3038">
        <v>3.3700000000000002E-3</v>
      </c>
      <c r="E3038">
        <v>0.5</v>
      </c>
      <c r="F3038">
        <v>93103</v>
      </c>
      <c r="G3038">
        <v>313</v>
      </c>
      <c r="H3038">
        <v>92946</v>
      </c>
      <c r="I3038">
        <v>3131994</v>
      </c>
    </row>
    <row r="3039" spans="1:9">
      <c r="A3039" s="2">
        <v>1977</v>
      </c>
      <c r="B3039">
        <v>38</v>
      </c>
      <c r="C3039">
        <v>3.15E-3</v>
      </c>
      <c r="D3039">
        <v>3.14E-3</v>
      </c>
      <c r="E3039">
        <v>0.5</v>
      </c>
      <c r="F3039">
        <v>92790</v>
      </c>
      <c r="G3039">
        <v>292</v>
      </c>
      <c r="H3039">
        <v>92644</v>
      </c>
      <c r="I3039">
        <v>3039047</v>
      </c>
    </row>
    <row r="3040" spans="1:9">
      <c r="A3040" s="2">
        <v>1977</v>
      </c>
      <c r="B3040">
        <v>39</v>
      </c>
      <c r="C3040">
        <v>3.7699999999999999E-3</v>
      </c>
      <c r="D3040">
        <v>3.7699999999999999E-3</v>
      </c>
      <c r="E3040">
        <v>0.5</v>
      </c>
      <c r="F3040">
        <v>92498</v>
      </c>
      <c r="G3040">
        <v>348</v>
      </c>
      <c r="H3040">
        <v>92324</v>
      </c>
      <c r="I3040">
        <v>2946404</v>
      </c>
    </row>
    <row r="3041" spans="1:9">
      <c r="A3041" s="2">
        <v>1977</v>
      </c>
      <c r="B3041">
        <v>40</v>
      </c>
      <c r="C3041">
        <v>4.3699999999999998E-3</v>
      </c>
      <c r="D3041">
        <v>4.3600000000000002E-3</v>
      </c>
      <c r="E3041">
        <v>0.5</v>
      </c>
      <c r="F3041">
        <v>92150</v>
      </c>
      <c r="G3041">
        <v>402</v>
      </c>
      <c r="H3041">
        <v>91949</v>
      </c>
      <c r="I3041">
        <v>2854080</v>
      </c>
    </row>
    <row r="3042" spans="1:9">
      <c r="A3042" s="2">
        <v>1977</v>
      </c>
      <c r="B3042">
        <v>41</v>
      </c>
      <c r="C3042">
        <v>4.3299999999999996E-3</v>
      </c>
      <c r="D3042">
        <v>4.3200000000000001E-3</v>
      </c>
      <c r="E3042">
        <v>0.5</v>
      </c>
      <c r="F3042">
        <v>91748</v>
      </c>
      <c r="G3042">
        <v>396</v>
      </c>
      <c r="H3042">
        <v>91550</v>
      </c>
      <c r="I3042">
        <v>2762131</v>
      </c>
    </row>
    <row r="3043" spans="1:9">
      <c r="A3043" s="2">
        <v>1977</v>
      </c>
      <c r="B3043">
        <v>42</v>
      </c>
      <c r="C3043">
        <v>4.7699999999999999E-3</v>
      </c>
      <c r="D3043">
        <v>4.7600000000000003E-3</v>
      </c>
      <c r="E3043">
        <v>0.5</v>
      </c>
      <c r="F3043">
        <v>91352</v>
      </c>
      <c r="G3043">
        <v>435</v>
      </c>
      <c r="H3043">
        <v>91134</v>
      </c>
      <c r="I3043">
        <v>2670581</v>
      </c>
    </row>
    <row r="3044" spans="1:9">
      <c r="A3044" s="2">
        <v>1977</v>
      </c>
      <c r="B3044">
        <v>43</v>
      </c>
      <c r="C3044">
        <v>5.5500000000000002E-3</v>
      </c>
      <c r="D3044">
        <v>5.5399999999999998E-3</v>
      </c>
      <c r="E3044">
        <v>0.5</v>
      </c>
      <c r="F3044">
        <v>90917</v>
      </c>
      <c r="G3044">
        <v>503</v>
      </c>
      <c r="H3044">
        <v>90666</v>
      </c>
      <c r="I3044">
        <v>2579447</v>
      </c>
    </row>
    <row r="3045" spans="1:9">
      <c r="A3045" s="2">
        <v>1977</v>
      </c>
      <c r="B3045">
        <v>44</v>
      </c>
      <c r="C3045">
        <v>5.28E-3</v>
      </c>
      <c r="D3045">
        <v>5.2700000000000004E-3</v>
      </c>
      <c r="E3045">
        <v>0.5</v>
      </c>
      <c r="F3045">
        <v>90414</v>
      </c>
      <c r="G3045">
        <v>477</v>
      </c>
      <c r="H3045">
        <v>90176</v>
      </c>
      <c r="I3045">
        <v>2488781</v>
      </c>
    </row>
    <row r="3046" spans="1:9">
      <c r="A3046" s="2">
        <v>1977</v>
      </c>
      <c r="B3046">
        <v>45</v>
      </c>
      <c r="C3046">
        <v>7.1700000000000002E-3</v>
      </c>
      <c r="D3046">
        <v>7.1399999999999996E-3</v>
      </c>
      <c r="E3046">
        <v>0.5</v>
      </c>
      <c r="F3046">
        <v>89937</v>
      </c>
      <c r="G3046">
        <v>642</v>
      </c>
      <c r="H3046">
        <v>89616</v>
      </c>
      <c r="I3046">
        <v>2398605</v>
      </c>
    </row>
    <row r="3047" spans="1:9">
      <c r="A3047" s="2">
        <v>1977</v>
      </c>
      <c r="B3047">
        <v>46</v>
      </c>
      <c r="C3047">
        <v>7.4700000000000001E-3</v>
      </c>
      <c r="D3047">
        <v>7.4400000000000004E-3</v>
      </c>
      <c r="E3047">
        <v>0.5</v>
      </c>
      <c r="F3047">
        <v>89295</v>
      </c>
      <c r="G3047">
        <v>664</v>
      </c>
      <c r="H3047">
        <v>88963</v>
      </c>
      <c r="I3047">
        <v>2308989</v>
      </c>
    </row>
    <row r="3048" spans="1:9">
      <c r="A3048" s="2">
        <v>1977</v>
      </c>
      <c r="B3048">
        <v>47</v>
      </c>
      <c r="C3048">
        <v>7.43E-3</v>
      </c>
      <c r="D3048">
        <v>7.4099999999999999E-3</v>
      </c>
      <c r="E3048">
        <v>0.5</v>
      </c>
      <c r="F3048">
        <v>88631</v>
      </c>
      <c r="G3048">
        <v>656</v>
      </c>
      <c r="H3048">
        <v>88303</v>
      </c>
      <c r="I3048">
        <v>2220026</v>
      </c>
    </row>
    <row r="3049" spans="1:9">
      <c r="A3049" s="2">
        <v>1977</v>
      </c>
      <c r="B3049">
        <v>48</v>
      </c>
      <c r="C3049">
        <v>8.3300000000000006E-3</v>
      </c>
      <c r="D3049">
        <v>8.2900000000000005E-3</v>
      </c>
      <c r="E3049">
        <v>0.5</v>
      </c>
      <c r="F3049">
        <v>87975</v>
      </c>
      <c r="G3049">
        <v>730</v>
      </c>
      <c r="H3049">
        <v>87610</v>
      </c>
      <c r="I3049">
        <v>2131724</v>
      </c>
    </row>
    <row r="3050" spans="1:9">
      <c r="A3050" s="2">
        <v>1977</v>
      </c>
      <c r="B3050">
        <v>49</v>
      </c>
      <c r="C3050">
        <v>8.8999999999999999E-3</v>
      </c>
      <c r="D3050">
        <v>8.8599999999999998E-3</v>
      </c>
      <c r="E3050">
        <v>0.5</v>
      </c>
      <c r="F3050">
        <v>87245</v>
      </c>
      <c r="G3050">
        <v>773</v>
      </c>
      <c r="H3050">
        <v>86858</v>
      </c>
      <c r="I3050">
        <v>2044114</v>
      </c>
    </row>
    <row r="3051" spans="1:9">
      <c r="A3051" s="2">
        <v>1977</v>
      </c>
      <c r="B3051">
        <v>50</v>
      </c>
      <c r="C3051">
        <v>1.0500000000000001E-2</v>
      </c>
      <c r="D3051">
        <v>1.0449999999999999E-2</v>
      </c>
      <c r="E3051">
        <v>0.5</v>
      </c>
      <c r="F3051">
        <v>86472</v>
      </c>
      <c r="G3051">
        <v>904</v>
      </c>
      <c r="H3051">
        <v>86020</v>
      </c>
      <c r="I3051">
        <v>1957256</v>
      </c>
    </row>
    <row r="3052" spans="1:9">
      <c r="A3052" s="2">
        <v>1977</v>
      </c>
      <c r="B3052">
        <v>51</v>
      </c>
      <c r="C3052">
        <v>1.078E-2</v>
      </c>
      <c r="D3052">
        <v>1.072E-2</v>
      </c>
      <c r="E3052">
        <v>0.5</v>
      </c>
      <c r="F3052">
        <v>85568</v>
      </c>
      <c r="G3052">
        <v>917</v>
      </c>
      <c r="H3052">
        <v>85109</v>
      </c>
      <c r="I3052">
        <v>1871236</v>
      </c>
    </row>
    <row r="3053" spans="1:9">
      <c r="A3053" s="2">
        <v>1977</v>
      </c>
      <c r="B3053">
        <v>52</v>
      </c>
      <c r="C3053">
        <v>1.157E-2</v>
      </c>
      <c r="D3053">
        <v>1.1509999999999999E-2</v>
      </c>
      <c r="E3053">
        <v>0.5</v>
      </c>
      <c r="F3053">
        <v>84651</v>
      </c>
      <c r="G3053">
        <v>974</v>
      </c>
      <c r="H3053">
        <v>84164</v>
      </c>
      <c r="I3053">
        <v>1786127</v>
      </c>
    </row>
    <row r="3054" spans="1:9">
      <c r="A3054" s="2">
        <v>1977</v>
      </c>
      <c r="B3054">
        <v>53</v>
      </c>
      <c r="C3054">
        <v>1.2540000000000001E-2</v>
      </c>
      <c r="D3054">
        <v>1.2460000000000001E-2</v>
      </c>
      <c r="E3054">
        <v>0.5</v>
      </c>
      <c r="F3054">
        <v>83677</v>
      </c>
      <c r="G3054">
        <v>1043</v>
      </c>
      <c r="H3054">
        <v>83155</v>
      </c>
      <c r="I3054">
        <v>1701963</v>
      </c>
    </row>
    <row r="3055" spans="1:9">
      <c r="A3055" s="2">
        <v>1977</v>
      </c>
      <c r="B3055">
        <v>54</v>
      </c>
      <c r="C3055">
        <v>1.2800000000000001E-2</v>
      </c>
      <c r="D3055">
        <v>1.272E-2</v>
      </c>
      <c r="E3055">
        <v>0.5</v>
      </c>
      <c r="F3055">
        <v>82634</v>
      </c>
      <c r="G3055">
        <v>1051</v>
      </c>
      <c r="H3055">
        <v>82108</v>
      </c>
      <c r="I3055">
        <v>1618808</v>
      </c>
    </row>
    <row r="3056" spans="1:9">
      <c r="A3056" s="2">
        <v>1977</v>
      </c>
      <c r="B3056">
        <v>55</v>
      </c>
      <c r="C3056">
        <v>1.4319999999999999E-2</v>
      </c>
      <c r="D3056">
        <v>1.422E-2</v>
      </c>
      <c r="E3056">
        <v>0.5</v>
      </c>
      <c r="F3056">
        <v>81583</v>
      </c>
      <c r="G3056">
        <v>1160</v>
      </c>
      <c r="H3056">
        <v>81003</v>
      </c>
      <c r="I3056">
        <v>1536699</v>
      </c>
    </row>
    <row r="3057" spans="1:9">
      <c r="A3057" s="2">
        <v>1977</v>
      </c>
      <c r="B3057">
        <v>56</v>
      </c>
      <c r="C3057">
        <v>1.4919999999999999E-2</v>
      </c>
      <c r="D3057">
        <v>1.481E-2</v>
      </c>
      <c r="E3057">
        <v>0.5</v>
      </c>
      <c r="F3057">
        <v>80423</v>
      </c>
      <c r="G3057">
        <v>1191</v>
      </c>
      <c r="H3057">
        <v>79828</v>
      </c>
      <c r="I3057">
        <v>1455696</v>
      </c>
    </row>
    <row r="3058" spans="1:9">
      <c r="A3058" s="2">
        <v>1977</v>
      </c>
      <c r="B3058">
        <v>57</v>
      </c>
      <c r="C3058">
        <v>1.8589999999999999E-2</v>
      </c>
      <c r="D3058">
        <v>1.8409999999999999E-2</v>
      </c>
      <c r="E3058">
        <v>0.5</v>
      </c>
      <c r="F3058">
        <v>79232</v>
      </c>
      <c r="G3058">
        <v>1459</v>
      </c>
      <c r="H3058">
        <v>78503</v>
      </c>
      <c r="I3058">
        <v>1375869</v>
      </c>
    </row>
    <row r="3059" spans="1:9">
      <c r="A3059" s="2">
        <v>1977</v>
      </c>
      <c r="B3059">
        <v>58</v>
      </c>
      <c r="C3059">
        <v>1.6299999999999999E-2</v>
      </c>
      <c r="D3059">
        <v>1.617E-2</v>
      </c>
      <c r="E3059">
        <v>0.5</v>
      </c>
      <c r="F3059">
        <v>77773</v>
      </c>
      <c r="G3059">
        <v>1258</v>
      </c>
      <c r="H3059">
        <v>77144</v>
      </c>
      <c r="I3059">
        <v>1297366</v>
      </c>
    </row>
    <row r="3060" spans="1:9">
      <c r="A3060" s="2">
        <v>1977</v>
      </c>
      <c r="B3060">
        <v>59</v>
      </c>
      <c r="C3060">
        <v>1.9630000000000002E-2</v>
      </c>
      <c r="D3060">
        <v>1.9439999999999999E-2</v>
      </c>
      <c r="E3060">
        <v>0.5</v>
      </c>
      <c r="F3060">
        <v>76516</v>
      </c>
      <c r="G3060">
        <v>1487</v>
      </c>
      <c r="H3060">
        <v>75772</v>
      </c>
      <c r="I3060">
        <v>1220221</v>
      </c>
    </row>
    <row r="3061" spans="1:9">
      <c r="A3061" s="2">
        <v>1977</v>
      </c>
      <c r="B3061">
        <v>60</v>
      </c>
      <c r="C3061">
        <v>2.1250000000000002E-2</v>
      </c>
      <c r="D3061">
        <v>2.103E-2</v>
      </c>
      <c r="E3061">
        <v>0.5</v>
      </c>
      <c r="F3061">
        <v>75028</v>
      </c>
      <c r="G3061">
        <v>1578</v>
      </c>
      <c r="H3061">
        <v>74240</v>
      </c>
      <c r="I3061">
        <v>1144449</v>
      </c>
    </row>
    <row r="3062" spans="1:9">
      <c r="A3062" s="2">
        <v>1977</v>
      </c>
      <c r="B3062">
        <v>61</v>
      </c>
      <c r="C3062">
        <v>2.1850000000000001E-2</v>
      </c>
      <c r="D3062">
        <v>2.1610000000000001E-2</v>
      </c>
      <c r="E3062">
        <v>0.5</v>
      </c>
      <c r="F3062">
        <v>73451</v>
      </c>
      <c r="G3062">
        <v>1587</v>
      </c>
      <c r="H3062">
        <v>72657</v>
      </c>
      <c r="I3062">
        <v>1070210</v>
      </c>
    </row>
    <row r="3063" spans="1:9">
      <c r="A3063" s="2">
        <v>1977</v>
      </c>
      <c r="B3063">
        <v>62</v>
      </c>
      <c r="C3063">
        <v>2.7320000000000001E-2</v>
      </c>
      <c r="D3063">
        <v>2.6950000000000002E-2</v>
      </c>
      <c r="E3063">
        <v>0.5</v>
      </c>
      <c r="F3063">
        <v>71864</v>
      </c>
      <c r="G3063">
        <v>1937</v>
      </c>
      <c r="H3063">
        <v>70895</v>
      </c>
      <c r="I3063">
        <v>997553</v>
      </c>
    </row>
    <row r="3064" spans="1:9">
      <c r="A3064" s="2">
        <v>1977</v>
      </c>
      <c r="B3064">
        <v>63</v>
      </c>
      <c r="C3064">
        <v>2.8230000000000002E-2</v>
      </c>
      <c r="D3064">
        <v>2.7830000000000001E-2</v>
      </c>
      <c r="E3064">
        <v>0.5</v>
      </c>
      <c r="F3064">
        <v>69927</v>
      </c>
      <c r="G3064">
        <v>1946</v>
      </c>
      <c r="H3064">
        <v>68954</v>
      </c>
      <c r="I3064">
        <v>926657</v>
      </c>
    </row>
    <row r="3065" spans="1:9">
      <c r="A3065" s="2">
        <v>1977</v>
      </c>
      <c r="B3065">
        <v>64</v>
      </c>
      <c r="C3065">
        <v>3.0429999999999999E-2</v>
      </c>
      <c r="D3065">
        <v>2.997E-2</v>
      </c>
      <c r="E3065">
        <v>0.5</v>
      </c>
      <c r="F3065">
        <v>67981</v>
      </c>
      <c r="G3065">
        <v>2038</v>
      </c>
      <c r="H3065">
        <v>66962</v>
      </c>
      <c r="I3065">
        <v>857704</v>
      </c>
    </row>
    <row r="3066" spans="1:9">
      <c r="A3066" s="2">
        <v>1977</v>
      </c>
      <c r="B3066">
        <v>65</v>
      </c>
      <c r="C3066">
        <v>3.3790000000000001E-2</v>
      </c>
      <c r="D3066">
        <v>3.3230000000000003E-2</v>
      </c>
      <c r="E3066">
        <v>0.5</v>
      </c>
      <c r="F3066">
        <v>65943</v>
      </c>
      <c r="G3066">
        <v>2191</v>
      </c>
      <c r="H3066">
        <v>64847</v>
      </c>
      <c r="I3066">
        <v>790742</v>
      </c>
    </row>
    <row r="3067" spans="1:9">
      <c r="A3067" s="2">
        <v>1977</v>
      </c>
      <c r="B3067">
        <v>66</v>
      </c>
      <c r="C3067">
        <v>3.8609999999999998E-2</v>
      </c>
      <c r="D3067">
        <v>3.7879999999999997E-2</v>
      </c>
      <c r="E3067">
        <v>0.5</v>
      </c>
      <c r="F3067">
        <v>63752</v>
      </c>
      <c r="G3067">
        <v>2415</v>
      </c>
      <c r="H3067">
        <v>62544</v>
      </c>
      <c r="I3067">
        <v>725894</v>
      </c>
    </row>
    <row r="3068" spans="1:9">
      <c r="A3068" s="2">
        <v>1977</v>
      </c>
      <c r="B3068">
        <v>67</v>
      </c>
      <c r="C3068">
        <v>4.2119999999999998E-2</v>
      </c>
      <c r="D3068">
        <v>4.1250000000000002E-2</v>
      </c>
      <c r="E3068">
        <v>0.5</v>
      </c>
      <c r="F3068">
        <v>61337</v>
      </c>
      <c r="G3068">
        <v>2530</v>
      </c>
      <c r="H3068">
        <v>60072</v>
      </c>
      <c r="I3068">
        <v>663350</v>
      </c>
    </row>
    <row r="3069" spans="1:9">
      <c r="A3069" s="2">
        <v>1977</v>
      </c>
      <c r="B3069">
        <v>68</v>
      </c>
      <c r="C3069">
        <v>4.6120000000000001E-2</v>
      </c>
      <c r="D3069">
        <v>4.5080000000000002E-2</v>
      </c>
      <c r="E3069">
        <v>0.5</v>
      </c>
      <c r="F3069">
        <v>58807</v>
      </c>
      <c r="G3069">
        <v>2651</v>
      </c>
      <c r="H3069">
        <v>57481</v>
      </c>
      <c r="I3069">
        <v>603278</v>
      </c>
    </row>
    <row r="3070" spans="1:9">
      <c r="A3070" s="2">
        <v>1977</v>
      </c>
      <c r="B3070">
        <v>69</v>
      </c>
      <c r="C3070">
        <v>5.1119999999999999E-2</v>
      </c>
      <c r="D3070">
        <v>4.9840000000000002E-2</v>
      </c>
      <c r="E3070">
        <v>0.5</v>
      </c>
      <c r="F3070">
        <v>56156</v>
      </c>
      <c r="G3070">
        <v>2799</v>
      </c>
      <c r="H3070">
        <v>54756</v>
      </c>
      <c r="I3070">
        <v>545797</v>
      </c>
    </row>
    <row r="3071" spans="1:9">
      <c r="A3071" s="2">
        <v>1977</v>
      </c>
      <c r="B3071">
        <v>70</v>
      </c>
      <c r="C3071">
        <v>5.6930000000000001E-2</v>
      </c>
      <c r="D3071">
        <v>5.5350000000000003E-2</v>
      </c>
      <c r="E3071">
        <v>0.5</v>
      </c>
      <c r="F3071">
        <v>53357</v>
      </c>
      <c r="G3071">
        <v>2953</v>
      </c>
      <c r="H3071">
        <v>51880</v>
      </c>
      <c r="I3071">
        <v>491041</v>
      </c>
    </row>
    <row r="3072" spans="1:9">
      <c r="A3072" s="2">
        <v>1977</v>
      </c>
      <c r="B3072">
        <v>71</v>
      </c>
      <c r="C3072">
        <v>6.0260000000000001E-2</v>
      </c>
      <c r="D3072">
        <v>5.8500000000000003E-2</v>
      </c>
      <c r="E3072">
        <v>0.5</v>
      </c>
      <c r="F3072">
        <v>50403</v>
      </c>
      <c r="G3072">
        <v>2948</v>
      </c>
      <c r="H3072">
        <v>48929</v>
      </c>
      <c r="I3072">
        <v>439160</v>
      </c>
    </row>
    <row r="3073" spans="1:9">
      <c r="A3073" s="2">
        <v>1977</v>
      </c>
      <c r="B3073">
        <v>72</v>
      </c>
      <c r="C3073">
        <v>6.7390000000000005E-2</v>
      </c>
      <c r="D3073">
        <v>6.5189999999999998E-2</v>
      </c>
      <c r="E3073">
        <v>0.5</v>
      </c>
      <c r="F3073">
        <v>47455</v>
      </c>
      <c r="G3073">
        <v>3094</v>
      </c>
      <c r="H3073">
        <v>45908</v>
      </c>
      <c r="I3073">
        <v>390231</v>
      </c>
    </row>
    <row r="3074" spans="1:9">
      <c r="A3074" s="2">
        <v>1977</v>
      </c>
      <c r="B3074">
        <v>73</v>
      </c>
      <c r="C3074">
        <v>7.7109999999999998E-2</v>
      </c>
      <c r="D3074">
        <v>7.4249999999999997E-2</v>
      </c>
      <c r="E3074">
        <v>0.5</v>
      </c>
      <c r="F3074">
        <v>44361</v>
      </c>
      <c r="G3074">
        <v>3294</v>
      </c>
      <c r="H3074">
        <v>42715</v>
      </c>
      <c r="I3074">
        <v>344323</v>
      </c>
    </row>
    <row r="3075" spans="1:9">
      <c r="A3075" s="2">
        <v>1977</v>
      </c>
      <c r="B3075">
        <v>74</v>
      </c>
      <c r="C3075">
        <v>8.3519999999999997E-2</v>
      </c>
      <c r="D3075">
        <v>8.0170000000000005E-2</v>
      </c>
      <c r="E3075">
        <v>0.5</v>
      </c>
      <c r="F3075">
        <v>41068</v>
      </c>
      <c r="G3075">
        <v>3293</v>
      </c>
      <c r="H3075">
        <v>39421</v>
      </c>
      <c r="I3075">
        <v>301608</v>
      </c>
    </row>
    <row r="3076" spans="1:9">
      <c r="A3076" s="2">
        <v>1977</v>
      </c>
      <c r="B3076">
        <v>75</v>
      </c>
      <c r="C3076">
        <v>9.2439999999999994E-2</v>
      </c>
      <c r="D3076">
        <v>8.8359999999999994E-2</v>
      </c>
      <c r="E3076">
        <v>0.5</v>
      </c>
      <c r="F3076">
        <v>37775</v>
      </c>
      <c r="G3076">
        <v>3338</v>
      </c>
      <c r="H3076">
        <v>36106</v>
      </c>
      <c r="I3076">
        <v>262187</v>
      </c>
    </row>
    <row r="3077" spans="1:9">
      <c r="A3077" s="2">
        <v>1977</v>
      </c>
      <c r="B3077">
        <v>76</v>
      </c>
      <c r="C3077">
        <v>9.7589999999999996E-2</v>
      </c>
      <c r="D3077">
        <v>9.3049999999999994E-2</v>
      </c>
      <c r="E3077">
        <v>0.5</v>
      </c>
      <c r="F3077">
        <v>34437</v>
      </c>
      <c r="G3077">
        <v>3205</v>
      </c>
      <c r="H3077">
        <v>32835</v>
      </c>
      <c r="I3077">
        <v>226081</v>
      </c>
    </row>
    <row r="3078" spans="1:9">
      <c r="A3078" s="2">
        <v>1977</v>
      </c>
      <c r="B3078">
        <v>77</v>
      </c>
      <c r="C3078">
        <v>0.11099000000000001</v>
      </c>
      <c r="D3078">
        <v>0.10514999999999999</v>
      </c>
      <c r="E3078">
        <v>0.5</v>
      </c>
      <c r="F3078">
        <v>31233</v>
      </c>
      <c r="G3078">
        <v>3284</v>
      </c>
      <c r="H3078">
        <v>29591</v>
      </c>
      <c r="I3078">
        <v>193245</v>
      </c>
    </row>
    <row r="3079" spans="1:9">
      <c r="A3079" s="2">
        <v>1977</v>
      </c>
      <c r="B3079">
        <v>78</v>
      </c>
      <c r="C3079">
        <v>0.11600000000000001</v>
      </c>
      <c r="D3079">
        <v>0.10964</v>
      </c>
      <c r="E3079">
        <v>0.5</v>
      </c>
      <c r="F3079">
        <v>27949</v>
      </c>
      <c r="G3079">
        <v>3064</v>
      </c>
      <c r="H3079">
        <v>26417</v>
      </c>
      <c r="I3079">
        <v>163655</v>
      </c>
    </row>
    <row r="3080" spans="1:9">
      <c r="A3080" s="2">
        <v>1977</v>
      </c>
      <c r="B3080">
        <v>79</v>
      </c>
      <c r="C3080">
        <v>0.12506</v>
      </c>
      <c r="D3080">
        <v>0.1177</v>
      </c>
      <c r="E3080">
        <v>0.5</v>
      </c>
      <c r="F3080">
        <v>24884</v>
      </c>
      <c r="G3080">
        <v>2929</v>
      </c>
      <c r="H3080">
        <v>23420</v>
      </c>
      <c r="I3080">
        <v>137238</v>
      </c>
    </row>
    <row r="3081" spans="1:9">
      <c r="A3081" s="2">
        <v>1977</v>
      </c>
      <c r="B3081">
        <v>80</v>
      </c>
      <c r="C3081">
        <v>0.14061000000000001</v>
      </c>
      <c r="D3081">
        <v>0.13136999999999999</v>
      </c>
      <c r="E3081">
        <v>0.5</v>
      </c>
      <c r="F3081">
        <v>21956</v>
      </c>
      <c r="G3081">
        <v>2884</v>
      </c>
      <c r="H3081">
        <v>20513</v>
      </c>
      <c r="I3081">
        <v>113818</v>
      </c>
    </row>
    <row r="3082" spans="1:9">
      <c r="A3082" s="2">
        <v>1977</v>
      </c>
      <c r="B3082">
        <v>81</v>
      </c>
      <c r="C3082">
        <v>0.14624000000000001</v>
      </c>
      <c r="D3082">
        <v>0.13627</v>
      </c>
      <c r="E3082">
        <v>0.5</v>
      </c>
      <c r="F3082">
        <v>19071</v>
      </c>
      <c r="G3082">
        <v>2599</v>
      </c>
      <c r="H3082">
        <v>17772</v>
      </c>
      <c r="I3082">
        <v>93305</v>
      </c>
    </row>
    <row r="3083" spans="1:9">
      <c r="A3083" s="2">
        <v>1977</v>
      </c>
      <c r="B3083">
        <v>82</v>
      </c>
      <c r="C3083">
        <v>0.16558999999999999</v>
      </c>
      <c r="D3083">
        <v>0.15292</v>
      </c>
      <c r="E3083">
        <v>0.5</v>
      </c>
      <c r="F3083">
        <v>16472</v>
      </c>
      <c r="G3083">
        <v>2519</v>
      </c>
      <c r="H3083">
        <v>15213</v>
      </c>
      <c r="I3083">
        <v>75533</v>
      </c>
    </row>
    <row r="3084" spans="1:9">
      <c r="A3084" s="2">
        <v>1977</v>
      </c>
      <c r="B3084">
        <v>83</v>
      </c>
      <c r="C3084">
        <v>0.17552999999999999</v>
      </c>
      <c r="D3084">
        <v>0.16136</v>
      </c>
      <c r="E3084">
        <v>0.5</v>
      </c>
      <c r="F3084">
        <v>13953</v>
      </c>
      <c r="G3084">
        <v>2252</v>
      </c>
      <c r="H3084">
        <v>12827</v>
      </c>
      <c r="I3084">
        <v>60320</v>
      </c>
    </row>
    <row r="3085" spans="1:9">
      <c r="A3085" s="2">
        <v>1977</v>
      </c>
      <c r="B3085">
        <v>84</v>
      </c>
      <c r="C3085">
        <v>0.19531000000000001</v>
      </c>
      <c r="D3085">
        <v>0.17793</v>
      </c>
      <c r="E3085">
        <v>0.5</v>
      </c>
      <c r="F3085">
        <v>11702</v>
      </c>
      <c r="G3085">
        <v>2082</v>
      </c>
      <c r="H3085">
        <v>10661</v>
      </c>
      <c r="I3085">
        <v>47493</v>
      </c>
    </row>
    <row r="3086" spans="1:9">
      <c r="A3086" s="2">
        <v>1977</v>
      </c>
      <c r="B3086">
        <v>85</v>
      </c>
      <c r="C3086">
        <v>0.20843</v>
      </c>
      <c r="D3086">
        <v>0.18876000000000001</v>
      </c>
      <c r="E3086">
        <v>0.5</v>
      </c>
      <c r="F3086">
        <v>9620</v>
      </c>
      <c r="G3086">
        <v>1816</v>
      </c>
      <c r="H3086">
        <v>8712</v>
      </c>
      <c r="I3086">
        <v>36832</v>
      </c>
    </row>
    <row r="3087" spans="1:9">
      <c r="A3087" s="2">
        <v>1977</v>
      </c>
      <c r="B3087">
        <v>86</v>
      </c>
      <c r="C3087">
        <v>0.22620999999999999</v>
      </c>
      <c r="D3087">
        <v>0.20322999999999999</v>
      </c>
      <c r="E3087">
        <v>0.5</v>
      </c>
      <c r="F3087">
        <v>7804</v>
      </c>
      <c r="G3087">
        <v>1586</v>
      </c>
      <c r="H3087">
        <v>7011</v>
      </c>
      <c r="I3087">
        <v>28120</v>
      </c>
    </row>
    <row r="3088" spans="1:9">
      <c r="A3088" s="2">
        <v>1977</v>
      </c>
      <c r="B3088">
        <v>87</v>
      </c>
      <c r="C3088">
        <v>0.2581</v>
      </c>
      <c r="D3088">
        <v>0.2286</v>
      </c>
      <c r="E3088">
        <v>0.5</v>
      </c>
      <c r="F3088">
        <v>6218</v>
      </c>
      <c r="G3088">
        <v>1421</v>
      </c>
      <c r="H3088">
        <v>5507</v>
      </c>
      <c r="I3088">
        <v>21110</v>
      </c>
    </row>
    <row r="3089" spans="1:9">
      <c r="A3089" s="2">
        <v>1977</v>
      </c>
      <c r="B3089">
        <v>88</v>
      </c>
      <c r="C3089">
        <v>0.27498</v>
      </c>
      <c r="D3089">
        <v>0.24174000000000001</v>
      </c>
      <c r="E3089">
        <v>0.5</v>
      </c>
      <c r="F3089">
        <v>4796</v>
      </c>
      <c r="G3089">
        <v>1159</v>
      </c>
      <c r="H3089">
        <v>4217</v>
      </c>
      <c r="I3089">
        <v>15602</v>
      </c>
    </row>
    <row r="3090" spans="1:9">
      <c r="A3090" s="2">
        <v>1977</v>
      </c>
      <c r="B3090">
        <v>89</v>
      </c>
      <c r="C3090">
        <v>0.27374999999999999</v>
      </c>
      <c r="D3090">
        <v>0.24079</v>
      </c>
      <c r="E3090">
        <v>0.5</v>
      </c>
      <c r="F3090">
        <v>3637</v>
      </c>
      <c r="G3090">
        <v>876</v>
      </c>
      <c r="H3090">
        <v>3199</v>
      </c>
      <c r="I3090">
        <v>11386</v>
      </c>
    </row>
    <row r="3091" spans="1:9">
      <c r="A3091" s="2">
        <v>1977</v>
      </c>
      <c r="B3091">
        <v>90</v>
      </c>
      <c r="C3091">
        <v>0.28892000000000001</v>
      </c>
      <c r="D3091">
        <v>0.25245000000000001</v>
      </c>
      <c r="E3091">
        <v>0.5</v>
      </c>
      <c r="F3091">
        <v>2761</v>
      </c>
      <c r="G3091">
        <v>697</v>
      </c>
      <c r="H3091">
        <v>2413</v>
      </c>
      <c r="I3091">
        <v>8187</v>
      </c>
    </row>
    <row r="3092" spans="1:9">
      <c r="A3092" s="2">
        <v>1977</v>
      </c>
      <c r="B3092">
        <v>91</v>
      </c>
      <c r="C3092">
        <v>0.30668000000000001</v>
      </c>
      <c r="D3092">
        <v>0.26590999999999998</v>
      </c>
      <c r="E3092">
        <v>0.5</v>
      </c>
      <c r="F3092">
        <v>2064</v>
      </c>
      <c r="G3092">
        <v>549</v>
      </c>
      <c r="H3092">
        <v>1790</v>
      </c>
      <c r="I3092">
        <v>5774</v>
      </c>
    </row>
    <row r="3093" spans="1:9">
      <c r="A3093" s="2">
        <v>1977</v>
      </c>
      <c r="B3093">
        <v>92</v>
      </c>
      <c r="C3093">
        <v>0.32389000000000001</v>
      </c>
      <c r="D3093">
        <v>0.27875</v>
      </c>
      <c r="E3093">
        <v>0.5</v>
      </c>
      <c r="F3093">
        <v>1515</v>
      </c>
      <c r="G3093">
        <v>422</v>
      </c>
      <c r="H3093">
        <v>1304</v>
      </c>
      <c r="I3093">
        <v>3984</v>
      </c>
    </row>
    <row r="3094" spans="1:9">
      <c r="A3094" s="2">
        <v>1977</v>
      </c>
      <c r="B3094">
        <v>93</v>
      </c>
      <c r="C3094">
        <v>0.36253000000000002</v>
      </c>
      <c r="D3094">
        <v>0.30690000000000001</v>
      </c>
      <c r="E3094">
        <v>0.5</v>
      </c>
      <c r="F3094">
        <v>1093</v>
      </c>
      <c r="G3094">
        <v>335</v>
      </c>
      <c r="H3094">
        <v>925</v>
      </c>
      <c r="I3094">
        <v>2680</v>
      </c>
    </row>
    <row r="3095" spans="1:9">
      <c r="A3095" s="2">
        <v>1977</v>
      </c>
      <c r="B3095">
        <v>94</v>
      </c>
      <c r="C3095">
        <v>0.39245999999999998</v>
      </c>
      <c r="D3095">
        <v>0.32807999999999998</v>
      </c>
      <c r="E3095">
        <v>0.5</v>
      </c>
      <c r="F3095">
        <v>757</v>
      </c>
      <c r="G3095">
        <v>249</v>
      </c>
      <c r="H3095">
        <v>633</v>
      </c>
      <c r="I3095">
        <v>1755</v>
      </c>
    </row>
    <row r="3096" spans="1:9">
      <c r="A3096" s="2">
        <v>1977</v>
      </c>
      <c r="B3096">
        <v>95</v>
      </c>
      <c r="C3096">
        <v>0.41637999999999997</v>
      </c>
      <c r="D3096">
        <v>0.34462999999999999</v>
      </c>
      <c r="E3096">
        <v>0.5</v>
      </c>
      <c r="F3096">
        <v>509</v>
      </c>
      <c r="G3096">
        <v>175</v>
      </c>
      <c r="H3096">
        <v>421</v>
      </c>
      <c r="I3096">
        <v>1122</v>
      </c>
    </row>
    <row r="3097" spans="1:9">
      <c r="A3097" s="2">
        <v>1977</v>
      </c>
      <c r="B3097">
        <v>96</v>
      </c>
      <c r="C3097">
        <v>0.44069999999999998</v>
      </c>
      <c r="D3097">
        <v>0.36113000000000001</v>
      </c>
      <c r="E3097">
        <v>0.5</v>
      </c>
      <c r="F3097">
        <v>334</v>
      </c>
      <c r="G3097">
        <v>120</v>
      </c>
      <c r="H3097">
        <v>273</v>
      </c>
      <c r="I3097">
        <v>700</v>
      </c>
    </row>
    <row r="3098" spans="1:9">
      <c r="A3098" s="2">
        <v>1977</v>
      </c>
      <c r="B3098">
        <v>97</v>
      </c>
      <c r="C3098">
        <v>0.46531</v>
      </c>
      <c r="D3098">
        <v>0.37748999999999999</v>
      </c>
      <c r="E3098">
        <v>0.5</v>
      </c>
      <c r="F3098">
        <v>213</v>
      </c>
      <c r="G3098">
        <v>80</v>
      </c>
      <c r="H3098">
        <v>173</v>
      </c>
      <c r="I3098">
        <v>427</v>
      </c>
    </row>
    <row r="3099" spans="1:9">
      <c r="A3099" s="2">
        <v>1977</v>
      </c>
      <c r="B3099">
        <v>98</v>
      </c>
      <c r="C3099">
        <v>0.49009000000000003</v>
      </c>
      <c r="D3099">
        <v>0.39362999999999998</v>
      </c>
      <c r="E3099">
        <v>0.5</v>
      </c>
      <c r="F3099">
        <v>133</v>
      </c>
      <c r="G3099">
        <v>52</v>
      </c>
      <c r="H3099">
        <v>107</v>
      </c>
      <c r="I3099">
        <v>254</v>
      </c>
    </row>
    <row r="3100" spans="1:9">
      <c r="A3100" s="2">
        <v>1977</v>
      </c>
      <c r="B3100">
        <v>99</v>
      </c>
      <c r="C3100">
        <v>0.51492000000000004</v>
      </c>
      <c r="D3100">
        <v>0.40949000000000002</v>
      </c>
      <c r="E3100">
        <v>0.5</v>
      </c>
      <c r="F3100">
        <v>80</v>
      </c>
      <c r="G3100">
        <v>33</v>
      </c>
      <c r="H3100">
        <v>64</v>
      </c>
      <c r="I3100">
        <v>148</v>
      </c>
    </row>
    <row r="3101" spans="1:9">
      <c r="A3101" s="2">
        <v>1977</v>
      </c>
      <c r="B3101">
        <v>100</v>
      </c>
      <c r="C3101">
        <v>0.53966999999999998</v>
      </c>
      <c r="D3101">
        <v>0.42498999999999998</v>
      </c>
      <c r="E3101">
        <v>0.5</v>
      </c>
      <c r="F3101">
        <v>48</v>
      </c>
      <c r="G3101">
        <v>20</v>
      </c>
      <c r="H3101">
        <v>37</v>
      </c>
      <c r="I3101">
        <v>84</v>
      </c>
    </row>
    <row r="3102" spans="1:9">
      <c r="A3102" s="2">
        <v>1977</v>
      </c>
      <c r="B3102">
        <v>101</v>
      </c>
      <c r="C3102">
        <v>0.56423000000000001</v>
      </c>
      <c r="D3102">
        <v>0.44008000000000003</v>
      </c>
      <c r="E3102">
        <v>0.5</v>
      </c>
      <c r="F3102">
        <v>27</v>
      </c>
      <c r="G3102">
        <v>12</v>
      </c>
      <c r="H3102">
        <v>21</v>
      </c>
      <c r="I3102">
        <v>46</v>
      </c>
    </row>
    <row r="3103" spans="1:9">
      <c r="A3103" s="2">
        <v>1977</v>
      </c>
      <c r="B3103">
        <v>102</v>
      </c>
      <c r="C3103">
        <v>0.58848</v>
      </c>
      <c r="D3103">
        <v>0.45468999999999998</v>
      </c>
      <c r="E3103">
        <v>0.5</v>
      </c>
      <c r="F3103">
        <v>15</v>
      </c>
      <c r="G3103">
        <v>7</v>
      </c>
      <c r="H3103">
        <v>12</v>
      </c>
      <c r="I3103">
        <v>25</v>
      </c>
    </row>
    <row r="3104" spans="1:9">
      <c r="A3104" s="2">
        <v>1977</v>
      </c>
      <c r="B3104">
        <v>103</v>
      </c>
      <c r="C3104">
        <v>0.61231000000000002</v>
      </c>
      <c r="D3104">
        <v>0.46878999999999998</v>
      </c>
      <c r="E3104">
        <v>0.5</v>
      </c>
      <c r="F3104">
        <v>8</v>
      </c>
      <c r="G3104">
        <v>4</v>
      </c>
      <c r="H3104">
        <v>6</v>
      </c>
      <c r="I3104">
        <v>13</v>
      </c>
    </row>
    <row r="3105" spans="1:9">
      <c r="A3105" s="2">
        <v>1977</v>
      </c>
      <c r="B3105">
        <v>104</v>
      </c>
      <c r="C3105">
        <v>0.63561000000000001</v>
      </c>
      <c r="D3105">
        <v>0.48232999999999998</v>
      </c>
      <c r="E3105">
        <v>0.5</v>
      </c>
      <c r="F3105">
        <v>4</v>
      </c>
      <c r="G3105">
        <v>2</v>
      </c>
      <c r="H3105">
        <v>3</v>
      </c>
      <c r="I3105">
        <v>7</v>
      </c>
    </row>
    <row r="3106" spans="1:9">
      <c r="A3106" s="2">
        <v>1977</v>
      </c>
      <c r="B3106">
        <v>105</v>
      </c>
      <c r="C3106">
        <v>0.6583</v>
      </c>
      <c r="D3106">
        <v>0.49528</v>
      </c>
      <c r="E3106">
        <v>0.5</v>
      </c>
      <c r="F3106">
        <v>2</v>
      </c>
      <c r="G3106">
        <v>1</v>
      </c>
      <c r="H3106">
        <v>2</v>
      </c>
      <c r="I3106">
        <v>3</v>
      </c>
    </row>
    <row r="3107" spans="1:9">
      <c r="A3107" s="2">
        <v>1977</v>
      </c>
      <c r="B3107">
        <v>106</v>
      </c>
      <c r="C3107">
        <v>0.68028</v>
      </c>
      <c r="D3107">
        <v>0.50761999999999996</v>
      </c>
      <c r="E3107">
        <v>0.5</v>
      </c>
      <c r="F3107">
        <v>1</v>
      </c>
      <c r="G3107">
        <v>1</v>
      </c>
      <c r="H3107">
        <v>1</v>
      </c>
      <c r="I3107">
        <v>2</v>
      </c>
    </row>
    <row r="3108" spans="1:9">
      <c r="A3108" s="2">
        <v>1977</v>
      </c>
      <c r="B3108">
        <v>107</v>
      </c>
      <c r="C3108">
        <v>0.70147999999999999</v>
      </c>
      <c r="D3108">
        <v>0.51932999999999996</v>
      </c>
      <c r="E3108">
        <v>0.5</v>
      </c>
      <c r="F3108">
        <v>1</v>
      </c>
      <c r="G3108">
        <v>0</v>
      </c>
      <c r="H3108">
        <v>0</v>
      </c>
      <c r="I3108">
        <v>1</v>
      </c>
    </row>
    <row r="3109" spans="1:9">
      <c r="A3109" s="2">
        <v>1977</v>
      </c>
      <c r="B3109">
        <v>108</v>
      </c>
      <c r="C3109">
        <v>0.72185999999999995</v>
      </c>
      <c r="D3109">
        <v>0.53042</v>
      </c>
      <c r="E3109">
        <v>0.5</v>
      </c>
      <c r="F3109">
        <v>0</v>
      </c>
      <c r="G3109">
        <v>0</v>
      </c>
      <c r="H3109">
        <v>0</v>
      </c>
      <c r="I3109">
        <v>0</v>
      </c>
    </row>
    <row r="3110" spans="1:9">
      <c r="A3110" s="2">
        <v>1977</v>
      </c>
      <c r="B3110">
        <v>109</v>
      </c>
      <c r="C3110">
        <v>0.74136000000000002</v>
      </c>
      <c r="D3110">
        <v>0.54086999999999996</v>
      </c>
      <c r="E3110">
        <v>0.5</v>
      </c>
      <c r="F3110">
        <v>0</v>
      </c>
      <c r="G3110">
        <v>0</v>
      </c>
      <c r="H3110">
        <v>0</v>
      </c>
      <c r="I3110">
        <v>0</v>
      </c>
    </row>
    <row r="3111" spans="1:9">
      <c r="A3111" s="2">
        <v>1977</v>
      </c>
      <c r="B3111" t="s">
        <v>26</v>
      </c>
      <c r="C3111">
        <v>0.75995000000000001</v>
      </c>
      <c r="D3111">
        <v>1</v>
      </c>
      <c r="E3111">
        <v>1.32</v>
      </c>
      <c r="F3111">
        <v>0</v>
      </c>
      <c r="G3111">
        <v>0</v>
      </c>
      <c r="H3111">
        <v>0</v>
      </c>
      <c r="I3111">
        <v>0</v>
      </c>
    </row>
    <row r="3112" spans="1:9">
      <c r="A3112" s="2">
        <v>1978</v>
      </c>
      <c r="B3112">
        <v>0</v>
      </c>
      <c r="C3112">
        <v>2.734E-2</v>
      </c>
      <c r="D3112">
        <v>2.6700000000000002E-2</v>
      </c>
      <c r="E3112">
        <v>0.12</v>
      </c>
      <c r="F3112">
        <v>100000</v>
      </c>
      <c r="G3112">
        <v>2670</v>
      </c>
      <c r="H3112">
        <v>97644</v>
      </c>
      <c r="I3112">
        <v>6615109</v>
      </c>
    </row>
    <row r="3113" spans="1:9">
      <c r="A3113" s="2">
        <v>1978</v>
      </c>
      <c r="B3113">
        <v>1</v>
      </c>
      <c r="C3113">
        <v>1.31E-3</v>
      </c>
      <c r="D3113">
        <v>1.31E-3</v>
      </c>
      <c r="E3113">
        <v>0.5</v>
      </c>
      <c r="F3113">
        <v>97330</v>
      </c>
      <c r="G3113">
        <v>128</v>
      </c>
      <c r="H3113">
        <v>97267</v>
      </c>
      <c r="I3113">
        <v>6517465</v>
      </c>
    </row>
    <row r="3114" spans="1:9">
      <c r="A3114" s="2">
        <v>1978</v>
      </c>
      <c r="B3114">
        <v>2</v>
      </c>
      <c r="C3114">
        <v>7.2000000000000005E-4</v>
      </c>
      <c r="D3114">
        <v>7.2000000000000005E-4</v>
      </c>
      <c r="E3114">
        <v>0.5</v>
      </c>
      <c r="F3114">
        <v>97203</v>
      </c>
      <c r="G3114">
        <v>70</v>
      </c>
      <c r="H3114">
        <v>97168</v>
      </c>
      <c r="I3114">
        <v>6420198</v>
      </c>
    </row>
    <row r="3115" spans="1:9">
      <c r="A3115" s="2">
        <v>1978</v>
      </c>
      <c r="B3115">
        <v>3</v>
      </c>
      <c r="C3115">
        <v>4.2000000000000002E-4</v>
      </c>
      <c r="D3115">
        <v>4.2000000000000002E-4</v>
      </c>
      <c r="E3115">
        <v>0.5</v>
      </c>
      <c r="F3115">
        <v>97133</v>
      </c>
      <c r="G3115">
        <v>41</v>
      </c>
      <c r="H3115">
        <v>97112</v>
      </c>
      <c r="I3115">
        <v>6323031</v>
      </c>
    </row>
    <row r="3116" spans="1:9">
      <c r="A3116" s="2">
        <v>1978</v>
      </c>
      <c r="B3116">
        <v>4</v>
      </c>
      <c r="C3116">
        <v>3.5E-4</v>
      </c>
      <c r="D3116">
        <v>3.5E-4</v>
      </c>
      <c r="E3116">
        <v>0.5</v>
      </c>
      <c r="F3116">
        <v>97091</v>
      </c>
      <c r="G3116">
        <v>34</v>
      </c>
      <c r="H3116">
        <v>97074</v>
      </c>
      <c r="I3116">
        <v>6225919</v>
      </c>
    </row>
    <row r="3117" spans="1:9">
      <c r="A3117" s="2">
        <v>1978</v>
      </c>
      <c r="B3117">
        <v>5</v>
      </c>
      <c r="C3117">
        <v>5.6999999999999998E-4</v>
      </c>
      <c r="D3117">
        <v>5.6999999999999998E-4</v>
      </c>
      <c r="E3117">
        <v>0.5</v>
      </c>
      <c r="F3117">
        <v>97058</v>
      </c>
      <c r="G3117">
        <v>55</v>
      </c>
      <c r="H3117">
        <v>97030</v>
      </c>
      <c r="I3117">
        <v>6128844</v>
      </c>
    </row>
    <row r="3118" spans="1:9">
      <c r="A3118" s="2">
        <v>1978</v>
      </c>
      <c r="B3118">
        <v>6</v>
      </c>
      <c r="C3118">
        <v>3.6000000000000002E-4</v>
      </c>
      <c r="D3118">
        <v>3.6000000000000002E-4</v>
      </c>
      <c r="E3118">
        <v>0.5</v>
      </c>
      <c r="F3118">
        <v>97003</v>
      </c>
      <c r="G3118">
        <v>35</v>
      </c>
      <c r="H3118">
        <v>96985</v>
      </c>
      <c r="I3118">
        <v>6031814</v>
      </c>
    </row>
    <row r="3119" spans="1:9">
      <c r="A3119" s="2">
        <v>1978</v>
      </c>
      <c r="B3119">
        <v>7</v>
      </c>
      <c r="C3119">
        <v>5.5000000000000003E-4</v>
      </c>
      <c r="D3119">
        <v>5.5000000000000003E-4</v>
      </c>
      <c r="E3119">
        <v>0.5</v>
      </c>
      <c r="F3119">
        <v>96968</v>
      </c>
      <c r="G3119">
        <v>53</v>
      </c>
      <c r="H3119">
        <v>96941</v>
      </c>
      <c r="I3119">
        <v>5934829</v>
      </c>
    </row>
    <row r="3120" spans="1:9">
      <c r="A3120" s="2">
        <v>1978</v>
      </c>
      <c r="B3120">
        <v>8</v>
      </c>
      <c r="C3120">
        <v>3.3E-4</v>
      </c>
      <c r="D3120">
        <v>3.3E-4</v>
      </c>
      <c r="E3120">
        <v>0.5</v>
      </c>
      <c r="F3120">
        <v>96914</v>
      </c>
      <c r="G3120">
        <v>32</v>
      </c>
      <c r="H3120">
        <v>96898</v>
      </c>
      <c r="I3120">
        <v>5837888</v>
      </c>
    </row>
    <row r="3121" spans="1:9">
      <c r="A3121" s="2">
        <v>1978</v>
      </c>
      <c r="B3121">
        <v>9</v>
      </c>
      <c r="C3121">
        <v>2.9E-4</v>
      </c>
      <c r="D3121">
        <v>2.9E-4</v>
      </c>
      <c r="E3121">
        <v>0.5</v>
      </c>
      <c r="F3121">
        <v>96883</v>
      </c>
      <c r="G3121">
        <v>28</v>
      </c>
      <c r="H3121">
        <v>96869</v>
      </c>
      <c r="I3121">
        <v>5740989</v>
      </c>
    </row>
    <row r="3122" spans="1:9">
      <c r="A3122" s="2">
        <v>1978</v>
      </c>
      <c r="B3122">
        <v>10</v>
      </c>
      <c r="C3122">
        <v>3.4000000000000002E-4</v>
      </c>
      <c r="D3122">
        <v>3.4000000000000002E-4</v>
      </c>
      <c r="E3122">
        <v>0.5</v>
      </c>
      <c r="F3122">
        <v>96855</v>
      </c>
      <c r="G3122">
        <v>33</v>
      </c>
      <c r="H3122">
        <v>96838</v>
      </c>
      <c r="I3122">
        <v>5644121</v>
      </c>
    </row>
    <row r="3123" spans="1:9">
      <c r="A3123" s="2">
        <v>1978</v>
      </c>
      <c r="B3123">
        <v>11</v>
      </c>
      <c r="C3123">
        <v>4.2000000000000002E-4</v>
      </c>
      <c r="D3123">
        <v>4.2000000000000002E-4</v>
      </c>
      <c r="E3123">
        <v>0.5</v>
      </c>
      <c r="F3123">
        <v>96822</v>
      </c>
      <c r="G3123">
        <v>41</v>
      </c>
      <c r="H3123">
        <v>96801</v>
      </c>
      <c r="I3123">
        <v>5547282</v>
      </c>
    </row>
    <row r="3124" spans="1:9">
      <c r="A3124" s="2">
        <v>1978</v>
      </c>
      <c r="B3124">
        <v>12</v>
      </c>
      <c r="C3124">
        <v>4.6000000000000001E-4</v>
      </c>
      <c r="D3124">
        <v>4.6000000000000001E-4</v>
      </c>
      <c r="E3124">
        <v>0.5</v>
      </c>
      <c r="F3124">
        <v>96781</v>
      </c>
      <c r="G3124">
        <v>45</v>
      </c>
      <c r="H3124">
        <v>96758</v>
      </c>
      <c r="I3124">
        <v>5450481</v>
      </c>
    </row>
    <row r="3125" spans="1:9">
      <c r="A3125" s="2">
        <v>1978</v>
      </c>
      <c r="B3125">
        <v>13</v>
      </c>
      <c r="C3125">
        <v>3.8000000000000002E-4</v>
      </c>
      <c r="D3125">
        <v>3.8000000000000002E-4</v>
      </c>
      <c r="E3125">
        <v>0.5</v>
      </c>
      <c r="F3125">
        <v>96736</v>
      </c>
      <c r="G3125">
        <v>37</v>
      </c>
      <c r="H3125">
        <v>96718</v>
      </c>
      <c r="I3125">
        <v>5353723</v>
      </c>
    </row>
    <row r="3126" spans="1:9">
      <c r="A3126" s="2">
        <v>1978</v>
      </c>
      <c r="B3126">
        <v>14</v>
      </c>
      <c r="C3126">
        <v>5.9000000000000003E-4</v>
      </c>
      <c r="D3126">
        <v>5.9000000000000003E-4</v>
      </c>
      <c r="E3126">
        <v>0.5</v>
      </c>
      <c r="F3126">
        <v>96700</v>
      </c>
      <c r="G3126">
        <v>57</v>
      </c>
      <c r="H3126">
        <v>96671</v>
      </c>
      <c r="I3126">
        <v>5257005</v>
      </c>
    </row>
    <row r="3127" spans="1:9">
      <c r="A3127" s="2">
        <v>1978</v>
      </c>
      <c r="B3127">
        <v>15</v>
      </c>
      <c r="C3127">
        <v>5.9000000000000003E-4</v>
      </c>
      <c r="D3127">
        <v>5.9000000000000003E-4</v>
      </c>
      <c r="E3127">
        <v>0.5</v>
      </c>
      <c r="F3127">
        <v>96643</v>
      </c>
      <c r="G3127">
        <v>57</v>
      </c>
      <c r="H3127">
        <v>96614</v>
      </c>
      <c r="I3127">
        <v>5160334</v>
      </c>
    </row>
    <row r="3128" spans="1:9">
      <c r="A3128" s="2">
        <v>1978</v>
      </c>
      <c r="B3128">
        <v>16</v>
      </c>
      <c r="C3128">
        <v>8.4000000000000003E-4</v>
      </c>
      <c r="D3128">
        <v>8.4000000000000003E-4</v>
      </c>
      <c r="E3128">
        <v>0.5</v>
      </c>
      <c r="F3128">
        <v>96586</v>
      </c>
      <c r="G3128">
        <v>81</v>
      </c>
      <c r="H3128">
        <v>96545</v>
      </c>
      <c r="I3128">
        <v>5063720</v>
      </c>
    </row>
    <row r="3129" spans="1:9">
      <c r="A3129" s="2">
        <v>1978</v>
      </c>
      <c r="B3129">
        <v>17</v>
      </c>
      <c r="C3129">
        <v>9.6000000000000002E-4</v>
      </c>
      <c r="D3129">
        <v>9.6000000000000002E-4</v>
      </c>
      <c r="E3129">
        <v>0.5</v>
      </c>
      <c r="F3129">
        <v>96505</v>
      </c>
      <c r="G3129">
        <v>93</v>
      </c>
      <c r="H3129">
        <v>96458</v>
      </c>
      <c r="I3129">
        <v>4967175</v>
      </c>
    </row>
    <row r="3130" spans="1:9">
      <c r="A3130" s="2">
        <v>1978</v>
      </c>
      <c r="B3130">
        <v>18</v>
      </c>
      <c r="C3130">
        <v>1.31E-3</v>
      </c>
      <c r="D3130">
        <v>1.31E-3</v>
      </c>
      <c r="E3130">
        <v>0.5</v>
      </c>
      <c r="F3130">
        <v>96412</v>
      </c>
      <c r="G3130">
        <v>127</v>
      </c>
      <c r="H3130">
        <v>96349</v>
      </c>
      <c r="I3130">
        <v>4870716</v>
      </c>
    </row>
    <row r="3131" spans="1:9">
      <c r="A3131" s="2">
        <v>1978</v>
      </c>
      <c r="B3131">
        <v>19</v>
      </c>
      <c r="C3131">
        <v>1.3799999999999999E-3</v>
      </c>
      <c r="D3131">
        <v>1.3699999999999999E-3</v>
      </c>
      <c r="E3131">
        <v>0.5</v>
      </c>
      <c r="F3131">
        <v>96285</v>
      </c>
      <c r="G3131">
        <v>132</v>
      </c>
      <c r="H3131">
        <v>96219</v>
      </c>
      <c r="I3131">
        <v>4774368</v>
      </c>
    </row>
    <row r="3132" spans="1:9">
      <c r="A3132" s="2">
        <v>1978</v>
      </c>
      <c r="B3132">
        <v>20</v>
      </c>
      <c r="C3132">
        <v>1.39E-3</v>
      </c>
      <c r="D3132">
        <v>1.39E-3</v>
      </c>
      <c r="E3132">
        <v>0.5</v>
      </c>
      <c r="F3132">
        <v>96153</v>
      </c>
      <c r="G3132">
        <v>134</v>
      </c>
      <c r="H3132">
        <v>96086</v>
      </c>
      <c r="I3132">
        <v>4678149</v>
      </c>
    </row>
    <row r="3133" spans="1:9">
      <c r="A3133" s="2">
        <v>1978</v>
      </c>
      <c r="B3133">
        <v>21</v>
      </c>
      <c r="C3133">
        <v>1.3799999999999999E-3</v>
      </c>
      <c r="D3133">
        <v>1.3799999999999999E-3</v>
      </c>
      <c r="E3133">
        <v>0.5</v>
      </c>
      <c r="F3133">
        <v>96019</v>
      </c>
      <c r="G3133">
        <v>132</v>
      </c>
      <c r="H3133">
        <v>95953</v>
      </c>
      <c r="I3133">
        <v>4582063</v>
      </c>
    </row>
    <row r="3134" spans="1:9">
      <c r="A3134" s="2">
        <v>1978</v>
      </c>
      <c r="B3134">
        <v>22</v>
      </c>
      <c r="C3134">
        <v>1.1800000000000001E-3</v>
      </c>
      <c r="D3134">
        <v>1.1800000000000001E-3</v>
      </c>
      <c r="E3134">
        <v>0.5</v>
      </c>
      <c r="F3134">
        <v>95887</v>
      </c>
      <c r="G3134">
        <v>113</v>
      </c>
      <c r="H3134">
        <v>95831</v>
      </c>
      <c r="I3134">
        <v>4486109</v>
      </c>
    </row>
    <row r="3135" spans="1:9">
      <c r="A3135" s="2">
        <v>1978</v>
      </c>
      <c r="B3135">
        <v>23</v>
      </c>
      <c r="C3135">
        <v>1.3600000000000001E-3</v>
      </c>
      <c r="D3135">
        <v>1.3600000000000001E-3</v>
      </c>
      <c r="E3135">
        <v>0.5</v>
      </c>
      <c r="F3135">
        <v>95774</v>
      </c>
      <c r="G3135">
        <v>130</v>
      </c>
      <c r="H3135">
        <v>95709</v>
      </c>
      <c r="I3135">
        <v>4390279</v>
      </c>
    </row>
    <row r="3136" spans="1:9">
      <c r="A3136" s="2">
        <v>1978</v>
      </c>
      <c r="B3136">
        <v>24</v>
      </c>
      <c r="C3136">
        <v>1.3500000000000001E-3</v>
      </c>
      <c r="D3136">
        <v>1.3500000000000001E-3</v>
      </c>
      <c r="E3136">
        <v>0.5</v>
      </c>
      <c r="F3136">
        <v>95644</v>
      </c>
      <c r="G3136">
        <v>129</v>
      </c>
      <c r="H3136">
        <v>95579</v>
      </c>
      <c r="I3136">
        <v>4294570</v>
      </c>
    </row>
    <row r="3137" spans="1:9">
      <c r="A3137" s="2">
        <v>1978</v>
      </c>
      <c r="B3137">
        <v>25</v>
      </c>
      <c r="C3137">
        <v>1.5499999999999999E-3</v>
      </c>
      <c r="D3137">
        <v>1.5499999999999999E-3</v>
      </c>
      <c r="E3137">
        <v>0.5</v>
      </c>
      <c r="F3137">
        <v>95515</v>
      </c>
      <c r="G3137">
        <v>148</v>
      </c>
      <c r="H3137">
        <v>95441</v>
      </c>
      <c r="I3137">
        <v>4198990</v>
      </c>
    </row>
    <row r="3138" spans="1:9">
      <c r="A3138" s="2">
        <v>1978</v>
      </c>
      <c r="B3138">
        <v>26</v>
      </c>
      <c r="C3138">
        <v>1.6000000000000001E-3</v>
      </c>
      <c r="D3138">
        <v>1.6000000000000001E-3</v>
      </c>
      <c r="E3138">
        <v>0.5</v>
      </c>
      <c r="F3138">
        <v>95367</v>
      </c>
      <c r="G3138">
        <v>153</v>
      </c>
      <c r="H3138">
        <v>95290</v>
      </c>
      <c r="I3138">
        <v>4103550</v>
      </c>
    </row>
    <row r="3139" spans="1:9">
      <c r="A3139" s="2">
        <v>1978</v>
      </c>
      <c r="B3139">
        <v>27</v>
      </c>
      <c r="C3139">
        <v>1.4499999999999999E-3</v>
      </c>
      <c r="D3139">
        <v>1.4499999999999999E-3</v>
      </c>
      <c r="E3139">
        <v>0.5</v>
      </c>
      <c r="F3139">
        <v>95214</v>
      </c>
      <c r="G3139">
        <v>138</v>
      </c>
      <c r="H3139">
        <v>95145</v>
      </c>
      <c r="I3139">
        <v>4008259</v>
      </c>
    </row>
    <row r="3140" spans="1:9">
      <c r="A3140" s="2">
        <v>1978</v>
      </c>
      <c r="B3140">
        <v>28</v>
      </c>
      <c r="C3140">
        <v>1.6199999999999999E-3</v>
      </c>
      <c r="D3140">
        <v>1.6199999999999999E-3</v>
      </c>
      <c r="E3140">
        <v>0.5</v>
      </c>
      <c r="F3140">
        <v>95076</v>
      </c>
      <c r="G3140">
        <v>154</v>
      </c>
      <c r="H3140">
        <v>94999</v>
      </c>
      <c r="I3140">
        <v>3913114</v>
      </c>
    </row>
    <row r="3141" spans="1:9">
      <c r="A3141" s="2">
        <v>1978</v>
      </c>
      <c r="B3141">
        <v>29</v>
      </c>
      <c r="C3141">
        <v>1.57E-3</v>
      </c>
      <c r="D3141">
        <v>1.56E-3</v>
      </c>
      <c r="E3141">
        <v>0.5</v>
      </c>
      <c r="F3141">
        <v>94922</v>
      </c>
      <c r="G3141">
        <v>148</v>
      </c>
      <c r="H3141">
        <v>94848</v>
      </c>
      <c r="I3141">
        <v>3818115</v>
      </c>
    </row>
    <row r="3142" spans="1:9">
      <c r="A3142" s="2">
        <v>1978</v>
      </c>
      <c r="B3142">
        <v>30</v>
      </c>
      <c r="C3142">
        <v>1.89E-3</v>
      </c>
      <c r="D3142">
        <v>1.89E-3</v>
      </c>
      <c r="E3142">
        <v>0.5</v>
      </c>
      <c r="F3142">
        <v>94774</v>
      </c>
      <c r="G3142">
        <v>179</v>
      </c>
      <c r="H3142">
        <v>94684</v>
      </c>
      <c r="I3142">
        <v>3723267</v>
      </c>
    </row>
    <row r="3143" spans="1:9">
      <c r="A3143" s="2">
        <v>1978</v>
      </c>
      <c r="B3143">
        <v>31</v>
      </c>
      <c r="C3143">
        <v>2.3500000000000001E-3</v>
      </c>
      <c r="D3143">
        <v>2.3500000000000001E-3</v>
      </c>
      <c r="E3143">
        <v>0.5</v>
      </c>
      <c r="F3143">
        <v>94595</v>
      </c>
      <c r="G3143">
        <v>222</v>
      </c>
      <c r="H3143">
        <v>94484</v>
      </c>
      <c r="I3143">
        <v>3628583</v>
      </c>
    </row>
    <row r="3144" spans="1:9">
      <c r="A3144" s="2">
        <v>1978</v>
      </c>
      <c r="B3144">
        <v>32</v>
      </c>
      <c r="C3144">
        <v>2E-3</v>
      </c>
      <c r="D3144">
        <v>2E-3</v>
      </c>
      <c r="E3144">
        <v>0.5</v>
      </c>
      <c r="F3144">
        <v>94373</v>
      </c>
      <c r="G3144">
        <v>189</v>
      </c>
      <c r="H3144">
        <v>94278</v>
      </c>
      <c r="I3144">
        <v>3534099</v>
      </c>
    </row>
    <row r="3145" spans="1:9">
      <c r="A3145" s="2">
        <v>1978</v>
      </c>
      <c r="B3145">
        <v>33</v>
      </c>
      <c r="C3145">
        <v>2.8400000000000001E-3</v>
      </c>
      <c r="D3145">
        <v>2.8400000000000001E-3</v>
      </c>
      <c r="E3145">
        <v>0.5</v>
      </c>
      <c r="F3145">
        <v>94184</v>
      </c>
      <c r="G3145">
        <v>267</v>
      </c>
      <c r="H3145">
        <v>94050</v>
      </c>
      <c r="I3145">
        <v>3439821</v>
      </c>
    </row>
    <row r="3146" spans="1:9">
      <c r="A3146" s="2">
        <v>1978</v>
      </c>
      <c r="B3146">
        <v>34</v>
      </c>
      <c r="C3146">
        <v>2.9499999999999999E-3</v>
      </c>
      <c r="D3146">
        <v>2.9499999999999999E-3</v>
      </c>
      <c r="E3146">
        <v>0.5</v>
      </c>
      <c r="F3146">
        <v>93916</v>
      </c>
      <c r="G3146">
        <v>277</v>
      </c>
      <c r="H3146">
        <v>93778</v>
      </c>
      <c r="I3146">
        <v>3345771</v>
      </c>
    </row>
    <row r="3147" spans="1:9">
      <c r="A3147" s="2">
        <v>1978</v>
      </c>
      <c r="B3147">
        <v>35</v>
      </c>
      <c r="C3147">
        <v>2.9499999999999999E-3</v>
      </c>
      <c r="D3147">
        <v>2.9399999999999999E-3</v>
      </c>
      <c r="E3147">
        <v>0.5</v>
      </c>
      <c r="F3147">
        <v>93640</v>
      </c>
      <c r="G3147">
        <v>275</v>
      </c>
      <c r="H3147">
        <v>93502</v>
      </c>
      <c r="I3147">
        <v>3251993</v>
      </c>
    </row>
    <row r="3148" spans="1:9">
      <c r="A3148" s="2">
        <v>1978</v>
      </c>
      <c r="B3148">
        <v>36</v>
      </c>
      <c r="C3148">
        <v>3.3999999999999998E-3</v>
      </c>
      <c r="D3148">
        <v>3.3899999999999998E-3</v>
      </c>
      <c r="E3148">
        <v>0.5</v>
      </c>
      <c r="F3148">
        <v>93364</v>
      </c>
      <c r="G3148">
        <v>317</v>
      </c>
      <c r="H3148">
        <v>93206</v>
      </c>
      <c r="I3148">
        <v>3158491</v>
      </c>
    </row>
    <row r="3149" spans="1:9">
      <c r="A3149" s="2">
        <v>1978</v>
      </c>
      <c r="B3149">
        <v>37</v>
      </c>
      <c r="C3149">
        <v>3.46E-3</v>
      </c>
      <c r="D3149">
        <v>3.4499999999999999E-3</v>
      </c>
      <c r="E3149">
        <v>0.5</v>
      </c>
      <c r="F3149">
        <v>93048</v>
      </c>
      <c r="G3149">
        <v>321</v>
      </c>
      <c r="H3149">
        <v>92887</v>
      </c>
      <c r="I3149">
        <v>3065285</v>
      </c>
    </row>
    <row r="3150" spans="1:9">
      <c r="A3150" s="2">
        <v>1978</v>
      </c>
      <c r="B3150">
        <v>38</v>
      </c>
      <c r="C3150">
        <v>3.98E-3</v>
      </c>
      <c r="D3150">
        <v>3.9699999999999996E-3</v>
      </c>
      <c r="E3150">
        <v>0.5</v>
      </c>
      <c r="F3150">
        <v>92726</v>
      </c>
      <c r="G3150">
        <v>368</v>
      </c>
      <c r="H3150">
        <v>92542</v>
      </c>
      <c r="I3150">
        <v>2972398</v>
      </c>
    </row>
    <row r="3151" spans="1:9">
      <c r="A3151" s="2">
        <v>1978</v>
      </c>
      <c r="B3151">
        <v>39</v>
      </c>
      <c r="C3151">
        <v>4.4200000000000003E-3</v>
      </c>
      <c r="D3151">
        <v>4.4099999999999999E-3</v>
      </c>
      <c r="E3151">
        <v>0.5</v>
      </c>
      <c r="F3151">
        <v>92358</v>
      </c>
      <c r="G3151">
        <v>407</v>
      </c>
      <c r="H3151">
        <v>92154</v>
      </c>
      <c r="I3151">
        <v>2879856</v>
      </c>
    </row>
    <row r="3152" spans="1:9">
      <c r="A3152" s="2">
        <v>1978</v>
      </c>
      <c r="B3152">
        <v>40</v>
      </c>
      <c r="C3152">
        <v>4.3499999999999997E-3</v>
      </c>
      <c r="D3152">
        <v>4.3400000000000001E-3</v>
      </c>
      <c r="E3152">
        <v>0.5</v>
      </c>
      <c r="F3152">
        <v>91951</v>
      </c>
      <c r="G3152">
        <v>399</v>
      </c>
      <c r="H3152">
        <v>91751</v>
      </c>
      <c r="I3152">
        <v>2787702</v>
      </c>
    </row>
    <row r="3153" spans="1:9">
      <c r="A3153" s="2">
        <v>1978</v>
      </c>
      <c r="B3153">
        <v>41</v>
      </c>
      <c r="C3153">
        <v>5.3600000000000002E-3</v>
      </c>
      <c r="D3153">
        <v>5.3499999999999997E-3</v>
      </c>
      <c r="E3153">
        <v>0.5</v>
      </c>
      <c r="F3153">
        <v>91552</v>
      </c>
      <c r="G3153">
        <v>490</v>
      </c>
      <c r="H3153">
        <v>91307</v>
      </c>
      <c r="I3153">
        <v>2695950</v>
      </c>
    </row>
    <row r="3154" spans="1:9">
      <c r="A3154" s="2">
        <v>1978</v>
      </c>
      <c r="B3154">
        <v>42</v>
      </c>
      <c r="C3154">
        <v>5.3099999999999996E-3</v>
      </c>
      <c r="D3154">
        <v>5.3E-3</v>
      </c>
      <c r="E3154">
        <v>0.5</v>
      </c>
      <c r="F3154">
        <v>91062</v>
      </c>
      <c r="G3154">
        <v>483</v>
      </c>
      <c r="H3154">
        <v>90821</v>
      </c>
      <c r="I3154">
        <v>2604644</v>
      </c>
    </row>
    <row r="3155" spans="1:9">
      <c r="A3155" s="2">
        <v>1978</v>
      </c>
      <c r="B3155">
        <v>43</v>
      </c>
      <c r="C3155">
        <v>5.2900000000000004E-3</v>
      </c>
      <c r="D3155">
        <v>5.28E-3</v>
      </c>
      <c r="E3155">
        <v>0.5</v>
      </c>
      <c r="F3155">
        <v>90579</v>
      </c>
      <c r="G3155">
        <v>478</v>
      </c>
      <c r="H3155">
        <v>90340</v>
      </c>
      <c r="I3155">
        <v>2513823</v>
      </c>
    </row>
    <row r="3156" spans="1:9">
      <c r="A3156" s="2">
        <v>1978</v>
      </c>
      <c r="B3156">
        <v>44</v>
      </c>
      <c r="C3156">
        <v>6.28E-3</v>
      </c>
      <c r="D3156">
        <v>6.2599999999999999E-3</v>
      </c>
      <c r="E3156">
        <v>0.5</v>
      </c>
      <c r="F3156">
        <v>90101</v>
      </c>
      <c r="G3156">
        <v>564</v>
      </c>
      <c r="H3156">
        <v>89819</v>
      </c>
      <c r="I3156">
        <v>2423482</v>
      </c>
    </row>
    <row r="3157" spans="1:9">
      <c r="A3157" s="2">
        <v>1978</v>
      </c>
      <c r="B3157">
        <v>45</v>
      </c>
      <c r="C3157">
        <v>7.11E-3</v>
      </c>
      <c r="D3157">
        <v>7.0800000000000004E-3</v>
      </c>
      <c r="E3157">
        <v>0.5</v>
      </c>
      <c r="F3157">
        <v>89537</v>
      </c>
      <c r="G3157">
        <v>634</v>
      </c>
      <c r="H3157">
        <v>89220</v>
      </c>
      <c r="I3157">
        <v>2333663</v>
      </c>
    </row>
    <row r="3158" spans="1:9">
      <c r="A3158" s="2">
        <v>1978</v>
      </c>
      <c r="B3158">
        <v>46</v>
      </c>
      <c r="C3158">
        <v>7.5799999999999999E-3</v>
      </c>
      <c r="D3158">
        <v>7.5599999999999999E-3</v>
      </c>
      <c r="E3158">
        <v>0.5</v>
      </c>
      <c r="F3158">
        <v>88903</v>
      </c>
      <c r="G3158">
        <v>672</v>
      </c>
      <c r="H3158">
        <v>88567</v>
      </c>
      <c r="I3158">
        <v>2244444</v>
      </c>
    </row>
    <row r="3159" spans="1:9">
      <c r="A3159" s="2">
        <v>1978</v>
      </c>
      <c r="B3159">
        <v>47</v>
      </c>
      <c r="C3159">
        <v>8.8000000000000005E-3</v>
      </c>
      <c r="D3159">
        <v>8.7600000000000004E-3</v>
      </c>
      <c r="E3159">
        <v>0.5</v>
      </c>
      <c r="F3159">
        <v>88231</v>
      </c>
      <c r="G3159">
        <v>773</v>
      </c>
      <c r="H3159">
        <v>87845</v>
      </c>
      <c r="I3159">
        <v>2155877</v>
      </c>
    </row>
    <row r="3160" spans="1:9">
      <c r="A3160" s="2">
        <v>1978</v>
      </c>
      <c r="B3160">
        <v>48</v>
      </c>
      <c r="C3160">
        <v>8.6300000000000005E-3</v>
      </c>
      <c r="D3160">
        <v>8.6E-3</v>
      </c>
      <c r="E3160">
        <v>0.5</v>
      </c>
      <c r="F3160">
        <v>87458</v>
      </c>
      <c r="G3160">
        <v>752</v>
      </c>
      <c r="H3160">
        <v>87082</v>
      </c>
      <c r="I3160">
        <v>2068032</v>
      </c>
    </row>
    <row r="3161" spans="1:9">
      <c r="A3161" s="2">
        <v>1978</v>
      </c>
      <c r="B3161">
        <v>49</v>
      </c>
      <c r="C3161">
        <v>1.017E-2</v>
      </c>
      <c r="D3161">
        <v>1.0120000000000001E-2</v>
      </c>
      <c r="E3161">
        <v>0.5</v>
      </c>
      <c r="F3161">
        <v>86706</v>
      </c>
      <c r="G3161">
        <v>878</v>
      </c>
      <c r="H3161">
        <v>86268</v>
      </c>
      <c r="I3161">
        <v>1980950</v>
      </c>
    </row>
    <row r="3162" spans="1:9">
      <c r="A3162" s="2">
        <v>1978</v>
      </c>
      <c r="B3162">
        <v>50</v>
      </c>
      <c r="C3162">
        <v>1.008E-2</v>
      </c>
      <c r="D3162">
        <v>1.0030000000000001E-2</v>
      </c>
      <c r="E3162">
        <v>0.5</v>
      </c>
      <c r="F3162">
        <v>85829</v>
      </c>
      <c r="G3162">
        <v>860</v>
      </c>
      <c r="H3162">
        <v>85399</v>
      </c>
      <c r="I3162">
        <v>1894682</v>
      </c>
    </row>
    <row r="3163" spans="1:9">
      <c r="A3163" s="2">
        <v>1978</v>
      </c>
      <c r="B3163">
        <v>51</v>
      </c>
      <c r="C3163">
        <v>1.162E-2</v>
      </c>
      <c r="D3163">
        <v>1.155E-2</v>
      </c>
      <c r="E3163">
        <v>0.5</v>
      </c>
      <c r="F3163">
        <v>84968</v>
      </c>
      <c r="G3163">
        <v>981</v>
      </c>
      <c r="H3163">
        <v>84478</v>
      </c>
      <c r="I3163">
        <v>1809283</v>
      </c>
    </row>
    <row r="3164" spans="1:9">
      <c r="A3164" s="2">
        <v>1978</v>
      </c>
      <c r="B3164">
        <v>52</v>
      </c>
      <c r="C3164">
        <v>1.3390000000000001E-2</v>
      </c>
      <c r="D3164">
        <v>1.3310000000000001E-2</v>
      </c>
      <c r="E3164">
        <v>0.5</v>
      </c>
      <c r="F3164">
        <v>83987</v>
      </c>
      <c r="G3164">
        <v>1117</v>
      </c>
      <c r="H3164">
        <v>83428</v>
      </c>
      <c r="I3164">
        <v>1724806</v>
      </c>
    </row>
    <row r="3165" spans="1:9">
      <c r="A3165" s="2">
        <v>1978</v>
      </c>
      <c r="B3165">
        <v>53</v>
      </c>
      <c r="C3165">
        <v>1.3440000000000001E-2</v>
      </c>
      <c r="D3165">
        <v>1.3350000000000001E-2</v>
      </c>
      <c r="E3165">
        <v>0.5</v>
      </c>
      <c r="F3165">
        <v>82869</v>
      </c>
      <c r="G3165">
        <v>1107</v>
      </c>
      <c r="H3165">
        <v>82316</v>
      </c>
      <c r="I3165">
        <v>1641378</v>
      </c>
    </row>
    <row r="3166" spans="1:9">
      <c r="A3166" s="2">
        <v>1978</v>
      </c>
      <c r="B3166">
        <v>54</v>
      </c>
      <c r="C3166">
        <v>1.4880000000000001E-2</v>
      </c>
      <c r="D3166">
        <v>1.477E-2</v>
      </c>
      <c r="E3166">
        <v>0.5</v>
      </c>
      <c r="F3166">
        <v>81763</v>
      </c>
      <c r="G3166">
        <v>1207</v>
      </c>
      <c r="H3166">
        <v>81159</v>
      </c>
      <c r="I3166">
        <v>1559061</v>
      </c>
    </row>
    <row r="3167" spans="1:9">
      <c r="A3167" s="2">
        <v>1978</v>
      </c>
      <c r="B3167">
        <v>55</v>
      </c>
      <c r="C3167">
        <v>1.5959999999999998E-2</v>
      </c>
      <c r="D3167">
        <v>1.583E-2</v>
      </c>
      <c r="E3167">
        <v>0.5</v>
      </c>
      <c r="F3167">
        <v>80556</v>
      </c>
      <c r="G3167">
        <v>1276</v>
      </c>
      <c r="H3167">
        <v>79918</v>
      </c>
      <c r="I3167">
        <v>1477902</v>
      </c>
    </row>
    <row r="3168" spans="1:9">
      <c r="A3168" s="2">
        <v>1978</v>
      </c>
      <c r="B3168">
        <v>56</v>
      </c>
      <c r="C3168">
        <v>1.7469999999999999E-2</v>
      </c>
      <c r="D3168">
        <v>1.7319999999999999E-2</v>
      </c>
      <c r="E3168">
        <v>0.5</v>
      </c>
      <c r="F3168">
        <v>79280</v>
      </c>
      <c r="G3168">
        <v>1373</v>
      </c>
      <c r="H3168">
        <v>78593</v>
      </c>
      <c r="I3168">
        <v>1397984</v>
      </c>
    </row>
    <row r="3169" spans="1:9">
      <c r="A3169" s="2">
        <v>1978</v>
      </c>
      <c r="B3169">
        <v>57</v>
      </c>
      <c r="C3169">
        <v>1.7340000000000001E-2</v>
      </c>
      <c r="D3169">
        <v>1.719E-2</v>
      </c>
      <c r="E3169">
        <v>0.5</v>
      </c>
      <c r="F3169">
        <v>77907</v>
      </c>
      <c r="G3169">
        <v>1339</v>
      </c>
      <c r="H3169">
        <v>77237</v>
      </c>
      <c r="I3169">
        <v>1319391</v>
      </c>
    </row>
    <row r="3170" spans="1:9">
      <c r="A3170" s="2">
        <v>1978</v>
      </c>
      <c r="B3170">
        <v>58</v>
      </c>
      <c r="C3170">
        <v>2.1440000000000001E-2</v>
      </c>
      <c r="D3170">
        <v>2.121E-2</v>
      </c>
      <c r="E3170">
        <v>0.5</v>
      </c>
      <c r="F3170">
        <v>76567</v>
      </c>
      <c r="G3170">
        <v>1624</v>
      </c>
      <c r="H3170">
        <v>75755</v>
      </c>
      <c r="I3170">
        <v>1242154</v>
      </c>
    </row>
    <row r="3171" spans="1:9">
      <c r="A3171" s="2">
        <v>1978</v>
      </c>
      <c r="B3171">
        <v>59</v>
      </c>
      <c r="C3171">
        <v>1.9439999999999999E-2</v>
      </c>
      <c r="D3171">
        <v>1.925E-2</v>
      </c>
      <c r="E3171">
        <v>0.5</v>
      </c>
      <c r="F3171">
        <v>74943</v>
      </c>
      <c r="G3171">
        <v>1443</v>
      </c>
      <c r="H3171">
        <v>74222</v>
      </c>
      <c r="I3171">
        <v>1166398</v>
      </c>
    </row>
    <row r="3172" spans="1:9">
      <c r="A3172" s="2">
        <v>1978</v>
      </c>
      <c r="B3172">
        <v>60</v>
      </c>
      <c r="C3172">
        <v>2.273E-2</v>
      </c>
      <c r="D3172">
        <v>2.248E-2</v>
      </c>
      <c r="E3172">
        <v>0.5</v>
      </c>
      <c r="F3172">
        <v>73500</v>
      </c>
      <c r="G3172">
        <v>1652</v>
      </c>
      <c r="H3172">
        <v>72674</v>
      </c>
      <c r="I3172">
        <v>1092177</v>
      </c>
    </row>
    <row r="3173" spans="1:9">
      <c r="A3173" s="2">
        <v>1978</v>
      </c>
      <c r="B3173">
        <v>61</v>
      </c>
      <c r="C3173">
        <v>2.5329999999999998E-2</v>
      </c>
      <c r="D3173">
        <v>2.5010000000000001E-2</v>
      </c>
      <c r="E3173">
        <v>0.5</v>
      </c>
      <c r="F3173">
        <v>71848</v>
      </c>
      <c r="G3173">
        <v>1797</v>
      </c>
      <c r="H3173">
        <v>70950</v>
      </c>
      <c r="I3173">
        <v>1019503</v>
      </c>
    </row>
    <row r="3174" spans="1:9">
      <c r="A3174" s="2">
        <v>1978</v>
      </c>
      <c r="B3174">
        <v>62</v>
      </c>
      <c r="C3174">
        <v>2.7289999999999998E-2</v>
      </c>
      <c r="D3174">
        <v>2.6919999999999999E-2</v>
      </c>
      <c r="E3174">
        <v>0.5</v>
      </c>
      <c r="F3174">
        <v>70051</v>
      </c>
      <c r="G3174">
        <v>1886</v>
      </c>
      <c r="H3174">
        <v>69108</v>
      </c>
      <c r="I3174">
        <v>948553</v>
      </c>
    </row>
    <row r="3175" spans="1:9">
      <c r="A3175" s="2">
        <v>1978</v>
      </c>
      <c r="B3175">
        <v>63</v>
      </c>
      <c r="C3175">
        <v>3.218E-2</v>
      </c>
      <c r="D3175">
        <v>3.1669999999999997E-2</v>
      </c>
      <c r="E3175">
        <v>0.5</v>
      </c>
      <c r="F3175">
        <v>68165</v>
      </c>
      <c r="G3175">
        <v>2159</v>
      </c>
      <c r="H3175">
        <v>67086</v>
      </c>
      <c r="I3175">
        <v>879445</v>
      </c>
    </row>
    <row r="3176" spans="1:9">
      <c r="A3176" s="2">
        <v>1978</v>
      </c>
      <c r="B3176">
        <v>64</v>
      </c>
      <c r="C3176">
        <v>3.4040000000000001E-2</v>
      </c>
      <c r="D3176">
        <v>3.347E-2</v>
      </c>
      <c r="E3176">
        <v>0.5</v>
      </c>
      <c r="F3176">
        <v>66006</v>
      </c>
      <c r="G3176">
        <v>2209</v>
      </c>
      <c r="H3176">
        <v>64902</v>
      </c>
      <c r="I3176">
        <v>812359</v>
      </c>
    </row>
    <row r="3177" spans="1:9">
      <c r="A3177" s="2">
        <v>1978</v>
      </c>
      <c r="B3177">
        <v>65</v>
      </c>
      <c r="C3177">
        <v>3.6839999999999998E-2</v>
      </c>
      <c r="D3177">
        <v>3.6170000000000001E-2</v>
      </c>
      <c r="E3177">
        <v>0.5</v>
      </c>
      <c r="F3177">
        <v>63797</v>
      </c>
      <c r="G3177">
        <v>2308</v>
      </c>
      <c r="H3177">
        <v>62643</v>
      </c>
      <c r="I3177">
        <v>747457</v>
      </c>
    </row>
    <row r="3178" spans="1:9">
      <c r="A3178" s="2">
        <v>1978</v>
      </c>
      <c r="B3178">
        <v>66</v>
      </c>
      <c r="C3178">
        <v>3.9269999999999999E-2</v>
      </c>
      <c r="D3178">
        <v>3.8519999999999999E-2</v>
      </c>
      <c r="E3178">
        <v>0.5</v>
      </c>
      <c r="F3178">
        <v>61489</v>
      </c>
      <c r="G3178">
        <v>2368</v>
      </c>
      <c r="H3178">
        <v>60305</v>
      </c>
      <c r="I3178">
        <v>684814</v>
      </c>
    </row>
    <row r="3179" spans="1:9">
      <c r="A3179" s="2">
        <v>1978</v>
      </c>
      <c r="B3179">
        <v>67</v>
      </c>
      <c r="C3179">
        <v>4.2790000000000002E-2</v>
      </c>
      <c r="D3179">
        <v>4.19E-2</v>
      </c>
      <c r="E3179">
        <v>0.5</v>
      </c>
      <c r="F3179">
        <v>59121</v>
      </c>
      <c r="G3179">
        <v>2477</v>
      </c>
      <c r="H3179">
        <v>57882</v>
      </c>
      <c r="I3179">
        <v>624509</v>
      </c>
    </row>
    <row r="3180" spans="1:9">
      <c r="A3180" s="2">
        <v>1978</v>
      </c>
      <c r="B3180">
        <v>68</v>
      </c>
      <c r="C3180">
        <v>4.7480000000000001E-2</v>
      </c>
      <c r="D3180">
        <v>4.6379999999999998E-2</v>
      </c>
      <c r="E3180">
        <v>0.5</v>
      </c>
      <c r="F3180">
        <v>56644</v>
      </c>
      <c r="G3180">
        <v>2627</v>
      </c>
      <c r="H3180">
        <v>55331</v>
      </c>
      <c r="I3180">
        <v>566626</v>
      </c>
    </row>
    <row r="3181" spans="1:9">
      <c r="A3181" s="2">
        <v>1978</v>
      </c>
      <c r="B3181">
        <v>69</v>
      </c>
      <c r="C3181">
        <v>5.323E-2</v>
      </c>
      <c r="D3181">
        <v>5.185E-2</v>
      </c>
      <c r="E3181">
        <v>0.5</v>
      </c>
      <c r="F3181">
        <v>54017</v>
      </c>
      <c r="G3181">
        <v>2801</v>
      </c>
      <c r="H3181">
        <v>52617</v>
      </c>
      <c r="I3181">
        <v>511296</v>
      </c>
    </row>
    <row r="3182" spans="1:9">
      <c r="A3182" s="2">
        <v>1978</v>
      </c>
      <c r="B3182">
        <v>70</v>
      </c>
      <c r="C3182">
        <v>5.79E-2</v>
      </c>
      <c r="D3182">
        <v>5.6270000000000001E-2</v>
      </c>
      <c r="E3182">
        <v>0.5</v>
      </c>
      <c r="F3182">
        <v>51216</v>
      </c>
      <c r="G3182">
        <v>2882</v>
      </c>
      <c r="H3182">
        <v>49775</v>
      </c>
      <c r="I3182">
        <v>458679</v>
      </c>
    </row>
    <row r="3183" spans="1:9">
      <c r="A3183" s="2">
        <v>1978</v>
      </c>
      <c r="B3183">
        <v>71</v>
      </c>
      <c r="C3183">
        <v>6.4409999999999995E-2</v>
      </c>
      <c r="D3183">
        <v>6.2399999999999997E-2</v>
      </c>
      <c r="E3183">
        <v>0.5</v>
      </c>
      <c r="F3183">
        <v>48334</v>
      </c>
      <c r="G3183">
        <v>3016</v>
      </c>
      <c r="H3183">
        <v>46826</v>
      </c>
      <c r="I3183">
        <v>408904</v>
      </c>
    </row>
    <row r="3184" spans="1:9">
      <c r="A3184" s="2">
        <v>1978</v>
      </c>
      <c r="B3184">
        <v>72</v>
      </c>
      <c r="C3184">
        <v>7.1379999999999999E-2</v>
      </c>
      <c r="D3184">
        <v>6.8919999999999995E-2</v>
      </c>
      <c r="E3184">
        <v>0.5</v>
      </c>
      <c r="F3184">
        <v>45318</v>
      </c>
      <c r="G3184">
        <v>3123</v>
      </c>
      <c r="H3184">
        <v>43757</v>
      </c>
      <c r="I3184">
        <v>362078</v>
      </c>
    </row>
    <row r="3185" spans="1:9">
      <c r="A3185" s="2">
        <v>1978</v>
      </c>
      <c r="B3185">
        <v>73</v>
      </c>
      <c r="C3185">
        <v>7.8189999999999996E-2</v>
      </c>
      <c r="D3185">
        <v>7.5249999999999997E-2</v>
      </c>
      <c r="E3185">
        <v>0.5</v>
      </c>
      <c r="F3185">
        <v>42195</v>
      </c>
      <c r="G3185">
        <v>3175</v>
      </c>
      <c r="H3185">
        <v>40607</v>
      </c>
      <c r="I3185">
        <v>318321</v>
      </c>
    </row>
    <row r="3186" spans="1:9">
      <c r="A3186" s="2">
        <v>1978</v>
      </c>
      <c r="B3186">
        <v>74</v>
      </c>
      <c r="C3186">
        <v>8.6169999999999997E-2</v>
      </c>
      <c r="D3186">
        <v>8.2610000000000003E-2</v>
      </c>
      <c r="E3186">
        <v>0.5</v>
      </c>
      <c r="F3186">
        <v>39020</v>
      </c>
      <c r="G3186">
        <v>3223</v>
      </c>
      <c r="H3186">
        <v>37408</v>
      </c>
      <c r="I3186">
        <v>277714</v>
      </c>
    </row>
    <row r="3187" spans="1:9">
      <c r="A3187" s="2">
        <v>1978</v>
      </c>
      <c r="B3187">
        <v>75</v>
      </c>
      <c r="C3187">
        <v>9.6689999999999998E-2</v>
      </c>
      <c r="D3187">
        <v>9.2230000000000006E-2</v>
      </c>
      <c r="E3187">
        <v>0.5</v>
      </c>
      <c r="F3187">
        <v>35796</v>
      </c>
      <c r="G3187">
        <v>3302</v>
      </c>
      <c r="H3187">
        <v>34146</v>
      </c>
      <c r="I3187">
        <v>240306</v>
      </c>
    </row>
    <row r="3188" spans="1:9">
      <c r="A3188" s="2">
        <v>1978</v>
      </c>
      <c r="B3188">
        <v>76</v>
      </c>
      <c r="C3188">
        <v>0.10488</v>
      </c>
      <c r="D3188">
        <v>9.9650000000000002E-2</v>
      </c>
      <c r="E3188">
        <v>0.5</v>
      </c>
      <c r="F3188">
        <v>32495</v>
      </c>
      <c r="G3188">
        <v>3238</v>
      </c>
      <c r="H3188">
        <v>30876</v>
      </c>
      <c r="I3188">
        <v>206160</v>
      </c>
    </row>
    <row r="3189" spans="1:9">
      <c r="A3189" s="2">
        <v>1978</v>
      </c>
      <c r="B3189">
        <v>77</v>
      </c>
      <c r="C3189">
        <v>0.11405999999999999</v>
      </c>
      <c r="D3189">
        <v>0.10791000000000001</v>
      </c>
      <c r="E3189">
        <v>0.5</v>
      </c>
      <c r="F3189">
        <v>29257</v>
      </c>
      <c r="G3189">
        <v>3157</v>
      </c>
      <c r="H3189">
        <v>27678</v>
      </c>
      <c r="I3189">
        <v>175284</v>
      </c>
    </row>
    <row r="3190" spans="1:9">
      <c r="A3190" s="2">
        <v>1978</v>
      </c>
      <c r="B3190">
        <v>78</v>
      </c>
      <c r="C3190">
        <v>0.1231</v>
      </c>
      <c r="D3190">
        <v>0.11597</v>
      </c>
      <c r="E3190">
        <v>0.5</v>
      </c>
      <c r="F3190">
        <v>26100</v>
      </c>
      <c r="G3190">
        <v>3027</v>
      </c>
      <c r="H3190">
        <v>24586</v>
      </c>
      <c r="I3190">
        <v>147606</v>
      </c>
    </row>
    <row r="3191" spans="1:9">
      <c r="A3191" s="2">
        <v>1978</v>
      </c>
      <c r="B3191">
        <v>79</v>
      </c>
      <c r="C3191">
        <v>0.12970000000000001</v>
      </c>
      <c r="D3191">
        <v>0.12180000000000001</v>
      </c>
      <c r="E3191">
        <v>0.5</v>
      </c>
      <c r="F3191">
        <v>23073</v>
      </c>
      <c r="G3191">
        <v>2810</v>
      </c>
      <c r="H3191">
        <v>21668</v>
      </c>
      <c r="I3191">
        <v>123020</v>
      </c>
    </row>
    <row r="3192" spans="1:9">
      <c r="A3192" s="2">
        <v>1978</v>
      </c>
      <c r="B3192">
        <v>80</v>
      </c>
      <c r="C3192">
        <v>0.14224999999999999</v>
      </c>
      <c r="D3192">
        <v>0.1328</v>
      </c>
      <c r="E3192">
        <v>0.5</v>
      </c>
      <c r="F3192">
        <v>20263</v>
      </c>
      <c r="G3192">
        <v>2691</v>
      </c>
      <c r="H3192">
        <v>18917</v>
      </c>
      <c r="I3192">
        <v>101352</v>
      </c>
    </row>
    <row r="3193" spans="1:9">
      <c r="A3193" s="2">
        <v>1978</v>
      </c>
      <c r="B3193">
        <v>81</v>
      </c>
      <c r="C3193">
        <v>0.16238</v>
      </c>
      <c r="D3193">
        <v>0.15018000000000001</v>
      </c>
      <c r="E3193">
        <v>0.5</v>
      </c>
      <c r="F3193">
        <v>17572</v>
      </c>
      <c r="G3193">
        <v>2639</v>
      </c>
      <c r="H3193">
        <v>16252</v>
      </c>
      <c r="I3193">
        <v>82435</v>
      </c>
    </row>
    <row r="3194" spans="1:9">
      <c r="A3194" s="2">
        <v>1978</v>
      </c>
      <c r="B3194">
        <v>82</v>
      </c>
      <c r="C3194">
        <v>0.16742000000000001</v>
      </c>
      <c r="D3194">
        <v>0.15448999999999999</v>
      </c>
      <c r="E3194">
        <v>0.5</v>
      </c>
      <c r="F3194">
        <v>14933</v>
      </c>
      <c r="G3194">
        <v>2307</v>
      </c>
      <c r="H3194">
        <v>13779</v>
      </c>
      <c r="I3194">
        <v>66183</v>
      </c>
    </row>
    <row r="3195" spans="1:9">
      <c r="A3195" s="2">
        <v>1978</v>
      </c>
      <c r="B3195">
        <v>83</v>
      </c>
      <c r="C3195">
        <v>0.18447</v>
      </c>
      <c r="D3195">
        <v>0.16889000000000001</v>
      </c>
      <c r="E3195">
        <v>0.5</v>
      </c>
      <c r="F3195">
        <v>12626</v>
      </c>
      <c r="G3195">
        <v>2132</v>
      </c>
      <c r="H3195">
        <v>11560</v>
      </c>
      <c r="I3195">
        <v>52404</v>
      </c>
    </row>
    <row r="3196" spans="1:9">
      <c r="A3196" s="2">
        <v>1978</v>
      </c>
      <c r="B3196">
        <v>84</v>
      </c>
      <c r="C3196">
        <v>0.21132999999999999</v>
      </c>
      <c r="D3196">
        <v>0.19112999999999999</v>
      </c>
      <c r="E3196">
        <v>0.5</v>
      </c>
      <c r="F3196">
        <v>10493</v>
      </c>
      <c r="G3196">
        <v>2006</v>
      </c>
      <c r="H3196">
        <v>9491</v>
      </c>
      <c r="I3196">
        <v>40844</v>
      </c>
    </row>
    <row r="3197" spans="1:9">
      <c r="A3197" s="2">
        <v>1978</v>
      </c>
      <c r="B3197">
        <v>85</v>
      </c>
      <c r="C3197">
        <v>0.21893000000000001</v>
      </c>
      <c r="D3197">
        <v>0.19733000000000001</v>
      </c>
      <c r="E3197">
        <v>0.5</v>
      </c>
      <c r="F3197">
        <v>8488</v>
      </c>
      <c r="G3197">
        <v>1675</v>
      </c>
      <c r="H3197">
        <v>7650</v>
      </c>
      <c r="I3197">
        <v>31354</v>
      </c>
    </row>
    <row r="3198" spans="1:9">
      <c r="A3198" s="2">
        <v>1978</v>
      </c>
      <c r="B3198">
        <v>86</v>
      </c>
      <c r="C3198">
        <v>0.22106000000000001</v>
      </c>
      <c r="D3198">
        <v>0.19905999999999999</v>
      </c>
      <c r="E3198">
        <v>0.5</v>
      </c>
      <c r="F3198">
        <v>6813</v>
      </c>
      <c r="G3198">
        <v>1356</v>
      </c>
      <c r="H3198">
        <v>6135</v>
      </c>
      <c r="I3198">
        <v>23703</v>
      </c>
    </row>
    <row r="3199" spans="1:9">
      <c r="A3199" s="2">
        <v>1978</v>
      </c>
      <c r="B3199">
        <v>87</v>
      </c>
      <c r="C3199">
        <v>0.25822000000000001</v>
      </c>
      <c r="D3199">
        <v>0.22869999999999999</v>
      </c>
      <c r="E3199">
        <v>0.5</v>
      </c>
      <c r="F3199">
        <v>5457</v>
      </c>
      <c r="G3199">
        <v>1248</v>
      </c>
      <c r="H3199">
        <v>4833</v>
      </c>
      <c r="I3199">
        <v>17568</v>
      </c>
    </row>
    <row r="3200" spans="1:9">
      <c r="A3200" s="2">
        <v>1978</v>
      </c>
      <c r="B3200">
        <v>88</v>
      </c>
      <c r="C3200">
        <v>0.27524999999999999</v>
      </c>
      <c r="D3200">
        <v>0.24196000000000001</v>
      </c>
      <c r="E3200">
        <v>0.5</v>
      </c>
      <c r="F3200">
        <v>4209</v>
      </c>
      <c r="G3200">
        <v>1018</v>
      </c>
      <c r="H3200">
        <v>3700</v>
      </c>
      <c r="I3200">
        <v>12736</v>
      </c>
    </row>
    <row r="3201" spans="1:9">
      <c r="A3201" s="2">
        <v>1978</v>
      </c>
      <c r="B3201">
        <v>89</v>
      </c>
      <c r="C3201">
        <v>0.28804999999999997</v>
      </c>
      <c r="D3201">
        <v>0.25178</v>
      </c>
      <c r="E3201">
        <v>0.5</v>
      </c>
      <c r="F3201">
        <v>3190</v>
      </c>
      <c r="G3201">
        <v>803</v>
      </c>
      <c r="H3201">
        <v>2789</v>
      </c>
      <c r="I3201">
        <v>9036</v>
      </c>
    </row>
    <row r="3202" spans="1:9">
      <c r="A3202" s="2">
        <v>1978</v>
      </c>
      <c r="B3202">
        <v>90</v>
      </c>
      <c r="C3202">
        <v>0.32556000000000002</v>
      </c>
      <c r="D3202">
        <v>0.27998000000000001</v>
      </c>
      <c r="E3202">
        <v>0.5</v>
      </c>
      <c r="F3202">
        <v>2387</v>
      </c>
      <c r="G3202">
        <v>668</v>
      </c>
      <c r="H3202">
        <v>2053</v>
      </c>
      <c r="I3202">
        <v>6247</v>
      </c>
    </row>
    <row r="3203" spans="1:9">
      <c r="A3203" s="2">
        <v>1978</v>
      </c>
      <c r="B3203">
        <v>91</v>
      </c>
      <c r="C3203">
        <v>0.33488000000000001</v>
      </c>
      <c r="D3203">
        <v>0.28684999999999999</v>
      </c>
      <c r="E3203">
        <v>0.5</v>
      </c>
      <c r="F3203">
        <v>1719</v>
      </c>
      <c r="G3203">
        <v>493</v>
      </c>
      <c r="H3203">
        <v>1472</v>
      </c>
      <c r="I3203">
        <v>4194</v>
      </c>
    </row>
    <row r="3204" spans="1:9">
      <c r="A3204" s="2">
        <v>1978</v>
      </c>
      <c r="B3204">
        <v>92</v>
      </c>
      <c r="C3204">
        <v>0.43769999999999998</v>
      </c>
      <c r="D3204">
        <v>0.35910999999999998</v>
      </c>
      <c r="E3204">
        <v>0.5</v>
      </c>
      <c r="F3204">
        <v>1226</v>
      </c>
      <c r="G3204">
        <v>440</v>
      </c>
      <c r="H3204">
        <v>1006</v>
      </c>
      <c r="I3204">
        <v>2722</v>
      </c>
    </row>
    <row r="3205" spans="1:9">
      <c r="A3205" s="2">
        <v>1978</v>
      </c>
      <c r="B3205">
        <v>93</v>
      </c>
      <c r="C3205">
        <v>0.43617</v>
      </c>
      <c r="D3205">
        <v>0.35808000000000001</v>
      </c>
      <c r="E3205">
        <v>0.5</v>
      </c>
      <c r="F3205">
        <v>786</v>
      </c>
      <c r="G3205">
        <v>281</v>
      </c>
      <c r="H3205">
        <v>645</v>
      </c>
      <c r="I3205">
        <v>1716</v>
      </c>
    </row>
    <row r="3206" spans="1:9">
      <c r="A3206" s="2">
        <v>1978</v>
      </c>
      <c r="B3206">
        <v>94</v>
      </c>
      <c r="C3206">
        <v>0.44217000000000001</v>
      </c>
      <c r="D3206">
        <v>0.36210999999999999</v>
      </c>
      <c r="E3206">
        <v>0.5</v>
      </c>
      <c r="F3206">
        <v>504</v>
      </c>
      <c r="G3206">
        <v>183</v>
      </c>
      <c r="H3206">
        <v>413</v>
      </c>
      <c r="I3206">
        <v>1072</v>
      </c>
    </row>
    <row r="3207" spans="1:9">
      <c r="A3207" s="2">
        <v>1978</v>
      </c>
      <c r="B3207">
        <v>95</v>
      </c>
      <c r="C3207">
        <v>0.45162000000000002</v>
      </c>
      <c r="D3207">
        <v>0.36842999999999998</v>
      </c>
      <c r="E3207">
        <v>0.5</v>
      </c>
      <c r="F3207">
        <v>322</v>
      </c>
      <c r="G3207">
        <v>119</v>
      </c>
      <c r="H3207">
        <v>262</v>
      </c>
      <c r="I3207">
        <v>659</v>
      </c>
    </row>
    <row r="3208" spans="1:9">
      <c r="A3208" s="2">
        <v>1978</v>
      </c>
      <c r="B3208">
        <v>96</v>
      </c>
      <c r="C3208">
        <v>0.47813</v>
      </c>
      <c r="D3208">
        <v>0.38588</v>
      </c>
      <c r="E3208">
        <v>0.5</v>
      </c>
      <c r="F3208">
        <v>203</v>
      </c>
      <c r="G3208">
        <v>78</v>
      </c>
      <c r="H3208">
        <v>164</v>
      </c>
      <c r="I3208">
        <v>396</v>
      </c>
    </row>
    <row r="3209" spans="1:9">
      <c r="A3209" s="2">
        <v>1978</v>
      </c>
      <c r="B3209">
        <v>97</v>
      </c>
      <c r="C3209">
        <v>0.50477000000000005</v>
      </c>
      <c r="D3209">
        <v>0.40304000000000001</v>
      </c>
      <c r="E3209">
        <v>0.5</v>
      </c>
      <c r="F3209">
        <v>125</v>
      </c>
      <c r="G3209">
        <v>50</v>
      </c>
      <c r="H3209">
        <v>100</v>
      </c>
      <c r="I3209">
        <v>232</v>
      </c>
    </row>
    <row r="3210" spans="1:9">
      <c r="A3210" s="2">
        <v>1978</v>
      </c>
      <c r="B3210">
        <v>98</v>
      </c>
      <c r="C3210">
        <v>0.53137000000000001</v>
      </c>
      <c r="D3210">
        <v>0.41982999999999998</v>
      </c>
      <c r="E3210">
        <v>0.5</v>
      </c>
      <c r="F3210">
        <v>74</v>
      </c>
      <c r="G3210">
        <v>31</v>
      </c>
      <c r="H3210">
        <v>59</v>
      </c>
      <c r="I3210">
        <v>133</v>
      </c>
    </row>
    <row r="3211" spans="1:9">
      <c r="A3211" s="2">
        <v>1978</v>
      </c>
      <c r="B3211">
        <v>99</v>
      </c>
      <c r="C3211">
        <v>0.55779999999999996</v>
      </c>
      <c r="D3211">
        <v>0.43614999999999998</v>
      </c>
      <c r="E3211">
        <v>0.5</v>
      </c>
      <c r="F3211">
        <v>43</v>
      </c>
      <c r="G3211">
        <v>19</v>
      </c>
      <c r="H3211">
        <v>34</v>
      </c>
      <c r="I3211">
        <v>74</v>
      </c>
    </row>
    <row r="3212" spans="1:9">
      <c r="A3212" s="2">
        <v>1978</v>
      </c>
      <c r="B3212">
        <v>100</v>
      </c>
      <c r="C3212">
        <v>0.58389999999999997</v>
      </c>
      <c r="D3212">
        <v>0.45195000000000002</v>
      </c>
      <c r="E3212">
        <v>0.5</v>
      </c>
      <c r="F3212">
        <v>24</v>
      </c>
      <c r="G3212">
        <v>11</v>
      </c>
      <c r="H3212">
        <v>19</v>
      </c>
      <c r="I3212">
        <v>40</v>
      </c>
    </row>
    <row r="3213" spans="1:9">
      <c r="A3213" s="2">
        <v>1978</v>
      </c>
      <c r="B3213">
        <v>101</v>
      </c>
      <c r="C3213">
        <v>0.60953999999999997</v>
      </c>
      <c r="D3213">
        <v>0.46716999999999997</v>
      </c>
      <c r="E3213">
        <v>0.5</v>
      </c>
      <c r="F3213">
        <v>13</v>
      </c>
      <c r="G3213">
        <v>6</v>
      </c>
      <c r="H3213">
        <v>10</v>
      </c>
      <c r="I3213">
        <v>21</v>
      </c>
    </row>
    <row r="3214" spans="1:9">
      <c r="A3214" s="2">
        <v>1978</v>
      </c>
      <c r="B3214">
        <v>102</v>
      </c>
      <c r="C3214">
        <v>0.63460000000000005</v>
      </c>
      <c r="D3214">
        <v>0.48174</v>
      </c>
      <c r="E3214">
        <v>0.5</v>
      </c>
      <c r="F3214">
        <v>7</v>
      </c>
      <c r="G3214">
        <v>3</v>
      </c>
      <c r="H3214">
        <v>5</v>
      </c>
      <c r="I3214">
        <v>11</v>
      </c>
    </row>
    <row r="3215" spans="1:9">
      <c r="A3215" s="2">
        <v>1978</v>
      </c>
      <c r="B3215">
        <v>103</v>
      </c>
      <c r="C3215">
        <v>0.65893999999999997</v>
      </c>
      <c r="D3215">
        <v>0.49564000000000002</v>
      </c>
      <c r="E3215">
        <v>0.5</v>
      </c>
      <c r="F3215">
        <v>4</v>
      </c>
      <c r="G3215">
        <v>2</v>
      </c>
      <c r="H3215">
        <v>3</v>
      </c>
      <c r="I3215">
        <v>5</v>
      </c>
    </row>
    <row r="3216" spans="1:9">
      <c r="A3216" s="2">
        <v>1978</v>
      </c>
      <c r="B3216">
        <v>104</v>
      </c>
      <c r="C3216">
        <v>0.68247000000000002</v>
      </c>
      <c r="D3216">
        <v>0.50883999999999996</v>
      </c>
      <c r="E3216">
        <v>0.5</v>
      </c>
      <c r="F3216">
        <v>2</v>
      </c>
      <c r="G3216">
        <v>1</v>
      </c>
      <c r="H3216">
        <v>1</v>
      </c>
      <c r="I3216">
        <v>3</v>
      </c>
    </row>
    <row r="3217" spans="1:9">
      <c r="A3217" s="2">
        <v>1978</v>
      </c>
      <c r="B3217">
        <v>105</v>
      </c>
      <c r="C3217">
        <v>0.70511000000000001</v>
      </c>
      <c r="D3217">
        <v>0.52132000000000001</v>
      </c>
      <c r="E3217">
        <v>0.5</v>
      </c>
      <c r="F3217">
        <v>1</v>
      </c>
      <c r="G3217">
        <v>0</v>
      </c>
      <c r="H3217">
        <v>1</v>
      </c>
      <c r="I3217">
        <v>1</v>
      </c>
    </row>
    <row r="3218" spans="1:9">
      <c r="A3218" s="2">
        <v>1978</v>
      </c>
      <c r="B3218">
        <v>106</v>
      </c>
      <c r="C3218">
        <v>0.72677000000000003</v>
      </c>
      <c r="D3218">
        <v>0.53307000000000004</v>
      </c>
      <c r="E3218">
        <v>0.5</v>
      </c>
      <c r="F3218">
        <v>0</v>
      </c>
      <c r="G3218">
        <v>0</v>
      </c>
      <c r="H3218">
        <v>0</v>
      </c>
      <c r="I3218">
        <v>1</v>
      </c>
    </row>
    <row r="3219" spans="1:9">
      <c r="A3219" s="2">
        <v>1978</v>
      </c>
      <c r="B3219">
        <v>107</v>
      </c>
      <c r="C3219">
        <v>0.74741999999999997</v>
      </c>
      <c r="D3219">
        <v>0.54408999999999996</v>
      </c>
      <c r="E3219">
        <v>0.5</v>
      </c>
      <c r="F3219">
        <v>0</v>
      </c>
      <c r="G3219">
        <v>0</v>
      </c>
      <c r="H3219">
        <v>0</v>
      </c>
      <c r="I3219">
        <v>0</v>
      </c>
    </row>
    <row r="3220" spans="1:9">
      <c r="A3220" s="2">
        <v>1978</v>
      </c>
      <c r="B3220">
        <v>108</v>
      </c>
      <c r="C3220">
        <v>0.76700999999999997</v>
      </c>
      <c r="D3220">
        <v>0.55439000000000005</v>
      </c>
      <c r="E3220">
        <v>0.5</v>
      </c>
      <c r="F3220">
        <v>0</v>
      </c>
      <c r="G3220">
        <v>0</v>
      </c>
      <c r="H3220">
        <v>0</v>
      </c>
      <c r="I3220">
        <v>0</v>
      </c>
    </row>
    <row r="3221" spans="1:9">
      <c r="A3221" s="2">
        <v>1978</v>
      </c>
      <c r="B3221">
        <v>109</v>
      </c>
      <c r="C3221">
        <v>0.78551000000000004</v>
      </c>
      <c r="D3221">
        <v>0.56399999999999995</v>
      </c>
      <c r="E3221">
        <v>0.5</v>
      </c>
      <c r="F3221">
        <v>0</v>
      </c>
      <c r="G3221">
        <v>0</v>
      </c>
      <c r="H3221">
        <v>0</v>
      </c>
      <c r="I3221">
        <v>0</v>
      </c>
    </row>
    <row r="3222" spans="1:9">
      <c r="A3222" s="2">
        <v>1978</v>
      </c>
      <c r="B3222" t="s">
        <v>26</v>
      </c>
      <c r="C3222">
        <v>0.80291999999999997</v>
      </c>
      <c r="D3222">
        <v>1</v>
      </c>
      <c r="E3222" s="3" t="s">
        <v>39</v>
      </c>
      <c r="F3222">
        <v>0</v>
      </c>
      <c r="G3222">
        <v>0</v>
      </c>
      <c r="H3222">
        <v>0</v>
      </c>
      <c r="I3222">
        <v>0</v>
      </c>
    </row>
    <row r="3223" spans="1:9">
      <c r="A3223" s="2">
        <v>1979</v>
      </c>
      <c r="B3223">
        <v>0</v>
      </c>
      <c r="C3223">
        <v>2.6599999999999999E-2</v>
      </c>
      <c r="D3223">
        <v>2.598E-2</v>
      </c>
      <c r="E3223">
        <v>0.12</v>
      </c>
      <c r="F3223">
        <v>100000</v>
      </c>
      <c r="G3223">
        <v>2598</v>
      </c>
      <c r="H3223">
        <v>97700</v>
      </c>
      <c r="I3223">
        <v>6621987</v>
      </c>
    </row>
    <row r="3224" spans="1:9">
      <c r="A3224" s="2">
        <v>1979</v>
      </c>
      <c r="B3224">
        <v>1</v>
      </c>
      <c r="C3224">
        <v>1.07E-3</v>
      </c>
      <c r="D3224">
        <v>1.07E-3</v>
      </c>
      <c r="E3224">
        <v>0.5</v>
      </c>
      <c r="F3224">
        <v>97402</v>
      </c>
      <c r="G3224">
        <v>104</v>
      </c>
      <c r="H3224">
        <v>97349</v>
      </c>
      <c r="I3224">
        <v>6524286</v>
      </c>
    </row>
    <row r="3225" spans="1:9">
      <c r="A3225" s="2">
        <v>1979</v>
      </c>
      <c r="B3225">
        <v>2</v>
      </c>
      <c r="C3225">
        <v>6.6E-4</v>
      </c>
      <c r="D3225">
        <v>6.6E-4</v>
      </c>
      <c r="E3225">
        <v>0.5</v>
      </c>
      <c r="F3225">
        <v>97297</v>
      </c>
      <c r="G3225">
        <v>64</v>
      </c>
      <c r="H3225">
        <v>97265</v>
      </c>
      <c r="I3225">
        <v>6426937</v>
      </c>
    </row>
    <row r="3226" spans="1:9">
      <c r="A3226" s="2">
        <v>1979</v>
      </c>
      <c r="B3226">
        <v>3</v>
      </c>
      <c r="C3226">
        <v>4.0000000000000002E-4</v>
      </c>
      <c r="D3226">
        <v>4.0000000000000002E-4</v>
      </c>
      <c r="E3226">
        <v>0.5</v>
      </c>
      <c r="F3226">
        <v>97233</v>
      </c>
      <c r="G3226">
        <v>39</v>
      </c>
      <c r="H3226">
        <v>97213</v>
      </c>
      <c r="I3226">
        <v>6329672</v>
      </c>
    </row>
    <row r="3227" spans="1:9">
      <c r="A3227" s="2">
        <v>1979</v>
      </c>
      <c r="B3227">
        <v>4</v>
      </c>
      <c r="C3227">
        <v>4.6000000000000001E-4</v>
      </c>
      <c r="D3227">
        <v>4.6000000000000001E-4</v>
      </c>
      <c r="E3227">
        <v>0.5</v>
      </c>
      <c r="F3227">
        <v>97194</v>
      </c>
      <c r="G3227">
        <v>44</v>
      </c>
      <c r="H3227">
        <v>97172</v>
      </c>
      <c r="I3227">
        <v>6232458</v>
      </c>
    </row>
    <row r="3228" spans="1:9">
      <c r="A3228" s="2">
        <v>1979</v>
      </c>
      <c r="B3228">
        <v>5</v>
      </c>
      <c r="C3228">
        <v>4.4999999999999999E-4</v>
      </c>
      <c r="D3228">
        <v>4.4999999999999999E-4</v>
      </c>
      <c r="E3228">
        <v>0.5</v>
      </c>
      <c r="F3228">
        <v>97150</v>
      </c>
      <c r="G3228">
        <v>44</v>
      </c>
      <c r="H3228">
        <v>97127</v>
      </c>
      <c r="I3228">
        <v>6135287</v>
      </c>
    </row>
    <row r="3229" spans="1:9">
      <c r="A3229" s="2">
        <v>1979</v>
      </c>
      <c r="B3229">
        <v>6</v>
      </c>
      <c r="C3229">
        <v>3.8999999999999999E-4</v>
      </c>
      <c r="D3229">
        <v>3.8999999999999999E-4</v>
      </c>
      <c r="E3229">
        <v>0.5</v>
      </c>
      <c r="F3229">
        <v>97105</v>
      </c>
      <c r="G3229">
        <v>38</v>
      </c>
      <c r="H3229">
        <v>97087</v>
      </c>
      <c r="I3229">
        <v>6038159</v>
      </c>
    </row>
    <row r="3230" spans="1:9">
      <c r="A3230" s="2">
        <v>1979</v>
      </c>
      <c r="B3230">
        <v>7</v>
      </c>
      <c r="C3230">
        <v>4.4000000000000002E-4</v>
      </c>
      <c r="D3230">
        <v>4.4000000000000002E-4</v>
      </c>
      <c r="E3230">
        <v>0.5</v>
      </c>
      <c r="F3230">
        <v>97068</v>
      </c>
      <c r="G3230">
        <v>43</v>
      </c>
      <c r="H3230">
        <v>97047</v>
      </c>
      <c r="I3230">
        <v>5941073</v>
      </c>
    </row>
    <row r="3231" spans="1:9">
      <c r="A3231" s="2">
        <v>1979</v>
      </c>
      <c r="B3231">
        <v>8</v>
      </c>
      <c r="C3231">
        <v>3.1E-4</v>
      </c>
      <c r="D3231">
        <v>3.1E-4</v>
      </c>
      <c r="E3231">
        <v>0.5</v>
      </c>
      <c r="F3231">
        <v>97025</v>
      </c>
      <c r="G3231">
        <v>30</v>
      </c>
      <c r="H3231">
        <v>97010</v>
      </c>
      <c r="I3231">
        <v>5844026</v>
      </c>
    </row>
    <row r="3232" spans="1:9">
      <c r="A3232" s="2">
        <v>1979</v>
      </c>
      <c r="B3232">
        <v>9</v>
      </c>
      <c r="C3232">
        <v>4.0999999999999999E-4</v>
      </c>
      <c r="D3232">
        <v>4.0000000000000002E-4</v>
      </c>
      <c r="E3232">
        <v>0.5</v>
      </c>
      <c r="F3232">
        <v>96995</v>
      </c>
      <c r="G3232">
        <v>39</v>
      </c>
      <c r="H3232">
        <v>96976</v>
      </c>
      <c r="I3232">
        <v>5747016</v>
      </c>
    </row>
    <row r="3233" spans="1:9">
      <c r="A3233" s="2">
        <v>1979</v>
      </c>
      <c r="B3233">
        <v>10</v>
      </c>
      <c r="C3233">
        <v>4.6000000000000001E-4</v>
      </c>
      <c r="D3233">
        <v>4.6000000000000001E-4</v>
      </c>
      <c r="E3233">
        <v>0.5</v>
      </c>
      <c r="F3233">
        <v>96956</v>
      </c>
      <c r="G3233">
        <v>44</v>
      </c>
      <c r="H3233">
        <v>96934</v>
      </c>
      <c r="I3233">
        <v>5650040</v>
      </c>
    </row>
    <row r="3234" spans="1:9">
      <c r="A3234" s="2">
        <v>1979</v>
      </c>
      <c r="B3234">
        <v>11</v>
      </c>
      <c r="C3234">
        <v>3.4000000000000002E-4</v>
      </c>
      <c r="D3234">
        <v>3.4000000000000002E-4</v>
      </c>
      <c r="E3234">
        <v>0.5</v>
      </c>
      <c r="F3234">
        <v>96912</v>
      </c>
      <c r="G3234">
        <v>33</v>
      </c>
      <c r="H3234">
        <v>96895</v>
      </c>
      <c r="I3234">
        <v>5553106</v>
      </c>
    </row>
    <row r="3235" spans="1:9">
      <c r="A3235" s="2">
        <v>1979</v>
      </c>
      <c r="B3235">
        <v>12</v>
      </c>
      <c r="C3235">
        <v>4.6999999999999999E-4</v>
      </c>
      <c r="D3235">
        <v>4.6999999999999999E-4</v>
      </c>
      <c r="E3235">
        <v>0.5</v>
      </c>
      <c r="F3235">
        <v>96879</v>
      </c>
      <c r="G3235">
        <v>45</v>
      </c>
      <c r="H3235">
        <v>96856</v>
      </c>
      <c r="I3235">
        <v>5456211</v>
      </c>
    </row>
    <row r="3236" spans="1:9">
      <c r="A3236" s="2">
        <v>1979</v>
      </c>
      <c r="B3236">
        <v>13</v>
      </c>
      <c r="C3236">
        <v>5.0000000000000001E-4</v>
      </c>
      <c r="D3236">
        <v>5.0000000000000001E-4</v>
      </c>
      <c r="E3236">
        <v>0.5</v>
      </c>
      <c r="F3236">
        <v>96834</v>
      </c>
      <c r="G3236">
        <v>49</v>
      </c>
      <c r="H3236">
        <v>96809</v>
      </c>
      <c r="I3236">
        <v>5359355</v>
      </c>
    </row>
    <row r="3237" spans="1:9">
      <c r="A3237" s="2">
        <v>1979</v>
      </c>
      <c r="B3237">
        <v>14</v>
      </c>
      <c r="C3237">
        <v>4.8000000000000001E-4</v>
      </c>
      <c r="D3237">
        <v>4.8000000000000001E-4</v>
      </c>
      <c r="E3237">
        <v>0.5</v>
      </c>
      <c r="F3237">
        <v>96785</v>
      </c>
      <c r="G3237">
        <v>47</v>
      </c>
      <c r="H3237">
        <v>96761</v>
      </c>
      <c r="I3237">
        <v>5262546</v>
      </c>
    </row>
    <row r="3238" spans="1:9">
      <c r="A3238" s="2">
        <v>1979</v>
      </c>
      <c r="B3238">
        <v>15</v>
      </c>
      <c r="C3238">
        <v>5.9000000000000003E-4</v>
      </c>
      <c r="D3238">
        <v>5.9000000000000003E-4</v>
      </c>
      <c r="E3238">
        <v>0.5</v>
      </c>
      <c r="F3238">
        <v>96738</v>
      </c>
      <c r="G3238">
        <v>57</v>
      </c>
      <c r="H3238">
        <v>96710</v>
      </c>
      <c r="I3238">
        <v>5165784</v>
      </c>
    </row>
    <row r="3239" spans="1:9">
      <c r="A3239" s="2">
        <v>1979</v>
      </c>
      <c r="B3239">
        <v>16</v>
      </c>
      <c r="C3239">
        <v>7.6000000000000004E-4</v>
      </c>
      <c r="D3239">
        <v>7.6000000000000004E-4</v>
      </c>
      <c r="E3239">
        <v>0.5</v>
      </c>
      <c r="F3239">
        <v>96681</v>
      </c>
      <c r="G3239">
        <v>73</v>
      </c>
      <c r="H3239">
        <v>96644</v>
      </c>
      <c r="I3239">
        <v>5069075</v>
      </c>
    </row>
    <row r="3240" spans="1:9">
      <c r="A3240" s="2">
        <v>1979</v>
      </c>
      <c r="B3240">
        <v>17</v>
      </c>
      <c r="C3240">
        <v>1.06E-3</v>
      </c>
      <c r="D3240">
        <v>1.06E-3</v>
      </c>
      <c r="E3240">
        <v>0.5</v>
      </c>
      <c r="F3240">
        <v>96608</v>
      </c>
      <c r="G3240">
        <v>103</v>
      </c>
      <c r="H3240">
        <v>96556</v>
      </c>
      <c r="I3240">
        <v>4972430</v>
      </c>
    </row>
    <row r="3241" spans="1:9">
      <c r="A3241" s="2">
        <v>1979</v>
      </c>
      <c r="B3241">
        <v>18</v>
      </c>
      <c r="C3241">
        <v>1.4E-3</v>
      </c>
      <c r="D3241">
        <v>1.4E-3</v>
      </c>
      <c r="E3241">
        <v>0.5</v>
      </c>
      <c r="F3241">
        <v>96505</v>
      </c>
      <c r="G3241">
        <v>135</v>
      </c>
      <c r="H3241">
        <v>96437</v>
      </c>
      <c r="I3241">
        <v>4875874</v>
      </c>
    </row>
    <row r="3242" spans="1:9">
      <c r="A3242" s="2">
        <v>1979</v>
      </c>
      <c r="B3242">
        <v>19</v>
      </c>
      <c r="C3242">
        <v>1.6299999999999999E-3</v>
      </c>
      <c r="D3242">
        <v>1.6199999999999999E-3</v>
      </c>
      <c r="E3242">
        <v>0.5</v>
      </c>
      <c r="F3242">
        <v>96370</v>
      </c>
      <c r="G3242">
        <v>157</v>
      </c>
      <c r="H3242">
        <v>96292</v>
      </c>
      <c r="I3242">
        <v>4779437</v>
      </c>
    </row>
    <row r="3243" spans="1:9">
      <c r="A3243" s="2">
        <v>1979</v>
      </c>
      <c r="B3243">
        <v>20</v>
      </c>
      <c r="C3243">
        <v>1.6199999999999999E-3</v>
      </c>
      <c r="D3243">
        <v>1.6199999999999999E-3</v>
      </c>
      <c r="E3243">
        <v>0.5</v>
      </c>
      <c r="F3243">
        <v>96213</v>
      </c>
      <c r="G3243">
        <v>156</v>
      </c>
      <c r="H3243">
        <v>96136</v>
      </c>
      <c r="I3243">
        <v>4683145</v>
      </c>
    </row>
    <row r="3244" spans="1:9">
      <c r="A3244" s="2">
        <v>1979</v>
      </c>
      <c r="B3244">
        <v>21</v>
      </c>
      <c r="C3244">
        <v>1.3799999999999999E-3</v>
      </c>
      <c r="D3244">
        <v>1.3799999999999999E-3</v>
      </c>
      <c r="E3244">
        <v>0.5</v>
      </c>
      <c r="F3244">
        <v>96058</v>
      </c>
      <c r="G3244">
        <v>132</v>
      </c>
      <c r="H3244">
        <v>95991</v>
      </c>
      <c r="I3244">
        <v>4587009</v>
      </c>
    </row>
    <row r="3245" spans="1:9">
      <c r="A3245" s="2">
        <v>1979</v>
      </c>
      <c r="B3245">
        <v>22</v>
      </c>
      <c r="C3245">
        <v>1.39E-3</v>
      </c>
      <c r="D3245">
        <v>1.39E-3</v>
      </c>
      <c r="E3245">
        <v>0.5</v>
      </c>
      <c r="F3245">
        <v>95925</v>
      </c>
      <c r="G3245">
        <v>133</v>
      </c>
      <c r="H3245">
        <v>95858</v>
      </c>
      <c r="I3245">
        <v>4491018</v>
      </c>
    </row>
    <row r="3246" spans="1:9">
      <c r="A3246" s="2">
        <v>1979</v>
      </c>
      <c r="B3246">
        <v>23</v>
      </c>
      <c r="C3246">
        <v>1.01E-3</v>
      </c>
      <c r="D3246">
        <v>1.01E-3</v>
      </c>
      <c r="E3246">
        <v>0.5</v>
      </c>
      <c r="F3246">
        <v>95792</v>
      </c>
      <c r="G3246">
        <v>97</v>
      </c>
      <c r="H3246">
        <v>95743</v>
      </c>
      <c r="I3246">
        <v>4395160</v>
      </c>
    </row>
    <row r="3247" spans="1:9">
      <c r="A3247" s="2">
        <v>1979</v>
      </c>
      <c r="B3247">
        <v>24</v>
      </c>
      <c r="C3247">
        <v>1.4599999999999999E-3</v>
      </c>
      <c r="D3247">
        <v>1.4599999999999999E-3</v>
      </c>
      <c r="E3247">
        <v>0.5</v>
      </c>
      <c r="F3247">
        <v>95695</v>
      </c>
      <c r="G3247">
        <v>139</v>
      </c>
      <c r="H3247">
        <v>95625</v>
      </c>
      <c r="I3247">
        <v>4299417</v>
      </c>
    </row>
    <row r="3248" spans="1:9">
      <c r="A3248" s="2">
        <v>1979</v>
      </c>
      <c r="B3248">
        <v>25</v>
      </c>
      <c r="C3248">
        <v>1.5200000000000001E-3</v>
      </c>
      <c r="D3248">
        <v>1.5200000000000001E-3</v>
      </c>
      <c r="E3248">
        <v>0.5</v>
      </c>
      <c r="F3248">
        <v>95555</v>
      </c>
      <c r="G3248">
        <v>145</v>
      </c>
      <c r="H3248">
        <v>95483</v>
      </c>
      <c r="I3248">
        <v>4203792</v>
      </c>
    </row>
    <row r="3249" spans="1:9">
      <c r="A3249" s="2">
        <v>1979</v>
      </c>
      <c r="B3249">
        <v>26</v>
      </c>
      <c r="C3249">
        <v>1.5900000000000001E-3</v>
      </c>
      <c r="D3249">
        <v>1.5900000000000001E-3</v>
      </c>
      <c r="E3249">
        <v>0.5</v>
      </c>
      <c r="F3249">
        <v>95410</v>
      </c>
      <c r="G3249">
        <v>152</v>
      </c>
      <c r="H3249">
        <v>95334</v>
      </c>
      <c r="I3249">
        <v>4108309</v>
      </c>
    </row>
    <row r="3250" spans="1:9">
      <c r="A3250" s="2">
        <v>1979</v>
      </c>
      <c r="B3250">
        <v>27</v>
      </c>
      <c r="C3250">
        <v>1.6100000000000001E-3</v>
      </c>
      <c r="D3250">
        <v>1.6100000000000001E-3</v>
      </c>
      <c r="E3250">
        <v>0.5</v>
      </c>
      <c r="F3250">
        <v>95258</v>
      </c>
      <c r="G3250">
        <v>153</v>
      </c>
      <c r="H3250">
        <v>95182</v>
      </c>
      <c r="I3250">
        <v>4012975</v>
      </c>
    </row>
    <row r="3251" spans="1:9">
      <c r="A3251" s="2">
        <v>1979</v>
      </c>
      <c r="B3251">
        <v>28</v>
      </c>
      <c r="C3251">
        <v>1.7799999999999999E-3</v>
      </c>
      <c r="D3251">
        <v>1.7799999999999999E-3</v>
      </c>
      <c r="E3251">
        <v>0.5</v>
      </c>
      <c r="F3251">
        <v>95105</v>
      </c>
      <c r="G3251">
        <v>169</v>
      </c>
      <c r="H3251">
        <v>95021</v>
      </c>
      <c r="I3251">
        <v>3917793</v>
      </c>
    </row>
    <row r="3252" spans="1:9">
      <c r="A3252" s="2">
        <v>1979</v>
      </c>
      <c r="B3252">
        <v>29</v>
      </c>
      <c r="C3252">
        <v>2.0400000000000001E-3</v>
      </c>
      <c r="D3252">
        <v>2.0400000000000001E-3</v>
      </c>
      <c r="E3252">
        <v>0.5</v>
      </c>
      <c r="F3252">
        <v>94936</v>
      </c>
      <c r="G3252">
        <v>193</v>
      </c>
      <c r="H3252">
        <v>94839</v>
      </c>
      <c r="I3252">
        <v>3822773</v>
      </c>
    </row>
    <row r="3253" spans="1:9">
      <c r="A3253" s="2">
        <v>1979</v>
      </c>
      <c r="B3253">
        <v>30</v>
      </c>
      <c r="C3253">
        <v>2.0500000000000002E-3</v>
      </c>
      <c r="D3253">
        <v>2.0500000000000002E-3</v>
      </c>
      <c r="E3253">
        <v>0.5</v>
      </c>
      <c r="F3253">
        <v>94743</v>
      </c>
      <c r="G3253">
        <v>194</v>
      </c>
      <c r="H3253">
        <v>94646</v>
      </c>
      <c r="I3253">
        <v>3727933</v>
      </c>
    </row>
    <row r="3254" spans="1:9">
      <c r="A3254" s="2">
        <v>1979</v>
      </c>
      <c r="B3254">
        <v>31</v>
      </c>
      <c r="C3254">
        <v>2.2100000000000002E-3</v>
      </c>
      <c r="D3254">
        <v>2.2100000000000002E-3</v>
      </c>
      <c r="E3254">
        <v>0.5</v>
      </c>
      <c r="F3254">
        <v>94549</v>
      </c>
      <c r="G3254">
        <v>209</v>
      </c>
      <c r="H3254">
        <v>94444</v>
      </c>
      <c r="I3254">
        <v>3633288</v>
      </c>
    </row>
    <row r="3255" spans="1:9">
      <c r="A3255" s="2">
        <v>1979</v>
      </c>
      <c r="B3255">
        <v>32</v>
      </c>
      <c r="C3255">
        <v>2.0799999999999998E-3</v>
      </c>
      <c r="D3255">
        <v>2.0699999999999998E-3</v>
      </c>
      <c r="E3255">
        <v>0.5</v>
      </c>
      <c r="F3255">
        <v>94340</v>
      </c>
      <c r="G3255">
        <v>196</v>
      </c>
      <c r="H3255">
        <v>94242</v>
      </c>
      <c r="I3255">
        <v>3538843</v>
      </c>
    </row>
    <row r="3256" spans="1:9">
      <c r="A3256" s="2">
        <v>1979</v>
      </c>
      <c r="B3256">
        <v>33</v>
      </c>
      <c r="C3256">
        <v>2.4399999999999999E-3</v>
      </c>
      <c r="D3256">
        <v>2.4299999999999999E-3</v>
      </c>
      <c r="E3256">
        <v>0.5</v>
      </c>
      <c r="F3256">
        <v>94144</v>
      </c>
      <c r="G3256">
        <v>229</v>
      </c>
      <c r="H3256">
        <v>94030</v>
      </c>
      <c r="I3256">
        <v>3444601</v>
      </c>
    </row>
    <row r="3257" spans="1:9">
      <c r="A3257" s="2">
        <v>1979</v>
      </c>
      <c r="B3257">
        <v>34</v>
      </c>
      <c r="C3257">
        <v>2.7899999999999999E-3</v>
      </c>
      <c r="D3257">
        <v>2.7799999999999999E-3</v>
      </c>
      <c r="E3257">
        <v>0.5</v>
      </c>
      <c r="F3257">
        <v>93915</v>
      </c>
      <c r="G3257">
        <v>261</v>
      </c>
      <c r="H3257">
        <v>93785</v>
      </c>
      <c r="I3257">
        <v>3350571</v>
      </c>
    </row>
    <row r="3258" spans="1:9">
      <c r="A3258" s="2">
        <v>1979</v>
      </c>
      <c r="B3258">
        <v>35</v>
      </c>
      <c r="C3258">
        <v>2.98E-3</v>
      </c>
      <c r="D3258">
        <v>2.97E-3</v>
      </c>
      <c r="E3258">
        <v>0.5</v>
      </c>
      <c r="F3258">
        <v>93654</v>
      </c>
      <c r="G3258">
        <v>278</v>
      </c>
      <c r="H3258">
        <v>93515</v>
      </c>
      <c r="I3258">
        <v>3256786</v>
      </c>
    </row>
    <row r="3259" spans="1:9">
      <c r="A3259" s="2">
        <v>1979</v>
      </c>
      <c r="B3259">
        <v>36</v>
      </c>
      <c r="C3259">
        <v>3.14E-3</v>
      </c>
      <c r="D3259">
        <v>3.13E-3</v>
      </c>
      <c r="E3259">
        <v>0.5</v>
      </c>
      <c r="F3259">
        <v>93376</v>
      </c>
      <c r="G3259">
        <v>293</v>
      </c>
      <c r="H3259">
        <v>93230</v>
      </c>
      <c r="I3259">
        <v>3163271</v>
      </c>
    </row>
    <row r="3260" spans="1:9">
      <c r="A3260" s="2">
        <v>1979</v>
      </c>
      <c r="B3260">
        <v>37</v>
      </c>
      <c r="C3260">
        <v>3.7100000000000002E-3</v>
      </c>
      <c r="D3260">
        <v>3.7100000000000002E-3</v>
      </c>
      <c r="E3260">
        <v>0.5</v>
      </c>
      <c r="F3260">
        <v>93083</v>
      </c>
      <c r="G3260">
        <v>345</v>
      </c>
      <c r="H3260">
        <v>92911</v>
      </c>
      <c r="I3260">
        <v>3070041</v>
      </c>
    </row>
    <row r="3261" spans="1:9">
      <c r="A3261" s="2">
        <v>1979</v>
      </c>
      <c r="B3261">
        <v>38</v>
      </c>
      <c r="C3261">
        <v>4.1700000000000001E-3</v>
      </c>
      <c r="D3261">
        <v>4.1599999999999996E-3</v>
      </c>
      <c r="E3261">
        <v>0.5</v>
      </c>
      <c r="F3261">
        <v>92738</v>
      </c>
      <c r="G3261">
        <v>386</v>
      </c>
      <c r="H3261">
        <v>92545</v>
      </c>
      <c r="I3261">
        <v>2977131</v>
      </c>
    </row>
    <row r="3262" spans="1:9">
      <c r="A3262" s="2">
        <v>1979</v>
      </c>
      <c r="B3262">
        <v>39</v>
      </c>
      <c r="C3262">
        <v>4.0299999999999997E-3</v>
      </c>
      <c r="D3262">
        <v>4.0200000000000001E-3</v>
      </c>
      <c r="E3262">
        <v>0.5</v>
      </c>
      <c r="F3262">
        <v>92352</v>
      </c>
      <c r="G3262">
        <v>371</v>
      </c>
      <c r="H3262">
        <v>92167</v>
      </c>
      <c r="I3262">
        <v>2884585</v>
      </c>
    </row>
    <row r="3263" spans="1:9">
      <c r="A3263" s="2">
        <v>1979</v>
      </c>
      <c r="B3263">
        <v>40</v>
      </c>
      <c r="C3263">
        <v>4.4400000000000004E-3</v>
      </c>
      <c r="D3263">
        <v>4.4299999999999999E-3</v>
      </c>
      <c r="E3263">
        <v>0.5</v>
      </c>
      <c r="F3263">
        <v>91981</v>
      </c>
      <c r="G3263">
        <v>407</v>
      </c>
      <c r="H3263">
        <v>91778</v>
      </c>
      <c r="I3263">
        <v>2792418</v>
      </c>
    </row>
    <row r="3264" spans="1:9">
      <c r="A3264" s="2">
        <v>1979</v>
      </c>
      <c r="B3264">
        <v>41</v>
      </c>
      <c r="C3264">
        <v>5.2500000000000003E-3</v>
      </c>
      <c r="D3264">
        <v>5.2300000000000003E-3</v>
      </c>
      <c r="E3264">
        <v>0.5</v>
      </c>
      <c r="F3264">
        <v>91574</v>
      </c>
      <c r="G3264">
        <v>479</v>
      </c>
      <c r="H3264">
        <v>91334</v>
      </c>
      <c r="I3264">
        <v>2700641</v>
      </c>
    </row>
    <row r="3265" spans="1:9">
      <c r="A3265" s="2">
        <v>1979</v>
      </c>
      <c r="B3265">
        <v>42</v>
      </c>
      <c r="C3265">
        <v>5.1200000000000004E-3</v>
      </c>
      <c r="D3265">
        <v>5.1000000000000004E-3</v>
      </c>
      <c r="E3265">
        <v>0.5</v>
      </c>
      <c r="F3265">
        <v>91095</v>
      </c>
      <c r="G3265">
        <v>465</v>
      </c>
      <c r="H3265">
        <v>90862</v>
      </c>
      <c r="I3265">
        <v>2609306</v>
      </c>
    </row>
    <row r="3266" spans="1:9">
      <c r="A3266" s="2">
        <v>1979</v>
      </c>
      <c r="B3266">
        <v>43</v>
      </c>
      <c r="C3266">
        <v>6.5399999999999998E-3</v>
      </c>
      <c r="D3266">
        <v>6.5199999999999998E-3</v>
      </c>
      <c r="E3266">
        <v>0.5</v>
      </c>
      <c r="F3266">
        <v>90630</v>
      </c>
      <c r="G3266">
        <v>591</v>
      </c>
      <c r="H3266">
        <v>90334</v>
      </c>
      <c r="I3266">
        <v>2518444</v>
      </c>
    </row>
    <row r="3267" spans="1:9">
      <c r="A3267" s="2">
        <v>1979</v>
      </c>
      <c r="B3267">
        <v>44</v>
      </c>
      <c r="C3267">
        <v>6.2500000000000003E-3</v>
      </c>
      <c r="D3267">
        <v>6.2300000000000003E-3</v>
      </c>
      <c r="E3267">
        <v>0.5</v>
      </c>
      <c r="F3267">
        <v>90039</v>
      </c>
      <c r="G3267">
        <v>561</v>
      </c>
      <c r="H3267">
        <v>89759</v>
      </c>
      <c r="I3267">
        <v>2428110</v>
      </c>
    </row>
    <row r="3268" spans="1:9">
      <c r="A3268" s="2">
        <v>1979</v>
      </c>
      <c r="B3268">
        <v>45</v>
      </c>
      <c r="C3268">
        <v>6.9499999999999996E-3</v>
      </c>
      <c r="D3268">
        <v>6.9300000000000004E-3</v>
      </c>
      <c r="E3268">
        <v>0.5</v>
      </c>
      <c r="F3268">
        <v>89478</v>
      </c>
      <c r="G3268">
        <v>620</v>
      </c>
      <c r="H3268">
        <v>89168</v>
      </c>
      <c r="I3268">
        <v>2338351</v>
      </c>
    </row>
    <row r="3269" spans="1:9">
      <c r="A3269" s="2">
        <v>1979</v>
      </c>
      <c r="B3269">
        <v>46</v>
      </c>
      <c r="C3269">
        <v>7.7400000000000004E-3</v>
      </c>
      <c r="D3269">
        <v>7.7099999999999998E-3</v>
      </c>
      <c r="E3269">
        <v>0.5</v>
      </c>
      <c r="F3269">
        <v>88858</v>
      </c>
      <c r="G3269">
        <v>685</v>
      </c>
      <c r="H3269">
        <v>88516</v>
      </c>
      <c r="I3269">
        <v>2249183</v>
      </c>
    </row>
    <row r="3270" spans="1:9">
      <c r="A3270" s="2">
        <v>1979</v>
      </c>
      <c r="B3270">
        <v>47</v>
      </c>
      <c r="C3270">
        <v>8.4700000000000001E-3</v>
      </c>
      <c r="D3270">
        <v>8.43E-3</v>
      </c>
      <c r="E3270">
        <v>0.5</v>
      </c>
      <c r="F3270">
        <v>88174</v>
      </c>
      <c r="G3270">
        <v>744</v>
      </c>
      <c r="H3270">
        <v>87802</v>
      </c>
      <c r="I3270">
        <v>2160667</v>
      </c>
    </row>
    <row r="3271" spans="1:9">
      <c r="A3271" s="2">
        <v>1979</v>
      </c>
      <c r="B3271">
        <v>48</v>
      </c>
      <c r="C3271">
        <v>8.9700000000000005E-3</v>
      </c>
      <c r="D3271">
        <v>8.9300000000000004E-3</v>
      </c>
      <c r="E3271">
        <v>0.5</v>
      </c>
      <c r="F3271">
        <v>87430</v>
      </c>
      <c r="G3271">
        <v>781</v>
      </c>
      <c r="H3271">
        <v>87039</v>
      </c>
      <c r="I3271">
        <v>2072865</v>
      </c>
    </row>
    <row r="3272" spans="1:9">
      <c r="A3272" s="2">
        <v>1979</v>
      </c>
      <c r="B3272">
        <v>49</v>
      </c>
      <c r="C3272">
        <v>9.58E-3</v>
      </c>
      <c r="D3272">
        <v>9.5399999999999999E-3</v>
      </c>
      <c r="E3272">
        <v>0.5</v>
      </c>
      <c r="F3272">
        <v>86649</v>
      </c>
      <c r="G3272">
        <v>827</v>
      </c>
      <c r="H3272">
        <v>86236</v>
      </c>
      <c r="I3272">
        <v>1985825</v>
      </c>
    </row>
    <row r="3273" spans="1:9">
      <c r="A3273" s="2">
        <v>1979</v>
      </c>
      <c r="B3273">
        <v>50</v>
      </c>
      <c r="C3273">
        <v>1.174E-2</v>
      </c>
      <c r="D3273">
        <v>1.167E-2</v>
      </c>
      <c r="E3273">
        <v>0.5</v>
      </c>
      <c r="F3273">
        <v>85822</v>
      </c>
      <c r="G3273">
        <v>1002</v>
      </c>
      <c r="H3273">
        <v>85321</v>
      </c>
      <c r="I3273">
        <v>1899590</v>
      </c>
    </row>
    <row r="3274" spans="1:9">
      <c r="A3274" s="2">
        <v>1979</v>
      </c>
      <c r="B3274">
        <v>51</v>
      </c>
      <c r="C3274">
        <v>1.1650000000000001E-2</v>
      </c>
      <c r="D3274">
        <v>1.158E-2</v>
      </c>
      <c r="E3274">
        <v>0.5</v>
      </c>
      <c r="F3274">
        <v>84820</v>
      </c>
      <c r="G3274">
        <v>982</v>
      </c>
      <c r="H3274">
        <v>84329</v>
      </c>
      <c r="I3274">
        <v>1814268</v>
      </c>
    </row>
    <row r="3275" spans="1:9">
      <c r="A3275" s="2">
        <v>1979</v>
      </c>
      <c r="B3275">
        <v>52</v>
      </c>
      <c r="C3275">
        <v>1.2999999999999999E-2</v>
      </c>
      <c r="D3275">
        <v>1.2919999999999999E-2</v>
      </c>
      <c r="E3275">
        <v>0.5</v>
      </c>
      <c r="F3275">
        <v>83838</v>
      </c>
      <c r="G3275">
        <v>1083</v>
      </c>
      <c r="H3275">
        <v>83297</v>
      </c>
      <c r="I3275">
        <v>1729939</v>
      </c>
    </row>
    <row r="3276" spans="1:9">
      <c r="A3276" s="2">
        <v>1979</v>
      </c>
      <c r="B3276">
        <v>53</v>
      </c>
      <c r="C3276">
        <v>1.414E-2</v>
      </c>
      <c r="D3276">
        <v>1.404E-2</v>
      </c>
      <c r="E3276">
        <v>0.5</v>
      </c>
      <c r="F3276">
        <v>82755</v>
      </c>
      <c r="G3276">
        <v>1162</v>
      </c>
      <c r="H3276">
        <v>82174</v>
      </c>
      <c r="I3276">
        <v>1646642</v>
      </c>
    </row>
    <row r="3277" spans="1:9">
      <c r="A3277" s="2">
        <v>1979</v>
      </c>
      <c r="B3277">
        <v>54</v>
      </c>
      <c r="C3277">
        <v>1.5440000000000001E-2</v>
      </c>
      <c r="D3277">
        <v>1.533E-2</v>
      </c>
      <c r="E3277">
        <v>0.5</v>
      </c>
      <c r="F3277">
        <v>81593</v>
      </c>
      <c r="G3277">
        <v>1250</v>
      </c>
      <c r="H3277">
        <v>80968</v>
      </c>
      <c r="I3277">
        <v>1564468</v>
      </c>
    </row>
    <row r="3278" spans="1:9">
      <c r="A3278" s="2">
        <v>1979</v>
      </c>
      <c r="B3278">
        <v>55</v>
      </c>
      <c r="C3278">
        <v>1.5140000000000001E-2</v>
      </c>
      <c r="D3278">
        <v>1.503E-2</v>
      </c>
      <c r="E3278">
        <v>0.5</v>
      </c>
      <c r="F3278">
        <v>80343</v>
      </c>
      <c r="G3278">
        <v>1207</v>
      </c>
      <c r="H3278">
        <v>79739</v>
      </c>
      <c r="I3278">
        <v>1483500</v>
      </c>
    </row>
    <row r="3279" spans="1:9">
      <c r="A3279" s="2">
        <v>1979</v>
      </c>
      <c r="B3279">
        <v>56</v>
      </c>
      <c r="C3279">
        <v>1.7729999999999999E-2</v>
      </c>
      <c r="D3279">
        <v>1.7569999999999999E-2</v>
      </c>
      <c r="E3279">
        <v>0.5</v>
      </c>
      <c r="F3279">
        <v>79135</v>
      </c>
      <c r="G3279">
        <v>1391</v>
      </c>
      <c r="H3279">
        <v>78440</v>
      </c>
      <c r="I3279">
        <v>1403761</v>
      </c>
    </row>
    <row r="3280" spans="1:9">
      <c r="A3280" s="2">
        <v>1979</v>
      </c>
      <c r="B3280">
        <v>57</v>
      </c>
      <c r="C3280">
        <v>1.976E-2</v>
      </c>
      <c r="D3280">
        <v>1.9570000000000001E-2</v>
      </c>
      <c r="E3280">
        <v>0.5</v>
      </c>
      <c r="F3280">
        <v>77745</v>
      </c>
      <c r="G3280">
        <v>1521</v>
      </c>
      <c r="H3280">
        <v>76984</v>
      </c>
      <c r="I3280">
        <v>1325321</v>
      </c>
    </row>
    <row r="3281" spans="1:9">
      <c r="A3281" s="2">
        <v>1979</v>
      </c>
      <c r="B3281">
        <v>58</v>
      </c>
      <c r="C3281">
        <v>1.934E-2</v>
      </c>
      <c r="D3281">
        <v>1.916E-2</v>
      </c>
      <c r="E3281">
        <v>0.5</v>
      </c>
      <c r="F3281">
        <v>76223</v>
      </c>
      <c r="G3281">
        <v>1460</v>
      </c>
      <c r="H3281">
        <v>75493</v>
      </c>
      <c r="I3281">
        <v>1248337</v>
      </c>
    </row>
    <row r="3282" spans="1:9">
      <c r="A3282" s="2">
        <v>1979</v>
      </c>
      <c r="B3282">
        <v>59</v>
      </c>
      <c r="C3282">
        <v>2.5489999999999999E-2</v>
      </c>
      <c r="D3282">
        <v>2.5170000000000001E-2</v>
      </c>
      <c r="E3282">
        <v>0.5</v>
      </c>
      <c r="F3282">
        <v>74763</v>
      </c>
      <c r="G3282">
        <v>1882</v>
      </c>
      <c r="H3282">
        <v>73822</v>
      </c>
      <c r="I3282">
        <v>1172844</v>
      </c>
    </row>
    <row r="3283" spans="1:9">
      <c r="A3283" s="2">
        <v>1979</v>
      </c>
      <c r="B3283">
        <v>60</v>
      </c>
      <c r="C3283">
        <v>2.1680000000000001E-2</v>
      </c>
      <c r="D3283">
        <v>2.145E-2</v>
      </c>
      <c r="E3283">
        <v>0.5</v>
      </c>
      <c r="F3283">
        <v>72881</v>
      </c>
      <c r="G3283">
        <v>1563</v>
      </c>
      <c r="H3283">
        <v>72100</v>
      </c>
      <c r="I3283">
        <v>1099022</v>
      </c>
    </row>
    <row r="3284" spans="1:9">
      <c r="A3284" s="2">
        <v>1979</v>
      </c>
      <c r="B3284">
        <v>61</v>
      </c>
      <c r="C3284">
        <v>2.461E-2</v>
      </c>
      <c r="D3284">
        <v>2.4309999999999998E-2</v>
      </c>
      <c r="E3284">
        <v>0.5</v>
      </c>
      <c r="F3284">
        <v>71318</v>
      </c>
      <c r="G3284">
        <v>1734</v>
      </c>
      <c r="H3284">
        <v>70451</v>
      </c>
      <c r="I3284">
        <v>1026922</v>
      </c>
    </row>
    <row r="3285" spans="1:9">
      <c r="A3285" s="2">
        <v>1979</v>
      </c>
      <c r="B3285">
        <v>62</v>
      </c>
      <c r="C3285">
        <v>2.9000000000000001E-2</v>
      </c>
      <c r="D3285">
        <v>2.8590000000000001E-2</v>
      </c>
      <c r="E3285">
        <v>0.5</v>
      </c>
      <c r="F3285">
        <v>69584</v>
      </c>
      <c r="G3285">
        <v>1989</v>
      </c>
      <c r="H3285">
        <v>68590</v>
      </c>
      <c r="I3285">
        <v>956471</v>
      </c>
    </row>
    <row r="3286" spans="1:9">
      <c r="A3286" s="2">
        <v>1979</v>
      </c>
      <c r="B3286">
        <v>63</v>
      </c>
      <c r="C3286">
        <v>2.836E-2</v>
      </c>
      <c r="D3286">
        <v>2.7969999999999998E-2</v>
      </c>
      <c r="E3286">
        <v>0.5</v>
      </c>
      <c r="F3286">
        <v>67595</v>
      </c>
      <c r="G3286">
        <v>1891</v>
      </c>
      <c r="H3286">
        <v>66650</v>
      </c>
      <c r="I3286">
        <v>887881</v>
      </c>
    </row>
    <row r="3287" spans="1:9">
      <c r="A3287" s="2">
        <v>1979</v>
      </c>
      <c r="B3287">
        <v>64</v>
      </c>
      <c r="C3287">
        <v>3.3239999999999999E-2</v>
      </c>
      <c r="D3287">
        <v>3.2689999999999997E-2</v>
      </c>
      <c r="E3287">
        <v>0.5</v>
      </c>
      <c r="F3287">
        <v>65705</v>
      </c>
      <c r="G3287">
        <v>2148</v>
      </c>
      <c r="H3287">
        <v>64631</v>
      </c>
      <c r="I3287">
        <v>821231</v>
      </c>
    </row>
    <row r="3288" spans="1:9">
      <c r="A3288" s="2">
        <v>1979</v>
      </c>
      <c r="B3288">
        <v>65</v>
      </c>
      <c r="C3288">
        <v>3.619E-2</v>
      </c>
      <c r="D3288">
        <v>3.5549999999999998E-2</v>
      </c>
      <c r="E3288">
        <v>0.5</v>
      </c>
      <c r="F3288">
        <v>63557</v>
      </c>
      <c r="G3288">
        <v>2259</v>
      </c>
      <c r="H3288">
        <v>62427</v>
      </c>
      <c r="I3288">
        <v>756600</v>
      </c>
    </row>
    <row r="3289" spans="1:9">
      <c r="A3289" s="2">
        <v>1979</v>
      </c>
      <c r="B3289">
        <v>66</v>
      </c>
      <c r="C3289">
        <v>3.9390000000000001E-2</v>
      </c>
      <c r="D3289">
        <v>3.8629999999999998E-2</v>
      </c>
      <c r="E3289">
        <v>0.5</v>
      </c>
      <c r="F3289">
        <v>61297</v>
      </c>
      <c r="G3289">
        <v>2368</v>
      </c>
      <c r="H3289">
        <v>60113</v>
      </c>
      <c r="I3289">
        <v>694174</v>
      </c>
    </row>
    <row r="3290" spans="1:9">
      <c r="A3290" s="2">
        <v>1979</v>
      </c>
      <c r="B3290">
        <v>67</v>
      </c>
      <c r="C3290">
        <v>4.2659999999999997E-2</v>
      </c>
      <c r="D3290">
        <v>4.1770000000000002E-2</v>
      </c>
      <c r="E3290">
        <v>0.5</v>
      </c>
      <c r="F3290">
        <v>58929</v>
      </c>
      <c r="G3290">
        <v>2462</v>
      </c>
      <c r="H3290">
        <v>57698</v>
      </c>
      <c r="I3290">
        <v>634060</v>
      </c>
    </row>
    <row r="3291" spans="1:9">
      <c r="A3291" s="2">
        <v>1979</v>
      </c>
      <c r="B3291">
        <v>68</v>
      </c>
      <c r="C3291">
        <v>4.7210000000000002E-2</v>
      </c>
      <c r="D3291">
        <v>4.6120000000000001E-2</v>
      </c>
      <c r="E3291">
        <v>0.5</v>
      </c>
      <c r="F3291">
        <v>56468</v>
      </c>
      <c r="G3291">
        <v>2604</v>
      </c>
      <c r="H3291">
        <v>55165</v>
      </c>
      <c r="I3291">
        <v>576362</v>
      </c>
    </row>
    <row r="3292" spans="1:9">
      <c r="A3292" s="2">
        <v>1979</v>
      </c>
      <c r="B3292">
        <v>69</v>
      </c>
      <c r="C3292">
        <v>5.2350000000000001E-2</v>
      </c>
      <c r="D3292">
        <v>5.1020000000000003E-2</v>
      </c>
      <c r="E3292">
        <v>0.5</v>
      </c>
      <c r="F3292">
        <v>53863</v>
      </c>
      <c r="G3292">
        <v>2748</v>
      </c>
      <c r="H3292">
        <v>52489</v>
      </c>
      <c r="I3292">
        <v>521197</v>
      </c>
    </row>
    <row r="3293" spans="1:9">
      <c r="A3293" s="2">
        <v>1979</v>
      </c>
      <c r="B3293">
        <v>70</v>
      </c>
      <c r="C3293">
        <v>5.6480000000000002E-2</v>
      </c>
      <c r="D3293">
        <v>5.493E-2</v>
      </c>
      <c r="E3293">
        <v>0.5</v>
      </c>
      <c r="F3293">
        <v>51115</v>
      </c>
      <c r="G3293">
        <v>2808</v>
      </c>
      <c r="H3293">
        <v>49711</v>
      </c>
      <c r="I3293">
        <v>468707</v>
      </c>
    </row>
    <row r="3294" spans="1:9">
      <c r="A3294" s="2">
        <v>1979</v>
      </c>
      <c r="B3294">
        <v>71</v>
      </c>
      <c r="C3294">
        <v>6.3780000000000003E-2</v>
      </c>
      <c r="D3294">
        <v>6.1809999999999997E-2</v>
      </c>
      <c r="E3294">
        <v>0.5</v>
      </c>
      <c r="F3294">
        <v>48307</v>
      </c>
      <c r="G3294">
        <v>2986</v>
      </c>
      <c r="H3294">
        <v>46814</v>
      </c>
      <c r="I3294">
        <v>418996</v>
      </c>
    </row>
    <row r="3295" spans="1:9">
      <c r="A3295" s="2">
        <v>1979</v>
      </c>
      <c r="B3295">
        <v>72</v>
      </c>
      <c r="C3295">
        <v>7.2080000000000005E-2</v>
      </c>
      <c r="D3295">
        <v>6.9570000000000007E-2</v>
      </c>
      <c r="E3295">
        <v>0.5</v>
      </c>
      <c r="F3295">
        <v>45321</v>
      </c>
      <c r="G3295">
        <v>3153</v>
      </c>
      <c r="H3295">
        <v>43745</v>
      </c>
      <c r="I3295">
        <v>372182</v>
      </c>
    </row>
    <row r="3296" spans="1:9">
      <c r="A3296" s="2">
        <v>1979</v>
      </c>
      <c r="B3296">
        <v>73</v>
      </c>
      <c r="C3296">
        <v>7.3289999999999994E-2</v>
      </c>
      <c r="D3296">
        <v>7.0699999999999999E-2</v>
      </c>
      <c r="E3296">
        <v>0.5</v>
      </c>
      <c r="F3296">
        <v>42168</v>
      </c>
      <c r="G3296">
        <v>2981</v>
      </c>
      <c r="H3296">
        <v>40678</v>
      </c>
      <c r="I3296">
        <v>328437</v>
      </c>
    </row>
    <row r="3297" spans="1:9">
      <c r="A3297" s="2">
        <v>1979</v>
      </c>
      <c r="B3297">
        <v>74</v>
      </c>
      <c r="C3297">
        <v>8.4390000000000007E-2</v>
      </c>
      <c r="D3297">
        <v>8.097E-2</v>
      </c>
      <c r="E3297">
        <v>0.5</v>
      </c>
      <c r="F3297">
        <v>39187</v>
      </c>
      <c r="G3297">
        <v>3173</v>
      </c>
      <c r="H3297">
        <v>37601</v>
      </c>
      <c r="I3297">
        <v>287759</v>
      </c>
    </row>
    <row r="3298" spans="1:9">
      <c r="A3298" s="2">
        <v>1979</v>
      </c>
      <c r="B3298">
        <v>75</v>
      </c>
      <c r="C3298">
        <v>9.1929999999999998E-2</v>
      </c>
      <c r="D3298">
        <v>8.7889999999999996E-2</v>
      </c>
      <c r="E3298">
        <v>0.5</v>
      </c>
      <c r="F3298">
        <v>36014</v>
      </c>
      <c r="G3298">
        <v>3165</v>
      </c>
      <c r="H3298">
        <v>34431</v>
      </c>
      <c r="I3298">
        <v>250159</v>
      </c>
    </row>
    <row r="3299" spans="1:9">
      <c r="A3299" s="2">
        <v>1979</v>
      </c>
      <c r="B3299">
        <v>76</v>
      </c>
      <c r="C3299">
        <v>9.6009999999999998E-2</v>
      </c>
      <c r="D3299">
        <v>9.1609999999999997E-2</v>
      </c>
      <c r="E3299">
        <v>0.5</v>
      </c>
      <c r="F3299">
        <v>32849</v>
      </c>
      <c r="G3299">
        <v>3009</v>
      </c>
      <c r="H3299">
        <v>31344</v>
      </c>
      <c r="I3299">
        <v>215727</v>
      </c>
    </row>
    <row r="3300" spans="1:9">
      <c r="A3300" s="2">
        <v>1979</v>
      </c>
      <c r="B3300">
        <v>77</v>
      </c>
      <c r="C3300">
        <v>0.10884000000000001</v>
      </c>
      <c r="D3300">
        <v>0.10323</v>
      </c>
      <c r="E3300">
        <v>0.5</v>
      </c>
      <c r="F3300">
        <v>29839</v>
      </c>
      <c r="G3300">
        <v>3080</v>
      </c>
      <c r="H3300">
        <v>28299</v>
      </c>
      <c r="I3300">
        <v>184383</v>
      </c>
    </row>
    <row r="3301" spans="1:9">
      <c r="A3301" s="2">
        <v>1979</v>
      </c>
      <c r="B3301">
        <v>78</v>
      </c>
      <c r="C3301">
        <v>0.11641</v>
      </c>
      <c r="D3301">
        <v>0.11</v>
      </c>
      <c r="E3301">
        <v>0.5</v>
      </c>
      <c r="F3301">
        <v>26759</v>
      </c>
      <c r="G3301">
        <v>2944</v>
      </c>
      <c r="H3301">
        <v>25287</v>
      </c>
      <c r="I3301">
        <v>156084</v>
      </c>
    </row>
    <row r="3302" spans="1:9">
      <c r="A3302" s="2">
        <v>1979</v>
      </c>
      <c r="B3302">
        <v>79</v>
      </c>
      <c r="C3302">
        <v>0.12956999999999999</v>
      </c>
      <c r="D3302">
        <v>0.12169000000000001</v>
      </c>
      <c r="E3302">
        <v>0.5</v>
      </c>
      <c r="F3302">
        <v>23816</v>
      </c>
      <c r="G3302">
        <v>2898</v>
      </c>
      <c r="H3302">
        <v>22367</v>
      </c>
      <c r="I3302">
        <v>130796</v>
      </c>
    </row>
    <row r="3303" spans="1:9">
      <c r="A3303" s="2">
        <v>1979</v>
      </c>
      <c r="B3303">
        <v>80</v>
      </c>
      <c r="C3303">
        <v>0.13955000000000001</v>
      </c>
      <c r="D3303">
        <v>0.13045000000000001</v>
      </c>
      <c r="E3303">
        <v>0.5</v>
      </c>
      <c r="F3303">
        <v>20918</v>
      </c>
      <c r="G3303">
        <v>2729</v>
      </c>
      <c r="H3303">
        <v>19553</v>
      </c>
      <c r="I3303">
        <v>108430</v>
      </c>
    </row>
    <row r="3304" spans="1:9">
      <c r="A3304" s="2">
        <v>1979</v>
      </c>
      <c r="B3304">
        <v>81</v>
      </c>
      <c r="C3304">
        <v>0.15201999999999999</v>
      </c>
      <c r="D3304">
        <v>0.14127999999999999</v>
      </c>
      <c r="E3304">
        <v>0.5</v>
      </c>
      <c r="F3304">
        <v>18189</v>
      </c>
      <c r="G3304">
        <v>2570</v>
      </c>
      <c r="H3304">
        <v>16904</v>
      </c>
      <c r="I3304">
        <v>88876</v>
      </c>
    </row>
    <row r="3305" spans="1:9">
      <c r="A3305" s="2">
        <v>1979</v>
      </c>
      <c r="B3305">
        <v>82</v>
      </c>
      <c r="C3305">
        <v>0.17412</v>
      </c>
      <c r="D3305">
        <v>0.16017000000000001</v>
      </c>
      <c r="E3305">
        <v>0.5</v>
      </c>
      <c r="F3305">
        <v>15619</v>
      </c>
      <c r="G3305">
        <v>2502</v>
      </c>
      <c r="H3305">
        <v>14368</v>
      </c>
      <c r="I3305">
        <v>71972</v>
      </c>
    </row>
    <row r="3306" spans="1:9">
      <c r="A3306" s="2">
        <v>1979</v>
      </c>
      <c r="B3306">
        <v>83</v>
      </c>
      <c r="C3306">
        <v>0.17907999999999999</v>
      </c>
      <c r="D3306">
        <v>0.16436000000000001</v>
      </c>
      <c r="E3306">
        <v>0.5</v>
      </c>
      <c r="F3306">
        <v>13117</v>
      </c>
      <c r="G3306">
        <v>2156</v>
      </c>
      <c r="H3306">
        <v>12039</v>
      </c>
      <c r="I3306">
        <v>57604</v>
      </c>
    </row>
    <row r="3307" spans="1:9">
      <c r="A3307" s="2">
        <v>1979</v>
      </c>
      <c r="B3307">
        <v>84</v>
      </c>
      <c r="C3307">
        <v>0.19206999999999999</v>
      </c>
      <c r="D3307">
        <v>0.17524000000000001</v>
      </c>
      <c r="E3307">
        <v>0.5</v>
      </c>
      <c r="F3307">
        <v>10961</v>
      </c>
      <c r="G3307">
        <v>1921</v>
      </c>
      <c r="H3307">
        <v>10001</v>
      </c>
      <c r="I3307">
        <v>45565</v>
      </c>
    </row>
    <row r="3308" spans="1:9">
      <c r="A3308" s="2">
        <v>1979</v>
      </c>
      <c r="B3308">
        <v>85</v>
      </c>
      <c r="C3308">
        <v>0.18973999999999999</v>
      </c>
      <c r="D3308">
        <v>0.17330000000000001</v>
      </c>
      <c r="E3308">
        <v>0.5</v>
      </c>
      <c r="F3308">
        <v>9041</v>
      </c>
      <c r="G3308">
        <v>1567</v>
      </c>
      <c r="H3308">
        <v>8257</v>
      </c>
      <c r="I3308">
        <v>35564</v>
      </c>
    </row>
    <row r="3309" spans="1:9">
      <c r="A3309" s="2">
        <v>1979</v>
      </c>
      <c r="B3309">
        <v>86</v>
      </c>
      <c r="C3309">
        <v>0.22941</v>
      </c>
      <c r="D3309">
        <v>0.20580000000000001</v>
      </c>
      <c r="E3309">
        <v>0.5</v>
      </c>
      <c r="F3309">
        <v>7474</v>
      </c>
      <c r="G3309">
        <v>1538</v>
      </c>
      <c r="H3309">
        <v>6705</v>
      </c>
      <c r="I3309">
        <v>27307</v>
      </c>
    </row>
    <row r="3310" spans="1:9">
      <c r="A3310" s="2">
        <v>1979</v>
      </c>
      <c r="B3310">
        <v>87</v>
      </c>
      <c r="C3310">
        <v>0.23449</v>
      </c>
      <c r="D3310">
        <v>0.20988000000000001</v>
      </c>
      <c r="E3310">
        <v>0.5</v>
      </c>
      <c r="F3310">
        <v>5936</v>
      </c>
      <c r="G3310">
        <v>1246</v>
      </c>
      <c r="H3310">
        <v>5313</v>
      </c>
      <c r="I3310">
        <v>20602</v>
      </c>
    </row>
    <row r="3311" spans="1:9">
      <c r="A3311" s="2">
        <v>1979</v>
      </c>
      <c r="B3311">
        <v>88</v>
      </c>
      <c r="C3311">
        <v>0.26129000000000002</v>
      </c>
      <c r="D3311">
        <v>0.23108999999999999</v>
      </c>
      <c r="E3311">
        <v>0.5</v>
      </c>
      <c r="F3311">
        <v>4690</v>
      </c>
      <c r="G3311">
        <v>1084</v>
      </c>
      <c r="H3311">
        <v>4148</v>
      </c>
      <c r="I3311">
        <v>15289</v>
      </c>
    </row>
    <row r="3312" spans="1:9">
      <c r="A3312" s="2">
        <v>1979</v>
      </c>
      <c r="B3312">
        <v>89</v>
      </c>
      <c r="C3312">
        <v>0.27366000000000001</v>
      </c>
      <c r="D3312">
        <v>0.24071999999999999</v>
      </c>
      <c r="E3312">
        <v>0.5</v>
      </c>
      <c r="F3312">
        <v>3606</v>
      </c>
      <c r="G3312">
        <v>868</v>
      </c>
      <c r="H3312">
        <v>3172</v>
      </c>
      <c r="I3312">
        <v>11141</v>
      </c>
    </row>
    <row r="3313" spans="1:9">
      <c r="A3313" s="2">
        <v>1979</v>
      </c>
      <c r="B3313">
        <v>90</v>
      </c>
      <c r="C3313">
        <v>0.30913000000000002</v>
      </c>
      <c r="D3313">
        <v>0.26774999999999999</v>
      </c>
      <c r="E3313">
        <v>0.5</v>
      </c>
      <c r="F3313">
        <v>2738</v>
      </c>
      <c r="G3313">
        <v>733</v>
      </c>
      <c r="H3313">
        <v>2371</v>
      </c>
      <c r="I3313">
        <v>7969</v>
      </c>
    </row>
    <row r="3314" spans="1:9">
      <c r="A3314" s="2">
        <v>1979</v>
      </c>
      <c r="B3314">
        <v>91</v>
      </c>
      <c r="C3314">
        <v>0.30886999999999998</v>
      </c>
      <c r="D3314">
        <v>0.26755000000000001</v>
      </c>
      <c r="E3314">
        <v>0.5</v>
      </c>
      <c r="F3314">
        <v>2005</v>
      </c>
      <c r="G3314">
        <v>536</v>
      </c>
      <c r="H3314">
        <v>1737</v>
      </c>
      <c r="I3314">
        <v>5597</v>
      </c>
    </row>
    <row r="3315" spans="1:9">
      <c r="A3315" s="2">
        <v>1979</v>
      </c>
      <c r="B3315">
        <v>92</v>
      </c>
      <c r="C3315">
        <v>0.31322</v>
      </c>
      <c r="D3315">
        <v>0.27081</v>
      </c>
      <c r="E3315">
        <v>0.5</v>
      </c>
      <c r="F3315">
        <v>1469</v>
      </c>
      <c r="G3315">
        <v>398</v>
      </c>
      <c r="H3315">
        <v>1270</v>
      </c>
      <c r="I3315">
        <v>3861</v>
      </c>
    </row>
    <row r="3316" spans="1:9">
      <c r="A3316" s="2">
        <v>1979</v>
      </c>
      <c r="B3316">
        <v>93</v>
      </c>
      <c r="C3316">
        <v>0.40633000000000002</v>
      </c>
      <c r="D3316">
        <v>0.33772000000000002</v>
      </c>
      <c r="E3316">
        <v>0.5</v>
      </c>
      <c r="F3316">
        <v>1071</v>
      </c>
      <c r="G3316">
        <v>362</v>
      </c>
      <c r="H3316">
        <v>890</v>
      </c>
      <c r="I3316">
        <v>2591</v>
      </c>
    </row>
    <row r="3317" spans="1:9">
      <c r="A3317" s="2">
        <v>1979</v>
      </c>
      <c r="B3317">
        <v>94</v>
      </c>
      <c r="C3317">
        <v>0.37858999999999998</v>
      </c>
      <c r="D3317">
        <v>0.31833</v>
      </c>
      <c r="E3317">
        <v>0.5</v>
      </c>
      <c r="F3317">
        <v>709</v>
      </c>
      <c r="G3317">
        <v>226</v>
      </c>
      <c r="H3317">
        <v>596</v>
      </c>
      <c r="I3317">
        <v>1701</v>
      </c>
    </row>
    <row r="3318" spans="1:9">
      <c r="A3318" s="2">
        <v>1979</v>
      </c>
      <c r="B3318">
        <v>95</v>
      </c>
      <c r="C3318">
        <v>0.40088000000000001</v>
      </c>
      <c r="D3318">
        <v>0.33394000000000001</v>
      </c>
      <c r="E3318">
        <v>0.5</v>
      </c>
      <c r="F3318">
        <v>483</v>
      </c>
      <c r="G3318">
        <v>161</v>
      </c>
      <c r="H3318">
        <v>403</v>
      </c>
      <c r="I3318">
        <v>1105</v>
      </c>
    </row>
    <row r="3319" spans="1:9">
      <c r="A3319" s="2">
        <v>1979</v>
      </c>
      <c r="B3319">
        <v>96</v>
      </c>
      <c r="C3319">
        <v>0.42358000000000001</v>
      </c>
      <c r="D3319">
        <v>0.34955000000000003</v>
      </c>
      <c r="E3319">
        <v>0.5</v>
      </c>
      <c r="F3319">
        <v>322</v>
      </c>
      <c r="G3319">
        <v>113</v>
      </c>
      <c r="H3319">
        <v>266</v>
      </c>
      <c r="I3319">
        <v>702</v>
      </c>
    </row>
    <row r="3320" spans="1:9">
      <c r="A3320" s="2">
        <v>1979</v>
      </c>
      <c r="B3320">
        <v>97</v>
      </c>
      <c r="C3320">
        <v>0.44661000000000001</v>
      </c>
      <c r="D3320">
        <v>0.36508000000000002</v>
      </c>
      <c r="E3320">
        <v>0.5</v>
      </c>
      <c r="F3320">
        <v>209</v>
      </c>
      <c r="G3320">
        <v>76</v>
      </c>
      <c r="H3320">
        <v>171</v>
      </c>
      <c r="I3320">
        <v>436</v>
      </c>
    </row>
    <row r="3321" spans="1:9">
      <c r="A3321" s="2">
        <v>1979</v>
      </c>
      <c r="B3321">
        <v>98</v>
      </c>
      <c r="C3321">
        <v>0.46987000000000001</v>
      </c>
      <c r="D3321">
        <v>0.38047999999999998</v>
      </c>
      <c r="E3321">
        <v>0.5</v>
      </c>
      <c r="F3321">
        <v>133</v>
      </c>
      <c r="G3321">
        <v>51</v>
      </c>
      <c r="H3321">
        <v>108</v>
      </c>
      <c r="I3321">
        <v>265</v>
      </c>
    </row>
    <row r="3322" spans="1:9">
      <c r="A3322" s="2">
        <v>1979</v>
      </c>
      <c r="B3322">
        <v>99</v>
      </c>
      <c r="C3322">
        <v>0.49325999999999998</v>
      </c>
      <c r="D3322">
        <v>0.39567000000000002</v>
      </c>
      <c r="E3322">
        <v>0.5</v>
      </c>
      <c r="F3322">
        <v>82</v>
      </c>
      <c r="G3322">
        <v>33</v>
      </c>
      <c r="H3322">
        <v>66</v>
      </c>
      <c r="I3322">
        <v>157</v>
      </c>
    </row>
    <row r="3323" spans="1:9">
      <c r="A3323" s="2">
        <v>1979</v>
      </c>
      <c r="B3323">
        <v>100</v>
      </c>
      <c r="C3323">
        <v>0.51668000000000003</v>
      </c>
      <c r="D3323">
        <v>0.41060000000000002</v>
      </c>
      <c r="E3323">
        <v>0.5</v>
      </c>
      <c r="F3323">
        <v>50</v>
      </c>
      <c r="G3323">
        <v>20</v>
      </c>
      <c r="H3323">
        <v>40</v>
      </c>
      <c r="I3323">
        <v>91</v>
      </c>
    </row>
    <row r="3324" spans="1:9">
      <c r="A3324" s="2">
        <v>1979</v>
      </c>
      <c r="B3324">
        <v>101</v>
      </c>
      <c r="C3324">
        <v>0.54003000000000001</v>
      </c>
      <c r="D3324">
        <v>0.42520999999999998</v>
      </c>
      <c r="E3324">
        <v>0.5</v>
      </c>
      <c r="F3324">
        <v>29</v>
      </c>
      <c r="G3324">
        <v>12</v>
      </c>
      <c r="H3324">
        <v>23</v>
      </c>
      <c r="I3324">
        <v>52</v>
      </c>
    </row>
    <row r="3325" spans="1:9">
      <c r="A3325" s="2">
        <v>1979</v>
      </c>
      <c r="B3325">
        <v>102</v>
      </c>
      <c r="C3325">
        <v>0.56320000000000003</v>
      </c>
      <c r="D3325">
        <v>0.43945000000000001</v>
      </c>
      <c r="E3325">
        <v>0.5</v>
      </c>
      <c r="F3325">
        <v>17</v>
      </c>
      <c r="G3325">
        <v>7</v>
      </c>
      <c r="H3325">
        <v>13</v>
      </c>
      <c r="I3325">
        <v>29</v>
      </c>
    </row>
    <row r="3326" spans="1:9">
      <c r="A3326" s="2">
        <v>1979</v>
      </c>
      <c r="B3326">
        <v>103</v>
      </c>
      <c r="C3326">
        <v>0.58609999999999995</v>
      </c>
      <c r="D3326">
        <v>0.45327000000000001</v>
      </c>
      <c r="E3326">
        <v>0.5</v>
      </c>
      <c r="F3326">
        <v>9</v>
      </c>
      <c r="G3326">
        <v>4</v>
      </c>
      <c r="H3326">
        <v>7</v>
      </c>
      <c r="I3326">
        <v>16</v>
      </c>
    </row>
    <row r="3327" spans="1:9">
      <c r="A3327" s="2">
        <v>1979</v>
      </c>
      <c r="B3327">
        <v>104</v>
      </c>
      <c r="C3327">
        <v>0.60863999999999996</v>
      </c>
      <c r="D3327">
        <v>0.46662999999999999</v>
      </c>
      <c r="E3327">
        <v>0.5</v>
      </c>
      <c r="F3327">
        <v>5</v>
      </c>
      <c r="G3327">
        <v>2</v>
      </c>
      <c r="H3327">
        <v>4</v>
      </c>
      <c r="I3327">
        <v>8</v>
      </c>
    </row>
    <row r="3328" spans="1:9">
      <c r="A3328" s="2">
        <v>1979</v>
      </c>
      <c r="B3328">
        <v>105</v>
      </c>
      <c r="C3328">
        <v>0.63071999999999995</v>
      </c>
      <c r="D3328">
        <v>0.47949999999999998</v>
      </c>
      <c r="E3328">
        <v>0.5</v>
      </c>
      <c r="F3328">
        <v>3</v>
      </c>
      <c r="G3328">
        <v>1</v>
      </c>
      <c r="H3328">
        <v>2</v>
      </c>
      <c r="I3328">
        <v>4</v>
      </c>
    </row>
    <row r="3329" spans="1:9">
      <c r="A3329" s="2">
        <v>1979</v>
      </c>
      <c r="B3329">
        <v>106</v>
      </c>
      <c r="C3329">
        <v>0.65227000000000002</v>
      </c>
      <c r="D3329">
        <v>0.49186000000000002</v>
      </c>
      <c r="E3329">
        <v>0.5</v>
      </c>
      <c r="F3329">
        <v>1</v>
      </c>
      <c r="G3329">
        <v>1</v>
      </c>
      <c r="H3329">
        <v>1</v>
      </c>
      <c r="I3329">
        <v>2</v>
      </c>
    </row>
    <row r="3330" spans="1:9">
      <c r="A3330" s="2">
        <v>1979</v>
      </c>
      <c r="B3330">
        <v>107</v>
      </c>
      <c r="C3330">
        <v>0.67320999999999998</v>
      </c>
      <c r="D3330">
        <v>0.50366999999999995</v>
      </c>
      <c r="E3330">
        <v>0.5</v>
      </c>
      <c r="F3330">
        <v>1</v>
      </c>
      <c r="G3330">
        <v>0</v>
      </c>
      <c r="H3330">
        <v>1</v>
      </c>
      <c r="I3330">
        <v>1</v>
      </c>
    </row>
    <row r="3331" spans="1:9">
      <c r="A3331" s="2">
        <v>1979</v>
      </c>
      <c r="B3331">
        <v>108</v>
      </c>
      <c r="C3331">
        <v>0.69347999999999999</v>
      </c>
      <c r="D3331">
        <v>0.51493</v>
      </c>
      <c r="E3331">
        <v>0.5</v>
      </c>
      <c r="F3331">
        <v>0</v>
      </c>
      <c r="G3331">
        <v>0</v>
      </c>
      <c r="H3331">
        <v>0</v>
      </c>
      <c r="I3331">
        <v>1</v>
      </c>
    </row>
    <row r="3332" spans="1:9">
      <c r="A3332" s="2">
        <v>1979</v>
      </c>
      <c r="B3332">
        <v>109</v>
      </c>
      <c r="C3332">
        <v>0.71303000000000005</v>
      </c>
      <c r="D3332">
        <v>0.52564</v>
      </c>
      <c r="E3332">
        <v>0.5</v>
      </c>
      <c r="F3332">
        <v>0</v>
      </c>
      <c r="G3332">
        <v>0</v>
      </c>
      <c r="H3332">
        <v>0</v>
      </c>
      <c r="I3332">
        <v>0</v>
      </c>
    </row>
    <row r="3333" spans="1:9">
      <c r="A3333" s="2">
        <v>1979</v>
      </c>
      <c r="B3333" t="s">
        <v>26</v>
      </c>
      <c r="C3333">
        <v>0.73182000000000003</v>
      </c>
      <c r="D3333">
        <v>1</v>
      </c>
      <c r="E3333">
        <v>1.37</v>
      </c>
      <c r="F3333">
        <v>0</v>
      </c>
      <c r="G3333">
        <v>0</v>
      </c>
      <c r="H3333">
        <v>0</v>
      </c>
      <c r="I3333">
        <v>0</v>
      </c>
    </row>
    <row r="3334" spans="1:9">
      <c r="A3334" s="2">
        <v>1980</v>
      </c>
      <c r="B3334">
        <v>0</v>
      </c>
      <c r="C3334">
        <v>2.5000000000000001E-2</v>
      </c>
      <c r="D3334">
        <v>2.445E-2</v>
      </c>
      <c r="E3334">
        <v>0.11</v>
      </c>
      <c r="F3334">
        <v>100000</v>
      </c>
      <c r="G3334">
        <v>2445</v>
      </c>
      <c r="H3334">
        <v>97823</v>
      </c>
      <c r="I3334">
        <v>6552282</v>
      </c>
    </row>
    <row r="3335" spans="1:9">
      <c r="A3335" s="2">
        <v>1980</v>
      </c>
      <c r="B3335">
        <v>1</v>
      </c>
      <c r="C3335">
        <v>1.1900000000000001E-3</v>
      </c>
      <c r="D3335">
        <v>1.1900000000000001E-3</v>
      </c>
      <c r="E3335">
        <v>0.5</v>
      </c>
      <c r="F3335">
        <v>97555</v>
      </c>
      <c r="G3335">
        <v>116</v>
      </c>
      <c r="H3335">
        <v>97497</v>
      </c>
      <c r="I3335">
        <v>6454459</v>
      </c>
    </row>
    <row r="3336" spans="1:9">
      <c r="A3336" s="2">
        <v>1980</v>
      </c>
      <c r="B3336">
        <v>2</v>
      </c>
      <c r="C3336">
        <v>6.9999999999999999E-4</v>
      </c>
      <c r="D3336">
        <v>6.9999999999999999E-4</v>
      </c>
      <c r="E3336">
        <v>0.5</v>
      </c>
      <c r="F3336">
        <v>97438</v>
      </c>
      <c r="G3336">
        <v>68</v>
      </c>
      <c r="H3336">
        <v>97404</v>
      </c>
      <c r="I3336">
        <v>6356962</v>
      </c>
    </row>
    <row r="3337" spans="1:9">
      <c r="A3337" s="2">
        <v>1980</v>
      </c>
      <c r="B3337">
        <v>3</v>
      </c>
      <c r="C3337">
        <v>5.6999999999999998E-4</v>
      </c>
      <c r="D3337">
        <v>5.6999999999999998E-4</v>
      </c>
      <c r="E3337">
        <v>0.5</v>
      </c>
      <c r="F3337">
        <v>97370</v>
      </c>
      <c r="G3337">
        <v>56</v>
      </c>
      <c r="H3337">
        <v>97342</v>
      </c>
      <c r="I3337">
        <v>6259558</v>
      </c>
    </row>
    <row r="3338" spans="1:9">
      <c r="A3338" s="2">
        <v>1980</v>
      </c>
      <c r="B3338">
        <v>4</v>
      </c>
      <c r="C3338">
        <v>3.8999999999999999E-4</v>
      </c>
      <c r="D3338">
        <v>3.8999999999999999E-4</v>
      </c>
      <c r="E3338">
        <v>0.5</v>
      </c>
      <c r="F3338">
        <v>97314</v>
      </c>
      <c r="G3338">
        <v>38</v>
      </c>
      <c r="H3338">
        <v>97295</v>
      </c>
      <c r="I3338">
        <v>6162216</v>
      </c>
    </row>
    <row r="3339" spans="1:9">
      <c r="A3339" s="2">
        <v>1980</v>
      </c>
      <c r="B3339">
        <v>5</v>
      </c>
      <c r="C3339">
        <v>3.6999999999999999E-4</v>
      </c>
      <c r="D3339">
        <v>3.6999999999999999E-4</v>
      </c>
      <c r="E3339">
        <v>0.5</v>
      </c>
      <c r="F3339">
        <v>97276</v>
      </c>
      <c r="G3339">
        <v>36</v>
      </c>
      <c r="H3339">
        <v>97258</v>
      </c>
      <c r="I3339">
        <v>6064921</v>
      </c>
    </row>
    <row r="3340" spans="1:9">
      <c r="A3340" s="2">
        <v>1980</v>
      </c>
      <c r="B3340">
        <v>6</v>
      </c>
      <c r="C3340">
        <v>4.6999999999999999E-4</v>
      </c>
      <c r="D3340">
        <v>4.6999999999999999E-4</v>
      </c>
      <c r="E3340">
        <v>0.5</v>
      </c>
      <c r="F3340">
        <v>97240</v>
      </c>
      <c r="G3340">
        <v>45</v>
      </c>
      <c r="H3340">
        <v>97217</v>
      </c>
      <c r="I3340">
        <v>5967663</v>
      </c>
    </row>
    <row r="3341" spans="1:9">
      <c r="A3341" s="2">
        <v>1980</v>
      </c>
      <c r="B3341">
        <v>7</v>
      </c>
      <c r="C3341">
        <v>3.6999999999999999E-4</v>
      </c>
      <c r="D3341">
        <v>3.6999999999999999E-4</v>
      </c>
      <c r="E3341">
        <v>0.5</v>
      </c>
      <c r="F3341">
        <v>97194</v>
      </c>
      <c r="G3341">
        <v>36</v>
      </c>
      <c r="H3341">
        <v>97176</v>
      </c>
      <c r="I3341">
        <v>5870446</v>
      </c>
    </row>
    <row r="3342" spans="1:9">
      <c r="A3342" s="2">
        <v>1980</v>
      </c>
      <c r="B3342">
        <v>8</v>
      </c>
      <c r="C3342">
        <v>5.9000000000000003E-4</v>
      </c>
      <c r="D3342">
        <v>5.9000000000000003E-4</v>
      </c>
      <c r="E3342">
        <v>0.5</v>
      </c>
      <c r="F3342">
        <v>97158</v>
      </c>
      <c r="G3342">
        <v>57</v>
      </c>
      <c r="H3342">
        <v>97130</v>
      </c>
      <c r="I3342">
        <v>5773270</v>
      </c>
    </row>
    <row r="3343" spans="1:9">
      <c r="A3343" s="2">
        <v>1980</v>
      </c>
      <c r="B3343">
        <v>9</v>
      </c>
      <c r="C3343">
        <v>2.7999999999999998E-4</v>
      </c>
      <c r="D3343">
        <v>2.7999999999999998E-4</v>
      </c>
      <c r="E3343">
        <v>0.5</v>
      </c>
      <c r="F3343">
        <v>97101</v>
      </c>
      <c r="G3343">
        <v>27</v>
      </c>
      <c r="H3343">
        <v>97088</v>
      </c>
      <c r="I3343">
        <v>5676140</v>
      </c>
    </row>
    <row r="3344" spans="1:9">
      <c r="A3344" s="2">
        <v>1980</v>
      </c>
      <c r="B3344">
        <v>10</v>
      </c>
      <c r="C3344">
        <v>4.0999999999999999E-4</v>
      </c>
      <c r="D3344">
        <v>4.0999999999999999E-4</v>
      </c>
      <c r="E3344">
        <v>0.5</v>
      </c>
      <c r="F3344">
        <v>97074</v>
      </c>
      <c r="G3344">
        <v>39</v>
      </c>
      <c r="H3344">
        <v>97054</v>
      </c>
      <c r="I3344">
        <v>5579052</v>
      </c>
    </row>
    <row r="3345" spans="1:9">
      <c r="A3345" s="2">
        <v>1980</v>
      </c>
      <c r="B3345">
        <v>11</v>
      </c>
      <c r="C3345">
        <v>3.5E-4</v>
      </c>
      <c r="D3345">
        <v>3.5E-4</v>
      </c>
      <c r="E3345">
        <v>0.5</v>
      </c>
      <c r="F3345">
        <v>97035</v>
      </c>
      <c r="G3345">
        <v>34</v>
      </c>
      <c r="H3345">
        <v>97017</v>
      </c>
      <c r="I3345">
        <v>5481998</v>
      </c>
    </row>
    <row r="3346" spans="1:9">
      <c r="A3346" s="2">
        <v>1980</v>
      </c>
      <c r="B3346">
        <v>12</v>
      </c>
      <c r="C3346">
        <v>4.2000000000000002E-4</v>
      </c>
      <c r="D3346">
        <v>4.2000000000000002E-4</v>
      </c>
      <c r="E3346">
        <v>0.5</v>
      </c>
      <c r="F3346">
        <v>97000</v>
      </c>
      <c r="G3346">
        <v>41</v>
      </c>
      <c r="H3346">
        <v>96980</v>
      </c>
      <c r="I3346">
        <v>5384981</v>
      </c>
    </row>
    <row r="3347" spans="1:9">
      <c r="A3347" s="2">
        <v>1980</v>
      </c>
      <c r="B3347">
        <v>13</v>
      </c>
      <c r="C3347">
        <v>4.4999999999999999E-4</v>
      </c>
      <c r="D3347">
        <v>4.4999999999999999E-4</v>
      </c>
      <c r="E3347">
        <v>0.5</v>
      </c>
      <c r="F3347">
        <v>96959</v>
      </c>
      <c r="G3347">
        <v>44</v>
      </c>
      <c r="H3347">
        <v>96938</v>
      </c>
      <c r="I3347">
        <v>5288001</v>
      </c>
    </row>
    <row r="3348" spans="1:9">
      <c r="A3348" s="2">
        <v>1980</v>
      </c>
      <c r="B3348">
        <v>14</v>
      </c>
      <c r="C3348">
        <v>4.6000000000000001E-4</v>
      </c>
      <c r="D3348">
        <v>4.6000000000000001E-4</v>
      </c>
      <c r="E3348">
        <v>0.5</v>
      </c>
      <c r="F3348">
        <v>96916</v>
      </c>
      <c r="G3348">
        <v>45</v>
      </c>
      <c r="H3348">
        <v>96893</v>
      </c>
      <c r="I3348">
        <v>5191063</v>
      </c>
    </row>
    <row r="3349" spans="1:9">
      <c r="A3349" s="2">
        <v>1980</v>
      </c>
      <c r="B3349">
        <v>15</v>
      </c>
      <c r="C3349">
        <v>5.9999999999999995E-4</v>
      </c>
      <c r="D3349">
        <v>5.9999999999999995E-4</v>
      </c>
      <c r="E3349">
        <v>0.5</v>
      </c>
      <c r="F3349">
        <v>96871</v>
      </c>
      <c r="G3349">
        <v>59</v>
      </c>
      <c r="H3349">
        <v>96842</v>
      </c>
      <c r="I3349">
        <v>5094170</v>
      </c>
    </row>
    <row r="3350" spans="1:9">
      <c r="A3350" s="2">
        <v>1980</v>
      </c>
      <c r="B3350">
        <v>16</v>
      </c>
      <c r="C3350">
        <v>7.6999999999999996E-4</v>
      </c>
      <c r="D3350">
        <v>7.6999999999999996E-4</v>
      </c>
      <c r="E3350">
        <v>0.5</v>
      </c>
      <c r="F3350">
        <v>96812</v>
      </c>
      <c r="G3350">
        <v>75</v>
      </c>
      <c r="H3350">
        <v>96775</v>
      </c>
      <c r="I3350">
        <v>4997328</v>
      </c>
    </row>
    <row r="3351" spans="1:9">
      <c r="A3351" s="2">
        <v>1980</v>
      </c>
      <c r="B3351">
        <v>17</v>
      </c>
      <c r="C3351">
        <v>9.2000000000000003E-4</v>
      </c>
      <c r="D3351">
        <v>9.2000000000000003E-4</v>
      </c>
      <c r="E3351">
        <v>0.5</v>
      </c>
      <c r="F3351">
        <v>96738</v>
      </c>
      <c r="G3351">
        <v>89</v>
      </c>
      <c r="H3351">
        <v>96693</v>
      </c>
      <c r="I3351">
        <v>4900553</v>
      </c>
    </row>
    <row r="3352" spans="1:9">
      <c r="A3352" s="2">
        <v>1980</v>
      </c>
      <c r="B3352">
        <v>18</v>
      </c>
      <c r="C3352">
        <v>1.14E-3</v>
      </c>
      <c r="D3352">
        <v>1.14E-3</v>
      </c>
      <c r="E3352">
        <v>0.5</v>
      </c>
      <c r="F3352">
        <v>96649</v>
      </c>
      <c r="G3352">
        <v>111</v>
      </c>
      <c r="H3352">
        <v>96594</v>
      </c>
      <c r="I3352">
        <v>4803860</v>
      </c>
    </row>
    <row r="3353" spans="1:9">
      <c r="A3353" s="2">
        <v>1980</v>
      </c>
      <c r="B3353">
        <v>19</v>
      </c>
      <c r="C3353">
        <v>1.56E-3</v>
      </c>
      <c r="D3353">
        <v>1.56E-3</v>
      </c>
      <c r="E3353">
        <v>0.5</v>
      </c>
      <c r="F3353">
        <v>96538</v>
      </c>
      <c r="G3353">
        <v>151</v>
      </c>
      <c r="H3353">
        <v>96463</v>
      </c>
      <c r="I3353">
        <v>4707267</v>
      </c>
    </row>
    <row r="3354" spans="1:9">
      <c r="A3354" s="2">
        <v>1980</v>
      </c>
      <c r="B3354">
        <v>20</v>
      </c>
      <c r="C3354">
        <v>1.73E-3</v>
      </c>
      <c r="D3354">
        <v>1.73E-3</v>
      </c>
      <c r="E3354">
        <v>0.5</v>
      </c>
      <c r="F3354">
        <v>96388</v>
      </c>
      <c r="G3354">
        <v>167</v>
      </c>
      <c r="H3354">
        <v>96304</v>
      </c>
      <c r="I3354">
        <v>4610804</v>
      </c>
    </row>
    <row r="3355" spans="1:9">
      <c r="A3355" s="2">
        <v>1980</v>
      </c>
      <c r="B3355">
        <v>21</v>
      </c>
      <c r="C3355">
        <v>1.6299999999999999E-3</v>
      </c>
      <c r="D3355">
        <v>1.6299999999999999E-3</v>
      </c>
      <c r="E3355">
        <v>0.5</v>
      </c>
      <c r="F3355">
        <v>96221</v>
      </c>
      <c r="G3355">
        <v>157</v>
      </c>
      <c r="H3355">
        <v>96143</v>
      </c>
      <c r="I3355">
        <v>4514499</v>
      </c>
    </row>
    <row r="3356" spans="1:9">
      <c r="A3356" s="2">
        <v>1980</v>
      </c>
      <c r="B3356">
        <v>22</v>
      </c>
      <c r="C3356">
        <v>1.5299999999999999E-3</v>
      </c>
      <c r="D3356">
        <v>1.5299999999999999E-3</v>
      </c>
      <c r="E3356">
        <v>0.5</v>
      </c>
      <c r="F3356">
        <v>96064</v>
      </c>
      <c r="G3356">
        <v>147</v>
      </c>
      <c r="H3356">
        <v>95991</v>
      </c>
      <c r="I3356">
        <v>4418357</v>
      </c>
    </row>
    <row r="3357" spans="1:9">
      <c r="A3357" s="2">
        <v>1980</v>
      </c>
      <c r="B3357">
        <v>23</v>
      </c>
      <c r="C3357">
        <v>1.5200000000000001E-3</v>
      </c>
      <c r="D3357">
        <v>1.5100000000000001E-3</v>
      </c>
      <c r="E3357">
        <v>0.5</v>
      </c>
      <c r="F3357">
        <v>95918</v>
      </c>
      <c r="G3357">
        <v>145</v>
      </c>
      <c r="H3357">
        <v>95845</v>
      </c>
      <c r="I3357">
        <v>4322366</v>
      </c>
    </row>
    <row r="3358" spans="1:9">
      <c r="A3358" s="2">
        <v>1980</v>
      </c>
      <c r="B3358">
        <v>24</v>
      </c>
      <c r="C3358">
        <v>1.5100000000000001E-3</v>
      </c>
      <c r="D3358">
        <v>1.5100000000000001E-3</v>
      </c>
      <c r="E3358">
        <v>0.5</v>
      </c>
      <c r="F3358">
        <v>95772</v>
      </c>
      <c r="G3358">
        <v>145</v>
      </c>
      <c r="H3358">
        <v>95700</v>
      </c>
      <c r="I3358">
        <v>4226521</v>
      </c>
    </row>
    <row r="3359" spans="1:9">
      <c r="A3359" s="2">
        <v>1980</v>
      </c>
      <c r="B3359">
        <v>25</v>
      </c>
      <c r="C3359">
        <v>1.47E-3</v>
      </c>
      <c r="D3359">
        <v>1.47E-3</v>
      </c>
      <c r="E3359">
        <v>0.5</v>
      </c>
      <c r="F3359">
        <v>95628</v>
      </c>
      <c r="G3359">
        <v>140</v>
      </c>
      <c r="H3359">
        <v>95558</v>
      </c>
      <c r="I3359">
        <v>4130821</v>
      </c>
    </row>
    <row r="3360" spans="1:9">
      <c r="A3360" s="2">
        <v>1980</v>
      </c>
      <c r="B3360">
        <v>26</v>
      </c>
      <c r="C3360">
        <v>1.7799999999999999E-3</v>
      </c>
      <c r="D3360">
        <v>1.7799999999999999E-3</v>
      </c>
      <c r="E3360">
        <v>0.5</v>
      </c>
      <c r="F3360">
        <v>95488</v>
      </c>
      <c r="G3360">
        <v>170</v>
      </c>
      <c r="H3360">
        <v>95403</v>
      </c>
      <c r="I3360">
        <v>4035263</v>
      </c>
    </row>
    <row r="3361" spans="1:9">
      <c r="A3361" s="2">
        <v>1980</v>
      </c>
      <c r="B3361">
        <v>27</v>
      </c>
      <c r="C3361">
        <v>1.6900000000000001E-3</v>
      </c>
      <c r="D3361">
        <v>1.6900000000000001E-3</v>
      </c>
      <c r="E3361">
        <v>0.5</v>
      </c>
      <c r="F3361">
        <v>95318</v>
      </c>
      <c r="G3361">
        <v>161</v>
      </c>
      <c r="H3361">
        <v>95237</v>
      </c>
      <c r="I3361">
        <v>3939860</v>
      </c>
    </row>
    <row r="3362" spans="1:9">
      <c r="A3362" s="2">
        <v>1980</v>
      </c>
      <c r="B3362">
        <v>28</v>
      </c>
      <c r="C3362">
        <v>2.0799999999999998E-3</v>
      </c>
      <c r="D3362">
        <v>2.0699999999999998E-3</v>
      </c>
      <c r="E3362">
        <v>0.5</v>
      </c>
      <c r="F3362">
        <v>95157</v>
      </c>
      <c r="G3362">
        <v>197</v>
      </c>
      <c r="H3362">
        <v>95058</v>
      </c>
      <c r="I3362">
        <v>3844623</v>
      </c>
    </row>
    <row r="3363" spans="1:9">
      <c r="A3363" s="2">
        <v>1980</v>
      </c>
      <c r="B3363">
        <v>29</v>
      </c>
      <c r="C3363">
        <v>1.9499999999999999E-3</v>
      </c>
      <c r="D3363">
        <v>1.9499999999999999E-3</v>
      </c>
      <c r="E3363">
        <v>0.5</v>
      </c>
      <c r="F3363">
        <v>94959</v>
      </c>
      <c r="G3363">
        <v>185</v>
      </c>
      <c r="H3363">
        <v>94867</v>
      </c>
      <c r="I3363">
        <v>3749565</v>
      </c>
    </row>
    <row r="3364" spans="1:9">
      <c r="A3364" s="2">
        <v>1980</v>
      </c>
      <c r="B3364">
        <v>30</v>
      </c>
      <c r="C3364">
        <v>1.9400000000000001E-3</v>
      </c>
      <c r="D3364">
        <v>1.9400000000000001E-3</v>
      </c>
      <c r="E3364">
        <v>0.5</v>
      </c>
      <c r="F3364">
        <v>94774</v>
      </c>
      <c r="G3364">
        <v>184</v>
      </c>
      <c r="H3364">
        <v>94682</v>
      </c>
      <c r="I3364">
        <v>3654698</v>
      </c>
    </row>
    <row r="3365" spans="1:9">
      <c r="A3365" s="2">
        <v>1980</v>
      </c>
      <c r="B3365">
        <v>31</v>
      </c>
      <c r="C3365">
        <v>2.2699999999999999E-3</v>
      </c>
      <c r="D3365">
        <v>2.2699999999999999E-3</v>
      </c>
      <c r="E3365">
        <v>0.5</v>
      </c>
      <c r="F3365">
        <v>94591</v>
      </c>
      <c r="G3365">
        <v>214</v>
      </c>
      <c r="H3365">
        <v>94483</v>
      </c>
      <c r="I3365">
        <v>3560016</v>
      </c>
    </row>
    <row r="3366" spans="1:9">
      <c r="A3366" s="2">
        <v>1980</v>
      </c>
      <c r="B3366">
        <v>32</v>
      </c>
      <c r="C3366">
        <v>1.9599999999999999E-3</v>
      </c>
      <c r="D3366">
        <v>1.9499999999999999E-3</v>
      </c>
      <c r="E3366">
        <v>0.5</v>
      </c>
      <c r="F3366">
        <v>94376</v>
      </c>
      <c r="G3366">
        <v>184</v>
      </c>
      <c r="H3366">
        <v>94284</v>
      </c>
      <c r="I3366">
        <v>3465532</v>
      </c>
    </row>
    <row r="3367" spans="1:9">
      <c r="A3367" s="2">
        <v>1980</v>
      </c>
      <c r="B3367">
        <v>33</v>
      </c>
      <c r="C3367">
        <v>2.5999999999999999E-3</v>
      </c>
      <c r="D3367">
        <v>2.5999999999999999E-3</v>
      </c>
      <c r="E3367">
        <v>0.5</v>
      </c>
      <c r="F3367">
        <v>94192</v>
      </c>
      <c r="G3367">
        <v>245</v>
      </c>
      <c r="H3367">
        <v>94070</v>
      </c>
      <c r="I3367">
        <v>3371248</v>
      </c>
    </row>
    <row r="3368" spans="1:9">
      <c r="A3368" s="2">
        <v>1980</v>
      </c>
      <c r="B3368">
        <v>34</v>
      </c>
      <c r="C3368">
        <v>2.5300000000000001E-3</v>
      </c>
      <c r="D3368">
        <v>2.5300000000000001E-3</v>
      </c>
      <c r="E3368">
        <v>0.5</v>
      </c>
      <c r="F3368">
        <v>93947</v>
      </c>
      <c r="G3368">
        <v>238</v>
      </c>
      <c r="H3368">
        <v>93828</v>
      </c>
      <c r="I3368">
        <v>3277179</v>
      </c>
    </row>
    <row r="3369" spans="1:9">
      <c r="A3369" s="2">
        <v>1980</v>
      </c>
      <c r="B3369">
        <v>35</v>
      </c>
      <c r="C3369">
        <v>3.0999999999999999E-3</v>
      </c>
      <c r="D3369">
        <v>3.0999999999999999E-3</v>
      </c>
      <c r="E3369">
        <v>0.5</v>
      </c>
      <c r="F3369">
        <v>93709</v>
      </c>
      <c r="G3369">
        <v>290</v>
      </c>
      <c r="H3369">
        <v>93564</v>
      </c>
      <c r="I3369">
        <v>3183350</v>
      </c>
    </row>
    <row r="3370" spans="1:9">
      <c r="A3370" s="2">
        <v>1980</v>
      </c>
      <c r="B3370">
        <v>36</v>
      </c>
      <c r="C3370">
        <v>3.5000000000000001E-3</v>
      </c>
      <c r="D3370">
        <v>3.49E-3</v>
      </c>
      <c r="E3370">
        <v>0.5</v>
      </c>
      <c r="F3370">
        <v>93419</v>
      </c>
      <c r="G3370">
        <v>326</v>
      </c>
      <c r="H3370">
        <v>93256</v>
      </c>
      <c r="I3370">
        <v>3089786</v>
      </c>
    </row>
    <row r="3371" spans="1:9">
      <c r="A3371" s="2">
        <v>1980</v>
      </c>
      <c r="B3371">
        <v>37</v>
      </c>
      <c r="C3371">
        <v>4.1700000000000001E-3</v>
      </c>
      <c r="D3371">
        <v>4.1599999999999996E-3</v>
      </c>
      <c r="E3371">
        <v>0.5</v>
      </c>
      <c r="F3371">
        <v>93093</v>
      </c>
      <c r="G3371">
        <v>387</v>
      </c>
      <c r="H3371">
        <v>92899</v>
      </c>
      <c r="I3371">
        <v>2996530</v>
      </c>
    </row>
    <row r="3372" spans="1:9">
      <c r="A3372" s="2">
        <v>1980</v>
      </c>
      <c r="B3372">
        <v>38</v>
      </c>
      <c r="C3372">
        <v>4.1200000000000004E-3</v>
      </c>
      <c r="D3372">
        <v>4.1099999999999999E-3</v>
      </c>
      <c r="E3372">
        <v>0.5</v>
      </c>
      <c r="F3372">
        <v>92706</v>
      </c>
      <c r="G3372">
        <v>381</v>
      </c>
      <c r="H3372">
        <v>92515</v>
      </c>
      <c r="I3372">
        <v>2903630</v>
      </c>
    </row>
    <row r="3373" spans="1:9">
      <c r="A3373" s="2">
        <v>1980</v>
      </c>
      <c r="B3373">
        <v>39</v>
      </c>
      <c r="C3373">
        <v>4.7600000000000003E-3</v>
      </c>
      <c r="D3373">
        <v>4.7499999999999999E-3</v>
      </c>
      <c r="E3373">
        <v>0.5</v>
      </c>
      <c r="F3373">
        <v>92325</v>
      </c>
      <c r="G3373">
        <v>439</v>
      </c>
      <c r="H3373">
        <v>92105</v>
      </c>
      <c r="I3373">
        <v>2811115</v>
      </c>
    </row>
    <row r="3374" spans="1:9">
      <c r="A3374" s="2">
        <v>1980</v>
      </c>
      <c r="B3374">
        <v>40</v>
      </c>
      <c r="C3374">
        <v>5.1700000000000001E-3</v>
      </c>
      <c r="D3374">
        <v>5.1599999999999997E-3</v>
      </c>
      <c r="E3374">
        <v>0.5</v>
      </c>
      <c r="F3374">
        <v>91886</v>
      </c>
      <c r="G3374">
        <v>474</v>
      </c>
      <c r="H3374">
        <v>91649</v>
      </c>
      <c r="I3374">
        <v>2719009</v>
      </c>
    </row>
    <row r="3375" spans="1:9">
      <c r="A3375" s="2">
        <v>1980</v>
      </c>
      <c r="B3375">
        <v>41</v>
      </c>
      <c r="C3375">
        <v>5.7400000000000003E-3</v>
      </c>
      <c r="D3375">
        <v>5.7200000000000003E-3</v>
      </c>
      <c r="E3375">
        <v>0.5</v>
      </c>
      <c r="F3375">
        <v>91412</v>
      </c>
      <c r="G3375">
        <v>523</v>
      </c>
      <c r="H3375">
        <v>91151</v>
      </c>
      <c r="I3375">
        <v>2627360</v>
      </c>
    </row>
    <row r="3376" spans="1:9">
      <c r="A3376" s="2">
        <v>1980</v>
      </c>
      <c r="B3376">
        <v>42</v>
      </c>
      <c r="C3376">
        <v>6.4099999999999999E-3</v>
      </c>
      <c r="D3376">
        <v>6.3800000000000003E-3</v>
      </c>
      <c r="E3376">
        <v>0.5</v>
      </c>
      <c r="F3376">
        <v>90889</v>
      </c>
      <c r="G3376">
        <v>580</v>
      </c>
      <c r="H3376">
        <v>90599</v>
      </c>
      <c r="I3376">
        <v>2536209</v>
      </c>
    </row>
    <row r="3377" spans="1:9">
      <c r="A3377" s="2">
        <v>1980</v>
      </c>
      <c r="B3377">
        <v>43</v>
      </c>
      <c r="C3377">
        <v>6.1900000000000002E-3</v>
      </c>
      <c r="D3377">
        <v>6.1700000000000001E-3</v>
      </c>
      <c r="E3377">
        <v>0.5</v>
      </c>
      <c r="F3377">
        <v>90309</v>
      </c>
      <c r="G3377">
        <v>557</v>
      </c>
      <c r="H3377">
        <v>90030</v>
      </c>
      <c r="I3377">
        <v>2445610</v>
      </c>
    </row>
    <row r="3378" spans="1:9">
      <c r="A3378" s="2">
        <v>1980</v>
      </c>
      <c r="B3378">
        <v>44</v>
      </c>
      <c r="C3378">
        <v>7.4999999999999997E-3</v>
      </c>
      <c r="D3378">
        <v>7.4700000000000001E-3</v>
      </c>
      <c r="E3378">
        <v>0.5</v>
      </c>
      <c r="F3378">
        <v>89752</v>
      </c>
      <c r="G3378">
        <v>670</v>
      </c>
      <c r="H3378">
        <v>89417</v>
      </c>
      <c r="I3378">
        <v>2355579</v>
      </c>
    </row>
    <row r="3379" spans="1:9">
      <c r="A3379" s="2">
        <v>1980</v>
      </c>
      <c r="B3379">
        <v>45</v>
      </c>
      <c r="C3379">
        <v>7.7600000000000004E-3</v>
      </c>
      <c r="D3379">
        <v>7.7299999999999999E-3</v>
      </c>
      <c r="E3379">
        <v>0.5</v>
      </c>
      <c r="F3379">
        <v>89082</v>
      </c>
      <c r="G3379">
        <v>689</v>
      </c>
      <c r="H3379">
        <v>88737</v>
      </c>
      <c r="I3379">
        <v>2266163</v>
      </c>
    </row>
    <row r="3380" spans="1:9">
      <c r="A3380" s="2">
        <v>1980</v>
      </c>
      <c r="B3380">
        <v>46</v>
      </c>
      <c r="C3380">
        <v>8.3400000000000002E-3</v>
      </c>
      <c r="D3380">
        <v>8.3000000000000001E-3</v>
      </c>
      <c r="E3380">
        <v>0.5</v>
      </c>
      <c r="F3380">
        <v>88393</v>
      </c>
      <c r="G3380">
        <v>734</v>
      </c>
      <c r="H3380">
        <v>88026</v>
      </c>
      <c r="I3380">
        <v>2177425</v>
      </c>
    </row>
    <row r="3381" spans="1:9">
      <c r="A3381" s="2">
        <v>1980</v>
      </c>
      <c r="B3381">
        <v>47</v>
      </c>
      <c r="C3381">
        <v>8.3000000000000001E-3</v>
      </c>
      <c r="D3381">
        <v>8.2699999999999996E-3</v>
      </c>
      <c r="E3381">
        <v>0.5</v>
      </c>
      <c r="F3381">
        <v>87659</v>
      </c>
      <c r="G3381">
        <v>725</v>
      </c>
      <c r="H3381">
        <v>87297</v>
      </c>
      <c r="I3381">
        <v>2089399</v>
      </c>
    </row>
    <row r="3382" spans="1:9">
      <c r="A3382" s="2">
        <v>1980</v>
      </c>
      <c r="B3382">
        <v>48</v>
      </c>
      <c r="C3382">
        <v>1.01E-2</v>
      </c>
      <c r="D3382">
        <v>1.005E-2</v>
      </c>
      <c r="E3382">
        <v>0.5</v>
      </c>
      <c r="F3382">
        <v>86935</v>
      </c>
      <c r="G3382">
        <v>874</v>
      </c>
      <c r="H3382">
        <v>86498</v>
      </c>
      <c r="I3382">
        <v>2002102</v>
      </c>
    </row>
    <row r="3383" spans="1:9">
      <c r="A3383" s="2">
        <v>1980</v>
      </c>
      <c r="B3383">
        <v>49</v>
      </c>
      <c r="C3383">
        <v>1.1299999999999999E-2</v>
      </c>
      <c r="D3383">
        <v>1.123E-2</v>
      </c>
      <c r="E3383">
        <v>0.5</v>
      </c>
      <c r="F3383">
        <v>86061</v>
      </c>
      <c r="G3383">
        <v>967</v>
      </c>
      <c r="H3383">
        <v>85578</v>
      </c>
      <c r="I3383">
        <v>1915605</v>
      </c>
    </row>
    <row r="3384" spans="1:9">
      <c r="A3384" s="2">
        <v>1980</v>
      </c>
      <c r="B3384">
        <v>50</v>
      </c>
      <c r="C3384">
        <v>1.176E-2</v>
      </c>
      <c r="D3384">
        <v>1.1690000000000001E-2</v>
      </c>
      <c r="E3384">
        <v>0.5</v>
      </c>
      <c r="F3384">
        <v>85094</v>
      </c>
      <c r="G3384">
        <v>995</v>
      </c>
      <c r="H3384">
        <v>84597</v>
      </c>
      <c r="I3384">
        <v>1830027</v>
      </c>
    </row>
    <row r="3385" spans="1:9">
      <c r="A3385" s="2">
        <v>1980</v>
      </c>
      <c r="B3385">
        <v>51</v>
      </c>
      <c r="C3385">
        <v>1.3010000000000001E-2</v>
      </c>
      <c r="D3385">
        <v>1.2930000000000001E-2</v>
      </c>
      <c r="E3385">
        <v>0.5</v>
      </c>
      <c r="F3385">
        <v>84100</v>
      </c>
      <c r="G3385">
        <v>1087</v>
      </c>
      <c r="H3385">
        <v>83556</v>
      </c>
      <c r="I3385">
        <v>1745430</v>
      </c>
    </row>
    <row r="3386" spans="1:9">
      <c r="A3386" s="2">
        <v>1980</v>
      </c>
      <c r="B3386">
        <v>52</v>
      </c>
      <c r="C3386">
        <v>1.427E-2</v>
      </c>
      <c r="D3386">
        <v>1.417E-2</v>
      </c>
      <c r="E3386">
        <v>0.5</v>
      </c>
      <c r="F3386">
        <v>83012</v>
      </c>
      <c r="G3386">
        <v>1176</v>
      </c>
      <c r="H3386">
        <v>82424</v>
      </c>
      <c r="I3386">
        <v>1661874</v>
      </c>
    </row>
    <row r="3387" spans="1:9">
      <c r="A3387" s="2">
        <v>1980</v>
      </c>
      <c r="B3387">
        <v>53</v>
      </c>
      <c r="C3387">
        <v>1.5709999999999998E-2</v>
      </c>
      <c r="D3387">
        <v>1.559E-2</v>
      </c>
      <c r="E3387">
        <v>0.5</v>
      </c>
      <c r="F3387">
        <v>81836</v>
      </c>
      <c r="G3387">
        <v>1276</v>
      </c>
      <c r="H3387">
        <v>81198</v>
      </c>
      <c r="I3387">
        <v>1579450</v>
      </c>
    </row>
    <row r="3388" spans="1:9">
      <c r="A3388" s="2">
        <v>1980</v>
      </c>
      <c r="B3388">
        <v>54</v>
      </c>
      <c r="C3388">
        <v>1.6330000000000001E-2</v>
      </c>
      <c r="D3388">
        <v>1.619E-2</v>
      </c>
      <c r="E3388">
        <v>0.5</v>
      </c>
      <c r="F3388">
        <v>80560</v>
      </c>
      <c r="G3388">
        <v>1305</v>
      </c>
      <c r="H3388">
        <v>79908</v>
      </c>
      <c r="I3388">
        <v>1498252</v>
      </c>
    </row>
    <row r="3389" spans="1:9">
      <c r="A3389" s="2">
        <v>1980</v>
      </c>
      <c r="B3389">
        <v>55</v>
      </c>
      <c r="C3389">
        <v>1.771E-2</v>
      </c>
      <c r="D3389">
        <v>1.7559999999999999E-2</v>
      </c>
      <c r="E3389">
        <v>0.5</v>
      </c>
      <c r="F3389">
        <v>79256</v>
      </c>
      <c r="G3389">
        <v>1392</v>
      </c>
      <c r="H3389">
        <v>78560</v>
      </c>
      <c r="I3389">
        <v>1418343</v>
      </c>
    </row>
    <row r="3390" spans="1:9">
      <c r="A3390" s="2">
        <v>1980</v>
      </c>
      <c r="B3390">
        <v>56</v>
      </c>
      <c r="C3390">
        <v>2.01E-2</v>
      </c>
      <c r="D3390">
        <v>1.9900000000000001E-2</v>
      </c>
      <c r="E3390">
        <v>0.5</v>
      </c>
      <c r="F3390">
        <v>77864</v>
      </c>
      <c r="G3390">
        <v>1550</v>
      </c>
      <c r="H3390">
        <v>77089</v>
      </c>
      <c r="I3390">
        <v>1339783</v>
      </c>
    </row>
    <row r="3391" spans="1:9">
      <c r="A3391" s="2">
        <v>1980</v>
      </c>
      <c r="B3391">
        <v>57</v>
      </c>
      <c r="C3391">
        <v>2.0459999999999999E-2</v>
      </c>
      <c r="D3391">
        <v>2.026E-2</v>
      </c>
      <c r="E3391">
        <v>0.5</v>
      </c>
      <c r="F3391">
        <v>76314</v>
      </c>
      <c r="G3391">
        <v>1546</v>
      </c>
      <c r="H3391">
        <v>75541</v>
      </c>
      <c r="I3391">
        <v>1262694</v>
      </c>
    </row>
    <row r="3392" spans="1:9">
      <c r="A3392" s="2">
        <v>1980</v>
      </c>
      <c r="B3392">
        <v>58</v>
      </c>
      <c r="C3392">
        <v>2.2939999999999999E-2</v>
      </c>
      <c r="D3392">
        <v>2.2679999999999999E-2</v>
      </c>
      <c r="E3392">
        <v>0.5</v>
      </c>
      <c r="F3392">
        <v>74769</v>
      </c>
      <c r="G3392">
        <v>1696</v>
      </c>
      <c r="H3392">
        <v>73921</v>
      </c>
      <c r="I3392">
        <v>1187153</v>
      </c>
    </row>
    <row r="3393" spans="1:9">
      <c r="A3393" s="2">
        <v>1980</v>
      </c>
      <c r="B3393">
        <v>59</v>
      </c>
      <c r="C3393">
        <v>2.3550000000000001E-2</v>
      </c>
      <c r="D3393">
        <v>2.3269999999999999E-2</v>
      </c>
      <c r="E3393">
        <v>0.5</v>
      </c>
      <c r="F3393">
        <v>73073</v>
      </c>
      <c r="G3393">
        <v>1701</v>
      </c>
      <c r="H3393">
        <v>72222</v>
      </c>
      <c r="I3393">
        <v>1113232</v>
      </c>
    </row>
    <row r="3394" spans="1:9">
      <c r="A3394" s="2">
        <v>1980</v>
      </c>
      <c r="B3394">
        <v>60</v>
      </c>
      <c r="C3394">
        <v>2.7820000000000001E-2</v>
      </c>
      <c r="D3394">
        <v>2.743E-2</v>
      </c>
      <c r="E3394">
        <v>0.5</v>
      </c>
      <c r="F3394">
        <v>71372</v>
      </c>
      <c r="G3394">
        <v>1958</v>
      </c>
      <c r="H3394">
        <v>70393</v>
      </c>
      <c r="I3394">
        <v>1041010</v>
      </c>
    </row>
    <row r="3395" spans="1:9">
      <c r="A3395" s="2">
        <v>1980</v>
      </c>
      <c r="B3395">
        <v>61</v>
      </c>
      <c r="C3395">
        <v>2.504E-2</v>
      </c>
      <c r="D3395">
        <v>2.4729999999999999E-2</v>
      </c>
      <c r="E3395">
        <v>0.5</v>
      </c>
      <c r="F3395">
        <v>69414</v>
      </c>
      <c r="G3395">
        <v>1717</v>
      </c>
      <c r="H3395">
        <v>68555</v>
      </c>
      <c r="I3395">
        <v>970617</v>
      </c>
    </row>
    <row r="3396" spans="1:9">
      <c r="A3396" s="2">
        <v>1980</v>
      </c>
      <c r="B3396">
        <v>62</v>
      </c>
      <c r="C3396">
        <v>3.2399999999999998E-2</v>
      </c>
      <c r="D3396">
        <v>3.1879999999999999E-2</v>
      </c>
      <c r="E3396">
        <v>0.5</v>
      </c>
      <c r="F3396">
        <v>67697</v>
      </c>
      <c r="G3396">
        <v>2158</v>
      </c>
      <c r="H3396">
        <v>66618</v>
      </c>
      <c r="I3396">
        <v>902062</v>
      </c>
    </row>
    <row r="3397" spans="1:9">
      <c r="A3397" s="2">
        <v>1980</v>
      </c>
      <c r="B3397">
        <v>63</v>
      </c>
      <c r="C3397">
        <v>3.4340000000000002E-2</v>
      </c>
      <c r="D3397">
        <v>3.3759999999999998E-2</v>
      </c>
      <c r="E3397">
        <v>0.5</v>
      </c>
      <c r="F3397">
        <v>65539</v>
      </c>
      <c r="G3397">
        <v>2213</v>
      </c>
      <c r="H3397">
        <v>64433</v>
      </c>
      <c r="I3397">
        <v>835444</v>
      </c>
    </row>
    <row r="3398" spans="1:9">
      <c r="A3398" s="2">
        <v>1980</v>
      </c>
      <c r="B3398">
        <v>64</v>
      </c>
      <c r="C3398">
        <v>3.4009999999999999E-2</v>
      </c>
      <c r="D3398">
        <v>3.3439999999999998E-2</v>
      </c>
      <c r="E3398">
        <v>0.5</v>
      </c>
      <c r="F3398">
        <v>63326</v>
      </c>
      <c r="G3398">
        <v>2118</v>
      </c>
      <c r="H3398">
        <v>62267</v>
      </c>
      <c r="I3398">
        <v>771011</v>
      </c>
    </row>
    <row r="3399" spans="1:9">
      <c r="A3399" s="2">
        <v>1980</v>
      </c>
      <c r="B3399">
        <v>65</v>
      </c>
      <c r="C3399">
        <v>3.993E-2</v>
      </c>
      <c r="D3399">
        <v>3.9149999999999997E-2</v>
      </c>
      <c r="E3399">
        <v>0.5</v>
      </c>
      <c r="F3399">
        <v>61208</v>
      </c>
      <c r="G3399">
        <v>2396</v>
      </c>
      <c r="H3399">
        <v>60010</v>
      </c>
      <c r="I3399">
        <v>708744</v>
      </c>
    </row>
    <row r="3400" spans="1:9">
      <c r="A3400" s="2">
        <v>1980</v>
      </c>
      <c r="B3400">
        <v>66</v>
      </c>
      <c r="C3400">
        <v>4.0379999999999999E-2</v>
      </c>
      <c r="D3400">
        <v>3.9579999999999997E-2</v>
      </c>
      <c r="E3400">
        <v>0.5</v>
      </c>
      <c r="F3400">
        <v>58812</v>
      </c>
      <c r="G3400">
        <v>2328</v>
      </c>
      <c r="H3400">
        <v>57648</v>
      </c>
      <c r="I3400">
        <v>648733</v>
      </c>
    </row>
    <row r="3401" spans="1:9">
      <c r="A3401" s="2">
        <v>1980</v>
      </c>
      <c r="B3401">
        <v>67</v>
      </c>
      <c r="C3401">
        <v>4.4569999999999999E-2</v>
      </c>
      <c r="D3401">
        <v>4.36E-2</v>
      </c>
      <c r="E3401">
        <v>0.5</v>
      </c>
      <c r="F3401">
        <v>56484</v>
      </c>
      <c r="G3401">
        <v>2463</v>
      </c>
      <c r="H3401">
        <v>55253</v>
      </c>
      <c r="I3401">
        <v>591085</v>
      </c>
    </row>
    <row r="3402" spans="1:9">
      <c r="A3402" s="2">
        <v>1980</v>
      </c>
      <c r="B3402">
        <v>68</v>
      </c>
      <c r="C3402">
        <v>4.6679999999999999E-2</v>
      </c>
      <c r="D3402">
        <v>4.5620000000000001E-2</v>
      </c>
      <c r="E3402">
        <v>0.5</v>
      </c>
      <c r="F3402">
        <v>54022</v>
      </c>
      <c r="G3402">
        <v>2464</v>
      </c>
      <c r="H3402">
        <v>52789</v>
      </c>
      <c r="I3402">
        <v>535832</v>
      </c>
    </row>
    <row r="3403" spans="1:9">
      <c r="A3403" s="2">
        <v>1980</v>
      </c>
      <c r="B3403">
        <v>69</v>
      </c>
      <c r="C3403">
        <v>5.5379999999999999E-2</v>
      </c>
      <c r="D3403">
        <v>5.3879999999999997E-2</v>
      </c>
      <c r="E3403">
        <v>0.5</v>
      </c>
      <c r="F3403">
        <v>51557</v>
      </c>
      <c r="G3403">
        <v>2778</v>
      </c>
      <c r="H3403">
        <v>50168</v>
      </c>
      <c r="I3403">
        <v>483043</v>
      </c>
    </row>
    <row r="3404" spans="1:9">
      <c r="A3404" s="2">
        <v>1980</v>
      </c>
      <c r="B3404">
        <v>70</v>
      </c>
      <c r="C3404">
        <v>5.9769999999999997E-2</v>
      </c>
      <c r="D3404">
        <v>5.8040000000000001E-2</v>
      </c>
      <c r="E3404">
        <v>0.5</v>
      </c>
      <c r="F3404">
        <v>48779</v>
      </c>
      <c r="G3404">
        <v>2831</v>
      </c>
      <c r="H3404">
        <v>47364</v>
      </c>
      <c r="I3404">
        <v>432875</v>
      </c>
    </row>
    <row r="3405" spans="1:9">
      <c r="A3405" s="2">
        <v>1980</v>
      </c>
      <c r="B3405">
        <v>71</v>
      </c>
      <c r="C3405">
        <v>6.5680000000000002E-2</v>
      </c>
      <c r="D3405">
        <v>6.3589999999999994E-2</v>
      </c>
      <c r="E3405">
        <v>0.5</v>
      </c>
      <c r="F3405">
        <v>45948</v>
      </c>
      <c r="G3405">
        <v>2922</v>
      </c>
      <c r="H3405">
        <v>44487</v>
      </c>
      <c r="I3405">
        <v>385511</v>
      </c>
    </row>
    <row r="3406" spans="1:9">
      <c r="A3406" s="2">
        <v>1980</v>
      </c>
      <c r="B3406">
        <v>72</v>
      </c>
      <c r="C3406">
        <v>7.1120000000000003E-2</v>
      </c>
      <c r="D3406">
        <v>6.8680000000000005E-2</v>
      </c>
      <c r="E3406">
        <v>0.5</v>
      </c>
      <c r="F3406">
        <v>43026</v>
      </c>
      <c r="G3406">
        <v>2955</v>
      </c>
      <c r="H3406">
        <v>41549</v>
      </c>
      <c r="I3406">
        <v>341024</v>
      </c>
    </row>
    <row r="3407" spans="1:9">
      <c r="A3407" s="2">
        <v>1980</v>
      </c>
      <c r="B3407">
        <v>73</v>
      </c>
      <c r="C3407">
        <v>8.054E-2</v>
      </c>
      <c r="D3407">
        <v>7.7420000000000003E-2</v>
      </c>
      <c r="E3407">
        <v>0.5</v>
      </c>
      <c r="F3407">
        <v>40071</v>
      </c>
      <c r="G3407">
        <v>3102</v>
      </c>
      <c r="H3407">
        <v>38520</v>
      </c>
      <c r="I3407">
        <v>299475</v>
      </c>
    </row>
    <row r="3408" spans="1:9">
      <c r="A3408" s="2">
        <v>1980</v>
      </c>
      <c r="B3408">
        <v>74</v>
      </c>
      <c r="C3408">
        <v>8.5400000000000004E-2</v>
      </c>
      <c r="D3408">
        <v>8.1900000000000001E-2</v>
      </c>
      <c r="E3408">
        <v>0.5</v>
      </c>
      <c r="F3408">
        <v>36969</v>
      </c>
      <c r="G3408">
        <v>3028</v>
      </c>
      <c r="H3408">
        <v>35455</v>
      </c>
      <c r="I3408">
        <v>260955</v>
      </c>
    </row>
    <row r="3409" spans="1:9">
      <c r="A3409" s="2">
        <v>1980</v>
      </c>
      <c r="B3409">
        <v>75</v>
      </c>
      <c r="C3409">
        <v>9.6769999999999995E-2</v>
      </c>
      <c r="D3409">
        <v>9.2299999999999993E-2</v>
      </c>
      <c r="E3409">
        <v>0.5</v>
      </c>
      <c r="F3409">
        <v>33941</v>
      </c>
      <c r="G3409">
        <v>3133</v>
      </c>
      <c r="H3409">
        <v>32374</v>
      </c>
      <c r="I3409">
        <v>225501</v>
      </c>
    </row>
    <row r="3410" spans="1:9">
      <c r="A3410" s="2">
        <v>1980</v>
      </c>
      <c r="B3410">
        <v>76</v>
      </c>
      <c r="C3410">
        <v>0.10871</v>
      </c>
      <c r="D3410">
        <v>0.1031</v>
      </c>
      <c r="E3410">
        <v>0.5</v>
      </c>
      <c r="F3410">
        <v>30808</v>
      </c>
      <c r="G3410">
        <v>3176</v>
      </c>
      <c r="H3410">
        <v>29220</v>
      </c>
      <c r="I3410">
        <v>193126</v>
      </c>
    </row>
    <row r="3411" spans="1:9">
      <c r="A3411" s="2">
        <v>1980</v>
      </c>
      <c r="B3411">
        <v>77</v>
      </c>
      <c r="C3411">
        <v>0.11486</v>
      </c>
      <c r="D3411">
        <v>0.10861999999999999</v>
      </c>
      <c r="E3411">
        <v>0.5</v>
      </c>
      <c r="F3411">
        <v>27631</v>
      </c>
      <c r="G3411">
        <v>3001</v>
      </c>
      <c r="H3411">
        <v>26131</v>
      </c>
      <c r="I3411">
        <v>163907</v>
      </c>
    </row>
    <row r="3412" spans="1:9">
      <c r="A3412" s="2">
        <v>1980</v>
      </c>
      <c r="B3412">
        <v>78</v>
      </c>
      <c r="C3412">
        <v>0.12483</v>
      </c>
      <c r="D3412">
        <v>0.11749999999999999</v>
      </c>
      <c r="E3412">
        <v>0.5</v>
      </c>
      <c r="F3412">
        <v>24630</v>
      </c>
      <c r="G3412">
        <v>2894</v>
      </c>
      <c r="H3412">
        <v>23183</v>
      </c>
      <c r="I3412">
        <v>137776</v>
      </c>
    </row>
    <row r="3413" spans="1:9">
      <c r="A3413" s="2">
        <v>1980</v>
      </c>
      <c r="B3413">
        <v>79</v>
      </c>
      <c r="C3413">
        <v>0.13164999999999999</v>
      </c>
      <c r="D3413">
        <v>0.12352</v>
      </c>
      <c r="E3413">
        <v>0.5</v>
      </c>
      <c r="F3413">
        <v>21736</v>
      </c>
      <c r="G3413">
        <v>2685</v>
      </c>
      <c r="H3413">
        <v>20394</v>
      </c>
      <c r="I3413">
        <v>114593</v>
      </c>
    </row>
    <row r="3414" spans="1:9">
      <c r="A3414" s="2">
        <v>1980</v>
      </c>
      <c r="B3414">
        <v>80</v>
      </c>
      <c r="C3414">
        <v>0.15092</v>
      </c>
      <c r="D3414">
        <v>0.14033000000000001</v>
      </c>
      <c r="E3414">
        <v>0.5</v>
      </c>
      <c r="F3414">
        <v>19051</v>
      </c>
      <c r="G3414">
        <v>2674</v>
      </c>
      <c r="H3414">
        <v>17715</v>
      </c>
      <c r="I3414">
        <v>94199</v>
      </c>
    </row>
    <row r="3415" spans="1:9">
      <c r="A3415" s="2">
        <v>1980</v>
      </c>
      <c r="B3415">
        <v>81</v>
      </c>
      <c r="C3415">
        <v>0.15886</v>
      </c>
      <c r="D3415">
        <v>0.14717</v>
      </c>
      <c r="E3415">
        <v>0.5</v>
      </c>
      <c r="F3415">
        <v>16378</v>
      </c>
      <c r="G3415">
        <v>2410</v>
      </c>
      <c r="H3415">
        <v>15173</v>
      </c>
      <c r="I3415">
        <v>76484</v>
      </c>
    </row>
    <row r="3416" spans="1:9">
      <c r="A3416" s="2">
        <v>1980</v>
      </c>
      <c r="B3416">
        <v>82</v>
      </c>
      <c r="C3416">
        <v>0.16994000000000001</v>
      </c>
      <c r="D3416">
        <v>0.15662999999999999</v>
      </c>
      <c r="E3416">
        <v>0.5</v>
      </c>
      <c r="F3416">
        <v>13968</v>
      </c>
      <c r="G3416">
        <v>2188</v>
      </c>
      <c r="H3416">
        <v>12874</v>
      </c>
      <c r="I3416">
        <v>61312</v>
      </c>
    </row>
    <row r="3417" spans="1:9">
      <c r="A3417" s="2">
        <v>1980</v>
      </c>
      <c r="B3417">
        <v>83</v>
      </c>
      <c r="C3417">
        <v>0.18303</v>
      </c>
      <c r="D3417">
        <v>0.16768</v>
      </c>
      <c r="E3417">
        <v>0.5</v>
      </c>
      <c r="F3417">
        <v>11780</v>
      </c>
      <c r="G3417">
        <v>1975</v>
      </c>
      <c r="H3417">
        <v>10792</v>
      </c>
      <c r="I3417">
        <v>48438</v>
      </c>
    </row>
    <row r="3418" spans="1:9">
      <c r="A3418" s="2">
        <v>1980</v>
      </c>
      <c r="B3418">
        <v>84</v>
      </c>
      <c r="C3418">
        <v>0.20030999999999999</v>
      </c>
      <c r="D3418">
        <v>0.18207000000000001</v>
      </c>
      <c r="E3418">
        <v>0.5</v>
      </c>
      <c r="F3418">
        <v>9804</v>
      </c>
      <c r="G3418">
        <v>1785</v>
      </c>
      <c r="H3418">
        <v>8912</v>
      </c>
      <c r="I3418">
        <v>37646</v>
      </c>
    </row>
    <row r="3419" spans="1:9">
      <c r="A3419" s="2">
        <v>1980</v>
      </c>
      <c r="B3419">
        <v>85</v>
      </c>
      <c r="C3419">
        <v>0.22494</v>
      </c>
      <c r="D3419">
        <v>0.20219999999999999</v>
      </c>
      <c r="E3419">
        <v>0.5</v>
      </c>
      <c r="F3419">
        <v>8019</v>
      </c>
      <c r="G3419">
        <v>1621</v>
      </c>
      <c r="H3419">
        <v>7209</v>
      </c>
      <c r="I3419">
        <v>28734</v>
      </c>
    </row>
    <row r="3420" spans="1:9">
      <c r="A3420" s="2">
        <v>1980</v>
      </c>
      <c r="B3420">
        <v>86</v>
      </c>
      <c r="C3420">
        <v>0.24490000000000001</v>
      </c>
      <c r="D3420">
        <v>0.21818000000000001</v>
      </c>
      <c r="E3420">
        <v>0.5</v>
      </c>
      <c r="F3420">
        <v>6398</v>
      </c>
      <c r="G3420">
        <v>1396</v>
      </c>
      <c r="H3420">
        <v>5700</v>
      </c>
      <c r="I3420">
        <v>21525</v>
      </c>
    </row>
    <row r="3421" spans="1:9">
      <c r="A3421" s="2">
        <v>1980</v>
      </c>
      <c r="B3421">
        <v>87</v>
      </c>
      <c r="C3421">
        <v>0.26175999999999999</v>
      </c>
      <c r="D3421">
        <v>0.23146</v>
      </c>
      <c r="E3421">
        <v>0.5</v>
      </c>
      <c r="F3421">
        <v>5002</v>
      </c>
      <c r="G3421">
        <v>1158</v>
      </c>
      <c r="H3421">
        <v>4423</v>
      </c>
      <c r="I3421">
        <v>15825</v>
      </c>
    </row>
    <row r="3422" spans="1:9">
      <c r="A3422" s="2">
        <v>1980</v>
      </c>
      <c r="B3422">
        <v>88</v>
      </c>
      <c r="C3422">
        <v>0.28366999999999998</v>
      </c>
      <c r="D3422">
        <v>0.24843999999999999</v>
      </c>
      <c r="E3422">
        <v>0.5</v>
      </c>
      <c r="F3422">
        <v>3844</v>
      </c>
      <c r="G3422">
        <v>955</v>
      </c>
      <c r="H3422">
        <v>3367</v>
      </c>
      <c r="I3422">
        <v>11402</v>
      </c>
    </row>
    <row r="3423" spans="1:9">
      <c r="A3423" s="2">
        <v>1980</v>
      </c>
      <c r="B3423">
        <v>89</v>
      </c>
      <c r="C3423">
        <v>0.32518999999999998</v>
      </c>
      <c r="D3423">
        <v>0.27971000000000001</v>
      </c>
      <c r="E3423">
        <v>0.5</v>
      </c>
      <c r="F3423">
        <v>2889</v>
      </c>
      <c r="G3423">
        <v>808</v>
      </c>
      <c r="H3423">
        <v>2485</v>
      </c>
      <c r="I3423">
        <v>8036</v>
      </c>
    </row>
    <row r="3424" spans="1:9">
      <c r="A3424" s="2">
        <v>1980</v>
      </c>
      <c r="B3424">
        <v>90</v>
      </c>
      <c r="C3424">
        <v>0.31755</v>
      </c>
      <c r="D3424">
        <v>0.27404000000000001</v>
      </c>
      <c r="E3424">
        <v>0.5</v>
      </c>
      <c r="F3424">
        <v>2081</v>
      </c>
      <c r="G3424">
        <v>570</v>
      </c>
      <c r="H3424">
        <v>1796</v>
      </c>
      <c r="I3424">
        <v>5551</v>
      </c>
    </row>
    <row r="3425" spans="1:9">
      <c r="A3425" s="2">
        <v>1980</v>
      </c>
      <c r="B3425">
        <v>91</v>
      </c>
      <c r="C3425">
        <v>0.35815000000000002</v>
      </c>
      <c r="D3425">
        <v>0.30375999999999997</v>
      </c>
      <c r="E3425">
        <v>0.5</v>
      </c>
      <c r="F3425">
        <v>1511</v>
      </c>
      <c r="G3425">
        <v>459</v>
      </c>
      <c r="H3425">
        <v>1281</v>
      </c>
      <c r="I3425">
        <v>3755</v>
      </c>
    </row>
    <row r="3426" spans="1:9">
      <c r="A3426" s="2">
        <v>1980</v>
      </c>
      <c r="B3426">
        <v>92</v>
      </c>
      <c r="C3426">
        <v>0.39809</v>
      </c>
      <c r="D3426">
        <v>0.33201000000000003</v>
      </c>
      <c r="E3426">
        <v>0.5</v>
      </c>
      <c r="F3426">
        <v>1052</v>
      </c>
      <c r="G3426">
        <v>349</v>
      </c>
      <c r="H3426">
        <v>877</v>
      </c>
      <c r="I3426">
        <v>2473</v>
      </c>
    </row>
    <row r="3427" spans="1:9">
      <c r="A3427" s="2">
        <v>1980</v>
      </c>
      <c r="B3427">
        <v>93</v>
      </c>
      <c r="C3427">
        <v>0.38865</v>
      </c>
      <c r="D3427">
        <v>0.32541999999999999</v>
      </c>
      <c r="E3427">
        <v>0.5</v>
      </c>
      <c r="F3427">
        <v>703</v>
      </c>
      <c r="G3427">
        <v>229</v>
      </c>
      <c r="H3427">
        <v>588</v>
      </c>
      <c r="I3427">
        <v>1596</v>
      </c>
    </row>
    <row r="3428" spans="1:9">
      <c r="A3428" s="2">
        <v>1980</v>
      </c>
      <c r="B3428">
        <v>94</v>
      </c>
      <c r="C3428">
        <v>0.42935000000000001</v>
      </c>
      <c r="D3428">
        <v>0.35347000000000001</v>
      </c>
      <c r="E3428">
        <v>0.5</v>
      </c>
      <c r="F3428">
        <v>474</v>
      </c>
      <c r="G3428">
        <v>168</v>
      </c>
      <c r="H3428">
        <v>390</v>
      </c>
      <c r="I3428">
        <v>1008</v>
      </c>
    </row>
    <row r="3429" spans="1:9">
      <c r="A3429" s="2">
        <v>1980</v>
      </c>
      <c r="B3429">
        <v>95</v>
      </c>
      <c r="C3429">
        <v>0.45961000000000002</v>
      </c>
      <c r="D3429">
        <v>0.37373000000000001</v>
      </c>
      <c r="E3429">
        <v>0.5</v>
      </c>
      <c r="F3429">
        <v>306</v>
      </c>
      <c r="G3429">
        <v>115</v>
      </c>
      <c r="H3429">
        <v>249</v>
      </c>
      <c r="I3429">
        <v>618</v>
      </c>
    </row>
    <row r="3430" spans="1:9">
      <c r="A3430" s="2">
        <v>1980</v>
      </c>
      <c r="B3430">
        <v>96</v>
      </c>
      <c r="C3430">
        <v>0.48643999999999998</v>
      </c>
      <c r="D3430">
        <v>0.39128000000000002</v>
      </c>
      <c r="E3430">
        <v>0.5</v>
      </c>
      <c r="F3430">
        <v>192</v>
      </c>
      <c r="G3430">
        <v>75</v>
      </c>
      <c r="H3430">
        <v>154</v>
      </c>
      <c r="I3430">
        <v>369</v>
      </c>
    </row>
    <row r="3431" spans="1:9">
      <c r="A3431" s="2">
        <v>1980</v>
      </c>
      <c r="B3431">
        <v>97</v>
      </c>
      <c r="C3431">
        <v>0.51334999999999997</v>
      </c>
      <c r="D3431">
        <v>0.40849999999999997</v>
      </c>
      <c r="E3431">
        <v>0.5</v>
      </c>
      <c r="F3431">
        <v>117</v>
      </c>
      <c r="G3431">
        <v>48</v>
      </c>
      <c r="H3431">
        <v>93</v>
      </c>
      <c r="I3431">
        <v>214</v>
      </c>
    </row>
    <row r="3432" spans="1:9">
      <c r="A3432" s="2">
        <v>1980</v>
      </c>
      <c r="B3432">
        <v>98</v>
      </c>
      <c r="C3432">
        <v>0.54017999999999999</v>
      </c>
      <c r="D3432">
        <v>0.42531000000000002</v>
      </c>
      <c r="E3432">
        <v>0.5</v>
      </c>
      <c r="F3432">
        <v>69</v>
      </c>
      <c r="G3432">
        <v>29</v>
      </c>
      <c r="H3432">
        <v>54</v>
      </c>
      <c r="I3432">
        <v>121</v>
      </c>
    </row>
    <row r="3433" spans="1:9">
      <c r="A3433" s="2">
        <v>1980</v>
      </c>
      <c r="B3433">
        <v>99</v>
      </c>
      <c r="C3433">
        <v>0.56677999999999995</v>
      </c>
      <c r="D3433">
        <v>0.44163000000000002</v>
      </c>
      <c r="E3433">
        <v>0.5</v>
      </c>
      <c r="F3433">
        <v>40</v>
      </c>
      <c r="G3433">
        <v>18</v>
      </c>
      <c r="H3433">
        <v>31</v>
      </c>
      <c r="I3433">
        <v>67</v>
      </c>
    </row>
    <row r="3434" spans="1:9">
      <c r="A3434" s="2">
        <v>1980</v>
      </c>
      <c r="B3434">
        <v>100</v>
      </c>
      <c r="C3434">
        <v>0.59299999999999997</v>
      </c>
      <c r="D3434">
        <v>0.45739000000000002</v>
      </c>
      <c r="E3434">
        <v>0.5</v>
      </c>
      <c r="F3434">
        <v>22</v>
      </c>
      <c r="G3434">
        <v>10</v>
      </c>
      <c r="H3434">
        <v>17</v>
      </c>
      <c r="I3434">
        <v>36</v>
      </c>
    </row>
    <row r="3435" spans="1:9">
      <c r="A3435" s="2">
        <v>1980</v>
      </c>
      <c r="B3435">
        <v>101</v>
      </c>
      <c r="C3435">
        <v>0.61870000000000003</v>
      </c>
      <c r="D3435">
        <v>0.47253000000000001</v>
      </c>
      <c r="E3435">
        <v>0.5</v>
      </c>
      <c r="F3435">
        <v>12</v>
      </c>
      <c r="G3435">
        <v>6</v>
      </c>
      <c r="H3435">
        <v>9</v>
      </c>
      <c r="I3435">
        <v>19</v>
      </c>
    </row>
    <row r="3436" spans="1:9">
      <c r="A3436" s="2">
        <v>1980</v>
      </c>
      <c r="B3436">
        <v>102</v>
      </c>
      <c r="C3436">
        <v>0.64375000000000004</v>
      </c>
      <c r="D3436">
        <v>0.48699999999999999</v>
      </c>
      <c r="E3436">
        <v>0.5</v>
      </c>
      <c r="F3436">
        <v>6</v>
      </c>
      <c r="G3436">
        <v>3</v>
      </c>
      <c r="H3436">
        <v>5</v>
      </c>
      <c r="I3436">
        <v>10</v>
      </c>
    </row>
    <row r="3437" spans="1:9">
      <c r="A3437" s="2">
        <v>1980</v>
      </c>
      <c r="B3437">
        <v>103</v>
      </c>
      <c r="C3437">
        <v>0.66803999999999997</v>
      </c>
      <c r="D3437">
        <v>0.50077000000000005</v>
      </c>
      <c r="E3437">
        <v>0.5</v>
      </c>
      <c r="F3437">
        <v>3</v>
      </c>
      <c r="G3437">
        <v>2</v>
      </c>
      <c r="H3437">
        <v>2</v>
      </c>
      <c r="I3437">
        <v>5</v>
      </c>
    </row>
    <row r="3438" spans="1:9">
      <c r="A3438" s="2">
        <v>1980</v>
      </c>
      <c r="B3438">
        <v>104</v>
      </c>
      <c r="C3438">
        <v>0.69147000000000003</v>
      </c>
      <c r="D3438">
        <v>0.51382000000000005</v>
      </c>
      <c r="E3438">
        <v>0.5</v>
      </c>
      <c r="F3438">
        <v>2</v>
      </c>
      <c r="G3438">
        <v>1</v>
      </c>
      <c r="H3438">
        <v>1</v>
      </c>
      <c r="I3438">
        <v>2</v>
      </c>
    </row>
    <row r="3439" spans="1:9">
      <c r="A3439" s="2">
        <v>1980</v>
      </c>
      <c r="B3439">
        <v>105</v>
      </c>
      <c r="C3439">
        <v>0.71394999999999997</v>
      </c>
      <c r="D3439">
        <v>0.52614000000000005</v>
      </c>
      <c r="E3439">
        <v>0.5</v>
      </c>
      <c r="F3439">
        <v>1</v>
      </c>
      <c r="G3439">
        <v>0</v>
      </c>
      <c r="H3439">
        <v>1</v>
      </c>
      <c r="I3439">
        <v>1</v>
      </c>
    </row>
    <row r="3440" spans="1:9">
      <c r="A3440" s="2">
        <v>1980</v>
      </c>
      <c r="B3440">
        <v>106</v>
      </c>
      <c r="C3440">
        <v>0.73541999999999996</v>
      </c>
      <c r="D3440">
        <v>0.53769999999999996</v>
      </c>
      <c r="E3440">
        <v>0.5</v>
      </c>
      <c r="F3440">
        <v>0</v>
      </c>
      <c r="G3440">
        <v>0</v>
      </c>
      <c r="H3440">
        <v>0</v>
      </c>
      <c r="I3440">
        <v>0</v>
      </c>
    </row>
    <row r="3441" spans="1:9">
      <c r="A3441" s="2">
        <v>1980</v>
      </c>
      <c r="B3441">
        <v>107</v>
      </c>
      <c r="C3441">
        <v>0.75583</v>
      </c>
      <c r="D3441">
        <v>0.54852999999999996</v>
      </c>
      <c r="E3441">
        <v>0.5</v>
      </c>
      <c r="F3441">
        <v>0</v>
      </c>
      <c r="G3441">
        <v>0</v>
      </c>
      <c r="H3441">
        <v>0</v>
      </c>
      <c r="I3441">
        <v>0</v>
      </c>
    </row>
    <row r="3442" spans="1:9">
      <c r="A3442" s="2">
        <v>1980</v>
      </c>
      <c r="B3442">
        <v>108</v>
      </c>
      <c r="C3442">
        <v>0.77515000000000001</v>
      </c>
      <c r="D3442">
        <v>0.55864000000000003</v>
      </c>
      <c r="E3442">
        <v>0.5</v>
      </c>
      <c r="F3442">
        <v>0</v>
      </c>
      <c r="G3442">
        <v>0</v>
      </c>
      <c r="H3442">
        <v>0</v>
      </c>
      <c r="I3442">
        <v>0</v>
      </c>
    </row>
    <row r="3443" spans="1:9">
      <c r="A3443" s="2">
        <v>1980</v>
      </c>
      <c r="B3443">
        <v>109</v>
      </c>
      <c r="C3443">
        <v>0.79335999999999995</v>
      </c>
      <c r="D3443">
        <v>0.56803000000000003</v>
      </c>
      <c r="E3443">
        <v>0.5</v>
      </c>
      <c r="F3443">
        <v>0</v>
      </c>
      <c r="G3443">
        <v>0</v>
      </c>
      <c r="H3443">
        <v>0</v>
      </c>
      <c r="I3443">
        <v>0</v>
      </c>
    </row>
    <row r="3444" spans="1:9">
      <c r="A3444" s="2">
        <v>1980</v>
      </c>
      <c r="B3444" t="s">
        <v>26</v>
      </c>
      <c r="C3444">
        <v>0.81045</v>
      </c>
      <c r="D3444">
        <v>1</v>
      </c>
      <c r="E3444" s="3" t="s">
        <v>31</v>
      </c>
      <c r="F3444">
        <v>0</v>
      </c>
      <c r="G3444">
        <v>0</v>
      </c>
      <c r="H3444">
        <v>0</v>
      </c>
      <c r="I3444">
        <v>0</v>
      </c>
    </row>
    <row r="3445" spans="1:9">
      <c r="A3445" s="2">
        <v>1981</v>
      </c>
      <c r="B3445">
        <v>0</v>
      </c>
      <c r="C3445">
        <v>2.316E-2</v>
      </c>
      <c r="D3445">
        <v>2.2689999999999998E-2</v>
      </c>
      <c r="E3445">
        <v>0.1</v>
      </c>
      <c r="F3445">
        <v>100000</v>
      </c>
      <c r="G3445">
        <v>2269</v>
      </c>
      <c r="H3445">
        <v>97967</v>
      </c>
      <c r="I3445">
        <v>6548447</v>
      </c>
    </row>
    <row r="3446" spans="1:9">
      <c r="A3446" s="2">
        <v>1981</v>
      </c>
      <c r="B3446">
        <v>1</v>
      </c>
      <c r="C3446">
        <v>1.1000000000000001E-3</v>
      </c>
      <c r="D3446">
        <v>1.1000000000000001E-3</v>
      </c>
      <c r="E3446">
        <v>0.5</v>
      </c>
      <c r="F3446">
        <v>97731</v>
      </c>
      <c r="G3446">
        <v>108</v>
      </c>
      <c r="H3446">
        <v>97677</v>
      </c>
      <c r="I3446">
        <v>6450480</v>
      </c>
    </row>
    <row r="3447" spans="1:9">
      <c r="A3447" s="2">
        <v>1981</v>
      </c>
      <c r="B3447">
        <v>2</v>
      </c>
      <c r="C3447">
        <v>5.4000000000000001E-4</v>
      </c>
      <c r="D3447">
        <v>5.4000000000000001E-4</v>
      </c>
      <c r="E3447">
        <v>0.5</v>
      </c>
      <c r="F3447">
        <v>97624</v>
      </c>
      <c r="G3447">
        <v>53</v>
      </c>
      <c r="H3447">
        <v>97597</v>
      </c>
      <c r="I3447">
        <v>6352803</v>
      </c>
    </row>
    <row r="3448" spans="1:9">
      <c r="A3448" s="2">
        <v>1981</v>
      </c>
      <c r="B3448">
        <v>3</v>
      </c>
      <c r="C3448">
        <v>4.4000000000000002E-4</v>
      </c>
      <c r="D3448">
        <v>4.4000000000000002E-4</v>
      </c>
      <c r="E3448">
        <v>0.5</v>
      </c>
      <c r="F3448">
        <v>97570</v>
      </c>
      <c r="G3448">
        <v>43</v>
      </c>
      <c r="H3448">
        <v>97549</v>
      </c>
      <c r="I3448">
        <v>6255206</v>
      </c>
    </row>
    <row r="3449" spans="1:9">
      <c r="A3449" s="2">
        <v>1981</v>
      </c>
      <c r="B3449">
        <v>4</v>
      </c>
      <c r="C3449">
        <v>5.5999999999999995E-4</v>
      </c>
      <c r="D3449">
        <v>5.5999999999999995E-4</v>
      </c>
      <c r="E3449">
        <v>0.5</v>
      </c>
      <c r="F3449">
        <v>97528</v>
      </c>
      <c r="G3449">
        <v>55</v>
      </c>
      <c r="H3449">
        <v>97500</v>
      </c>
      <c r="I3449">
        <v>6157657</v>
      </c>
    </row>
    <row r="3450" spans="1:9">
      <c r="A3450" s="2">
        <v>1981</v>
      </c>
      <c r="B3450">
        <v>5</v>
      </c>
      <c r="C3450">
        <v>3.3E-4</v>
      </c>
      <c r="D3450">
        <v>3.3E-4</v>
      </c>
      <c r="E3450">
        <v>0.5</v>
      </c>
      <c r="F3450">
        <v>97473</v>
      </c>
      <c r="G3450">
        <v>32</v>
      </c>
      <c r="H3450">
        <v>97457</v>
      </c>
      <c r="I3450">
        <v>6060157</v>
      </c>
    </row>
    <row r="3451" spans="1:9">
      <c r="A3451" s="2">
        <v>1981</v>
      </c>
      <c r="B3451">
        <v>6</v>
      </c>
      <c r="C3451">
        <v>4.8000000000000001E-4</v>
      </c>
      <c r="D3451">
        <v>4.8000000000000001E-4</v>
      </c>
      <c r="E3451">
        <v>0.5</v>
      </c>
      <c r="F3451">
        <v>97441</v>
      </c>
      <c r="G3451">
        <v>46</v>
      </c>
      <c r="H3451">
        <v>97417</v>
      </c>
      <c r="I3451">
        <v>5962700</v>
      </c>
    </row>
    <row r="3452" spans="1:9">
      <c r="A3452" s="2">
        <v>1981</v>
      </c>
      <c r="B3452">
        <v>7</v>
      </c>
      <c r="C3452">
        <v>4.2999999999999999E-4</v>
      </c>
      <c r="D3452">
        <v>4.2999999999999999E-4</v>
      </c>
      <c r="E3452">
        <v>0.5</v>
      </c>
      <c r="F3452">
        <v>97394</v>
      </c>
      <c r="G3452">
        <v>42</v>
      </c>
      <c r="H3452">
        <v>97373</v>
      </c>
      <c r="I3452">
        <v>5865283</v>
      </c>
    </row>
    <row r="3453" spans="1:9">
      <c r="A3453" s="2">
        <v>1981</v>
      </c>
      <c r="B3453">
        <v>8</v>
      </c>
      <c r="C3453">
        <v>3.6000000000000002E-4</v>
      </c>
      <c r="D3453">
        <v>3.6000000000000002E-4</v>
      </c>
      <c r="E3453">
        <v>0.5</v>
      </c>
      <c r="F3453">
        <v>97352</v>
      </c>
      <c r="G3453">
        <v>35</v>
      </c>
      <c r="H3453">
        <v>97335</v>
      </c>
      <c r="I3453">
        <v>5767909</v>
      </c>
    </row>
    <row r="3454" spans="1:9">
      <c r="A3454" s="2">
        <v>1981</v>
      </c>
      <c r="B3454">
        <v>9</v>
      </c>
      <c r="C3454">
        <v>2.3000000000000001E-4</v>
      </c>
      <c r="D3454">
        <v>2.3000000000000001E-4</v>
      </c>
      <c r="E3454">
        <v>0.5</v>
      </c>
      <c r="F3454">
        <v>97317</v>
      </c>
      <c r="G3454">
        <v>22</v>
      </c>
      <c r="H3454">
        <v>97306</v>
      </c>
      <c r="I3454">
        <v>5670574</v>
      </c>
    </row>
    <row r="3455" spans="1:9">
      <c r="A3455" s="2">
        <v>1981</v>
      </c>
      <c r="B3455">
        <v>10</v>
      </c>
      <c r="C3455">
        <v>4.0000000000000002E-4</v>
      </c>
      <c r="D3455">
        <v>4.0000000000000002E-4</v>
      </c>
      <c r="E3455">
        <v>0.5</v>
      </c>
      <c r="F3455">
        <v>97295</v>
      </c>
      <c r="G3455">
        <v>39</v>
      </c>
      <c r="H3455">
        <v>97276</v>
      </c>
      <c r="I3455">
        <v>5573268</v>
      </c>
    </row>
    <row r="3456" spans="1:9">
      <c r="A3456" s="2">
        <v>1981</v>
      </c>
      <c r="B3456">
        <v>11</v>
      </c>
      <c r="C3456">
        <v>2.7999999999999998E-4</v>
      </c>
      <c r="D3456">
        <v>2.7999999999999998E-4</v>
      </c>
      <c r="E3456">
        <v>0.5</v>
      </c>
      <c r="F3456">
        <v>97256</v>
      </c>
      <c r="G3456">
        <v>27</v>
      </c>
      <c r="H3456">
        <v>97243</v>
      </c>
      <c r="I3456">
        <v>5475992</v>
      </c>
    </row>
    <row r="3457" spans="1:9">
      <c r="A3457" s="2">
        <v>1981</v>
      </c>
      <c r="B3457">
        <v>12</v>
      </c>
      <c r="C3457">
        <v>3.1E-4</v>
      </c>
      <c r="D3457">
        <v>3.1E-4</v>
      </c>
      <c r="E3457">
        <v>0.5</v>
      </c>
      <c r="F3457">
        <v>97229</v>
      </c>
      <c r="G3457">
        <v>31</v>
      </c>
      <c r="H3457">
        <v>97214</v>
      </c>
      <c r="I3457">
        <v>5378750</v>
      </c>
    </row>
    <row r="3458" spans="1:9">
      <c r="A3458" s="2">
        <v>1981</v>
      </c>
      <c r="B3458">
        <v>13</v>
      </c>
      <c r="C3458">
        <v>4.6000000000000001E-4</v>
      </c>
      <c r="D3458">
        <v>4.6000000000000001E-4</v>
      </c>
      <c r="E3458">
        <v>0.5</v>
      </c>
      <c r="F3458">
        <v>97199</v>
      </c>
      <c r="G3458">
        <v>45</v>
      </c>
      <c r="H3458">
        <v>97176</v>
      </c>
      <c r="I3458">
        <v>5281536</v>
      </c>
    </row>
    <row r="3459" spans="1:9">
      <c r="A3459" s="2">
        <v>1981</v>
      </c>
      <c r="B3459">
        <v>14</v>
      </c>
      <c r="C3459">
        <v>5.5000000000000003E-4</v>
      </c>
      <c r="D3459">
        <v>5.5000000000000003E-4</v>
      </c>
      <c r="E3459">
        <v>0.5</v>
      </c>
      <c r="F3459">
        <v>97154</v>
      </c>
      <c r="G3459">
        <v>54</v>
      </c>
      <c r="H3459">
        <v>97127</v>
      </c>
      <c r="I3459">
        <v>5184360</v>
      </c>
    </row>
    <row r="3460" spans="1:9">
      <c r="A3460" s="2">
        <v>1981</v>
      </c>
      <c r="B3460">
        <v>15</v>
      </c>
      <c r="C3460">
        <v>6.6E-4</v>
      </c>
      <c r="D3460">
        <v>6.6E-4</v>
      </c>
      <c r="E3460">
        <v>0.5</v>
      </c>
      <c r="F3460">
        <v>97100</v>
      </c>
      <c r="G3460">
        <v>64</v>
      </c>
      <c r="H3460">
        <v>97068</v>
      </c>
      <c r="I3460">
        <v>5087233</v>
      </c>
    </row>
    <row r="3461" spans="1:9">
      <c r="A3461" s="2">
        <v>1981</v>
      </c>
      <c r="B3461">
        <v>16</v>
      </c>
      <c r="C3461">
        <v>7.6000000000000004E-4</v>
      </c>
      <c r="D3461">
        <v>7.6000000000000004E-4</v>
      </c>
      <c r="E3461">
        <v>0.5</v>
      </c>
      <c r="F3461">
        <v>97036</v>
      </c>
      <c r="G3461">
        <v>74</v>
      </c>
      <c r="H3461">
        <v>96999</v>
      </c>
      <c r="I3461">
        <v>4990166</v>
      </c>
    </row>
    <row r="3462" spans="1:9">
      <c r="A3462" s="2">
        <v>1981</v>
      </c>
      <c r="B3462">
        <v>17</v>
      </c>
      <c r="C3462">
        <v>1.01E-3</v>
      </c>
      <c r="D3462">
        <v>1.01E-3</v>
      </c>
      <c r="E3462">
        <v>0.5</v>
      </c>
      <c r="F3462">
        <v>96962</v>
      </c>
      <c r="G3462">
        <v>98</v>
      </c>
      <c r="H3462">
        <v>96913</v>
      </c>
      <c r="I3462">
        <v>4893167</v>
      </c>
    </row>
    <row r="3463" spans="1:9">
      <c r="A3463" s="2">
        <v>1981</v>
      </c>
      <c r="B3463">
        <v>18</v>
      </c>
      <c r="C3463">
        <v>1.2099999999999999E-3</v>
      </c>
      <c r="D3463">
        <v>1.2099999999999999E-3</v>
      </c>
      <c r="E3463">
        <v>0.5</v>
      </c>
      <c r="F3463">
        <v>96865</v>
      </c>
      <c r="G3463">
        <v>117</v>
      </c>
      <c r="H3463">
        <v>96806</v>
      </c>
      <c r="I3463">
        <v>4796253</v>
      </c>
    </row>
    <row r="3464" spans="1:9">
      <c r="A3464" s="2">
        <v>1981</v>
      </c>
      <c r="B3464">
        <v>19</v>
      </c>
      <c r="C3464">
        <v>1.6999999999999999E-3</v>
      </c>
      <c r="D3464">
        <v>1.6999999999999999E-3</v>
      </c>
      <c r="E3464">
        <v>0.5</v>
      </c>
      <c r="F3464">
        <v>96748</v>
      </c>
      <c r="G3464">
        <v>165</v>
      </c>
      <c r="H3464">
        <v>96665</v>
      </c>
      <c r="I3464">
        <v>4699447</v>
      </c>
    </row>
    <row r="3465" spans="1:9">
      <c r="A3465" s="2">
        <v>1981</v>
      </c>
      <c r="B3465">
        <v>20</v>
      </c>
      <c r="C3465">
        <v>1.5100000000000001E-3</v>
      </c>
      <c r="D3465">
        <v>1.5100000000000001E-3</v>
      </c>
      <c r="E3465">
        <v>0.5</v>
      </c>
      <c r="F3465">
        <v>96583</v>
      </c>
      <c r="G3465">
        <v>146</v>
      </c>
      <c r="H3465">
        <v>96510</v>
      </c>
      <c r="I3465">
        <v>4602782</v>
      </c>
    </row>
    <row r="3466" spans="1:9">
      <c r="A3466" s="2">
        <v>1981</v>
      </c>
      <c r="B3466">
        <v>21</v>
      </c>
      <c r="C3466">
        <v>1.8E-3</v>
      </c>
      <c r="D3466">
        <v>1.8E-3</v>
      </c>
      <c r="E3466">
        <v>0.5</v>
      </c>
      <c r="F3466">
        <v>96437</v>
      </c>
      <c r="G3466">
        <v>173</v>
      </c>
      <c r="H3466">
        <v>96350</v>
      </c>
      <c r="I3466">
        <v>4506272</v>
      </c>
    </row>
    <row r="3467" spans="1:9">
      <c r="A3467" s="2">
        <v>1981</v>
      </c>
      <c r="B3467">
        <v>22</v>
      </c>
      <c r="C3467">
        <v>1.5E-3</v>
      </c>
      <c r="D3467">
        <v>1.5E-3</v>
      </c>
      <c r="E3467">
        <v>0.5</v>
      </c>
      <c r="F3467">
        <v>96264</v>
      </c>
      <c r="G3467">
        <v>144</v>
      </c>
      <c r="H3467">
        <v>96192</v>
      </c>
      <c r="I3467">
        <v>4409921</v>
      </c>
    </row>
    <row r="3468" spans="1:9">
      <c r="A3468" s="2">
        <v>1981</v>
      </c>
      <c r="B3468">
        <v>23</v>
      </c>
      <c r="C3468">
        <v>1.15E-3</v>
      </c>
      <c r="D3468">
        <v>1.15E-3</v>
      </c>
      <c r="E3468">
        <v>0.5</v>
      </c>
      <c r="F3468">
        <v>96119</v>
      </c>
      <c r="G3468">
        <v>110</v>
      </c>
      <c r="H3468">
        <v>96064</v>
      </c>
      <c r="I3468">
        <v>4313730</v>
      </c>
    </row>
    <row r="3469" spans="1:9">
      <c r="A3469" s="2">
        <v>1981</v>
      </c>
      <c r="B3469">
        <v>24</v>
      </c>
      <c r="C3469">
        <v>1.75E-3</v>
      </c>
      <c r="D3469">
        <v>1.75E-3</v>
      </c>
      <c r="E3469">
        <v>0.5</v>
      </c>
      <c r="F3469">
        <v>96009</v>
      </c>
      <c r="G3469">
        <v>168</v>
      </c>
      <c r="H3469">
        <v>95925</v>
      </c>
      <c r="I3469">
        <v>4217665</v>
      </c>
    </row>
    <row r="3470" spans="1:9">
      <c r="A3470" s="2">
        <v>1981</v>
      </c>
      <c r="B3470">
        <v>25</v>
      </c>
      <c r="C3470">
        <v>1.6900000000000001E-3</v>
      </c>
      <c r="D3470">
        <v>1.6900000000000001E-3</v>
      </c>
      <c r="E3470">
        <v>0.5</v>
      </c>
      <c r="F3470">
        <v>95841</v>
      </c>
      <c r="G3470">
        <v>162</v>
      </c>
      <c r="H3470">
        <v>95760</v>
      </c>
      <c r="I3470">
        <v>4121740</v>
      </c>
    </row>
    <row r="3471" spans="1:9">
      <c r="A3471" s="2">
        <v>1981</v>
      </c>
      <c r="B3471">
        <v>26</v>
      </c>
      <c r="C3471">
        <v>1.91E-3</v>
      </c>
      <c r="D3471">
        <v>1.91E-3</v>
      </c>
      <c r="E3471">
        <v>0.5</v>
      </c>
      <c r="F3471">
        <v>95679</v>
      </c>
      <c r="G3471">
        <v>183</v>
      </c>
      <c r="H3471">
        <v>95587</v>
      </c>
      <c r="I3471">
        <v>4025981</v>
      </c>
    </row>
    <row r="3472" spans="1:9">
      <c r="A3472" s="2">
        <v>1981</v>
      </c>
      <c r="B3472">
        <v>27</v>
      </c>
      <c r="C3472">
        <v>1.83E-3</v>
      </c>
      <c r="D3472">
        <v>1.83E-3</v>
      </c>
      <c r="E3472">
        <v>0.5</v>
      </c>
      <c r="F3472">
        <v>95496</v>
      </c>
      <c r="G3472">
        <v>175</v>
      </c>
      <c r="H3472">
        <v>95408</v>
      </c>
      <c r="I3472">
        <v>3930393</v>
      </c>
    </row>
    <row r="3473" spans="1:9">
      <c r="A3473" s="2">
        <v>1981</v>
      </c>
      <c r="B3473">
        <v>28</v>
      </c>
      <c r="C3473">
        <v>1.8E-3</v>
      </c>
      <c r="D3473">
        <v>1.8E-3</v>
      </c>
      <c r="E3473">
        <v>0.5</v>
      </c>
      <c r="F3473">
        <v>95321</v>
      </c>
      <c r="G3473">
        <v>172</v>
      </c>
      <c r="H3473">
        <v>95235</v>
      </c>
      <c r="I3473">
        <v>3834985</v>
      </c>
    </row>
    <row r="3474" spans="1:9">
      <c r="A3474" s="2">
        <v>1981</v>
      </c>
      <c r="B3474">
        <v>29</v>
      </c>
      <c r="C3474">
        <v>1.98E-3</v>
      </c>
      <c r="D3474">
        <v>1.98E-3</v>
      </c>
      <c r="E3474">
        <v>0.5</v>
      </c>
      <c r="F3474">
        <v>95149</v>
      </c>
      <c r="G3474">
        <v>188</v>
      </c>
      <c r="H3474">
        <v>95055</v>
      </c>
      <c r="I3474">
        <v>3739750</v>
      </c>
    </row>
    <row r="3475" spans="1:9">
      <c r="A3475" s="2">
        <v>1981</v>
      </c>
      <c r="B3475">
        <v>30</v>
      </c>
      <c r="C3475">
        <v>2.48E-3</v>
      </c>
      <c r="D3475">
        <v>2.47E-3</v>
      </c>
      <c r="E3475">
        <v>0.5</v>
      </c>
      <c r="F3475">
        <v>94961</v>
      </c>
      <c r="G3475">
        <v>235</v>
      </c>
      <c r="H3475">
        <v>94844</v>
      </c>
      <c r="I3475">
        <v>3644694</v>
      </c>
    </row>
    <row r="3476" spans="1:9">
      <c r="A3476" s="2">
        <v>1981</v>
      </c>
      <c r="B3476">
        <v>31</v>
      </c>
      <c r="C3476">
        <v>2.2599999999999999E-3</v>
      </c>
      <c r="D3476">
        <v>2.2499999999999998E-3</v>
      </c>
      <c r="E3476">
        <v>0.5</v>
      </c>
      <c r="F3476">
        <v>94726</v>
      </c>
      <c r="G3476">
        <v>214</v>
      </c>
      <c r="H3476">
        <v>94620</v>
      </c>
      <c r="I3476">
        <v>3549850</v>
      </c>
    </row>
    <row r="3477" spans="1:9">
      <c r="A3477" s="2">
        <v>1981</v>
      </c>
      <c r="B3477">
        <v>32</v>
      </c>
      <c r="C3477">
        <v>2.7200000000000002E-3</v>
      </c>
      <c r="D3477">
        <v>2.7200000000000002E-3</v>
      </c>
      <c r="E3477">
        <v>0.5</v>
      </c>
      <c r="F3477">
        <v>94513</v>
      </c>
      <c r="G3477">
        <v>257</v>
      </c>
      <c r="H3477">
        <v>94385</v>
      </c>
      <c r="I3477">
        <v>3455231</v>
      </c>
    </row>
    <row r="3478" spans="1:9">
      <c r="A3478" s="2">
        <v>1981</v>
      </c>
      <c r="B3478">
        <v>33</v>
      </c>
      <c r="C3478">
        <v>2.6199999999999999E-3</v>
      </c>
      <c r="D3478">
        <v>2.6099999999999999E-3</v>
      </c>
      <c r="E3478">
        <v>0.5</v>
      </c>
      <c r="F3478">
        <v>94256</v>
      </c>
      <c r="G3478">
        <v>246</v>
      </c>
      <c r="H3478">
        <v>94133</v>
      </c>
      <c r="I3478">
        <v>3360846</v>
      </c>
    </row>
    <row r="3479" spans="1:9">
      <c r="A3479" s="2">
        <v>1981</v>
      </c>
      <c r="B3479">
        <v>34</v>
      </c>
      <c r="C3479">
        <v>3.1900000000000001E-3</v>
      </c>
      <c r="D3479">
        <v>3.1800000000000001E-3</v>
      </c>
      <c r="E3479">
        <v>0.5</v>
      </c>
      <c r="F3479">
        <v>94010</v>
      </c>
      <c r="G3479">
        <v>299</v>
      </c>
      <c r="H3479">
        <v>93860</v>
      </c>
      <c r="I3479">
        <v>3266713</v>
      </c>
    </row>
    <row r="3480" spans="1:9">
      <c r="A3480" s="2">
        <v>1981</v>
      </c>
      <c r="B3480">
        <v>35</v>
      </c>
      <c r="C3480">
        <v>2.8300000000000001E-3</v>
      </c>
      <c r="D3480">
        <v>2.82E-3</v>
      </c>
      <c r="E3480">
        <v>0.5</v>
      </c>
      <c r="F3480">
        <v>93711</v>
      </c>
      <c r="G3480">
        <v>265</v>
      </c>
      <c r="H3480">
        <v>93579</v>
      </c>
      <c r="I3480">
        <v>3172853</v>
      </c>
    </row>
    <row r="3481" spans="1:9">
      <c r="A3481" s="2">
        <v>1981</v>
      </c>
      <c r="B3481">
        <v>36</v>
      </c>
      <c r="C3481">
        <v>3.7299999999999998E-3</v>
      </c>
      <c r="D3481">
        <v>3.7200000000000002E-3</v>
      </c>
      <c r="E3481">
        <v>0.5</v>
      </c>
      <c r="F3481">
        <v>93446</v>
      </c>
      <c r="G3481">
        <v>348</v>
      </c>
      <c r="H3481">
        <v>93272</v>
      </c>
      <c r="I3481">
        <v>3079274</v>
      </c>
    </row>
    <row r="3482" spans="1:9">
      <c r="A3482" s="2">
        <v>1981</v>
      </c>
      <c r="B3482">
        <v>37</v>
      </c>
      <c r="C3482">
        <v>3.7200000000000002E-3</v>
      </c>
      <c r="D3482">
        <v>3.7200000000000002E-3</v>
      </c>
      <c r="E3482">
        <v>0.5</v>
      </c>
      <c r="F3482">
        <v>93099</v>
      </c>
      <c r="G3482">
        <v>346</v>
      </c>
      <c r="H3482">
        <v>92925</v>
      </c>
      <c r="I3482">
        <v>2986002</v>
      </c>
    </row>
    <row r="3483" spans="1:9">
      <c r="A3483" s="2">
        <v>1981</v>
      </c>
      <c r="B3483">
        <v>38</v>
      </c>
      <c r="C3483">
        <v>4.3499999999999997E-3</v>
      </c>
      <c r="D3483">
        <v>4.3400000000000001E-3</v>
      </c>
      <c r="E3483">
        <v>0.5</v>
      </c>
      <c r="F3483">
        <v>92752</v>
      </c>
      <c r="G3483">
        <v>402</v>
      </c>
      <c r="H3483">
        <v>92551</v>
      </c>
      <c r="I3483">
        <v>2893076</v>
      </c>
    </row>
    <row r="3484" spans="1:9">
      <c r="A3484" s="2">
        <v>1981</v>
      </c>
      <c r="B3484">
        <v>39</v>
      </c>
      <c r="C3484">
        <v>4.9399999999999999E-3</v>
      </c>
      <c r="D3484">
        <v>4.9300000000000004E-3</v>
      </c>
      <c r="E3484">
        <v>0.5</v>
      </c>
      <c r="F3484">
        <v>92350</v>
      </c>
      <c r="G3484">
        <v>455</v>
      </c>
      <c r="H3484">
        <v>92123</v>
      </c>
      <c r="I3484">
        <v>2800525</v>
      </c>
    </row>
    <row r="3485" spans="1:9">
      <c r="A3485" s="2">
        <v>1981</v>
      </c>
      <c r="B3485">
        <v>40</v>
      </c>
      <c r="C3485">
        <v>4.9699999999999996E-3</v>
      </c>
      <c r="D3485">
        <v>4.96E-3</v>
      </c>
      <c r="E3485">
        <v>0.5</v>
      </c>
      <c r="F3485">
        <v>91895</v>
      </c>
      <c r="G3485">
        <v>456</v>
      </c>
      <c r="H3485">
        <v>91667</v>
      </c>
      <c r="I3485">
        <v>2708402</v>
      </c>
    </row>
    <row r="3486" spans="1:9">
      <c r="A3486" s="2">
        <v>1981</v>
      </c>
      <c r="B3486">
        <v>41</v>
      </c>
      <c r="C3486">
        <v>5.96E-3</v>
      </c>
      <c r="D3486">
        <v>5.94E-3</v>
      </c>
      <c r="E3486">
        <v>0.5</v>
      </c>
      <c r="F3486">
        <v>91439</v>
      </c>
      <c r="G3486">
        <v>543</v>
      </c>
      <c r="H3486">
        <v>91168</v>
      </c>
      <c r="I3486">
        <v>2616735</v>
      </c>
    </row>
    <row r="3487" spans="1:9">
      <c r="A3487" s="2">
        <v>1981</v>
      </c>
      <c r="B3487">
        <v>42</v>
      </c>
      <c r="C3487">
        <v>6.4200000000000004E-3</v>
      </c>
      <c r="D3487">
        <v>6.3899999999999998E-3</v>
      </c>
      <c r="E3487">
        <v>0.5</v>
      </c>
      <c r="F3487">
        <v>90896</v>
      </c>
      <c r="G3487">
        <v>581</v>
      </c>
      <c r="H3487">
        <v>90605</v>
      </c>
      <c r="I3487">
        <v>2525568</v>
      </c>
    </row>
    <row r="3488" spans="1:9">
      <c r="A3488" s="2">
        <v>1981</v>
      </c>
      <c r="B3488">
        <v>43</v>
      </c>
      <c r="C3488">
        <v>6.8100000000000001E-3</v>
      </c>
      <c r="D3488">
        <v>6.79E-3</v>
      </c>
      <c r="E3488">
        <v>0.5</v>
      </c>
      <c r="F3488">
        <v>90315</v>
      </c>
      <c r="G3488">
        <v>613</v>
      </c>
      <c r="H3488">
        <v>90008</v>
      </c>
      <c r="I3488">
        <v>2434962</v>
      </c>
    </row>
    <row r="3489" spans="1:9">
      <c r="A3489" s="2">
        <v>1981</v>
      </c>
      <c r="B3489">
        <v>44</v>
      </c>
      <c r="C3489">
        <v>8.0800000000000004E-3</v>
      </c>
      <c r="D3489">
        <v>8.0499999999999999E-3</v>
      </c>
      <c r="E3489">
        <v>0.5</v>
      </c>
      <c r="F3489">
        <v>89702</v>
      </c>
      <c r="G3489">
        <v>722</v>
      </c>
      <c r="H3489">
        <v>89340</v>
      </c>
      <c r="I3489">
        <v>2344954</v>
      </c>
    </row>
    <row r="3490" spans="1:9">
      <c r="A3490" s="2">
        <v>1981</v>
      </c>
      <c r="B3490">
        <v>45</v>
      </c>
      <c r="C3490">
        <v>8.2799999999999992E-3</v>
      </c>
      <c r="D3490">
        <v>8.2500000000000004E-3</v>
      </c>
      <c r="E3490">
        <v>0.5</v>
      </c>
      <c r="F3490">
        <v>88979</v>
      </c>
      <c r="G3490">
        <v>734</v>
      </c>
      <c r="H3490">
        <v>88612</v>
      </c>
      <c r="I3490">
        <v>2255614</v>
      </c>
    </row>
    <row r="3491" spans="1:9">
      <c r="A3491" s="2">
        <v>1981</v>
      </c>
      <c r="B3491">
        <v>46</v>
      </c>
      <c r="C3491">
        <v>8.9099999999999995E-3</v>
      </c>
      <c r="D3491">
        <v>8.8699999999999994E-3</v>
      </c>
      <c r="E3491">
        <v>0.5</v>
      </c>
      <c r="F3491">
        <v>88245</v>
      </c>
      <c r="G3491">
        <v>783</v>
      </c>
      <c r="H3491">
        <v>87854</v>
      </c>
      <c r="I3491">
        <v>2167001</v>
      </c>
    </row>
    <row r="3492" spans="1:9">
      <c r="A3492" s="2">
        <v>1981</v>
      </c>
      <c r="B3492">
        <v>47</v>
      </c>
      <c r="C3492">
        <v>9.4199999999999996E-3</v>
      </c>
      <c r="D3492">
        <v>9.3699999999999999E-3</v>
      </c>
      <c r="E3492">
        <v>0.5</v>
      </c>
      <c r="F3492">
        <v>87462</v>
      </c>
      <c r="G3492">
        <v>820</v>
      </c>
      <c r="H3492">
        <v>87052</v>
      </c>
      <c r="I3492">
        <v>2079148</v>
      </c>
    </row>
    <row r="3493" spans="1:9">
      <c r="A3493" s="2">
        <v>1981</v>
      </c>
      <c r="B3493">
        <v>48</v>
      </c>
      <c r="C3493">
        <v>9.7800000000000005E-3</v>
      </c>
      <c r="D3493">
        <v>9.7300000000000008E-3</v>
      </c>
      <c r="E3493">
        <v>0.5</v>
      </c>
      <c r="F3493">
        <v>86642</v>
      </c>
      <c r="G3493">
        <v>843</v>
      </c>
      <c r="H3493">
        <v>86221</v>
      </c>
      <c r="I3493">
        <v>1992095</v>
      </c>
    </row>
    <row r="3494" spans="1:9">
      <c r="A3494" s="2">
        <v>1981</v>
      </c>
      <c r="B3494">
        <v>49</v>
      </c>
      <c r="C3494">
        <v>1.1140000000000001E-2</v>
      </c>
      <c r="D3494">
        <v>1.108E-2</v>
      </c>
      <c r="E3494">
        <v>0.5</v>
      </c>
      <c r="F3494">
        <v>85799</v>
      </c>
      <c r="G3494">
        <v>950</v>
      </c>
      <c r="H3494">
        <v>85324</v>
      </c>
      <c r="I3494">
        <v>1905874</v>
      </c>
    </row>
    <row r="3495" spans="1:9">
      <c r="A3495" s="2">
        <v>1981</v>
      </c>
      <c r="B3495">
        <v>50</v>
      </c>
      <c r="C3495">
        <v>1.257E-2</v>
      </c>
      <c r="D3495">
        <v>1.2489999999999999E-2</v>
      </c>
      <c r="E3495">
        <v>0.5</v>
      </c>
      <c r="F3495">
        <v>84849</v>
      </c>
      <c r="G3495">
        <v>1060</v>
      </c>
      <c r="H3495">
        <v>84319</v>
      </c>
      <c r="I3495">
        <v>1820550</v>
      </c>
    </row>
    <row r="3496" spans="1:9">
      <c r="A3496" s="2">
        <v>1981</v>
      </c>
      <c r="B3496">
        <v>51</v>
      </c>
      <c r="C3496">
        <v>1.372E-2</v>
      </c>
      <c r="D3496">
        <v>1.363E-2</v>
      </c>
      <c r="E3496">
        <v>0.5</v>
      </c>
      <c r="F3496">
        <v>83789</v>
      </c>
      <c r="G3496">
        <v>1142</v>
      </c>
      <c r="H3496">
        <v>83218</v>
      </c>
      <c r="I3496">
        <v>1736231</v>
      </c>
    </row>
    <row r="3497" spans="1:9">
      <c r="A3497" s="2">
        <v>1981</v>
      </c>
      <c r="B3497">
        <v>52</v>
      </c>
      <c r="C3497">
        <v>1.54E-2</v>
      </c>
      <c r="D3497">
        <v>1.528E-2</v>
      </c>
      <c r="E3497">
        <v>0.5</v>
      </c>
      <c r="F3497">
        <v>82647</v>
      </c>
      <c r="G3497">
        <v>1263</v>
      </c>
      <c r="H3497">
        <v>82016</v>
      </c>
      <c r="I3497">
        <v>1653013</v>
      </c>
    </row>
    <row r="3498" spans="1:9">
      <c r="A3498" s="2">
        <v>1981</v>
      </c>
      <c r="B3498">
        <v>53</v>
      </c>
      <c r="C3498">
        <v>1.6719999999999999E-2</v>
      </c>
      <c r="D3498">
        <v>1.6580000000000001E-2</v>
      </c>
      <c r="E3498">
        <v>0.5</v>
      </c>
      <c r="F3498">
        <v>81384</v>
      </c>
      <c r="G3498">
        <v>1349</v>
      </c>
      <c r="H3498">
        <v>80710</v>
      </c>
      <c r="I3498">
        <v>1570997</v>
      </c>
    </row>
    <row r="3499" spans="1:9">
      <c r="A3499" s="2">
        <v>1981</v>
      </c>
      <c r="B3499">
        <v>54</v>
      </c>
      <c r="C3499">
        <v>1.738E-2</v>
      </c>
      <c r="D3499">
        <v>1.7229999999999999E-2</v>
      </c>
      <c r="E3499">
        <v>0.5</v>
      </c>
      <c r="F3499">
        <v>80035</v>
      </c>
      <c r="G3499">
        <v>1379</v>
      </c>
      <c r="H3499">
        <v>79346</v>
      </c>
      <c r="I3499">
        <v>1490287</v>
      </c>
    </row>
    <row r="3500" spans="1:9">
      <c r="A3500" s="2">
        <v>1981</v>
      </c>
      <c r="B3500">
        <v>55</v>
      </c>
      <c r="C3500">
        <v>1.9230000000000001E-2</v>
      </c>
      <c r="D3500">
        <v>1.9050000000000001E-2</v>
      </c>
      <c r="E3500">
        <v>0.5</v>
      </c>
      <c r="F3500">
        <v>78656</v>
      </c>
      <c r="G3500">
        <v>1498</v>
      </c>
      <c r="H3500">
        <v>77907</v>
      </c>
      <c r="I3500">
        <v>1410942</v>
      </c>
    </row>
    <row r="3501" spans="1:9">
      <c r="A3501" s="2">
        <v>1981</v>
      </c>
      <c r="B3501">
        <v>56</v>
      </c>
      <c r="C3501">
        <v>2.001E-2</v>
      </c>
      <c r="D3501">
        <v>1.9810000000000001E-2</v>
      </c>
      <c r="E3501">
        <v>0.5</v>
      </c>
      <c r="F3501">
        <v>77158</v>
      </c>
      <c r="G3501">
        <v>1529</v>
      </c>
      <c r="H3501">
        <v>76394</v>
      </c>
      <c r="I3501">
        <v>1333034</v>
      </c>
    </row>
    <row r="3502" spans="1:9">
      <c r="A3502" s="2">
        <v>1981</v>
      </c>
      <c r="B3502">
        <v>57</v>
      </c>
      <c r="C3502">
        <v>2.1399999999999999E-2</v>
      </c>
      <c r="D3502">
        <v>2.1180000000000001E-2</v>
      </c>
      <c r="E3502">
        <v>0.5</v>
      </c>
      <c r="F3502">
        <v>75630</v>
      </c>
      <c r="G3502">
        <v>1601</v>
      </c>
      <c r="H3502">
        <v>74829</v>
      </c>
      <c r="I3502">
        <v>1256640</v>
      </c>
    </row>
    <row r="3503" spans="1:9">
      <c r="A3503" s="2">
        <v>1981</v>
      </c>
      <c r="B3503">
        <v>58</v>
      </c>
      <c r="C3503">
        <v>2.1950000000000001E-2</v>
      </c>
      <c r="D3503">
        <v>2.171E-2</v>
      </c>
      <c r="E3503">
        <v>0.5</v>
      </c>
      <c r="F3503">
        <v>74028</v>
      </c>
      <c r="G3503">
        <v>1607</v>
      </c>
      <c r="H3503">
        <v>73225</v>
      </c>
      <c r="I3503">
        <v>1181811</v>
      </c>
    </row>
    <row r="3504" spans="1:9">
      <c r="A3504" s="2">
        <v>1981</v>
      </c>
      <c r="B3504">
        <v>59</v>
      </c>
      <c r="C3504">
        <v>2.3910000000000001E-2</v>
      </c>
      <c r="D3504">
        <v>2.3630000000000002E-2</v>
      </c>
      <c r="E3504">
        <v>0.5</v>
      </c>
      <c r="F3504">
        <v>72421</v>
      </c>
      <c r="G3504">
        <v>1711</v>
      </c>
      <c r="H3504">
        <v>71566</v>
      </c>
      <c r="I3504">
        <v>1108587</v>
      </c>
    </row>
    <row r="3505" spans="1:9">
      <c r="A3505" s="2">
        <v>1981</v>
      </c>
      <c r="B3505">
        <v>60</v>
      </c>
      <c r="C3505">
        <v>2.4819999999999998E-2</v>
      </c>
      <c r="D3505">
        <v>2.4510000000000001E-2</v>
      </c>
      <c r="E3505">
        <v>0.5</v>
      </c>
      <c r="F3505">
        <v>70710</v>
      </c>
      <c r="G3505">
        <v>1733</v>
      </c>
      <c r="H3505">
        <v>69843</v>
      </c>
      <c r="I3505">
        <v>1037021</v>
      </c>
    </row>
    <row r="3506" spans="1:9">
      <c r="A3506" s="2">
        <v>1981</v>
      </c>
      <c r="B3506">
        <v>61</v>
      </c>
      <c r="C3506">
        <v>3.091E-2</v>
      </c>
      <c r="D3506">
        <v>3.0439999999999998E-2</v>
      </c>
      <c r="E3506">
        <v>0.5</v>
      </c>
      <c r="F3506">
        <v>68977</v>
      </c>
      <c r="G3506">
        <v>2100</v>
      </c>
      <c r="H3506">
        <v>67927</v>
      </c>
      <c r="I3506">
        <v>967178</v>
      </c>
    </row>
    <row r="3507" spans="1:9">
      <c r="A3507" s="2">
        <v>1981</v>
      </c>
      <c r="B3507">
        <v>62</v>
      </c>
      <c r="C3507">
        <v>2.9080000000000002E-2</v>
      </c>
      <c r="D3507">
        <v>2.8660000000000001E-2</v>
      </c>
      <c r="E3507">
        <v>0.5</v>
      </c>
      <c r="F3507">
        <v>66877</v>
      </c>
      <c r="G3507">
        <v>1917</v>
      </c>
      <c r="H3507">
        <v>65918</v>
      </c>
      <c r="I3507">
        <v>899251</v>
      </c>
    </row>
    <row r="3508" spans="1:9">
      <c r="A3508" s="2">
        <v>1981</v>
      </c>
      <c r="B3508">
        <v>63</v>
      </c>
      <c r="C3508">
        <v>3.0110000000000001E-2</v>
      </c>
      <c r="D3508">
        <v>2.9659999999999999E-2</v>
      </c>
      <c r="E3508">
        <v>0.5</v>
      </c>
      <c r="F3508">
        <v>64960</v>
      </c>
      <c r="G3508">
        <v>1927</v>
      </c>
      <c r="H3508">
        <v>63997</v>
      </c>
      <c r="I3508">
        <v>833333</v>
      </c>
    </row>
    <row r="3509" spans="1:9">
      <c r="A3509" s="2">
        <v>1981</v>
      </c>
      <c r="B3509">
        <v>64</v>
      </c>
      <c r="C3509">
        <v>3.6420000000000001E-2</v>
      </c>
      <c r="D3509">
        <v>3.5770000000000003E-2</v>
      </c>
      <c r="E3509">
        <v>0.5</v>
      </c>
      <c r="F3509">
        <v>63033</v>
      </c>
      <c r="G3509">
        <v>2255</v>
      </c>
      <c r="H3509">
        <v>61906</v>
      </c>
      <c r="I3509">
        <v>769336</v>
      </c>
    </row>
    <row r="3510" spans="1:9">
      <c r="A3510" s="2">
        <v>1981</v>
      </c>
      <c r="B3510">
        <v>65</v>
      </c>
      <c r="C3510">
        <v>3.5819999999999998E-2</v>
      </c>
      <c r="D3510">
        <v>3.5189999999999999E-2</v>
      </c>
      <c r="E3510">
        <v>0.5</v>
      </c>
      <c r="F3510">
        <v>60779</v>
      </c>
      <c r="G3510">
        <v>2139</v>
      </c>
      <c r="H3510">
        <v>59709</v>
      </c>
      <c r="I3510">
        <v>707430</v>
      </c>
    </row>
    <row r="3511" spans="1:9">
      <c r="A3511" s="2">
        <v>1981</v>
      </c>
      <c r="B3511">
        <v>66</v>
      </c>
      <c r="C3511">
        <v>4.4540000000000003E-2</v>
      </c>
      <c r="D3511">
        <v>4.3569999999999998E-2</v>
      </c>
      <c r="E3511">
        <v>0.5</v>
      </c>
      <c r="F3511">
        <v>58640</v>
      </c>
      <c r="G3511">
        <v>2555</v>
      </c>
      <c r="H3511">
        <v>57362</v>
      </c>
      <c r="I3511">
        <v>647721</v>
      </c>
    </row>
    <row r="3512" spans="1:9">
      <c r="A3512" s="2">
        <v>1981</v>
      </c>
      <c r="B3512">
        <v>67</v>
      </c>
      <c r="C3512">
        <v>4.5940000000000002E-2</v>
      </c>
      <c r="D3512">
        <v>4.4909999999999999E-2</v>
      </c>
      <c r="E3512">
        <v>0.5</v>
      </c>
      <c r="F3512">
        <v>56085</v>
      </c>
      <c r="G3512">
        <v>2519</v>
      </c>
      <c r="H3512">
        <v>54825</v>
      </c>
      <c r="I3512">
        <v>590359</v>
      </c>
    </row>
    <row r="3513" spans="1:9">
      <c r="A3513" s="2">
        <v>1981</v>
      </c>
      <c r="B3513">
        <v>68</v>
      </c>
      <c r="C3513">
        <v>4.9549999999999997E-2</v>
      </c>
      <c r="D3513">
        <v>4.8349999999999997E-2</v>
      </c>
      <c r="E3513">
        <v>0.5</v>
      </c>
      <c r="F3513">
        <v>53566</v>
      </c>
      <c r="G3513">
        <v>2590</v>
      </c>
      <c r="H3513">
        <v>52271</v>
      </c>
      <c r="I3513">
        <v>535533</v>
      </c>
    </row>
    <row r="3514" spans="1:9">
      <c r="A3514" s="2">
        <v>1981</v>
      </c>
      <c r="B3514">
        <v>69</v>
      </c>
      <c r="C3514">
        <v>5.5879999999999999E-2</v>
      </c>
      <c r="D3514">
        <v>5.4359999999999999E-2</v>
      </c>
      <c r="E3514">
        <v>0.5</v>
      </c>
      <c r="F3514">
        <v>50976</v>
      </c>
      <c r="G3514">
        <v>2771</v>
      </c>
      <c r="H3514">
        <v>49590</v>
      </c>
      <c r="I3514">
        <v>483262</v>
      </c>
    </row>
    <row r="3515" spans="1:9">
      <c r="A3515" s="2">
        <v>1981</v>
      </c>
      <c r="B3515">
        <v>70</v>
      </c>
      <c r="C3515">
        <v>5.8939999999999999E-2</v>
      </c>
      <c r="D3515">
        <v>5.7250000000000002E-2</v>
      </c>
      <c r="E3515">
        <v>0.5</v>
      </c>
      <c r="F3515">
        <v>48205</v>
      </c>
      <c r="G3515">
        <v>2760</v>
      </c>
      <c r="H3515">
        <v>46825</v>
      </c>
      <c r="I3515">
        <v>433672</v>
      </c>
    </row>
    <row r="3516" spans="1:9">
      <c r="A3516" s="2">
        <v>1981</v>
      </c>
      <c r="B3516">
        <v>71</v>
      </c>
      <c r="C3516">
        <v>6.4019999999999994E-2</v>
      </c>
      <c r="D3516">
        <v>6.2039999999999998E-2</v>
      </c>
      <c r="E3516">
        <v>0.5</v>
      </c>
      <c r="F3516">
        <v>45445</v>
      </c>
      <c r="G3516">
        <v>2819</v>
      </c>
      <c r="H3516">
        <v>44035</v>
      </c>
      <c r="I3516">
        <v>386847</v>
      </c>
    </row>
    <row r="3517" spans="1:9">
      <c r="A3517" s="2">
        <v>1981</v>
      </c>
      <c r="B3517">
        <v>72</v>
      </c>
      <c r="C3517">
        <v>7.1220000000000006E-2</v>
      </c>
      <c r="D3517">
        <v>6.8779999999999994E-2</v>
      </c>
      <c r="E3517">
        <v>0.5</v>
      </c>
      <c r="F3517">
        <v>42626</v>
      </c>
      <c r="G3517">
        <v>2932</v>
      </c>
      <c r="H3517">
        <v>41160</v>
      </c>
      <c r="I3517">
        <v>342812</v>
      </c>
    </row>
    <row r="3518" spans="1:9">
      <c r="A3518" s="2">
        <v>1981</v>
      </c>
      <c r="B3518">
        <v>73</v>
      </c>
      <c r="C3518">
        <v>7.7990000000000004E-2</v>
      </c>
      <c r="D3518">
        <v>7.5060000000000002E-2</v>
      </c>
      <c r="E3518">
        <v>0.5</v>
      </c>
      <c r="F3518">
        <v>39694</v>
      </c>
      <c r="G3518">
        <v>2980</v>
      </c>
      <c r="H3518">
        <v>38204</v>
      </c>
      <c r="I3518">
        <v>301652</v>
      </c>
    </row>
    <row r="3519" spans="1:9">
      <c r="A3519" s="2">
        <v>1981</v>
      </c>
      <c r="B3519">
        <v>74</v>
      </c>
      <c r="C3519">
        <v>8.8539999999999994E-2</v>
      </c>
      <c r="D3519">
        <v>8.4779999999999994E-2</v>
      </c>
      <c r="E3519">
        <v>0.5</v>
      </c>
      <c r="F3519">
        <v>36715</v>
      </c>
      <c r="G3519">
        <v>3113</v>
      </c>
      <c r="H3519">
        <v>35158</v>
      </c>
      <c r="I3519">
        <v>263447</v>
      </c>
    </row>
    <row r="3520" spans="1:9">
      <c r="A3520" s="2">
        <v>1981</v>
      </c>
      <c r="B3520">
        <v>75</v>
      </c>
      <c r="C3520">
        <v>9.35E-2</v>
      </c>
      <c r="D3520">
        <v>8.9330000000000007E-2</v>
      </c>
      <c r="E3520">
        <v>0.5</v>
      </c>
      <c r="F3520">
        <v>33602</v>
      </c>
      <c r="G3520">
        <v>3002</v>
      </c>
      <c r="H3520">
        <v>32101</v>
      </c>
      <c r="I3520">
        <v>228289</v>
      </c>
    </row>
    <row r="3521" spans="1:9">
      <c r="A3521" s="2">
        <v>1981</v>
      </c>
      <c r="B3521">
        <v>76</v>
      </c>
      <c r="C3521">
        <v>0.10668</v>
      </c>
      <c r="D3521">
        <v>0.10128</v>
      </c>
      <c r="E3521">
        <v>0.5</v>
      </c>
      <c r="F3521">
        <v>30600</v>
      </c>
      <c r="G3521">
        <v>3099</v>
      </c>
      <c r="H3521">
        <v>29051</v>
      </c>
      <c r="I3521">
        <v>196188</v>
      </c>
    </row>
    <row r="3522" spans="1:9">
      <c r="A3522" s="2">
        <v>1981</v>
      </c>
      <c r="B3522">
        <v>77</v>
      </c>
      <c r="C3522">
        <v>0.11133</v>
      </c>
      <c r="D3522">
        <v>0.10546</v>
      </c>
      <c r="E3522">
        <v>0.5</v>
      </c>
      <c r="F3522">
        <v>27501</v>
      </c>
      <c r="G3522">
        <v>2900</v>
      </c>
      <c r="H3522">
        <v>26051</v>
      </c>
      <c r="I3522">
        <v>167137</v>
      </c>
    </row>
    <row r="3523" spans="1:9">
      <c r="A3523" s="2">
        <v>1981</v>
      </c>
      <c r="B3523">
        <v>78</v>
      </c>
      <c r="C3523">
        <v>0.11756999999999999</v>
      </c>
      <c r="D3523">
        <v>0.11104</v>
      </c>
      <c r="E3523">
        <v>0.5</v>
      </c>
      <c r="F3523">
        <v>24601</v>
      </c>
      <c r="G3523">
        <v>2732</v>
      </c>
      <c r="H3523">
        <v>23235</v>
      </c>
      <c r="I3523">
        <v>141086</v>
      </c>
    </row>
    <row r="3524" spans="1:9">
      <c r="A3524" s="2">
        <v>1981</v>
      </c>
      <c r="B3524">
        <v>79</v>
      </c>
      <c r="C3524">
        <v>0.13355</v>
      </c>
      <c r="D3524">
        <v>0.12519</v>
      </c>
      <c r="E3524">
        <v>0.5</v>
      </c>
      <c r="F3524">
        <v>21869</v>
      </c>
      <c r="G3524">
        <v>2738</v>
      </c>
      <c r="H3524">
        <v>20500</v>
      </c>
      <c r="I3524">
        <v>117851</v>
      </c>
    </row>
    <row r="3525" spans="1:9">
      <c r="A3525" s="2">
        <v>1981</v>
      </c>
      <c r="B3525">
        <v>80</v>
      </c>
      <c r="C3525">
        <v>0.14151</v>
      </c>
      <c r="D3525">
        <v>0.13216</v>
      </c>
      <c r="E3525">
        <v>0.5</v>
      </c>
      <c r="F3525">
        <v>19131</v>
      </c>
      <c r="G3525">
        <v>2528</v>
      </c>
      <c r="H3525">
        <v>17867</v>
      </c>
      <c r="I3525">
        <v>97351</v>
      </c>
    </row>
    <row r="3526" spans="1:9">
      <c r="A3526" s="2">
        <v>1981</v>
      </c>
      <c r="B3526">
        <v>81</v>
      </c>
      <c r="C3526">
        <v>0.15872</v>
      </c>
      <c r="D3526">
        <v>0.14704999999999999</v>
      </c>
      <c r="E3526">
        <v>0.5</v>
      </c>
      <c r="F3526">
        <v>16603</v>
      </c>
      <c r="G3526">
        <v>2441</v>
      </c>
      <c r="H3526">
        <v>15382</v>
      </c>
      <c r="I3526">
        <v>79483</v>
      </c>
    </row>
    <row r="3527" spans="1:9">
      <c r="A3527" s="2">
        <v>1981</v>
      </c>
      <c r="B3527">
        <v>82</v>
      </c>
      <c r="C3527">
        <v>0.16899</v>
      </c>
      <c r="D3527">
        <v>0.15583</v>
      </c>
      <c r="E3527">
        <v>0.5</v>
      </c>
      <c r="F3527">
        <v>14162</v>
      </c>
      <c r="G3527">
        <v>2207</v>
      </c>
      <c r="H3527">
        <v>13058</v>
      </c>
      <c r="I3527">
        <v>64101</v>
      </c>
    </row>
    <row r="3528" spans="1:9">
      <c r="A3528" s="2">
        <v>1981</v>
      </c>
      <c r="B3528">
        <v>83</v>
      </c>
      <c r="C3528">
        <v>0.18436</v>
      </c>
      <c r="D3528">
        <v>0.16880000000000001</v>
      </c>
      <c r="E3528">
        <v>0.5</v>
      </c>
      <c r="F3528">
        <v>11955</v>
      </c>
      <c r="G3528">
        <v>2018</v>
      </c>
      <c r="H3528">
        <v>10946</v>
      </c>
      <c r="I3528">
        <v>51043</v>
      </c>
    </row>
    <row r="3529" spans="1:9">
      <c r="A3529" s="2">
        <v>1981</v>
      </c>
      <c r="B3529">
        <v>84</v>
      </c>
      <c r="C3529">
        <v>0.19936000000000001</v>
      </c>
      <c r="D3529">
        <v>0.18129000000000001</v>
      </c>
      <c r="E3529">
        <v>0.5</v>
      </c>
      <c r="F3529">
        <v>9937</v>
      </c>
      <c r="G3529">
        <v>1801</v>
      </c>
      <c r="H3529">
        <v>9036</v>
      </c>
      <c r="I3529">
        <v>40097</v>
      </c>
    </row>
    <row r="3530" spans="1:9">
      <c r="A3530" s="2">
        <v>1981</v>
      </c>
      <c r="B3530">
        <v>85</v>
      </c>
      <c r="C3530">
        <v>0.2064</v>
      </c>
      <c r="D3530">
        <v>0.18709000000000001</v>
      </c>
      <c r="E3530">
        <v>0.5</v>
      </c>
      <c r="F3530">
        <v>8135</v>
      </c>
      <c r="G3530">
        <v>1522</v>
      </c>
      <c r="H3530">
        <v>7374</v>
      </c>
      <c r="I3530">
        <v>31061</v>
      </c>
    </row>
    <row r="3531" spans="1:9">
      <c r="A3531" s="2">
        <v>1981</v>
      </c>
      <c r="B3531">
        <v>86</v>
      </c>
      <c r="C3531">
        <v>0.21410999999999999</v>
      </c>
      <c r="D3531">
        <v>0.19339999999999999</v>
      </c>
      <c r="E3531">
        <v>0.5</v>
      </c>
      <c r="F3531">
        <v>6613</v>
      </c>
      <c r="G3531">
        <v>1279</v>
      </c>
      <c r="H3531">
        <v>5974</v>
      </c>
      <c r="I3531">
        <v>23687</v>
      </c>
    </row>
    <row r="3532" spans="1:9">
      <c r="A3532" s="2">
        <v>1981</v>
      </c>
      <c r="B3532">
        <v>87</v>
      </c>
      <c r="C3532">
        <v>0.26301999999999998</v>
      </c>
      <c r="D3532">
        <v>0.23244999999999999</v>
      </c>
      <c r="E3532">
        <v>0.5</v>
      </c>
      <c r="F3532">
        <v>5334</v>
      </c>
      <c r="G3532">
        <v>1240</v>
      </c>
      <c r="H3532">
        <v>4714</v>
      </c>
      <c r="I3532">
        <v>17713</v>
      </c>
    </row>
    <row r="3533" spans="1:9">
      <c r="A3533" s="2">
        <v>1981</v>
      </c>
      <c r="B3533">
        <v>88</v>
      </c>
      <c r="C3533">
        <v>0.27296999999999999</v>
      </c>
      <c r="D3533">
        <v>0.24018999999999999</v>
      </c>
      <c r="E3533">
        <v>0.5</v>
      </c>
      <c r="F3533">
        <v>4094</v>
      </c>
      <c r="G3533">
        <v>983</v>
      </c>
      <c r="H3533">
        <v>3603</v>
      </c>
      <c r="I3533">
        <v>12998</v>
      </c>
    </row>
    <row r="3534" spans="1:9">
      <c r="A3534" s="2">
        <v>1981</v>
      </c>
      <c r="B3534">
        <v>89</v>
      </c>
      <c r="C3534">
        <v>0.27733999999999998</v>
      </c>
      <c r="D3534">
        <v>0.24357000000000001</v>
      </c>
      <c r="E3534">
        <v>0.5</v>
      </c>
      <c r="F3534">
        <v>3111</v>
      </c>
      <c r="G3534">
        <v>758</v>
      </c>
      <c r="H3534">
        <v>2732</v>
      </c>
      <c r="I3534">
        <v>9396</v>
      </c>
    </row>
    <row r="3535" spans="1:9">
      <c r="A3535" s="2">
        <v>1981</v>
      </c>
      <c r="B3535">
        <v>90</v>
      </c>
      <c r="C3535">
        <v>0.29013</v>
      </c>
      <c r="D3535">
        <v>0.25336999999999998</v>
      </c>
      <c r="E3535">
        <v>0.5</v>
      </c>
      <c r="F3535">
        <v>2353</v>
      </c>
      <c r="G3535">
        <v>596</v>
      </c>
      <c r="H3535">
        <v>2055</v>
      </c>
      <c r="I3535">
        <v>6664</v>
      </c>
    </row>
    <row r="3536" spans="1:9">
      <c r="A3536" s="2">
        <v>1981</v>
      </c>
      <c r="B3536">
        <v>91</v>
      </c>
      <c r="C3536">
        <v>0.33333000000000002</v>
      </c>
      <c r="D3536">
        <v>0.28571999999999997</v>
      </c>
      <c r="E3536">
        <v>0.5</v>
      </c>
      <c r="F3536">
        <v>1757</v>
      </c>
      <c r="G3536">
        <v>502</v>
      </c>
      <c r="H3536">
        <v>1506</v>
      </c>
      <c r="I3536">
        <v>4609</v>
      </c>
    </row>
    <row r="3537" spans="1:9">
      <c r="A3537" s="2">
        <v>1981</v>
      </c>
      <c r="B3537">
        <v>92</v>
      </c>
      <c r="C3537">
        <v>0.37384000000000001</v>
      </c>
      <c r="D3537">
        <v>0.31497000000000003</v>
      </c>
      <c r="E3537">
        <v>0.5</v>
      </c>
      <c r="F3537">
        <v>1255</v>
      </c>
      <c r="G3537">
        <v>395</v>
      </c>
      <c r="H3537">
        <v>1057</v>
      </c>
      <c r="I3537">
        <v>3103</v>
      </c>
    </row>
    <row r="3538" spans="1:9">
      <c r="A3538" s="2">
        <v>1981</v>
      </c>
      <c r="B3538">
        <v>93</v>
      </c>
      <c r="C3538">
        <v>0.34266999999999997</v>
      </c>
      <c r="D3538">
        <v>0.29254999999999998</v>
      </c>
      <c r="E3538">
        <v>0.5</v>
      </c>
      <c r="F3538">
        <v>860</v>
      </c>
      <c r="G3538">
        <v>252</v>
      </c>
      <c r="H3538">
        <v>734</v>
      </c>
      <c r="I3538">
        <v>2045</v>
      </c>
    </row>
    <row r="3539" spans="1:9">
      <c r="A3539" s="2">
        <v>1981</v>
      </c>
      <c r="B3539">
        <v>94</v>
      </c>
      <c r="C3539">
        <v>0.48259999999999997</v>
      </c>
      <c r="D3539">
        <v>0.38879000000000002</v>
      </c>
      <c r="E3539">
        <v>0.5</v>
      </c>
      <c r="F3539">
        <v>608</v>
      </c>
      <c r="G3539">
        <v>236</v>
      </c>
      <c r="H3539">
        <v>490</v>
      </c>
      <c r="I3539">
        <v>1311</v>
      </c>
    </row>
    <row r="3540" spans="1:9">
      <c r="A3540" s="2">
        <v>1981</v>
      </c>
      <c r="B3540">
        <v>95</v>
      </c>
      <c r="C3540">
        <v>0.41602</v>
      </c>
      <c r="D3540">
        <v>0.34438000000000002</v>
      </c>
      <c r="E3540">
        <v>0.5</v>
      </c>
      <c r="F3540">
        <v>372</v>
      </c>
      <c r="G3540">
        <v>128</v>
      </c>
      <c r="H3540">
        <v>308</v>
      </c>
      <c r="I3540">
        <v>821</v>
      </c>
    </row>
    <row r="3541" spans="1:9">
      <c r="A3541" s="2">
        <v>1981</v>
      </c>
      <c r="B3541">
        <v>96</v>
      </c>
      <c r="C3541">
        <v>0.43966</v>
      </c>
      <c r="D3541">
        <v>0.36042999999999997</v>
      </c>
      <c r="E3541">
        <v>0.5</v>
      </c>
      <c r="F3541">
        <v>244</v>
      </c>
      <c r="G3541">
        <v>88</v>
      </c>
      <c r="H3541">
        <v>200</v>
      </c>
      <c r="I3541">
        <v>514</v>
      </c>
    </row>
    <row r="3542" spans="1:9">
      <c r="A3542" s="2">
        <v>1981</v>
      </c>
      <c r="B3542">
        <v>97</v>
      </c>
      <c r="C3542">
        <v>0.46357999999999999</v>
      </c>
      <c r="D3542">
        <v>0.37635000000000002</v>
      </c>
      <c r="E3542">
        <v>0.5</v>
      </c>
      <c r="F3542">
        <v>156</v>
      </c>
      <c r="G3542">
        <v>59</v>
      </c>
      <c r="H3542">
        <v>127</v>
      </c>
      <c r="I3542">
        <v>314</v>
      </c>
    </row>
    <row r="3543" spans="1:9">
      <c r="A3543" s="2">
        <v>1981</v>
      </c>
      <c r="B3543">
        <v>98</v>
      </c>
      <c r="C3543">
        <v>0.48766999999999999</v>
      </c>
      <c r="D3543">
        <v>0.39206999999999997</v>
      </c>
      <c r="E3543">
        <v>0.5</v>
      </c>
      <c r="F3543">
        <v>97</v>
      </c>
      <c r="G3543">
        <v>38</v>
      </c>
      <c r="H3543">
        <v>78</v>
      </c>
      <c r="I3543">
        <v>187</v>
      </c>
    </row>
    <row r="3544" spans="1:9">
      <c r="A3544" s="2">
        <v>1981</v>
      </c>
      <c r="B3544">
        <v>99</v>
      </c>
      <c r="C3544">
        <v>0.51180999999999999</v>
      </c>
      <c r="D3544">
        <v>0.40751999999999999</v>
      </c>
      <c r="E3544">
        <v>0.5</v>
      </c>
      <c r="F3544">
        <v>59</v>
      </c>
      <c r="G3544">
        <v>24</v>
      </c>
      <c r="H3544">
        <v>47</v>
      </c>
      <c r="I3544">
        <v>109</v>
      </c>
    </row>
    <row r="3545" spans="1:9">
      <c r="A3545" s="2">
        <v>1981</v>
      </c>
      <c r="B3545">
        <v>100</v>
      </c>
      <c r="C3545">
        <v>0.53590000000000004</v>
      </c>
      <c r="D3545">
        <v>0.42265000000000003</v>
      </c>
      <c r="E3545">
        <v>0.5</v>
      </c>
      <c r="F3545">
        <v>35</v>
      </c>
      <c r="G3545">
        <v>15</v>
      </c>
      <c r="H3545">
        <v>28</v>
      </c>
      <c r="I3545">
        <v>62</v>
      </c>
    </row>
    <row r="3546" spans="1:9">
      <c r="A3546" s="2">
        <v>1981</v>
      </c>
      <c r="B3546">
        <v>101</v>
      </c>
      <c r="C3546">
        <v>0.55983000000000005</v>
      </c>
      <c r="D3546">
        <v>0.43739</v>
      </c>
      <c r="E3546">
        <v>0.5</v>
      </c>
      <c r="F3546">
        <v>20</v>
      </c>
      <c r="G3546">
        <v>9</v>
      </c>
      <c r="H3546">
        <v>16</v>
      </c>
      <c r="I3546">
        <v>35</v>
      </c>
    </row>
    <row r="3547" spans="1:9">
      <c r="A3547" s="2">
        <v>1981</v>
      </c>
      <c r="B3547">
        <v>102</v>
      </c>
      <c r="C3547">
        <v>0.58348</v>
      </c>
      <c r="D3547">
        <v>0.45169999999999999</v>
      </c>
      <c r="E3547">
        <v>0.5</v>
      </c>
      <c r="F3547">
        <v>11</v>
      </c>
      <c r="G3547">
        <v>5</v>
      </c>
      <c r="H3547">
        <v>9</v>
      </c>
      <c r="I3547">
        <v>19</v>
      </c>
    </row>
    <row r="3548" spans="1:9">
      <c r="A3548" s="2">
        <v>1981</v>
      </c>
      <c r="B3548">
        <v>103</v>
      </c>
      <c r="C3548">
        <v>0.60675000000000001</v>
      </c>
      <c r="D3548">
        <v>0.46551999999999999</v>
      </c>
      <c r="E3548">
        <v>0.5</v>
      </c>
      <c r="F3548">
        <v>6</v>
      </c>
      <c r="G3548">
        <v>3</v>
      </c>
      <c r="H3548">
        <v>5</v>
      </c>
      <c r="I3548">
        <v>10</v>
      </c>
    </row>
    <row r="3549" spans="1:9">
      <c r="A3549" s="2">
        <v>1981</v>
      </c>
      <c r="B3549">
        <v>104</v>
      </c>
      <c r="C3549">
        <v>0.62953999999999999</v>
      </c>
      <c r="D3549">
        <v>0.47882000000000002</v>
      </c>
      <c r="E3549">
        <v>0.5</v>
      </c>
      <c r="F3549">
        <v>3</v>
      </c>
      <c r="G3549">
        <v>2</v>
      </c>
      <c r="H3549">
        <v>3</v>
      </c>
      <c r="I3549">
        <v>5</v>
      </c>
    </row>
    <row r="3550" spans="1:9">
      <c r="A3550" s="2">
        <v>1981</v>
      </c>
      <c r="B3550">
        <v>105</v>
      </c>
      <c r="C3550">
        <v>0.65178000000000003</v>
      </c>
      <c r="D3550">
        <v>0.49158000000000002</v>
      </c>
      <c r="E3550">
        <v>0.5</v>
      </c>
      <c r="F3550">
        <v>2</v>
      </c>
      <c r="G3550">
        <v>1</v>
      </c>
      <c r="H3550">
        <v>1</v>
      </c>
      <c r="I3550">
        <v>3</v>
      </c>
    </row>
    <row r="3551" spans="1:9">
      <c r="A3551" s="2">
        <v>1981</v>
      </c>
      <c r="B3551">
        <v>106</v>
      </c>
      <c r="C3551">
        <v>0.67337000000000002</v>
      </c>
      <c r="D3551">
        <v>0.50375999999999999</v>
      </c>
      <c r="E3551">
        <v>0.5</v>
      </c>
      <c r="F3551">
        <v>1</v>
      </c>
      <c r="G3551">
        <v>0</v>
      </c>
      <c r="H3551">
        <v>1</v>
      </c>
      <c r="I3551">
        <v>1</v>
      </c>
    </row>
    <row r="3552" spans="1:9">
      <c r="A3552" s="2">
        <v>1981</v>
      </c>
      <c r="B3552">
        <v>107</v>
      </c>
      <c r="C3552">
        <v>0.69425000000000003</v>
      </c>
      <c r="D3552">
        <v>0.51536000000000004</v>
      </c>
      <c r="E3552">
        <v>0.5</v>
      </c>
      <c r="F3552">
        <v>0</v>
      </c>
      <c r="G3552">
        <v>0</v>
      </c>
      <c r="H3552">
        <v>0</v>
      </c>
      <c r="I3552">
        <v>1</v>
      </c>
    </row>
    <row r="3553" spans="1:9">
      <c r="A3553" s="2">
        <v>1981</v>
      </c>
      <c r="B3553">
        <v>108</v>
      </c>
      <c r="C3553">
        <v>0.71435999999999999</v>
      </c>
      <c r="D3553">
        <v>0.52636000000000005</v>
      </c>
      <c r="E3553">
        <v>0.5</v>
      </c>
      <c r="F3553">
        <v>0</v>
      </c>
      <c r="G3553">
        <v>0</v>
      </c>
      <c r="H3553">
        <v>0</v>
      </c>
      <c r="I3553">
        <v>0</v>
      </c>
    </row>
    <row r="3554" spans="1:9">
      <c r="A3554" s="2">
        <v>1981</v>
      </c>
      <c r="B3554">
        <v>109</v>
      </c>
      <c r="C3554">
        <v>0.73365999999999998</v>
      </c>
      <c r="D3554">
        <v>0.53676000000000001</v>
      </c>
      <c r="E3554">
        <v>0.5</v>
      </c>
      <c r="F3554">
        <v>0</v>
      </c>
      <c r="G3554">
        <v>0</v>
      </c>
      <c r="H3554">
        <v>0</v>
      </c>
      <c r="I3554">
        <v>0</v>
      </c>
    </row>
    <row r="3555" spans="1:9">
      <c r="A3555" s="2">
        <v>1981</v>
      </c>
      <c r="B3555" t="s">
        <v>26</v>
      </c>
      <c r="C3555">
        <v>0.75209999999999999</v>
      </c>
      <c r="D3555">
        <v>1</v>
      </c>
      <c r="E3555">
        <v>1.33</v>
      </c>
      <c r="F3555">
        <v>0</v>
      </c>
      <c r="G3555">
        <v>0</v>
      </c>
      <c r="H3555">
        <v>0</v>
      </c>
      <c r="I3555">
        <v>0</v>
      </c>
    </row>
    <row r="3556" spans="1:9">
      <c r="A3556" s="2">
        <v>1982</v>
      </c>
      <c r="B3556">
        <v>0</v>
      </c>
      <c r="C3556">
        <v>2.23E-2</v>
      </c>
      <c r="D3556">
        <v>2.1860000000000001E-2</v>
      </c>
      <c r="E3556">
        <v>0.1</v>
      </c>
      <c r="F3556">
        <v>100000</v>
      </c>
      <c r="G3556">
        <v>2186</v>
      </c>
      <c r="H3556">
        <v>98043</v>
      </c>
      <c r="I3556">
        <v>6562431</v>
      </c>
    </row>
    <row r="3557" spans="1:9">
      <c r="A3557" s="2">
        <v>1982</v>
      </c>
      <c r="B3557">
        <v>1</v>
      </c>
      <c r="C3557">
        <v>1.33E-3</v>
      </c>
      <c r="D3557">
        <v>1.33E-3</v>
      </c>
      <c r="E3557">
        <v>0.5</v>
      </c>
      <c r="F3557">
        <v>97814</v>
      </c>
      <c r="G3557">
        <v>130</v>
      </c>
      <c r="H3557">
        <v>97749</v>
      </c>
      <c r="I3557">
        <v>6464388</v>
      </c>
    </row>
    <row r="3558" spans="1:9">
      <c r="A3558" s="2">
        <v>1982</v>
      </c>
      <c r="B3558">
        <v>2</v>
      </c>
      <c r="C3558">
        <v>6.7000000000000002E-4</v>
      </c>
      <c r="D3558">
        <v>6.7000000000000002E-4</v>
      </c>
      <c r="E3558">
        <v>0.5</v>
      </c>
      <c r="F3558">
        <v>97684</v>
      </c>
      <c r="G3558">
        <v>65</v>
      </c>
      <c r="H3558">
        <v>97651</v>
      </c>
      <c r="I3558">
        <v>6366640</v>
      </c>
    </row>
    <row r="3559" spans="1:9">
      <c r="A3559" s="2">
        <v>1982</v>
      </c>
      <c r="B3559">
        <v>3</v>
      </c>
      <c r="C3559">
        <v>3.6000000000000002E-4</v>
      </c>
      <c r="D3559">
        <v>3.6000000000000002E-4</v>
      </c>
      <c r="E3559">
        <v>0.5</v>
      </c>
      <c r="F3559">
        <v>97618</v>
      </c>
      <c r="G3559">
        <v>36</v>
      </c>
      <c r="H3559">
        <v>97601</v>
      </c>
      <c r="I3559">
        <v>6268989</v>
      </c>
    </row>
    <row r="3560" spans="1:9">
      <c r="A3560" s="2">
        <v>1982</v>
      </c>
      <c r="B3560">
        <v>4</v>
      </c>
      <c r="C3560">
        <v>4.8999999999999998E-4</v>
      </c>
      <c r="D3560">
        <v>4.8999999999999998E-4</v>
      </c>
      <c r="E3560">
        <v>0.5</v>
      </c>
      <c r="F3560">
        <v>97583</v>
      </c>
      <c r="G3560">
        <v>47</v>
      </c>
      <c r="H3560">
        <v>97559</v>
      </c>
      <c r="I3560">
        <v>6171388</v>
      </c>
    </row>
    <row r="3561" spans="1:9">
      <c r="A3561" s="2">
        <v>1982</v>
      </c>
      <c r="B3561">
        <v>5</v>
      </c>
      <c r="C3561">
        <v>3.4000000000000002E-4</v>
      </c>
      <c r="D3561">
        <v>3.4000000000000002E-4</v>
      </c>
      <c r="E3561">
        <v>0.5</v>
      </c>
      <c r="F3561">
        <v>97535</v>
      </c>
      <c r="G3561">
        <v>33</v>
      </c>
      <c r="H3561">
        <v>97519</v>
      </c>
      <c r="I3561">
        <v>6073829</v>
      </c>
    </row>
    <row r="3562" spans="1:9">
      <c r="A3562" s="2">
        <v>1982</v>
      </c>
      <c r="B3562">
        <v>6</v>
      </c>
      <c r="C3562">
        <v>3.8999999999999999E-4</v>
      </c>
      <c r="D3562">
        <v>3.8999999999999999E-4</v>
      </c>
      <c r="E3562">
        <v>0.5</v>
      </c>
      <c r="F3562">
        <v>97502</v>
      </c>
      <c r="G3562">
        <v>38</v>
      </c>
      <c r="H3562">
        <v>97483</v>
      </c>
      <c r="I3562">
        <v>5976310</v>
      </c>
    </row>
    <row r="3563" spans="1:9">
      <c r="A3563" s="2">
        <v>1982</v>
      </c>
      <c r="B3563">
        <v>7</v>
      </c>
      <c r="C3563">
        <v>3.8999999999999999E-4</v>
      </c>
      <c r="D3563">
        <v>3.8999999999999999E-4</v>
      </c>
      <c r="E3563">
        <v>0.5</v>
      </c>
      <c r="F3563">
        <v>97464</v>
      </c>
      <c r="G3563">
        <v>38</v>
      </c>
      <c r="H3563">
        <v>97445</v>
      </c>
      <c r="I3563">
        <v>5878827</v>
      </c>
    </row>
    <row r="3564" spans="1:9">
      <c r="A3564" s="2">
        <v>1982</v>
      </c>
      <c r="B3564">
        <v>8</v>
      </c>
      <c r="C3564">
        <v>2.3000000000000001E-4</v>
      </c>
      <c r="D3564">
        <v>2.3000000000000001E-4</v>
      </c>
      <c r="E3564">
        <v>0.5</v>
      </c>
      <c r="F3564">
        <v>97426</v>
      </c>
      <c r="G3564">
        <v>22</v>
      </c>
      <c r="H3564">
        <v>97415</v>
      </c>
      <c r="I3564">
        <v>5781383</v>
      </c>
    </row>
    <row r="3565" spans="1:9">
      <c r="A3565" s="2">
        <v>1982</v>
      </c>
      <c r="B3565">
        <v>9</v>
      </c>
      <c r="C3565">
        <v>3.4000000000000002E-4</v>
      </c>
      <c r="D3565">
        <v>3.4000000000000002E-4</v>
      </c>
      <c r="E3565">
        <v>0.5</v>
      </c>
      <c r="F3565">
        <v>97403</v>
      </c>
      <c r="G3565">
        <v>33</v>
      </c>
      <c r="H3565">
        <v>97387</v>
      </c>
      <c r="I3565">
        <v>5683968</v>
      </c>
    </row>
    <row r="3566" spans="1:9">
      <c r="A3566" s="2">
        <v>1982</v>
      </c>
      <c r="B3566">
        <v>10</v>
      </c>
      <c r="C3566">
        <v>4.0000000000000002E-4</v>
      </c>
      <c r="D3566">
        <v>4.0000000000000002E-4</v>
      </c>
      <c r="E3566">
        <v>0.5</v>
      </c>
      <c r="F3566">
        <v>97371</v>
      </c>
      <c r="G3566">
        <v>39</v>
      </c>
      <c r="H3566">
        <v>97351</v>
      </c>
      <c r="I3566">
        <v>5586581</v>
      </c>
    </row>
    <row r="3567" spans="1:9">
      <c r="A3567" s="2">
        <v>1982</v>
      </c>
      <c r="B3567">
        <v>11</v>
      </c>
      <c r="C3567">
        <v>2.7999999999999998E-4</v>
      </c>
      <c r="D3567">
        <v>2.7999999999999998E-4</v>
      </c>
      <c r="E3567">
        <v>0.5</v>
      </c>
      <c r="F3567">
        <v>97332</v>
      </c>
      <c r="G3567">
        <v>28</v>
      </c>
      <c r="H3567">
        <v>97318</v>
      </c>
      <c r="I3567">
        <v>5489230</v>
      </c>
    </row>
    <row r="3568" spans="1:9">
      <c r="A3568" s="2">
        <v>1982</v>
      </c>
      <c r="B3568">
        <v>12</v>
      </c>
      <c r="C3568">
        <v>3.6000000000000002E-4</v>
      </c>
      <c r="D3568">
        <v>3.6000000000000002E-4</v>
      </c>
      <c r="E3568">
        <v>0.5</v>
      </c>
      <c r="F3568">
        <v>97304</v>
      </c>
      <c r="G3568">
        <v>35</v>
      </c>
      <c r="H3568">
        <v>97287</v>
      </c>
      <c r="I3568">
        <v>5391912</v>
      </c>
    </row>
    <row r="3569" spans="1:9">
      <c r="A3569" s="2">
        <v>1982</v>
      </c>
      <c r="B3569">
        <v>13</v>
      </c>
      <c r="C3569">
        <v>4.6000000000000001E-4</v>
      </c>
      <c r="D3569">
        <v>4.6000000000000001E-4</v>
      </c>
      <c r="E3569">
        <v>0.5</v>
      </c>
      <c r="F3569">
        <v>97270</v>
      </c>
      <c r="G3569">
        <v>45</v>
      </c>
      <c r="H3569">
        <v>97247</v>
      </c>
      <c r="I3569">
        <v>5294625</v>
      </c>
    </row>
    <row r="3570" spans="1:9">
      <c r="A3570" s="2">
        <v>1982</v>
      </c>
      <c r="B3570">
        <v>14</v>
      </c>
      <c r="C3570">
        <v>4.2000000000000002E-4</v>
      </c>
      <c r="D3570">
        <v>4.2000000000000002E-4</v>
      </c>
      <c r="E3570">
        <v>0.5</v>
      </c>
      <c r="F3570">
        <v>97225</v>
      </c>
      <c r="G3570">
        <v>41</v>
      </c>
      <c r="H3570">
        <v>97204</v>
      </c>
      <c r="I3570">
        <v>5197377</v>
      </c>
    </row>
    <row r="3571" spans="1:9">
      <c r="A3571" s="2">
        <v>1982</v>
      </c>
      <c r="B3571">
        <v>15</v>
      </c>
      <c r="C3571">
        <v>6.7000000000000002E-4</v>
      </c>
      <c r="D3571">
        <v>6.7000000000000002E-4</v>
      </c>
      <c r="E3571">
        <v>0.5</v>
      </c>
      <c r="F3571">
        <v>97184</v>
      </c>
      <c r="G3571">
        <v>65</v>
      </c>
      <c r="H3571">
        <v>97151</v>
      </c>
      <c r="I3571">
        <v>5100173</v>
      </c>
    </row>
    <row r="3572" spans="1:9">
      <c r="A3572" s="2">
        <v>1982</v>
      </c>
      <c r="B3572">
        <v>16</v>
      </c>
      <c r="C3572">
        <v>8.0000000000000004E-4</v>
      </c>
      <c r="D3572">
        <v>8.0000000000000004E-4</v>
      </c>
      <c r="E3572">
        <v>0.5</v>
      </c>
      <c r="F3572">
        <v>97119</v>
      </c>
      <c r="G3572">
        <v>77</v>
      </c>
      <c r="H3572">
        <v>97080</v>
      </c>
      <c r="I3572">
        <v>5003022</v>
      </c>
    </row>
    <row r="3573" spans="1:9">
      <c r="A3573" s="2">
        <v>1982</v>
      </c>
      <c r="B3573">
        <v>17</v>
      </c>
      <c r="C3573">
        <v>1.01E-3</v>
      </c>
      <c r="D3573">
        <v>1.01E-3</v>
      </c>
      <c r="E3573">
        <v>0.5</v>
      </c>
      <c r="F3573">
        <v>97041</v>
      </c>
      <c r="G3573">
        <v>98</v>
      </c>
      <c r="H3573">
        <v>96992</v>
      </c>
      <c r="I3573">
        <v>4905942</v>
      </c>
    </row>
    <row r="3574" spans="1:9">
      <c r="A3574" s="2">
        <v>1982</v>
      </c>
      <c r="B3574">
        <v>18</v>
      </c>
      <c r="C3574">
        <v>1.32E-3</v>
      </c>
      <c r="D3574">
        <v>1.32E-3</v>
      </c>
      <c r="E3574">
        <v>0.5</v>
      </c>
      <c r="F3574">
        <v>96943</v>
      </c>
      <c r="G3574">
        <v>128</v>
      </c>
      <c r="H3574">
        <v>96879</v>
      </c>
      <c r="I3574">
        <v>4808950</v>
      </c>
    </row>
    <row r="3575" spans="1:9">
      <c r="A3575" s="2">
        <v>1982</v>
      </c>
      <c r="B3575">
        <v>19</v>
      </c>
      <c r="C3575">
        <v>1.42E-3</v>
      </c>
      <c r="D3575">
        <v>1.42E-3</v>
      </c>
      <c r="E3575">
        <v>0.5</v>
      </c>
      <c r="F3575">
        <v>96815</v>
      </c>
      <c r="G3575">
        <v>137</v>
      </c>
      <c r="H3575">
        <v>96747</v>
      </c>
      <c r="I3575">
        <v>4712070</v>
      </c>
    </row>
    <row r="3576" spans="1:9">
      <c r="A3576" s="2">
        <v>1982</v>
      </c>
      <c r="B3576">
        <v>20</v>
      </c>
      <c r="C3576">
        <v>1.4400000000000001E-3</v>
      </c>
      <c r="D3576">
        <v>1.4400000000000001E-3</v>
      </c>
      <c r="E3576">
        <v>0.5</v>
      </c>
      <c r="F3576">
        <v>96678</v>
      </c>
      <c r="G3576">
        <v>139</v>
      </c>
      <c r="H3576">
        <v>96609</v>
      </c>
      <c r="I3576">
        <v>4615324</v>
      </c>
    </row>
    <row r="3577" spans="1:9">
      <c r="A3577" s="2">
        <v>1982</v>
      </c>
      <c r="B3577">
        <v>21</v>
      </c>
      <c r="C3577">
        <v>1.65E-3</v>
      </c>
      <c r="D3577">
        <v>1.65E-3</v>
      </c>
      <c r="E3577">
        <v>0.5</v>
      </c>
      <c r="F3577">
        <v>96539</v>
      </c>
      <c r="G3577">
        <v>159</v>
      </c>
      <c r="H3577">
        <v>96460</v>
      </c>
      <c r="I3577">
        <v>4518715</v>
      </c>
    </row>
    <row r="3578" spans="1:9">
      <c r="A3578" s="2">
        <v>1982</v>
      </c>
      <c r="B3578">
        <v>22</v>
      </c>
      <c r="C3578">
        <v>1.32E-3</v>
      </c>
      <c r="D3578">
        <v>1.32E-3</v>
      </c>
      <c r="E3578">
        <v>0.5</v>
      </c>
      <c r="F3578">
        <v>96380</v>
      </c>
      <c r="G3578">
        <v>127</v>
      </c>
      <c r="H3578">
        <v>96316</v>
      </c>
      <c r="I3578">
        <v>4422256</v>
      </c>
    </row>
    <row r="3579" spans="1:9">
      <c r="A3579" s="2">
        <v>1982</v>
      </c>
      <c r="B3579">
        <v>23</v>
      </c>
      <c r="C3579">
        <v>1.2199999999999999E-3</v>
      </c>
      <c r="D3579">
        <v>1.2199999999999999E-3</v>
      </c>
      <c r="E3579">
        <v>0.5</v>
      </c>
      <c r="F3579">
        <v>96252</v>
      </c>
      <c r="G3579">
        <v>118</v>
      </c>
      <c r="H3579">
        <v>96194</v>
      </c>
      <c r="I3579">
        <v>4325940</v>
      </c>
    </row>
    <row r="3580" spans="1:9">
      <c r="A3580" s="2">
        <v>1982</v>
      </c>
      <c r="B3580">
        <v>24</v>
      </c>
      <c r="C3580">
        <v>1.49E-3</v>
      </c>
      <c r="D3580">
        <v>1.49E-3</v>
      </c>
      <c r="E3580">
        <v>0.5</v>
      </c>
      <c r="F3580">
        <v>96135</v>
      </c>
      <c r="G3580">
        <v>143</v>
      </c>
      <c r="H3580">
        <v>96063</v>
      </c>
      <c r="I3580">
        <v>4229746</v>
      </c>
    </row>
    <row r="3581" spans="1:9">
      <c r="A3581" s="2">
        <v>1982</v>
      </c>
      <c r="B3581">
        <v>25</v>
      </c>
      <c r="C3581">
        <v>1.5100000000000001E-3</v>
      </c>
      <c r="D3581">
        <v>1.5100000000000001E-3</v>
      </c>
      <c r="E3581">
        <v>0.5</v>
      </c>
      <c r="F3581">
        <v>95992</v>
      </c>
      <c r="G3581">
        <v>145</v>
      </c>
      <c r="H3581">
        <v>95919</v>
      </c>
      <c r="I3581">
        <v>4133683</v>
      </c>
    </row>
    <row r="3582" spans="1:9">
      <c r="A3582" s="2">
        <v>1982</v>
      </c>
      <c r="B3582">
        <v>26</v>
      </c>
      <c r="C3582">
        <v>1.6900000000000001E-3</v>
      </c>
      <c r="D3582">
        <v>1.6900000000000001E-3</v>
      </c>
      <c r="E3582">
        <v>0.5</v>
      </c>
      <c r="F3582">
        <v>95847</v>
      </c>
      <c r="G3582">
        <v>162</v>
      </c>
      <c r="H3582">
        <v>95766</v>
      </c>
      <c r="I3582">
        <v>4037763</v>
      </c>
    </row>
    <row r="3583" spans="1:9">
      <c r="A3583" s="2">
        <v>1982</v>
      </c>
      <c r="B3583">
        <v>27</v>
      </c>
      <c r="C3583">
        <v>1.5900000000000001E-3</v>
      </c>
      <c r="D3583">
        <v>1.5900000000000001E-3</v>
      </c>
      <c r="E3583">
        <v>0.5</v>
      </c>
      <c r="F3583">
        <v>95685</v>
      </c>
      <c r="G3583">
        <v>152</v>
      </c>
      <c r="H3583">
        <v>95608</v>
      </c>
      <c r="I3583">
        <v>3941998</v>
      </c>
    </row>
    <row r="3584" spans="1:9">
      <c r="A3584" s="2">
        <v>1982</v>
      </c>
      <c r="B3584">
        <v>28</v>
      </c>
      <c r="C3584">
        <v>1.57E-3</v>
      </c>
      <c r="D3584">
        <v>1.57E-3</v>
      </c>
      <c r="E3584">
        <v>0.5</v>
      </c>
      <c r="F3584">
        <v>95532</v>
      </c>
      <c r="G3584">
        <v>150</v>
      </c>
      <c r="H3584">
        <v>95457</v>
      </c>
      <c r="I3584">
        <v>3846389</v>
      </c>
    </row>
    <row r="3585" spans="1:9">
      <c r="A3585" s="2">
        <v>1982</v>
      </c>
      <c r="B3585">
        <v>29</v>
      </c>
      <c r="C3585">
        <v>1.7899999999999999E-3</v>
      </c>
      <c r="D3585">
        <v>1.7899999999999999E-3</v>
      </c>
      <c r="E3585">
        <v>0.5</v>
      </c>
      <c r="F3585">
        <v>95383</v>
      </c>
      <c r="G3585">
        <v>170</v>
      </c>
      <c r="H3585">
        <v>95297</v>
      </c>
      <c r="I3585">
        <v>3750932</v>
      </c>
    </row>
    <row r="3586" spans="1:9">
      <c r="A3586" s="2">
        <v>1982</v>
      </c>
      <c r="B3586">
        <v>30</v>
      </c>
      <c r="C3586">
        <v>2.0600000000000002E-3</v>
      </c>
      <c r="D3586">
        <v>2.0600000000000002E-3</v>
      </c>
      <c r="E3586">
        <v>0.5</v>
      </c>
      <c r="F3586">
        <v>95212</v>
      </c>
      <c r="G3586">
        <v>196</v>
      </c>
      <c r="H3586">
        <v>95114</v>
      </c>
      <c r="I3586">
        <v>3655634</v>
      </c>
    </row>
    <row r="3587" spans="1:9">
      <c r="A3587" s="2">
        <v>1982</v>
      </c>
      <c r="B3587">
        <v>31</v>
      </c>
      <c r="C3587">
        <v>2.2699999999999999E-3</v>
      </c>
      <c r="D3587">
        <v>2.2599999999999999E-3</v>
      </c>
      <c r="E3587">
        <v>0.5</v>
      </c>
      <c r="F3587">
        <v>95016</v>
      </c>
      <c r="G3587">
        <v>215</v>
      </c>
      <c r="H3587">
        <v>94908</v>
      </c>
      <c r="I3587">
        <v>3560520</v>
      </c>
    </row>
    <row r="3588" spans="1:9">
      <c r="A3588" s="2">
        <v>1982</v>
      </c>
      <c r="B3588">
        <v>32</v>
      </c>
      <c r="C3588">
        <v>2.5000000000000001E-3</v>
      </c>
      <c r="D3588">
        <v>2.5000000000000001E-3</v>
      </c>
      <c r="E3588">
        <v>0.5</v>
      </c>
      <c r="F3588">
        <v>94801</v>
      </c>
      <c r="G3588">
        <v>237</v>
      </c>
      <c r="H3588">
        <v>94682</v>
      </c>
      <c r="I3588">
        <v>3465612</v>
      </c>
    </row>
    <row r="3589" spans="1:9">
      <c r="A3589" s="2">
        <v>1982</v>
      </c>
      <c r="B3589">
        <v>33</v>
      </c>
      <c r="C3589">
        <v>2.5500000000000002E-3</v>
      </c>
      <c r="D3589">
        <v>2.5500000000000002E-3</v>
      </c>
      <c r="E3589">
        <v>0.5</v>
      </c>
      <c r="F3589">
        <v>94564</v>
      </c>
      <c r="G3589">
        <v>241</v>
      </c>
      <c r="H3589">
        <v>94443</v>
      </c>
      <c r="I3589">
        <v>3370930</v>
      </c>
    </row>
    <row r="3590" spans="1:9">
      <c r="A3590" s="2">
        <v>1982</v>
      </c>
      <c r="B3590">
        <v>34</v>
      </c>
      <c r="C3590">
        <v>3.16E-3</v>
      </c>
      <c r="D3590">
        <v>3.16E-3</v>
      </c>
      <c r="E3590">
        <v>0.5</v>
      </c>
      <c r="F3590">
        <v>94323</v>
      </c>
      <c r="G3590">
        <v>298</v>
      </c>
      <c r="H3590">
        <v>94174</v>
      </c>
      <c r="I3590">
        <v>3276486</v>
      </c>
    </row>
    <row r="3591" spans="1:9">
      <c r="A3591" s="2">
        <v>1982</v>
      </c>
      <c r="B3591">
        <v>35</v>
      </c>
      <c r="C3591">
        <v>3.3899999999999998E-3</v>
      </c>
      <c r="D3591">
        <v>3.3899999999999998E-3</v>
      </c>
      <c r="E3591">
        <v>0.5</v>
      </c>
      <c r="F3591">
        <v>94025</v>
      </c>
      <c r="G3591">
        <v>319</v>
      </c>
      <c r="H3591">
        <v>93866</v>
      </c>
      <c r="I3591">
        <v>3182312</v>
      </c>
    </row>
    <row r="3592" spans="1:9">
      <c r="A3592" s="2">
        <v>1982</v>
      </c>
      <c r="B3592">
        <v>36</v>
      </c>
      <c r="C3592">
        <v>3.2100000000000002E-3</v>
      </c>
      <c r="D3592">
        <v>3.2100000000000002E-3</v>
      </c>
      <c r="E3592">
        <v>0.5</v>
      </c>
      <c r="F3592">
        <v>93707</v>
      </c>
      <c r="G3592">
        <v>301</v>
      </c>
      <c r="H3592">
        <v>93556</v>
      </c>
      <c r="I3592">
        <v>3088446</v>
      </c>
    </row>
    <row r="3593" spans="1:9">
      <c r="A3593" s="2">
        <v>1982</v>
      </c>
      <c r="B3593">
        <v>37</v>
      </c>
      <c r="C3593">
        <v>3.9899999999999996E-3</v>
      </c>
      <c r="D3593">
        <v>3.98E-3</v>
      </c>
      <c r="E3593">
        <v>0.5</v>
      </c>
      <c r="F3593">
        <v>93406</v>
      </c>
      <c r="G3593">
        <v>372</v>
      </c>
      <c r="H3593">
        <v>93220</v>
      </c>
      <c r="I3593">
        <v>2994890</v>
      </c>
    </row>
    <row r="3594" spans="1:9">
      <c r="A3594" s="2">
        <v>1982</v>
      </c>
      <c r="B3594">
        <v>38</v>
      </c>
      <c r="C3594">
        <v>4.47E-3</v>
      </c>
      <c r="D3594">
        <v>4.4600000000000004E-3</v>
      </c>
      <c r="E3594">
        <v>0.5</v>
      </c>
      <c r="F3594">
        <v>93035</v>
      </c>
      <c r="G3594">
        <v>415</v>
      </c>
      <c r="H3594">
        <v>92827</v>
      </c>
      <c r="I3594">
        <v>2901669</v>
      </c>
    </row>
    <row r="3595" spans="1:9">
      <c r="A3595" s="2">
        <v>1982</v>
      </c>
      <c r="B3595">
        <v>39</v>
      </c>
      <c r="C3595">
        <v>4.5700000000000003E-3</v>
      </c>
      <c r="D3595">
        <v>4.5599999999999998E-3</v>
      </c>
      <c r="E3595">
        <v>0.5</v>
      </c>
      <c r="F3595">
        <v>92620</v>
      </c>
      <c r="G3595">
        <v>422</v>
      </c>
      <c r="H3595">
        <v>92409</v>
      </c>
      <c r="I3595">
        <v>2808842</v>
      </c>
    </row>
    <row r="3596" spans="1:9">
      <c r="A3596" s="2">
        <v>1982</v>
      </c>
      <c r="B3596">
        <v>40</v>
      </c>
      <c r="C3596">
        <v>5.2599999999999999E-3</v>
      </c>
      <c r="D3596">
        <v>5.2500000000000003E-3</v>
      </c>
      <c r="E3596">
        <v>0.5</v>
      </c>
      <c r="F3596">
        <v>92197</v>
      </c>
      <c r="G3596">
        <v>484</v>
      </c>
      <c r="H3596">
        <v>91955</v>
      </c>
      <c r="I3596">
        <v>2716434</v>
      </c>
    </row>
    <row r="3597" spans="1:9">
      <c r="A3597" s="2">
        <v>1982</v>
      </c>
      <c r="B3597">
        <v>41</v>
      </c>
      <c r="C3597">
        <v>5.5700000000000003E-3</v>
      </c>
      <c r="D3597">
        <v>5.5500000000000002E-3</v>
      </c>
      <c r="E3597">
        <v>0.5</v>
      </c>
      <c r="F3597">
        <v>91713</v>
      </c>
      <c r="G3597">
        <v>509</v>
      </c>
      <c r="H3597">
        <v>91459</v>
      </c>
      <c r="I3597">
        <v>2624478</v>
      </c>
    </row>
    <row r="3598" spans="1:9">
      <c r="A3598" s="2">
        <v>1982</v>
      </c>
      <c r="B3598">
        <v>42</v>
      </c>
      <c r="C3598">
        <v>6.2899999999999996E-3</v>
      </c>
      <c r="D3598">
        <v>6.2700000000000004E-3</v>
      </c>
      <c r="E3598">
        <v>0.5</v>
      </c>
      <c r="F3598">
        <v>91204</v>
      </c>
      <c r="G3598">
        <v>572</v>
      </c>
      <c r="H3598">
        <v>90918</v>
      </c>
      <c r="I3598">
        <v>2533020</v>
      </c>
    </row>
    <row r="3599" spans="1:9">
      <c r="A3599" s="2">
        <v>1982</v>
      </c>
      <c r="B3599">
        <v>43</v>
      </c>
      <c r="C3599">
        <v>6.94E-3</v>
      </c>
      <c r="D3599">
        <v>6.9199999999999999E-3</v>
      </c>
      <c r="E3599">
        <v>0.5</v>
      </c>
      <c r="F3599">
        <v>90632</v>
      </c>
      <c r="G3599">
        <v>627</v>
      </c>
      <c r="H3599">
        <v>90318</v>
      </c>
      <c r="I3599">
        <v>2442101</v>
      </c>
    </row>
    <row r="3600" spans="1:9">
      <c r="A3600" s="2">
        <v>1982</v>
      </c>
      <c r="B3600">
        <v>44</v>
      </c>
      <c r="C3600">
        <v>7.7299999999999999E-3</v>
      </c>
      <c r="D3600">
        <v>7.7099999999999998E-3</v>
      </c>
      <c r="E3600">
        <v>0.5</v>
      </c>
      <c r="F3600">
        <v>90005</v>
      </c>
      <c r="G3600">
        <v>694</v>
      </c>
      <c r="H3600">
        <v>89658</v>
      </c>
      <c r="I3600">
        <v>2351783</v>
      </c>
    </row>
    <row r="3601" spans="1:9">
      <c r="A3601" s="2">
        <v>1982</v>
      </c>
      <c r="B3601">
        <v>45</v>
      </c>
      <c r="C3601">
        <v>8.3599999999999994E-3</v>
      </c>
      <c r="D3601">
        <v>8.3199999999999993E-3</v>
      </c>
      <c r="E3601">
        <v>0.5</v>
      </c>
      <c r="F3601">
        <v>89311</v>
      </c>
      <c r="G3601">
        <v>743</v>
      </c>
      <c r="H3601">
        <v>88940</v>
      </c>
      <c r="I3601">
        <v>2262125</v>
      </c>
    </row>
    <row r="3602" spans="1:9">
      <c r="A3602" s="2">
        <v>1982</v>
      </c>
      <c r="B3602">
        <v>46</v>
      </c>
      <c r="C3602">
        <v>8.4100000000000008E-3</v>
      </c>
      <c r="D3602">
        <v>8.3800000000000003E-3</v>
      </c>
      <c r="E3602">
        <v>0.5</v>
      </c>
      <c r="F3602">
        <v>88568</v>
      </c>
      <c r="G3602">
        <v>742</v>
      </c>
      <c r="H3602">
        <v>88197</v>
      </c>
      <c r="I3602">
        <v>2173185</v>
      </c>
    </row>
    <row r="3603" spans="1:9">
      <c r="A3603" s="2">
        <v>1982</v>
      </c>
      <c r="B3603">
        <v>47</v>
      </c>
      <c r="C3603">
        <v>1.021E-2</v>
      </c>
      <c r="D3603">
        <v>1.0149999999999999E-2</v>
      </c>
      <c r="E3603">
        <v>0.5</v>
      </c>
      <c r="F3603">
        <v>87826</v>
      </c>
      <c r="G3603">
        <v>892</v>
      </c>
      <c r="H3603">
        <v>87380</v>
      </c>
      <c r="I3603">
        <v>2084988</v>
      </c>
    </row>
    <row r="3604" spans="1:9">
      <c r="A3604" s="2">
        <v>1982</v>
      </c>
      <c r="B3604">
        <v>48</v>
      </c>
      <c r="C3604">
        <v>1.0120000000000001E-2</v>
      </c>
      <c r="D3604">
        <v>1.0059999999999999E-2</v>
      </c>
      <c r="E3604">
        <v>0.5</v>
      </c>
      <c r="F3604">
        <v>86935</v>
      </c>
      <c r="G3604">
        <v>875</v>
      </c>
      <c r="H3604">
        <v>86497</v>
      </c>
      <c r="I3604">
        <v>1997608</v>
      </c>
    </row>
    <row r="3605" spans="1:9">
      <c r="A3605" s="2">
        <v>1982</v>
      </c>
      <c r="B3605">
        <v>49</v>
      </c>
      <c r="C3605">
        <v>1.15E-2</v>
      </c>
      <c r="D3605">
        <v>1.1429999999999999E-2</v>
      </c>
      <c r="E3605">
        <v>0.5</v>
      </c>
      <c r="F3605">
        <v>86060</v>
      </c>
      <c r="G3605">
        <v>984</v>
      </c>
      <c r="H3605">
        <v>85568</v>
      </c>
      <c r="I3605">
        <v>1911110</v>
      </c>
    </row>
    <row r="3606" spans="1:9">
      <c r="A3606" s="2">
        <v>1982</v>
      </c>
      <c r="B3606">
        <v>50</v>
      </c>
      <c r="C3606">
        <v>1.227E-2</v>
      </c>
      <c r="D3606">
        <v>1.2200000000000001E-2</v>
      </c>
      <c r="E3606">
        <v>0.5</v>
      </c>
      <c r="F3606">
        <v>85076</v>
      </c>
      <c r="G3606">
        <v>1038</v>
      </c>
      <c r="H3606">
        <v>84557</v>
      </c>
      <c r="I3606">
        <v>1825543</v>
      </c>
    </row>
    <row r="3607" spans="1:9">
      <c r="A3607" s="2">
        <v>1982</v>
      </c>
      <c r="B3607">
        <v>51</v>
      </c>
      <c r="C3607">
        <v>1.383E-2</v>
      </c>
      <c r="D3607">
        <v>1.374E-2</v>
      </c>
      <c r="E3607">
        <v>0.5</v>
      </c>
      <c r="F3607">
        <v>84038</v>
      </c>
      <c r="G3607">
        <v>1154</v>
      </c>
      <c r="H3607">
        <v>83461</v>
      </c>
      <c r="I3607">
        <v>1740986</v>
      </c>
    </row>
    <row r="3608" spans="1:9">
      <c r="A3608" s="2">
        <v>1982</v>
      </c>
      <c r="B3608">
        <v>52</v>
      </c>
      <c r="C3608">
        <v>1.481E-2</v>
      </c>
      <c r="D3608">
        <v>1.47E-2</v>
      </c>
      <c r="E3608">
        <v>0.5</v>
      </c>
      <c r="F3608">
        <v>82884</v>
      </c>
      <c r="G3608">
        <v>1218</v>
      </c>
      <c r="H3608">
        <v>82274</v>
      </c>
      <c r="I3608">
        <v>1657525</v>
      </c>
    </row>
    <row r="3609" spans="1:9">
      <c r="A3609" s="2">
        <v>1982</v>
      </c>
      <c r="B3609">
        <v>53</v>
      </c>
      <c r="C3609">
        <v>1.738E-2</v>
      </c>
      <c r="D3609">
        <v>1.7229999999999999E-2</v>
      </c>
      <c r="E3609">
        <v>0.5</v>
      </c>
      <c r="F3609">
        <v>81665</v>
      </c>
      <c r="G3609">
        <v>1407</v>
      </c>
      <c r="H3609">
        <v>80962</v>
      </c>
      <c r="I3609">
        <v>1575251</v>
      </c>
    </row>
    <row r="3610" spans="1:9">
      <c r="A3610" s="2">
        <v>1982</v>
      </c>
      <c r="B3610">
        <v>54</v>
      </c>
      <c r="C3610">
        <v>1.7069999999999998E-2</v>
      </c>
      <c r="D3610">
        <v>1.6930000000000001E-2</v>
      </c>
      <c r="E3610">
        <v>0.5</v>
      </c>
      <c r="F3610">
        <v>80258</v>
      </c>
      <c r="G3610">
        <v>1359</v>
      </c>
      <c r="H3610">
        <v>79579</v>
      </c>
      <c r="I3610">
        <v>1494290</v>
      </c>
    </row>
    <row r="3611" spans="1:9">
      <c r="A3611" s="2">
        <v>1982</v>
      </c>
      <c r="B3611">
        <v>55</v>
      </c>
      <c r="C3611">
        <v>1.7770000000000001E-2</v>
      </c>
      <c r="D3611">
        <v>1.7610000000000001E-2</v>
      </c>
      <c r="E3611">
        <v>0.5</v>
      </c>
      <c r="F3611">
        <v>78899</v>
      </c>
      <c r="G3611">
        <v>1390</v>
      </c>
      <c r="H3611">
        <v>78204</v>
      </c>
      <c r="I3611">
        <v>1414711</v>
      </c>
    </row>
    <row r="3612" spans="1:9">
      <c r="A3612" s="2">
        <v>1982</v>
      </c>
      <c r="B3612">
        <v>56</v>
      </c>
      <c r="C3612">
        <v>2.0330000000000001E-2</v>
      </c>
      <c r="D3612">
        <v>2.0129999999999999E-2</v>
      </c>
      <c r="E3612">
        <v>0.5</v>
      </c>
      <c r="F3612">
        <v>77509</v>
      </c>
      <c r="G3612">
        <v>1560</v>
      </c>
      <c r="H3612">
        <v>76729</v>
      </c>
      <c r="I3612">
        <v>1336507</v>
      </c>
    </row>
    <row r="3613" spans="1:9">
      <c r="A3613" s="2">
        <v>1982</v>
      </c>
      <c r="B3613">
        <v>57</v>
      </c>
      <c r="C3613">
        <v>2.1760000000000002E-2</v>
      </c>
      <c r="D3613">
        <v>2.1520000000000001E-2</v>
      </c>
      <c r="E3613">
        <v>0.5</v>
      </c>
      <c r="F3613">
        <v>75950</v>
      </c>
      <c r="G3613">
        <v>1635</v>
      </c>
      <c r="H3613">
        <v>75132</v>
      </c>
      <c r="I3613">
        <v>1259777</v>
      </c>
    </row>
    <row r="3614" spans="1:9">
      <c r="A3614" s="2">
        <v>1982</v>
      </c>
      <c r="B3614">
        <v>58</v>
      </c>
      <c r="C3614">
        <v>2.273E-2</v>
      </c>
      <c r="D3614">
        <v>2.247E-2</v>
      </c>
      <c r="E3614">
        <v>0.5</v>
      </c>
      <c r="F3614">
        <v>74315</v>
      </c>
      <c r="G3614">
        <v>1670</v>
      </c>
      <c r="H3614">
        <v>73480</v>
      </c>
      <c r="I3614">
        <v>1184645</v>
      </c>
    </row>
    <row r="3615" spans="1:9">
      <c r="A3615" s="2">
        <v>1982</v>
      </c>
      <c r="B3615">
        <v>59</v>
      </c>
      <c r="C3615">
        <v>2.4289999999999999E-2</v>
      </c>
      <c r="D3615">
        <v>2.3990000000000001E-2</v>
      </c>
      <c r="E3615">
        <v>0.5</v>
      </c>
      <c r="F3615">
        <v>72645</v>
      </c>
      <c r="G3615">
        <v>1743</v>
      </c>
      <c r="H3615">
        <v>71773</v>
      </c>
      <c r="I3615">
        <v>1111165</v>
      </c>
    </row>
    <row r="3616" spans="1:9">
      <c r="A3616" s="2">
        <v>1982</v>
      </c>
      <c r="B3616">
        <v>60</v>
      </c>
      <c r="C3616">
        <v>2.6890000000000001E-2</v>
      </c>
      <c r="D3616">
        <v>2.6530000000000001E-2</v>
      </c>
      <c r="E3616">
        <v>0.5</v>
      </c>
      <c r="F3616">
        <v>70902</v>
      </c>
      <c r="G3616">
        <v>1881</v>
      </c>
      <c r="H3616">
        <v>69961</v>
      </c>
      <c r="I3616">
        <v>1039392</v>
      </c>
    </row>
    <row r="3617" spans="1:9">
      <c r="A3617" s="2">
        <v>1982</v>
      </c>
      <c r="B3617">
        <v>61</v>
      </c>
      <c r="C3617">
        <v>2.81E-2</v>
      </c>
      <c r="D3617">
        <v>2.7709999999999999E-2</v>
      </c>
      <c r="E3617">
        <v>0.5</v>
      </c>
      <c r="F3617">
        <v>69021</v>
      </c>
      <c r="G3617">
        <v>1913</v>
      </c>
      <c r="H3617">
        <v>68064</v>
      </c>
      <c r="I3617">
        <v>969431</v>
      </c>
    </row>
    <row r="3618" spans="1:9">
      <c r="A3618" s="2">
        <v>1982</v>
      </c>
      <c r="B3618">
        <v>62</v>
      </c>
      <c r="C3618">
        <v>3.449E-2</v>
      </c>
      <c r="D3618">
        <v>3.3910000000000003E-2</v>
      </c>
      <c r="E3618">
        <v>0.5</v>
      </c>
      <c r="F3618">
        <v>67108</v>
      </c>
      <c r="G3618">
        <v>2275</v>
      </c>
      <c r="H3618">
        <v>65970</v>
      </c>
      <c r="I3618">
        <v>901367</v>
      </c>
    </row>
    <row r="3619" spans="1:9">
      <c r="A3619" s="2">
        <v>1982</v>
      </c>
      <c r="B3619">
        <v>63</v>
      </c>
      <c r="C3619">
        <v>3.0880000000000001E-2</v>
      </c>
      <c r="D3619">
        <v>3.041E-2</v>
      </c>
      <c r="E3619">
        <v>0.5</v>
      </c>
      <c r="F3619">
        <v>64833</v>
      </c>
      <c r="G3619">
        <v>1971</v>
      </c>
      <c r="H3619">
        <v>63847</v>
      </c>
      <c r="I3619">
        <v>835396</v>
      </c>
    </row>
    <row r="3620" spans="1:9">
      <c r="A3620" s="2">
        <v>1982</v>
      </c>
      <c r="B3620">
        <v>64</v>
      </c>
      <c r="C3620">
        <v>3.5749999999999997E-2</v>
      </c>
      <c r="D3620">
        <v>3.5119999999999998E-2</v>
      </c>
      <c r="E3620">
        <v>0.5</v>
      </c>
      <c r="F3620">
        <v>62861</v>
      </c>
      <c r="G3620">
        <v>2208</v>
      </c>
      <c r="H3620">
        <v>61758</v>
      </c>
      <c r="I3620">
        <v>771549</v>
      </c>
    </row>
    <row r="3621" spans="1:9">
      <c r="A3621" s="2">
        <v>1982</v>
      </c>
      <c r="B3621">
        <v>65</v>
      </c>
      <c r="C3621">
        <v>3.7789999999999997E-2</v>
      </c>
      <c r="D3621">
        <v>3.7089999999999998E-2</v>
      </c>
      <c r="E3621">
        <v>0.5</v>
      </c>
      <c r="F3621">
        <v>60654</v>
      </c>
      <c r="G3621">
        <v>2249</v>
      </c>
      <c r="H3621">
        <v>59529</v>
      </c>
      <c r="I3621">
        <v>709792</v>
      </c>
    </row>
    <row r="3622" spans="1:9">
      <c r="A3622" s="2">
        <v>1982</v>
      </c>
      <c r="B3622">
        <v>66</v>
      </c>
      <c r="C3622">
        <v>3.7400000000000003E-2</v>
      </c>
      <c r="D3622">
        <v>3.671E-2</v>
      </c>
      <c r="E3622">
        <v>0.5</v>
      </c>
      <c r="F3622">
        <v>58404</v>
      </c>
      <c r="G3622">
        <v>2144</v>
      </c>
      <c r="H3622">
        <v>57332</v>
      </c>
      <c r="I3622">
        <v>650263</v>
      </c>
    </row>
    <row r="3623" spans="1:9">
      <c r="A3623" s="2">
        <v>1982</v>
      </c>
      <c r="B3623">
        <v>67</v>
      </c>
      <c r="C3623">
        <v>4.7840000000000001E-2</v>
      </c>
      <c r="D3623">
        <v>4.6719999999999998E-2</v>
      </c>
      <c r="E3623">
        <v>0.5</v>
      </c>
      <c r="F3623">
        <v>56260</v>
      </c>
      <c r="G3623">
        <v>2628</v>
      </c>
      <c r="H3623">
        <v>54946</v>
      </c>
      <c r="I3623">
        <v>592930</v>
      </c>
    </row>
    <row r="3624" spans="1:9">
      <c r="A3624" s="2">
        <v>1982</v>
      </c>
      <c r="B3624">
        <v>68</v>
      </c>
      <c r="C3624">
        <v>4.9889999999999997E-2</v>
      </c>
      <c r="D3624">
        <v>4.8680000000000001E-2</v>
      </c>
      <c r="E3624">
        <v>0.5</v>
      </c>
      <c r="F3624">
        <v>53632</v>
      </c>
      <c r="G3624">
        <v>2611</v>
      </c>
      <c r="H3624">
        <v>52326</v>
      </c>
      <c r="I3624">
        <v>537985</v>
      </c>
    </row>
    <row r="3625" spans="1:9">
      <c r="A3625" s="2">
        <v>1982</v>
      </c>
      <c r="B3625">
        <v>69</v>
      </c>
      <c r="C3625">
        <v>5.287E-2</v>
      </c>
      <c r="D3625">
        <v>5.151E-2</v>
      </c>
      <c r="E3625">
        <v>0.5</v>
      </c>
      <c r="F3625">
        <v>51021</v>
      </c>
      <c r="G3625">
        <v>2628</v>
      </c>
      <c r="H3625">
        <v>49707</v>
      </c>
      <c r="I3625">
        <v>485658</v>
      </c>
    </row>
    <row r="3626" spans="1:9">
      <c r="A3626" s="2">
        <v>1982</v>
      </c>
      <c r="B3626">
        <v>70</v>
      </c>
      <c r="C3626">
        <v>5.9139999999999998E-2</v>
      </c>
      <c r="D3626">
        <v>5.7439999999999998E-2</v>
      </c>
      <c r="E3626">
        <v>0.5</v>
      </c>
      <c r="F3626">
        <v>48393</v>
      </c>
      <c r="G3626">
        <v>2780</v>
      </c>
      <c r="H3626">
        <v>47003</v>
      </c>
      <c r="I3626">
        <v>435951</v>
      </c>
    </row>
    <row r="3627" spans="1:9">
      <c r="A3627" s="2">
        <v>1982</v>
      </c>
      <c r="B3627">
        <v>71</v>
      </c>
      <c r="C3627">
        <v>6.5659999999999996E-2</v>
      </c>
      <c r="D3627">
        <v>6.3570000000000002E-2</v>
      </c>
      <c r="E3627">
        <v>0.5</v>
      </c>
      <c r="F3627">
        <v>45613</v>
      </c>
      <c r="G3627">
        <v>2900</v>
      </c>
      <c r="H3627">
        <v>44163</v>
      </c>
      <c r="I3627">
        <v>388948</v>
      </c>
    </row>
    <row r="3628" spans="1:9">
      <c r="A3628" s="2">
        <v>1982</v>
      </c>
      <c r="B3628">
        <v>72</v>
      </c>
      <c r="C3628">
        <v>7.109E-2</v>
      </c>
      <c r="D3628">
        <v>6.8650000000000003E-2</v>
      </c>
      <c r="E3628">
        <v>0.5</v>
      </c>
      <c r="F3628">
        <v>42713</v>
      </c>
      <c r="G3628">
        <v>2932</v>
      </c>
      <c r="H3628">
        <v>41247</v>
      </c>
      <c r="I3628">
        <v>344785</v>
      </c>
    </row>
    <row r="3629" spans="1:9">
      <c r="A3629" s="2">
        <v>1982</v>
      </c>
      <c r="B3629">
        <v>73</v>
      </c>
      <c r="C3629">
        <v>7.7560000000000004E-2</v>
      </c>
      <c r="D3629">
        <v>7.467E-2</v>
      </c>
      <c r="E3629">
        <v>0.5</v>
      </c>
      <c r="F3629">
        <v>39781</v>
      </c>
      <c r="G3629">
        <v>2970</v>
      </c>
      <c r="H3629">
        <v>38296</v>
      </c>
      <c r="I3629">
        <v>303538</v>
      </c>
    </row>
    <row r="3630" spans="1:9">
      <c r="A3630" s="2">
        <v>1982</v>
      </c>
      <c r="B3630">
        <v>74</v>
      </c>
      <c r="C3630">
        <v>8.5430000000000006E-2</v>
      </c>
      <c r="D3630">
        <v>8.1930000000000003E-2</v>
      </c>
      <c r="E3630">
        <v>0.5</v>
      </c>
      <c r="F3630">
        <v>36811</v>
      </c>
      <c r="G3630">
        <v>3016</v>
      </c>
      <c r="H3630">
        <v>35303</v>
      </c>
      <c r="I3630">
        <v>265242</v>
      </c>
    </row>
    <row r="3631" spans="1:9">
      <c r="A3631" s="2">
        <v>1982</v>
      </c>
      <c r="B3631">
        <v>75</v>
      </c>
      <c r="C3631">
        <v>9.6250000000000002E-2</v>
      </c>
      <c r="D3631">
        <v>9.1829999999999995E-2</v>
      </c>
      <c r="E3631">
        <v>0.5</v>
      </c>
      <c r="F3631">
        <v>33795</v>
      </c>
      <c r="G3631">
        <v>3103</v>
      </c>
      <c r="H3631">
        <v>32243</v>
      </c>
      <c r="I3631">
        <v>229940</v>
      </c>
    </row>
    <row r="3632" spans="1:9">
      <c r="A3632" s="2">
        <v>1982</v>
      </c>
      <c r="B3632">
        <v>76</v>
      </c>
      <c r="C3632">
        <v>9.8290000000000002E-2</v>
      </c>
      <c r="D3632">
        <v>9.3689999999999996E-2</v>
      </c>
      <c r="E3632">
        <v>0.5</v>
      </c>
      <c r="F3632">
        <v>30691</v>
      </c>
      <c r="G3632">
        <v>2875</v>
      </c>
      <c r="H3632">
        <v>29254</v>
      </c>
      <c r="I3632">
        <v>197697</v>
      </c>
    </row>
    <row r="3633" spans="1:9">
      <c r="A3633" s="2">
        <v>1982</v>
      </c>
      <c r="B3633">
        <v>77</v>
      </c>
      <c r="C3633">
        <v>0.1045</v>
      </c>
      <c r="D3633">
        <v>9.9309999999999996E-2</v>
      </c>
      <c r="E3633">
        <v>0.5</v>
      </c>
      <c r="F3633">
        <v>27816</v>
      </c>
      <c r="G3633">
        <v>2763</v>
      </c>
      <c r="H3633">
        <v>26435</v>
      </c>
      <c r="I3633">
        <v>168443</v>
      </c>
    </row>
    <row r="3634" spans="1:9">
      <c r="A3634" s="2">
        <v>1982</v>
      </c>
      <c r="B3634">
        <v>78</v>
      </c>
      <c r="C3634">
        <v>0.12157</v>
      </c>
      <c r="D3634">
        <v>0.11459999999999999</v>
      </c>
      <c r="E3634">
        <v>0.5</v>
      </c>
      <c r="F3634">
        <v>25053</v>
      </c>
      <c r="G3634">
        <v>2871</v>
      </c>
      <c r="H3634">
        <v>23618</v>
      </c>
      <c r="I3634">
        <v>142008</v>
      </c>
    </row>
    <row r="3635" spans="1:9">
      <c r="A3635" s="2">
        <v>1982</v>
      </c>
      <c r="B3635">
        <v>79</v>
      </c>
      <c r="C3635">
        <v>0.13200000000000001</v>
      </c>
      <c r="D3635">
        <v>0.12383</v>
      </c>
      <c r="E3635">
        <v>0.5</v>
      </c>
      <c r="F3635">
        <v>22182</v>
      </c>
      <c r="G3635">
        <v>2747</v>
      </c>
      <c r="H3635">
        <v>20809</v>
      </c>
      <c r="I3635">
        <v>118391</v>
      </c>
    </row>
    <row r="3636" spans="1:9">
      <c r="A3636" s="2">
        <v>1982</v>
      </c>
      <c r="B3636">
        <v>80</v>
      </c>
      <c r="C3636">
        <v>0.14857999999999999</v>
      </c>
      <c r="D3636">
        <v>0.13830999999999999</v>
      </c>
      <c r="E3636">
        <v>0.5</v>
      </c>
      <c r="F3636">
        <v>19436</v>
      </c>
      <c r="G3636">
        <v>2688</v>
      </c>
      <c r="H3636">
        <v>18092</v>
      </c>
      <c r="I3636">
        <v>97582</v>
      </c>
    </row>
    <row r="3637" spans="1:9">
      <c r="A3637" s="2">
        <v>1982</v>
      </c>
      <c r="B3637">
        <v>81</v>
      </c>
      <c r="C3637">
        <v>0.15690000000000001</v>
      </c>
      <c r="D3637">
        <v>0.14548</v>
      </c>
      <c r="E3637">
        <v>0.5</v>
      </c>
      <c r="F3637">
        <v>16747</v>
      </c>
      <c r="G3637">
        <v>2436</v>
      </c>
      <c r="H3637">
        <v>15529</v>
      </c>
      <c r="I3637">
        <v>79490</v>
      </c>
    </row>
    <row r="3638" spans="1:9">
      <c r="A3638" s="2">
        <v>1982</v>
      </c>
      <c r="B3638">
        <v>82</v>
      </c>
      <c r="C3638">
        <v>0.17194999999999999</v>
      </c>
      <c r="D3638">
        <v>0.15834000000000001</v>
      </c>
      <c r="E3638">
        <v>0.5</v>
      </c>
      <c r="F3638">
        <v>14311</v>
      </c>
      <c r="G3638">
        <v>2266</v>
      </c>
      <c r="H3638">
        <v>13178</v>
      </c>
      <c r="I3638">
        <v>63961</v>
      </c>
    </row>
    <row r="3639" spans="1:9">
      <c r="A3639" s="2">
        <v>1982</v>
      </c>
      <c r="B3639">
        <v>83</v>
      </c>
      <c r="C3639">
        <v>0.18049999999999999</v>
      </c>
      <c r="D3639">
        <v>0.16556000000000001</v>
      </c>
      <c r="E3639">
        <v>0.5</v>
      </c>
      <c r="F3639">
        <v>12045</v>
      </c>
      <c r="G3639">
        <v>1994</v>
      </c>
      <c r="H3639">
        <v>11048</v>
      </c>
      <c r="I3639">
        <v>50783</v>
      </c>
    </row>
    <row r="3640" spans="1:9">
      <c r="A3640" s="2">
        <v>1982</v>
      </c>
      <c r="B3640">
        <v>84</v>
      </c>
      <c r="C3640">
        <v>0.20777000000000001</v>
      </c>
      <c r="D3640">
        <v>0.18822</v>
      </c>
      <c r="E3640">
        <v>0.5</v>
      </c>
      <c r="F3640">
        <v>10051</v>
      </c>
      <c r="G3640">
        <v>1892</v>
      </c>
      <c r="H3640">
        <v>9105</v>
      </c>
      <c r="I3640">
        <v>39735</v>
      </c>
    </row>
    <row r="3641" spans="1:9">
      <c r="A3641" s="2">
        <v>1982</v>
      </c>
      <c r="B3641">
        <v>85</v>
      </c>
      <c r="C3641">
        <v>0.21954000000000001</v>
      </c>
      <c r="D3641">
        <v>0.19782</v>
      </c>
      <c r="E3641">
        <v>0.5</v>
      </c>
      <c r="F3641">
        <v>8159</v>
      </c>
      <c r="G3641">
        <v>1614</v>
      </c>
      <c r="H3641">
        <v>7352</v>
      </c>
      <c r="I3641">
        <v>30630</v>
      </c>
    </row>
    <row r="3642" spans="1:9">
      <c r="A3642" s="2">
        <v>1982</v>
      </c>
      <c r="B3642">
        <v>86</v>
      </c>
      <c r="C3642">
        <v>0.22866</v>
      </c>
      <c r="D3642">
        <v>0.20519999999999999</v>
      </c>
      <c r="E3642">
        <v>0.5</v>
      </c>
      <c r="F3642">
        <v>6545</v>
      </c>
      <c r="G3642">
        <v>1343</v>
      </c>
      <c r="H3642">
        <v>5874</v>
      </c>
      <c r="I3642">
        <v>23278</v>
      </c>
    </row>
    <row r="3643" spans="1:9">
      <c r="A3643" s="2">
        <v>1982</v>
      </c>
      <c r="B3643">
        <v>87</v>
      </c>
      <c r="C3643">
        <v>0.25405</v>
      </c>
      <c r="D3643">
        <v>0.22541</v>
      </c>
      <c r="E3643">
        <v>0.5</v>
      </c>
      <c r="F3643">
        <v>5202</v>
      </c>
      <c r="G3643">
        <v>1173</v>
      </c>
      <c r="H3643">
        <v>4616</v>
      </c>
      <c r="I3643">
        <v>17404</v>
      </c>
    </row>
    <row r="3644" spans="1:9">
      <c r="A3644" s="2">
        <v>1982</v>
      </c>
      <c r="B3644">
        <v>88</v>
      </c>
      <c r="C3644">
        <v>0.27476</v>
      </c>
      <c r="D3644">
        <v>0.24157999999999999</v>
      </c>
      <c r="E3644">
        <v>0.5</v>
      </c>
      <c r="F3644">
        <v>4029</v>
      </c>
      <c r="G3644">
        <v>973</v>
      </c>
      <c r="H3644">
        <v>3543</v>
      </c>
      <c r="I3644">
        <v>12789</v>
      </c>
    </row>
    <row r="3645" spans="1:9">
      <c r="A3645" s="2">
        <v>1982</v>
      </c>
      <c r="B3645">
        <v>89</v>
      </c>
      <c r="C3645">
        <v>0.28153</v>
      </c>
      <c r="D3645">
        <v>0.24679000000000001</v>
      </c>
      <c r="E3645">
        <v>0.5</v>
      </c>
      <c r="F3645">
        <v>3056</v>
      </c>
      <c r="G3645">
        <v>754</v>
      </c>
      <c r="H3645">
        <v>2679</v>
      </c>
      <c r="I3645">
        <v>9246</v>
      </c>
    </row>
    <row r="3646" spans="1:9">
      <c r="A3646" s="2">
        <v>1982</v>
      </c>
      <c r="B3646">
        <v>90</v>
      </c>
      <c r="C3646">
        <v>0.28382000000000002</v>
      </c>
      <c r="D3646">
        <v>0.24854999999999999</v>
      </c>
      <c r="E3646">
        <v>0.5</v>
      </c>
      <c r="F3646">
        <v>2302</v>
      </c>
      <c r="G3646">
        <v>572</v>
      </c>
      <c r="H3646">
        <v>2016</v>
      </c>
      <c r="I3646">
        <v>6567</v>
      </c>
    </row>
    <row r="3647" spans="1:9">
      <c r="A3647" s="2">
        <v>1982</v>
      </c>
      <c r="B3647">
        <v>91</v>
      </c>
      <c r="C3647">
        <v>0.34478999999999999</v>
      </c>
      <c r="D3647">
        <v>0.29409000000000002</v>
      </c>
      <c r="E3647">
        <v>0.5</v>
      </c>
      <c r="F3647">
        <v>1730</v>
      </c>
      <c r="G3647">
        <v>509</v>
      </c>
      <c r="H3647">
        <v>1475</v>
      </c>
      <c r="I3647">
        <v>4551</v>
      </c>
    </row>
    <row r="3648" spans="1:9">
      <c r="A3648" s="2">
        <v>1982</v>
      </c>
      <c r="B3648">
        <v>92</v>
      </c>
      <c r="C3648">
        <v>0.33067999999999997</v>
      </c>
      <c r="D3648">
        <v>0.28376000000000001</v>
      </c>
      <c r="E3648">
        <v>0.5</v>
      </c>
      <c r="F3648">
        <v>1221</v>
      </c>
      <c r="G3648">
        <v>346</v>
      </c>
      <c r="H3648">
        <v>1048</v>
      </c>
      <c r="I3648">
        <v>3076</v>
      </c>
    </row>
    <row r="3649" spans="1:9">
      <c r="A3649" s="2">
        <v>1982</v>
      </c>
      <c r="B3649">
        <v>93</v>
      </c>
      <c r="C3649">
        <v>0.38740000000000002</v>
      </c>
      <c r="D3649">
        <v>0.32452999999999999</v>
      </c>
      <c r="E3649">
        <v>0.5</v>
      </c>
      <c r="F3649">
        <v>875</v>
      </c>
      <c r="G3649">
        <v>284</v>
      </c>
      <c r="H3649">
        <v>733</v>
      </c>
      <c r="I3649">
        <v>2028</v>
      </c>
    </row>
    <row r="3650" spans="1:9">
      <c r="A3650" s="2">
        <v>1982</v>
      </c>
      <c r="B3650">
        <v>94</v>
      </c>
      <c r="C3650">
        <v>0.45558999999999999</v>
      </c>
      <c r="D3650">
        <v>0.37106</v>
      </c>
      <c r="E3650">
        <v>0.5</v>
      </c>
      <c r="F3650">
        <v>591</v>
      </c>
      <c r="G3650">
        <v>219</v>
      </c>
      <c r="H3650">
        <v>481</v>
      </c>
      <c r="I3650">
        <v>1296</v>
      </c>
    </row>
    <row r="3651" spans="1:9">
      <c r="A3651" s="2">
        <v>1982</v>
      </c>
      <c r="B3651">
        <v>95</v>
      </c>
      <c r="C3651">
        <v>0.42004999999999998</v>
      </c>
      <c r="D3651">
        <v>0.34714</v>
      </c>
      <c r="E3651">
        <v>0.5</v>
      </c>
      <c r="F3651">
        <v>372</v>
      </c>
      <c r="G3651">
        <v>129</v>
      </c>
      <c r="H3651">
        <v>307</v>
      </c>
      <c r="I3651">
        <v>815</v>
      </c>
    </row>
    <row r="3652" spans="1:9">
      <c r="A3652" s="2">
        <v>1982</v>
      </c>
      <c r="B3652">
        <v>96</v>
      </c>
      <c r="C3652">
        <v>0.44362000000000001</v>
      </c>
      <c r="D3652">
        <v>0.36308000000000001</v>
      </c>
      <c r="E3652">
        <v>0.5</v>
      </c>
      <c r="F3652">
        <v>243</v>
      </c>
      <c r="G3652">
        <v>88</v>
      </c>
      <c r="H3652">
        <v>199</v>
      </c>
      <c r="I3652">
        <v>507</v>
      </c>
    </row>
    <row r="3653" spans="1:9">
      <c r="A3653" s="2">
        <v>1982</v>
      </c>
      <c r="B3653">
        <v>97</v>
      </c>
      <c r="C3653">
        <v>0.46744999999999998</v>
      </c>
      <c r="D3653">
        <v>0.37889</v>
      </c>
      <c r="E3653">
        <v>0.5</v>
      </c>
      <c r="F3653">
        <v>154</v>
      </c>
      <c r="G3653">
        <v>59</v>
      </c>
      <c r="H3653">
        <v>125</v>
      </c>
      <c r="I3653">
        <v>309</v>
      </c>
    </row>
    <row r="3654" spans="1:9">
      <c r="A3654" s="2">
        <v>1982</v>
      </c>
      <c r="B3654">
        <v>98</v>
      </c>
      <c r="C3654">
        <v>0.49142999999999998</v>
      </c>
      <c r="D3654">
        <v>0.39450000000000002</v>
      </c>
      <c r="E3654">
        <v>0.5</v>
      </c>
      <c r="F3654">
        <v>96</v>
      </c>
      <c r="G3654">
        <v>38</v>
      </c>
      <c r="H3654">
        <v>77</v>
      </c>
      <c r="I3654">
        <v>184</v>
      </c>
    </row>
    <row r="3655" spans="1:9">
      <c r="A3655" s="2">
        <v>1982</v>
      </c>
      <c r="B3655">
        <v>99</v>
      </c>
      <c r="C3655">
        <v>0.51544999999999996</v>
      </c>
      <c r="D3655">
        <v>0.40983000000000003</v>
      </c>
      <c r="E3655">
        <v>0.5</v>
      </c>
      <c r="F3655">
        <v>58</v>
      </c>
      <c r="G3655">
        <v>24</v>
      </c>
      <c r="H3655">
        <v>46</v>
      </c>
      <c r="I3655">
        <v>107</v>
      </c>
    </row>
    <row r="3656" spans="1:9">
      <c r="A3656" s="2">
        <v>1982</v>
      </c>
      <c r="B3656">
        <v>100</v>
      </c>
      <c r="C3656">
        <v>0.53939000000000004</v>
      </c>
      <c r="D3656">
        <v>0.42481999999999998</v>
      </c>
      <c r="E3656">
        <v>0.5</v>
      </c>
      <c r="F3656">
        <v>34</v>
      </c>
      <c r="G3656">
        <v>15</v>
      </c>
      <c r="H3656">
        <v>27</v>
      </c>
      <c r="I3656">
        <v>61</v>
      </c>
    </row>
    <row r="3657" spans="1:9">
      <c r="A3657" s="2">
        <v>1982</v>
      </c>
      <c r="B3657">
        <v>101</v>
      </c>
      <c r="C3657">
        <v>0.56315999999999999</v>
      </c>
      <c r="D3657">
        <v>0.43942999999999999</v>
      </c>
      <c r="E3657">
        <v>0.5</v>
      </c>
      <c r="F3657">
        <v>20</v>
      </c>
      <c r="G3657">
        <v>9</v>
      </c>
      <c r="H3657">
        <v>15</v>
      </c>
      <c r="I3657">
        <v>33</v>
      </c>
    </row>
    <row r="3658" spans="1:9">
      <c r="A3658" s="2">
        <v>1982</v>
      </c>
      <c r="B3658">
        <v>102</v>
      </c>
      <c r="C3658">
        <v>0.58664000000000005</v>
      </c>
      <c r="D3658">
        <v>0.45358999999999999</v>
      </c>
      <c r="E3658">
        <v>0.5</v>
      </c>
      <c r="F3658">
        <v>11</v>
      </c>
      <c r="G3658">
        <v>5</v>
      </c>
      <c r="H3658">
        <v>9</v>
      </c>
      <c r="I3658">
        <v>18</v>
      </c>
    </row>
    <row r="3659" spans="1:9">
      <c r="A3659" s="2">
        <v>1982</v>
      </c>
      <c r="B3659">
        <v>103</v>
      </c>
      <c r="C3659">
        <v>0.60972999999999999</v>
      </c>
      <c r="D3659">
        <v>0.46727999999999997</v>
      </c>
      <c r="E3659">
        <v>0.5</v>
      </c>
      <c r="F3659">
        <v>6</v>
      </c>
      <c r="G3659">
        <v>3</v>
      </c>
      <c r="H3659">
        <v>5</v>
      </c>
      <c r="I3659">
        <v>10</v>
      </c>
    </row>
    <row r="3660" spans="1:9">
      <c r="A3660" s="2">
        <v>1982</v>
      </c>
      <c r="B3660">
        <v>104</v>
      </c>
      <c r="C3660">
        <v>0.63234000000000001</v>
      </c>
      <c r="D3660">
        <v>0.48043999999999998</v>
      </c>
      <c r="E3660">
        <v>0.5</v>
      </c>
      <c r="F3660">
        <v>3</v>
      </c>
      <c r="G3660">
        <v>2</v>
      </c>
      <c r="H3660">
        <v>2</v>
      </c>
      <c r="I3660">
        <v>5</v>
      </c>
    </row>
    <row r="3661" spans="1:9">
      <c r="A3661" s="2">
        <v>1982</v>
      </c>
      <c r="B3661">
        <v>105</v>
      </c>
      <c r="C3661">
        <v>0.65439000000000003</v>
      </c>
      <c r="D3661">
        <v>0.49306</v>
      </c>
      <c r="E3661">
        <v>0.5</v>
      </c>
      <c r="F3661">
        <v>2</v>
      </c>
      <c r="G3661">
        <v>1</v>
      </c>
      <c r="H3661">
        <v>1</v>
      </c>
      <c r="I3661">
        <v>2</v>
      </c>
    </row>
    <row r="3662" spans="1:9">
      <c r="A3662" s="2">
        <v>1982</v>
      </c>
      <c r="B3662">
        <v>106</v>
      </c>
      <c r="C3662">
        <v>0.67579</v>
      </c>
      <c r="D3662">
        <v>0.50510999999999995</v>
      </c>
      <c r="E3662">
        <v>0.5</v>
      </c>
      <c r="F3662">
        <v>1</v>
      </c>
      <c r="G3662">
        <v>0</v>
      </c>
      <c r="H3662">
        <v>1</v>
      </c>
      <c r="I3662">
        <v>1</v>
      </c>
    </row>
    <row r="3663" spans="1:9">
      <c r="A3663" s="2">
        <v>1982</v>
      </c>
      <c r="B3663">
        <v>107</v>
      </c>
      <c r="C3663">
        <v>0.69647999999999999</v>
      </c>
      <c r="D3663">
        <v>0.51658000000000004</v>
      </c>
      <c r="E3663">
        <v>0.5</v>
      </c>
      <c r="F3663">
        <v>0</v>
      </c>
      <c r="G3663">
        <v>0</v>
      </c>
      <c r="H3663">
        <v>0</v>
      </c>
      <c r="I3663">
        <v>1</v>
      </c>
    </row>
    <row r="3664" spans="1:9">
      <c r="A3664" s="2">
        <v>1982</v>
      </c>
      <c r="B3664">
        <v>108</v>
      </c>
      <c r="C3664">
        <v>0.71640000000000004</v>
      </c>
      <c r="D3664">
        <v>0.52746000000000004</v>
      </c>
      <c r="E3664">
        <v>0.5</v>
      </c>
      <c r="F3664">
        <v>0</v>
      </c>
      <c r="G3664">
        <v>0</v>
      </c>
      <c r="H3664">
        <v>0</v>
      </c>
      <c r="I3664">
        <v>0</v>
      </c>
    </row>
    <row r="3665" spans="1:9">
      <c r="A3665" s="2">
        <v>1982</v>
      </c>
      <c r="B3665">
        <v>109</v>
      </c>
      <c r="C3665">
        <v>0.73551</v>
      </c>
      <c r="D3665">
        <v>0.53774999999999995</v>
      </c>
      <c r="E3665">
        <v>0.5</v>
      </c>
      <c r="F3665">
        <v>0</v>
      </c>
      <c r="G3665">
        <v>0</v>
      </c>
      <c r="H3665">
        <v>0</v>
      </c>
      <c r="I3665">
        <v>0</v>
      </c>
    </row>
    <row r="3666" spans="1:9">
      <c r="A3666" s="2">
        <v>1982</v>
      </c>
      <c r="B3666" t="s">
        <v>26</v>
      </c>
      <c r="C3666">
        <v>0.75378000000000001</v>
      </c>
      <c r="D3666">
        <v>1</v>
      </c>
      <c r="E3666">
        <v>1.33</v>
      </c>
      <c r="F3666">
        <v>0</v>
      </c>
      <c r="G3666">
        <v>0</v>
      </c>
      <c r="H3666">
        <v>0</v>
      </c>
      <c r="I3666">
        <v>0</v>
      </c>
    </row>
    <row r="3667" spans="1:9">
      <c r="A3667" s="2">
        <v>1983</v>
      </c>
      <c r="B3667">
        <v>0</v>
      </c>
      <c r="C3667">
        <v>2.129E-2</v>
      </c>
      <c r="D3667">
        <v>2.0899999999999998E-2</v>
      </c>
      <c r="E3667">
        <v>0.11</v>
      </c>
      <c r="F3667">
        <v>100000</v>
      </c>
      <c r="G3667">
        <v>2090</v>
      </c>
      <c r="H3667">
        <v>98134</v>
      </c>
      <c r="I3667">
        <v>6505053</v>
      </c>
    </row>
    <row r="3668" spans="1:9">
      <c r="A3668" s="2">
        <v>1983</v>
      </c>
      <c r="B3668">
        <v>1</v>
      </c>
      <c r="C3668">
        <v>1.2700000000000001E-3</v>
      </c>
      <c r="D3668">
        <v>1.2600000000000001E-3</v>
      </c>
      <c r="E3668">
        <v>0.5</v>
      </c>
      <c r="F3668">
        <v>97910</v>
      </c>
      <c r="G3668">
        <v>124</v>
      </c>
      <c r="H3668">
        <v>97849</v>
      </c>
      <c r="I3668">
        <v>6406919</v>
      </c>
    </row>
    <row r="3669" spans="1:9">
      <c r="A3669" s="2">
        <v>1983</v>
      </c>
      <c r="B3669">
        <v>2</v>
      </c>
      <c r="C3669">
        <v>5.1000000000000004E-4</v>
      </c>
      <c r="D3669">
        <v>5.1000000000000004E-4</v>
      </c>
      <c r="E3669">
        <v>0.5</v>
      </c>
      <c r="F3669">
        <v>97787</v>
      </c>
      <c r="G3669">
        <v>50</v>
      </c>
      <c r="H3669">
        <v>97762</v>
      </c>
      <c r="I3669">
        <v>6309071</v>
      </c>
    </row>
    <row r="3670" spans="1:9">
      <c r="A3670" s="2">
        <v>1983</v>
      </c>
      <c r="B3670">
        <v>3</v>
      </c>
      <c r="C3670">
        <v>4.0999999999999999E-4</v>
      </c>
      <c r="D3670">
        <v>4.0999999999999999E-4</v>
      </c>
      <c r="E3670">
        <v>0.5</v>
      </c>
      <c r="F3670">
        <v>97737</v>
      </c>
      <c r="G3670">
        <v>40</v>
      </c>
      <c r="H3670">
        <v>97717</v>
      </c>
      <c r="I3670">
        <v>6211309</v>
      </c>
    </row>
    <row r="3671" spans="1:9">
      <c r="A3671" s="2">
        <v>1983</v>
      </c>
      <c r="B3671">
        <v>4</v>
      </c>
      <c r="C3671">
        <v>4.0000000000000002E-4</v>
      </c>
      <c r="D3671">
        <v>4.0000000000000002E-4</v>
      </c>
      <c r="E3671">
        <v>0.5</v>
      </c>
      <c r="F3671">
        <v>97697</v>
      </c>
      <c r="G3671">
        <v>39</v>
      </c>
      <c r="H3671">
        <v>97677</v>
      </c>
      <c r="I3671">
        <v>6113592</v>
      </c>
    </row>
    <row r="3672" spans="1:9">
      <c r="A3672" s="2">
        <v>1983</v>
      </c>
      <c r="B3672">
        <v>5</v>
      </c>
      <c r="C3672">
        <v>3.8000000000000002E-4</v>
      </c>
      <c r="D3672">
        <v>3.8000000000000002E-4</v>
      </c>
      <c r="E3672">
        <v>0.5</v>
      </c>
      <c r="F3672">
        <v>97657</v>
      </c>
      <c r="G3672">
        <v>37</v>
      </c>
      <c r="H3672">
        <v>97639</v>
      </c>
      <c r="I3672">
        <v>6015915</v>
      </c>
    </row>
    <row r="3673" spans="1:9">
      <c r="A3673" s="2">
        <v>1983</v>
      </c>
      <c r="B3673">
        <v>6</v>
      </c>
      <c r="C3673">
        <v>3.8000000000000002E-4</v>
      </c>
      <c r="D3673">
        <v>3.8000000000000002E-4</v>
      </c>
      <c r="E3673">
        <v>0.5</v>
      </c>
      <c r="F3673">
        <v>97620</v>
      </c>
      <c r="G3673">
        <v>37</v>
      </c>
      <c r="H3673">
        <v>97602</v>
      </c>
      <c r="I3673">
        <v>5918277</v>
      </c>
    </row>
    <row r="3674" spans="1:9">
      <c r="A3674" s="2">
        <v>1983</v>
      </c>
      <c r="B3674">
        <v>7</v>
      </c>
      <c r="C3674">
        <v>2.3000000000000001E-4</v>
      </c>
      <c r="D3674">
        <v>2.3000000000000001E-4</v>
      </c>
      <c r="E3674">
        <v>0.5</v>
      </c>
      <c r="F3674">
        <v>97583</v>
      </c>
      <c r="G3674">
        <v>23</v>
      </c>
      <c r="H3674">
        <v>97572</v>
      </c>
      <c r="I3674">
        <v>5820675</v>
      </c>
    </row>
    <row r="3675" spans="1:9">
      <c r="A3675" s="2">
        <v>1983</v>
      </c>
      <c r="B3675">
        <v>8</v>
      </c>
      <c r="C3675">
        <v>2.9999999999999997E-4</v>
      </c>
      <c r="D3675">
        <v>2.9999999999999997E-4</v>
      </c>
      <c r="E3675">
        <v>0.5</v>
      </c>
      <c r="F3675">
        <v>97560</v>
      </c>
      <c r="G3675">
        <v>29</v>
      </c>
      <c r="H3675">
        <v>97546</v>
      </c>
      <c r="I3675">
        <v>5723103</v>
      </c>
    </row>
    <row r="3676" spans="1:9">
      <c r="A3676" s="2">
        <v>1983</v>
      </c>
      <c r="B3676">
        <v>9</v>
      </c>
      <c r="C3676">
        <v>3.8000000000000002E-4</v>
      </c>
      <c r="D3676">
        <v>3.8000000000000002E-4</v>
      </c>
      <c r="E3676">
        <v>0.5</v>
      </c>
      <c r="F3676">
        <v>97531</v>
      </c>
      <c r="G3676">
        <v>37</v>
      </c>
      <c r="H3676">
        <v>97513</v>
      </c>
      <c r="I3676">
        <v>5625557</v>
      </c>
    </row>
    <row r="3677" spans="1:9">
      <c r="A3677" s="2">
        <v>1983</v>
      </c>
      <c r="B3677">
        <v>10</v>
      </c>
      <c r="C3677">
        <v>4.0000000000000002E-4</v>
      </c>
      <c r="D3677">
        <v>4.0000000000000002E-4</v>
      </c>
      <c r="E3677">
        <v>0.5</v>
      </c>
      <c r="F3677">
        <v>97494</v>
      </c>
      <c r="G3677">
        <v>39</v>
      </c>
      <c r="H3677">
        <v>97475</v>
      </c>
      <c r="I3677">
        <v>5528045</v>
      </c>
    </row>
    <row r="3678" spans="1:9">
      <c r="A3678" s="2">
        <v>1983</v>
      </c>
      <c r="B3678">
        <v>11</v>
      </c>
      <c r="C3678">
        <v>3.3E-4</v>
      </c>
      <c r="D3678">
        <v>3.3E-4</v>
      </c>
      <c r="E3678">
        <v>0.5</v>
      </c>
      <c r="F3678">
        <v>97455</v>
      </c>
      <c r="G3678">
        <v>33</v>
      </c>
      <c r="H3678">
        <v>97439</v>
      </c>
      <c r="I3678">
        <v>5430570</v>
      </c>
    </row>
    <row r="3679" spans="1:9">
      <c r="A3679" s="2">
        <v>1983</v>
      </c>
      <c r="B3679">
        <v>12</v>
      </c>
      <c r="C3679">
        <v>2.7999999999999998E-4</v>
      </c>
      <c r="D3679">
        <v>2.7999999999999998E-4</v>
      </c>
      <c r="E3679">
        <v>0.5</v>
      </c>
      <c r="F3679">
        <v>97422</v>
      </c>
      <c r="G3679">
        <v>28</v>
      </c>
      <c r="H3679">
        <v>97409</v>
      </c>
      <c r="I3679">
        <v>5333131</v>
      </c>
    </row>
    <row r="3680" spans="1:9">
      <c r="A3680" s="2">
        <v>1983</v>
      </c>
      <c r="B3680">
        <v>13</v>
      </c>
      <c r="C3680">
        <v>4.2000000000000002E-4</v>
      </c>
      <c r="D3680">
        <v>4.2000000000000002E-4</v>
      </c>
      <c r="E3680">
        <v>0.5</v>
      </c>
      <c r="F3680">
        <v>97395</v>
      </c>
      <c r="G3680">
        <v>41</v>
      </c>
      <c r="H3680">
        <v>97374</v>
      </c>
      <c r="I3680">
        <v>5235723</v>
      </c>
    </row>
    <row r="3681" spans="1:9">
      <c r="A3681" s="2">
        <v>1983</v>
      </c>
      <c r="B3681">
        <v>14</v>
      </c>
      <c r="C3681">
        <v>5.5000000000000003E-4</v>
      </c>
      <c r="D3681">
        <v>5.5000000000000003E-4</v>
      </c>
      <c r="E3681">
        <v>0.5</v>
      </c>
      <c r="F3681">
        <v>97354</v>
      </c>
      <c r="G3681">
        <v>54</v>
      </c>
      <c r="H3681">
        <v>97327</v>
      </c>
      <c r="I3681">
        <v>5138349</v>
      </c>
    </row>
    <row r="3682" spans="1:9">
      <c r="A3682" s="2">
        <v>1983</v>
      </c>
      <c r="B3682">
        <v>15</v>
      </c>
      <c r="C3682">
        <v>5.5999999999999995E-4</v>
      </c>
      <c r="D3682">
        <v>5.5999999999999995E-4</v>
      </c>
      <c r="E3682">
        <v>0.5</v>
      </c>
      <c r="F3682">
        <v>97300</v>
      </c>
      <c r="G3682">
        <v>54</v>
      </c>
      <c r="H3682">
        <v>97272</v>
      </c>
      <c r="I3682">
        <v>5041022</v>
      </c>
    </row>
    <row r="3683" spans="1:9">
      <c r="A3683" s="2">
        <v>1983</v>
      </c>
      <c r="B3683">
        <v>16</v>
      </c>
      <c r="C3683">
        <v>5.6999999999999998E-4</v>
      </c>
      <c r="D3683">
        <v>5.6999999999999998E-4</v>
      </c>
      <c r="E3683">
        <v>0.5</v>
      </c>
      <c r="F3683">
        <v>97245</v>
      </c>
      <c r="G3683">
        <v>56</v>
      </c>
      <c r="H3683">
        <v>97217</v>
      </c>
      <c r="I3683">
        <v>4943750</v>
      </c>
    </row>
    <row r="3684" spans="1:9">
      <c r="A3684" s="2">
        <v>1983</v>
      </c>
      <c r="B3684">
        <v>17</v>
      </c>
      <c r="C3684">
        <v>1.1199999999999999E-3</v>
      </c>
      <c r="D3684">
        <v>1.1199999999999999E-3</v>
      </c>
      <c r="E3684">
        <v>0.5</v>
      </c>
      <c r="F3684">
        <v>97190</v>
      </c>
      <c r="G3684">
        <v>109</v>
      </c>
      <c r="H3684">
        <v>97135</v>
      </c>
      <c r="I3684">
        <v>4846532</v>
      </c>
    </row>
    <row r="3685" spans="1:9">
      <c r="A3685" s="2">
        <v>1983</v>
      </c>
      <c r="B3685">
        <v>18</v>
      </c>
      <c r="C3685">
        <v>1.2600000000000001E-3</v>
      </c>
      <c r="D3685">
        <v>1.2600000000000001E-3</v>
      </c>
      <c r="E3685">
        <v>0.5</v>
      </c>
      <c r="F3685">
        <v>97081</v>
      </c>
      <c r="G3685">
        <v>123</v>
      </c>
      <c r="H3685">
        <v>97020</v>
      </c>
      <c r="I3685">
        <v>4749397</v>
      </c>
    </row>
    <row r="3686" spans="1:9">
      <c r="A3686" s="2">
        <v>1983</v>
      </c>
      <c r="B3686">
        <v>19</v>
      </c>
      <c r="C3686">
        <v>1.3799999999999999E-3</v>
      </c>
      <c r="D3686">
        <v>1.3799999999999999E-3</v>
      </c>
      <c r="E3686">
        <v>0.5</v>
      </c>
      <c r="F3686">
        <v>96958</v>
      </c>
      <c r="G3686">
        <v>134</v>
      </c>
      <c r="H3686">
        <v>96892</v>
      </c>
      <c r="I3686">
        <v>4652377</v>
      </c>
    </row>
    <row r="3687" spans="1:9">
      <c r="A3687" s="2">
        <v>1983</v>
      </c>
      <c r="B3687">
        <v>20</v>
      </c>
      <c r="C3687">
        <v>1.75E-3</v>
      </c>
      <c r="D3687">
        <v>1.75E-3</v>
      </c>
      <c r="E3687">
        <v>0.5</v>
      </c>
      <c r="F3687">
        <v>96825</v>
      </c>
      <c r="G3687">
        <v>169</v>
      </c>
      <c r="H3687">
        <v>96740</v>
      </c>
      <c r="I3687">
        <v>4555486</v>
      </c>
    </row>
    <row r="3688" spans="1:9">
      <c r="A3688" s="2">
        <v>1983</v>
      </c>
      <c r="B3688">
        <v>21</v>
      </c>
      <c r="C3688">
        <v>1.49E-3</v>
      </c>
      <c r="D3688">
        <v>1.49E-3</v>
      </c>
      <c r="E3688">
        <v>0.5</v>
      </c>
      <c r="F3688">
        <v>96656</v>
      </c>
      <c r="G3688">
        <v>144</v>
      </c>
      <c r="H3688">
        <v>96584</v>
      </c>
      <c r="I3688">
        <v>4458745</v>
      </c>
    </row>
    <row r="3689" spans="1:9">
      <c r="A3689" s="2">
        <v>1983</v>
      </c>
      <c r="B3689">
        <v>22</v>
      </c>
      <c r="C3689">
        <v>1.7600000000000001E-3</v>
      </c>
      <c r="D3689">
        <v>1.7600000000000001E-3</v>
      </c>
      <c r="E3689">
        <v>0.5</v>
      </c>
      <c r="F3689">
        <v>96512</v>
      </c>
      <c r="G3689">
        <v>170</v>
      </c>
      <c r="H3689">
        <v>96427</v>
      </c>
      <c r="I3689">
        <v>4362162</v>
      </c>
    </row>
    <row r="3690" spans="1:9">
      <c r="A3690" s="2">
        <v>1983</v>
      </c>
      <c r="B3690">
        <v>23</v>
      </c>
      <c r="C3690">
        <v>1.42E-3</v>
      </c>
      <c r="D3690">
        <v>1.42E-3</v>
      </c>
      <c r="E3690">
        <v>0.5</v>
      </c>
      <c r="F3690">
        <v>96341</v>
      </c>
      <c r="G3690">
        <v>136</v>
      </c>
      <c r="H3690">
        <v>96273</v>
      </c>
      <c r="I3690">
        <v>4265735</v>
      </c>
    </row>
    <row r="3691" spans="1:9">
      <c r="A3691" s="2">
        <v>1983</v>
      </c>
      <c r="B3691">
        <v>24</v>
      </c>
      <c r="C3691">
        <v>1.64E-3</v>
      </c>
      <c r="D3691">
        <v>1.64E-3</v>
      </c>
      <c r="E3691">
        <v>0.5</v>
      </c>
      <c r="F3691">
        <v>96205</v>
      </c>
      <c r="G3691">
        <v>158</v>
      </c>
      <c r="H3691">
        <v>96126</v>
      </c>
      <c r="I3691">
        <v>4169462</v>
      </c>
    </row>
    <row r="3692" spans="1:9">
      <c r="A3692" s="2">
        <v>1983</v>
      </c>
      <c r="B3692">
        <v>25</v>
      </c>
      <c r="C3692">
        <v>1.58E-3</v>
      </c>
      <c r="D3692">
        <v>1.58E-3</v>
      </c>
      <c r="E3692">
        <v>0.5</v>
      </c>
      <c r="F3692">
        <v>96047</v>
      </c>
      <c r="G3692">
        <v>152</v>
      </c>
      <c r="H3692">
        <v>95971</v>
      </c>
      <c r="I3692">
        <v>4073335</v>
      </c>
    </row>
    <row r="3693" spans="1:9">
      <c r="A3693" s="2">
        <v>1983</v>
      </c>
      <c r="B3693">
        <v>26</v>
      </c>
      <c r="C3693">
        <v>1.9400000000000001E-3</v>
      </c>
      <c r="D3693">
        <v>1.9400000000000001E-3</v>
      </c>
      <c r="E3693">
        <v>0.5</v>
      </c>
      <c r="F3693">
        <v>95896</v>
      </c>
      <c r="G3693">
        <v>186</v>
      </c>
      <c r="H3693">
        <v>95803</v>
      </c>
      <c r="I3693">
        <v>3977364</v>
      </c>
    </row>
    <row r="3694" spans="1:9">
      <c r="A3694" s="2">
        <v>1983</v>
      </c>
      <c r="B3694">
        <v>27</v>
      </c>
      <c r="C3694">
        <v>1.9599999999999999E-3</v>
      </c>
      <c r="D3694">
        <v>1.9499999999999999E-3</v>
      </c>
      <c r="E3694">
        <v>0.5</v>
      </c>
      <c r="F3694">
        <v>95709</v>
      </c>
      <c r="G3694">
        <v>187</v>
      </c>
      <c r="H3694">
        <v>95616</v>
      </c>
      <c r="I3694">
        <v>3881561</v>
      </c>
    </row>
    <row r="3695" spans="1:9">
      <c r="A3695" s="2">
        <v>1983</v>
      </c>
      <c r="B3695">
        <v>28</v>
      </c>
      <c r="C3695">
        <v>1.91E-3</v>
      </c>
      <c r="D3695">
        <v>1.9E-3</v>
      </c>
      <c r="E3695">
        <v>0.5</v>
      </c>
      <c r="F3695">
        <v>95522</v>
      </c>
      <c r="G3695">
        <v>182</v>
      </c>
      <c r="H3695">
        <v>95431</v>
      </c>
      <c r="I3695">
        <v>3785946</v>
      </c>
    </row>
    <row r="3696" spans="1:9">
      <c r="A3696" s="2">
        <v>1983</v>
      </c>
      <c r="B3696">
        <v>29</v>
      </c>
      <c r="C3696">
        <v>1.73E-3</v>
      </c>
      <c r="D3696">
        <v>1.73E-3</v>
      </c>
      <c r="E3696">
        <v>0.5</v>
      </c>
      <c r="F3696">
        <v>95340</v>
      </c>
      <c r="G3696">
        <v>165</v>
      </c>
      <c r="H3696">
        <v>95258</v>
      </c>
      <c r="I3696">
        <v>3690514</v>
      </c>
    </row>
    <row r="3697" spans="1:9">
      <c r="A3697" s="2">
        <v>1983</v>
      </c>
      <c r="B3697">
        <v>30</v>
      </c>
      <c r="C3697">
        <v>2.1700000000000001E-3</v>
      </c>
      <c r="D3697">
        <v>2.16E-3</v>
      </c>
      <c r="E3697">
        <v>0.5</v>
      </c>
      <c r="F3697">
        <v>95176</v>
      </c>
      <c r="G3697">
        <v>206</v>
      </c>
      <c r="H3697">
        <v>95073</v>
      </c>
      <c r="I3697">
        <v>3595256</v>
      </c>
    </row>
    <row r="3698" spans="1:9">
      <c r="A3698" s="2">
        <v>1983</v>
      </c>
      <c r="B3698">
        <v>31</v>
      </c>
      <c r="C3698">
        <v>2.6800000000000001E-3</v>
      </c>
      <c r="D3698">
        <v>2.6800000000000001E-3</v>
      </c>
      <c r="E3698">
        <v>0.5</v>
      </c>
      <c r="F3698">
        <v>94970</v>
      </c>
      <c r="G3698">
        <v>254</v>
      </c>
      <c r="H3698">
        <v>94842</v>
      </c>
      <c r="I3698">
        <v>3500183</v>
      </c>
    </row>
    <row r="3699" spans="1:9">
      <c r="A3699" s="2">
        <v>1983</v>
      </c>
      <c r="B3699">
        <v>32</v>
      </c>
      <c r="C3699">
        <v>2.8999999999999998E-3</v>
      </c>
      <c r="D3699">
        <v>2.8900000000000002E-3</v>
      </c>
      <c r="E3699">
        <v>0.5</v>
      </c>
      <c r="F3699">
        <v>94715</v>
      </c>
      <c r="G3699">
        <v>274</v>
      </c>
      <c r="H3699">
        <v>94578</v>
      </c>
      <c r="I3699">
        <v>3405341</v>
      </c>
    </row>
    <row r="3700" spans="1:9">
      <c r="A3700" s="2">
        <v>1983</v>
      </c>
      <c r="B3700">
        <v>33</v>
      </c>
      <c r="C3700">
        <v>2.98E-3</v>
      </c>
      <c r="D3700">
        <v>2.98E-3</v>
      </c>
      <c r="E3700">
        <v>0.5</v>
      </c>
      <c r="F3700">
        <v>94441</v>
      </c>
      <c r="G3700">
        <v>281</v>
      </c>
      <c r="H3700">
        <v>94301</v>
      </c>
      <c r="I3700">
        <v>3310763</v>
      </c>
    </row>
    <row r="3701" spans="1:9">
      <c r="A3701" s="2">
        <v>1983</v>
      </c>
      <c r="B3701">
        <v>34</v>
      </c>
      <c r="C3701">
        <v>3.1099999999999999E-3</v>
      </c>
      <c r="D3701">
        <v>3.0999999999999999E-3</v>
      </c>
      <c r="E3701">
        <v>0.5</v>
      </c>
      <c r="F3701">
        <v>94160</v>
      </c>
      <c r="G3701">
        <v>292</v>
      </c>
      <c r="H3701">
        <v>94014</v>
      </c>
      <c r="I3701">
        <v>3216462</v>
      </c>
    </row>
    <row r="3702" spans="1:9">
      <c r="A3702" s="2">
        <v>1983</v>
      </c>
      <c r="B3702">
        <v>35</v>
      </c>
      <c r="C3702">
        <v>3.3600000000000001E-3</v>
      </c>
      <c r="D3702">
        <v>3.3500000000000001E-3</v>
      </c>
      <c r="E3702">
        <v>0.5</v>
      </c>
      <c r="F3702">
        <v>93868</v>
      </c>
      <c r="G3702">
        <v>315</v>
      </c>
      <c r="H3702">
        <v>93711</v>
      </c>
      <c r="I3702">
        <v>3122448</v>
      </c>
    </row>
    <row r="3703" spans="1:9">
      <c r="A3703" s="2">
        <v>1983</v>
      </c>
      <c r="B3703">
        <v>36</v>
      </c>
      <c r="C3703">
        <v>3.9100000000000003E-3</v>
      </c>
      <c r="D3703">
        <v>3.8999999999999998E-3</v>
      </c>
      <c r="E3703">
        <v>0.5</v>
      </c>
      <c r="F3703">
        <v>93553</v>
      </c>
      <c r="G3703">
        <v>365</v>
      </c>
      <c r="H3703">
        <v>93371</v>
      </c>
      <c r="I3703">
        <v>3028737</v>
      </c>
    </row>
    <row r="3704" spans="1:9">
      <c r="A3704" s="2">
        <v>1983</v>
      </c>
      <c r="B3704">
        <v>37</v>
      </c>
      <c r="C3704">
        <v>4.0200000000000001E-3</v>
      </c>
      <c r="D3704">
        <v>4.0200000000000001E-3</v>
      </c>
      <c r="E3704">
        <v>0.5</v>
      </c>
      <c r="F3704">
        <v>93188</v>
      </c>
      <c r="G3704">
        <v>374</v>
      </c>
      <c r="H3704">
        <v>93001</v>
      </c>
      <c r="I3704">
        <v>2935367</v>
      </c>
    </row>
    <row r="3705" spans="1:9">
      <c r="A3705" s="2">
        <v>1983</v>
      </c>
      <c r="B3705">
        <v>38</v>
      </c>
      <c r="C3705">
        <v>5.3600000000000002E-3</v>
      </c>
      <c r="D3705">
        <v>5.3499999999999997E-3</v>
      </c>
      <c r="E3705">
        <v>0.5</v>
      </c>
      <c r="F3705">
        <v>92814</v>
      </c>
      <c r="G3705">
        <v>496</v>
      </c>
      <c r="H3705">
        <v>92566</v>
      </c>
      <c r="I3705">
        <v>2842366</v>
      </c>
    </row>
    <row r="3706" spans="1:9">
      <c r="A3706" s="2">
        <v>1983</v>
      </c>
      <c r="B3706">
        <v>39</v>
      </c>
      <c r="C3706">
        <v>5.8100000000000001E-3</v>
      </c>
      <c r="D3706">
        <v>5.79E-3</v>
      </c>
      <c r="E3706">
        <v>0.5</v>
      </c>
      <c r="F3706">
        <v>92318</v>
      </c>
      <c r="G3706">
        <v>534</v>
      </c>
      <c r="H3706">
        <v>92050</v>
      </c>
      <c r="I3706">
        <v>2749800</v>
      </c>
    </row>
    <row r="3707" spans="1:9">
      <c r="A3707" s="2">
        <v>1983</v>
      </c>
      <c r="B3707">
        <v>40</v>
      </c>
      <c r="C3707">
        <v>5.6800000000000002E-3</v>
      </c>
      <c r="D3707">
        <v>5.6600000000000001E-3</v>
      </c>
      <c r="E3707">
        <v>0.5</v>
      </c>
      <c r="F3707">
        <v>91783</v>
      </c>
      <c r="G3707">
        <v>519</v>
      </c>
      <c r="H3707">
        <v>91523</v>
      </c>
      <c r="I3707">
        <v>2657750</v>
      </c>
    </row>
    <row r="3708" spans="1:9">
      <c r="A3708" s="2">
        <v>1983</v>
      </c>
      <c r="B3708">
        <v>41</v>
      </c>
      <c r="C3708">
        <v>6.2399999999999999E-3</v>
      </c>
      <c r="D3708">
        <v>6.2199999999999998E-3</v>
      </c>
      <c r="E3708">
        <v>0.5</v>
      </c>
      <c r="F3708">
        <v>91264</v>
      </c>
      <c r="G3708">
        <v>568</v>
      </c>
      <c r="H3708">
        <v>90980</v>
      </c>
      <c r="I3708">
        <v>2566226</v>
      </c>
    </row>
    <row r="3709" spans="1:9">
      <c r="A3709" s="2">
        <v>1983</v>
      </c>
      <c r="B3709">
        <v>42</v>
      </c>
      <c r="C3709">
        <v>7.0600000000000003E-3</v>
      </c>
      <c r="D3709">
        <v>7.0299999999999998E-3</v>
      </c>
      <c r="E3709">
        <v>0.5</v>
      </c>
      <c r="F3709">
        <v>90696</v>
      </c>
      <c r="G3709">
        <v>638</v>
      </c>
      <c r="H3709">
        <v>90377</v>
      </c>
      <c r="I3709">
        <v>2475247</v>
      </c>
    </row>
    <row r="3710" spans="1:9">
      <c r="A3710" s="2">
        <v>1983</v>
      </c>
      <c r="B3710">
        <v>43</v>
      </c>
      <c r="C3710">
        <v>7.9399999999999991E-3</v>
      </c>
      <c r="D3710">
        <v>7.9100000000000004E-3</v>
      </c>
      <c r="E3710">
        <v>0.5</v>
      </c>
      <c r="F3710">
        <v>90058</v>
      </c>
      <c r="G3710">
        <v>712</v>
      </c>
      <c r="H3710">
        <v>89702</v>
      </c>
      <c r="I3710">
        <v>2384870</v>
      </c>
    </row>
    <row r="3711" spans="1:9">
      <c r="A3711" s="2">
        <v>1983</v>
      </c>
      <c r="B3711">
        <v>44</v>
      </c>
      <c r="C3711">
        <v>8.6300000000000005E-3</v>
      </c>
      <c r="D3711">
        <v>8.6E-3</v>
      </c>
      <c r="E3711">
        <v>0.5</v>
      </c>
      <c r="F3711">
        <v>89345</v>
      </c>
      <c r="G3711">
        <v>768</v>
      </c>
      <c r="H3711">
        <v>88961</v>
      </c>
      <c r="I3711">
        <v>2295168</v>
      </c>
    </row>
    <row r="3712" spans="1:9">
      <c r="A3712" s="2">
        <v>1983</v>
      </c>
      <c r="B3712">
        <v>45</v>
      </c>
      <c r="C3712">
        <v>1.034E-2</v>
      </c>
      <c r="D3712">
        <v>1.0279999999999999E-2</v>
      </c>
      <c r="E3712">
        <v>0.5</v>
      </c>
      <c r="F3712">
        <v>88577</v>
      </c>
      <c r="G3712">
        <v>911</v>
      </c>
      <c r="H3712">
        <v>88122</v>
      </c>
      <c r="I3712">
        <v>2206207</v>
      </c>
    </row>
    <row r="3713" spans="1:9">
      <c r="A3713" s="2">
        <v>1983</v>
      </c>
      <c r="B3713">
        <v>46</v>
      </c>
      <c r="C3713">
        <v>9.75E-3</v>
      </c>
      <c r="D3713">
        <v>9.7000000000000003E-3</v>
      </c>
      <c r="E3713">
        <v>0.5</v>
      </c>
      <c r="F3713">
        <v>87667</v>
      </c>
      <c r="G3713">
        <v>850</v>
      </c>
      <c r="H3713">
        <v>87241</v>
      </c>
      <c r="I3713">
        <v>2118085</v>
      </c>
    </row>
    <row r="3714" spans="1:9">
      <c r="A3714" s="2">
        <v>1983</v>
      </c>
      <c r="B3714">
        <v>47</v>
      </c>
      <c r="C3714">
        <v>1.1050000000000001E-2</v>
      </c>
      <c r="D3714">
        <v>1.099E-2</v>
      </c>
      <c r="E3714">
        <v>0.5</v>
      </c>
      <c r="F3714">
        <v>86816</v>
      </c>
      <c r="G3714">
        <v>954</v>
      </c>
      <c r="H3714">
        <v>86339</v>
      </c>
      <c r="I3714">
        <v>2030843</v>
      </c>
    </row>
    <row r="3715" spans="1:9">
      <c r="A3715" s="2">
        <v>1983</v>
      </c>
      <c r="B3715">
        <v>48</v>
      </c>
      <c r="C3715">
        <v>1.1379999999999999E-2</v>
      </c>
      <c r="D3715">
        <v>1.132E-2</v>
      </c>
      <c r="E3715">
        <v>0.5</v>
      </c>
      <c r="F3715">
        <v>85862</v>
      </c>
      <c r="G3715">
        <v>972</v>
      </c>
      <c r="H3715">
        <v>85376</v>
      </c>
      <c r="I3715">
        <v>1944504</v>
      </c>
    </row>
    <row r="3716" spans="1:9">
      <c r="A3716" s="2">
        <v>1983</v>
      </c>
      <c r="B3716">
        <v>49</v>
      </c>
      <c r="C3716">
        <v>1.196E-2</v>
      </c>
      <c r="D3716">
        <v>1.189E-2</v>
      </c>
      <c r="E3716">
        <v>0.5</v>
      </c>
      <c r="F3716">
        <v>84890</v>
      </c>
      <c r="G3716">
        <v>1010</v>
      </c>
      <c r="H3716">
        <v>84386</v>
      </c>
      <c r="I3716">
        <v>1859128</v>
      </c>
    </row>
    <row r="3717" spans="1:9">
      <c r="A3717" s="2">
        <v>1983</v>
      </c>
      <c r="B3717">
        <v>50</v>
      </c>
      <c r="C3717">
        <v>1.362E-2</v>
      </c>
      <c r="D3717">
        <v>1.353E-2</v>
      </c>
      <c r="E3717">
        <v>0.5</v>
      </c>
      <c r="F3717">
        <v>83881</v>
      </c>
      <c r="G3717">
        <v>1135</v>
      </c>
      <c r="H3717">
        <v>83313</v>
      </c>
      <c r="I3717">
        <v>1774742</v>
      </c>
    </row>
    <row r="3718" spans="1:9">
      <c r="A3718" s="2">
        <v>1983</v>
      </c>
      <c r="B3718">
        <v>51</v>
      </c>
      <c r="C3718">
        <v>1.3990000000000001E-2</v>
      </c>
      <c r="D3718">
        <v>1.389E-2</v>
      </c>
      <c r="E3718">
        <v>0.5</v>
      </c>
      <c r="F3718">
        <v>82746</v>
      </c>
      <c r="G3718">
        <v>1149</v>
      </c>
      <c r="H3718">
        <v>82171</v>
      </c>
      <c r="I3718">
        <v>1691429</v>
      </c>
    </row>
    <row r="3719" spans="1:9">
      <c r="A3719" s="2">
        <v>1983</v>
      </c>
      <c r="B3719">
        <v>52</v>
      </c>
      <c r="C3719">
        <v>1.634E-2</v>
      </c>
      <c r="D3719">
        <v>1.6199999999999999E-2</v>
      </c>
      <c r="E3719">
        <v>0.5</v>
      </c>
      <c r="F3719">
        <v>81597</v>
      </c>
      <c r="G3719">
        <v>1322</v>
      </c>
      <c r="H3719">
        <v>80936</v>
      </c>
      <c r="I3719">
        <v>1609257</v>
      </c>
    </row>
    <row r="3720" spans="1:9">
      <c r="A3720" s="2">
        <v>1983</v>
      </c>
      <c r="B3720">
        <v>53</v>
      </c>
      <c r="C3720">
        <v>1.6490000000000001E-2</v>
      </c>
      <c r="D3720">
        <v>1.635E-2</v>
      </c>
      <c r="E3720">
        <v>0.5</v>
      </c>
      <c r="F3720">
        <v>80275</v>
      </c>
      <c r="G3720">
        <v>1313</v>
      </c>
      <c r="H3720">
        <v>79618</v>
      </c>
      <c r="I3720">
        <v>1528322</v>
      </c>
    </row>
    <row r="3721" spans="1:9">
      <c r="A3721" s="2">
        <v>1983</v>
      </c>
      <c r="B3721">
        <v>54</v>
      </c>
      <c r="C3721">
        <v>1.7979999999999999E-2</v>
      </c>
      <c r="D3721">
        <v>1.7819999999999999E-2</v>
      </c>
      <c r="E3721">
        <v>0.5</v>
      </c>
      <c r="F3721">
        <v>78962</v>
      </c>
      <c r="G3721">
        <v>1407</v>
      </c>
      <c r="H3721">
        <v>78258</v>
      </c>
      <c r="I3721">
        <v>1448704</v>
      </c>
    </row>
    <row r="3722" spans="1:9">
      <c r="A3722" s="2">
        <v>1983</v>
      </c>
      <c r="B3722">
        <v>55</v>
      </c>
      <c r="C3722">
        <v>2.017E-2</v>
      </c>
      <c r="D3722">
        <v>1.9970000000000002E-2</v>
      </c>
      <c r="E3722">
        <v>0.5</v>
      </c>
      <c r="F3722">
        <v>77554</v>
      </c>
      <c r="G3722">
        <v>1548</v>
      </c>
      <c r="H3722">
        <v>76780</v>
      </c>
      <c r="I3722">
        <v>1370445</v>
      </c>
    </row>
    <row r="3723" spans="1:9">
      <c r="A3723" s="2">
        <v>1983</v>
      </c>
      <c r="B3723">
        <v>56</v>
      </c>
      <c r="C3723">
        <v>2.085E-2</v>
      </c>
      <c r="D3723">
        <v>2.0629999999999999E-2</v>
      </c>
      <c r="E3723">
        <v>0.5</v>
      </c>
      <c r="F3723">
        <v>76006</v>
      </c>
      <c r="G3723">
        <v>1568</v>
      </c>
      <c r="H3723">
        <v>75222</v>
      </c>
      <c r="I3723">
        <v>1293665</v>
      </c>
    </row>
    <row r="3724" spans="1:9">
      <c r="A3724" s="2">
        <v>1983</v>
      </c>
      <c r="B3724">
        <v>57</v>
      </c>
      <c r="C3724">
        <v>2.351E-2</v>
      </c>
      <c r="D3724">
        <v>2.3230000000000001E-2</v>
      </c>
      <c r="E3724">
        <v>0.5</v>
      </c>
      <c r="F3724">
        <v>74438</v>
      </c>
      <c r="G3724">
        <v>1729</v>
      </c>
      <c r="H3724">
        <v>73573</v>
      </c>
      <c r="I3724">
        <v>1218443</v>
      </c>
    </row>
    <row r="3725" spans="1:9">
      <c r="A3725" s="2">
        <v>1983</v>
      </c>
      <c r="B3725">
        <v>58</v>
      </c>
      <c r="C3725">
        <v>2.469E-2</v>
      </c>
      <c r="D3725">
        <v>2.4379999999999999E-2</v>
      </c>
      <c r="E3725">
        <v>0.5</v>
      </c>
      <c r="F3725">
        <v>72708</v>
      </c>
      <c r="G3725">
        <v>1773</v>
      </c>
      <c r="H3725">
        <v>71822</v>
      </c>
      <c r="I3725">
        <v>1144871</v>
      </c>
    </row>
    <row r="3726" spans="1:9">
      <c r="A3726" s="2">
        <v>1983</v>
      </c>
      <c r="B3726">
        <v>59</v>
      </c>
      <c r="C3726">
        <v>2.477E-2</v>
      </c>
      <c r="D3726">
        <v>2.4469999999999999E-2</v>
      </c>
      <c r="E3726">
        <v>0.5</v>
      </c>
      <c r="F3726">
        <v>70935</v>
      </c>
      <c r="G3726">
        <v>1736</v>
      </c>
      <c r="H3726">
        <v>70067</v>
      </c>
      <c r="I3726">
        <v>1073049</v>
      </c>
    </row>
    <row r="3727" spans="1:9">
      <c r="A3727" s="2">
        <v>1983</v>
      </c>
      <c r="B3727">
        <v>60</v>
      </c>
      <c r="C3727">
        <v>2.6790000000000001E-2</v>
      </c>
      <c r="D3727">
        <v>2.6429999999999999E-2</v>
      </c>
      <c r="E3727">
        <v>0.5</v>
      </c>
      <c r="F3727">
        <v>69199</v>
      </c>
      <c r="G3727">
        <v>1829</v>
      </c>
      <c r="H3727">
        <v>68285</v>
      </c>
      <c r="I3727">
        <v>1002981</v>
      </c>
    </row>
    <row r="3728" spans="1:9">
      <c r="A3728" s="2">
        <v>1983</v>
      </c>
      <c r="B3728">
        <v>61</v>
      </c>
      <c r="C3728">
        <v>3.0710000000000001E-2</v>
      </c>
      <c r="D3728">
        <v>3.0249999999999999E-2</v>
      </c>
      <c r="E3728">
        <v>0.5</v>
      </c>
      <c r="F3728">
        <v>67370</v>
      </c>
      <c r="G3728">
        <v>2038</v>
      </c>
      <c r="H3728">
        <v>66351</v>
      </c>
      <c r="I3728">
        <v>934697</v>
      </c>
    </row>
    <row r="3729" spans="1:9">
      <c r="A3729" s="2">
        <v>1983</v>
      </c>
      <c r="B3729">
        <v>62</v>
      </c>
      <c r="C3729">
        <v>3.1329999999999997E-2</v>
      </c>
      <c r="D3729">
        <v>3.0849999999999999E-2</v>
      </c>
      <c r="E3729">
        <v>0.5</v>
      </c>
      <c r="F3729">
        <v>65332</v>
      </c>
      <c r="G3729">
        <v>2015</v>
      </c>
      <c r="H3729">
        <v>64325</v>
      </c>
      <c r="I3729">
        <v>868345</v>
      </c>
    </row>
    <row r="3730" spans="1:9">
      <c r="A3730" s="2">
        <v>1983</v>
      </c>
      <c r="B3730">
        <v>63</v>
      </c>
      <c r="C3730">
        <v>3.8460000000000001E-2</v>
      </c>
      <c r="D3730">
        <v>3.773E-2</v>
      </c>
      <c r="E3730">
        <v>0.5</v>
      </c>
      <c r="F3730">
        <v>63317</v>
      </c>
      <c r="G3730">
        <v>2389</v>
      </c>
      <c r="H3730">
        <v>62122</v>
      </c>
      <c r="I3730">
        <v>804021</v>
      </c>
    </row>
    <row r="3731" spans="1:9">
      <c r="A3731" s="2">
        <v>1983</v>
      </c>
      <c r="B3731">
        <v>64</v>
      </c>
      <c r="C3731">
        <v>3.3890000000000003E-2</v>
      </c>
      <c r="D3731">
        <v>3.3320000000000002E-2</v>
      </c>
      <c r="E3731">
        <v>0.5</v>
      </c>
      <c r="F3731">
        <v>60928</v>
      </c>
      <c r="G3731">
        <v>2030</v>
      </c>
      <c r="H3731">
        <v>59913</v>
      </c>
      <c r="I3731">
        <v>741898</v>
      </c>
    </row>
    <row r="3732" spans="1:9">
      <c r="A3732" s="2">
        <v>1983</v>
      </c>
      <c r="B3732">
        <v>65</v>
      </c>
      <c r="C3732">
        <v>3.9480000000000001E-2</v>
      </c>
      <c r="D3732">
        <v>3.8719999999999997E-2</v>
      </c>
      <c r="E3732">
        <v>0.5</v>
      </c>
      <c r="F3732">
        <v>58898</v>
      </c>
      <c r="G3732">
        <v>2280</v>
      </c>
      <c r="H3732">
        <v>57757</v>
      </c>
      <c r="I3732">
        <v>681986</v>
      </c>
    </row>
    <row r="3733" spans="1:9">
      <c r="A3733" s="2">
        <v>1983</v>
      </c>
      <c r="B3733">
        <v>66</v>
      </c>
      <c r="C3733">
        <v>4.283E-2</v>
      </c>
      <c r="D3733">
        <v>4.1930000000000002E-2</v>
      </c>
      <c r="E3733">
        <v>0.5</v>
      </c>
      <c r="F3733">
        <v>56617</v>
      </c>
      <c r="G3733">
        <v>2374</v>
      </c>
      <c r="H3733">
        <v>55430</v>
      </c>
      <c r="I3733">
        <v>624228</v>
      </c>
    </row>
    <row r="3734" spans="1:9">
      <c r="A3734" s="2">
        <v>1983</v>
      </c>
      <c r="B3734">
        <v>67</v>
      </c>
      <c r="C3734">
        <v>4.2700000000000002E-2</v>
      </c>
      <c r="D3734">
        <v>4.1799999999999997E-2</v>
      </c>
      <c r="E3734">
        <v>0.5</v>
      </c>
      <c r="F3734">
        <v>54243</v>
      </c>
      <c r="G3734">
        <v>2268</v>
      </c>
      <c r="H3734">
        <v>53109</v>
      </c>
      <c r="I3734">
        <v>568798</v>
      </c>
    </row>
    <row r="3735" spans="1:9">
      <c r="A3735" s="2">
        <v>1983</v>
      </c>
      <c r="B3735">
        <v>68</v>
      </c>
      <c r="C3735">
        <v>5.3089999999999998E-2</v>
      </c>
      <c r="D3735">
        <v>5.1720000000000002E-2</v>
      </c>
      <c r="E3735">
        <v>0.5</v>
      </c>
      <c r="F3735">
        <v>51976</v>
      </c>
      <c r="G3735">
        <v>2688</v>
      </c>
      <c r="H3735">
        <v>50631</v>
      </c>
      <c r="I3735">
        <v>515689</v>
      </c>
    </row>
    <row r="3736" spans="1:9">
      <c r="A3736" s="2">
        <v>1983</v>
      </c>
      <c r="B3736">
        <v>69</v>
      </c>
      <c r="C3736">
        <v>5.5710000000000003E-2</v>
      </c>
      <c r="D3736">
        <v>5.4199999999999998E-2</v>
      </c>
      <c r="E3736">
        <v>0.5</v>
      </c>
      <c r="F3736">
        <v>49287</v>
      </c>
      <c r="G3736">
        <v>2672</v>
      </c>
      <c r="H3736">
        <v>47952</v>
      </c>
      <c r="I3736">
        <v>465057</v>
      </c>
    </row>
    <row r="3737" spans="1:9">
      <c r="A3737" s="2">
        <v>1983</v>
      </c>
      <c r="B3737">
        <v>70</v>
      </c>
      <c r="C3737">
        <v>5.7079999999999999E-2</v>
      </c>
      <c r="D3737">
        <v>5.5489999999999998E-2</v>
      </c>
      <c r="E3737">
        <v>0.5</v>
      </c>
      <c r="F3737">
        <v>46616</v>
      </c>
      <c r="G3737">
        <v>2587</v>
      </c>
      <c r="H3737">
        <v>45322</v>
      </c>
      <c r="I3737">
        <v>417106</v>
      </c>
    </row>
    <row r="3738" spans="1:9">
      <c r="A3738" s="2">
        <v>1983</v>
      </c>
      <c r="B3738">
        <v>71</v>
      </c>
      <c r="C3738">
        <v>6.5049999999999997E-2</v>
      </c>
      <c r="D3738">
        <v>6.3E-2</v>
      </c>
      <c r="E3738">
        <v>0.5</v>
      </c>
      <c r="F3738">
        <v>44029</v>
      </c>
      <c r="G3738">
        <v>2774</v>
      </c>
      <c r="H3738">
        <v>42642</v>
      </c>
      <c r="I3738">
        <v>371783</v>
      </c>
    </row>
    <row r="3739" spans="1:9">
      <c r="A3739" s="2">
        <v>1983</v>
      </c>
      <c r="B3739">
        <v>72</v>
      </c>
      <c r="C3739">
        <v>7.3789999999999994E-2</v>
      </c>
      <c r="D3739">
        <v>7.1160000000000001E-2</v>
      </c>
      <c r="E3739">
        <v>0.5</v>
      </c>
      <c r="F3739">
        <v>41255</v>
      </c>
      <c r="G3739">
        <v>2936</v>
      </c>
      <c r="H3739">
        <v>39787</v>
      </c>
      <c r="I3739">
        <v>329141</v>
      </c>
    </row>
    <row r="3740" spans="1:9">
      <c r="A3740" s="2">
        <v>1983</v>
      </c>
      <c r="B3740">
        <v>73</v>
      </c>
      <c r="C3740">
        <v>7.9070000000000001E-2</v>
      </c>
      <c r="D3740">
        <v>7.6060000000000003E-2</v>
      </c>
      <c r="E3740">
        <v>0.5</v>
      </c>
      <c r="F3740">
        <v>38319</v>
      </c>
      <c r="G3740">
        <v>2915</v>
      </c>
      <c r="H3740">
        <v>36862</v>
      </c>
      <c r="I3740">
        <v>289354</v>
      </c>
    </row>
    <row r="3741" spans="1:9">
      <c r="A3741" s="2">
        <v>1983</v>
      </c>
      <c r="B3741">
        <v>74</v>
      </c>
      <c r="C3741">
        <v>8.6800000000000002E-2</v>
      </c>
      <c r="D3741">
        <v>8.319E-2</v>
      </c>
      <c r="E3741">
        <v>0.5</v>
      </c>
      <c r="F3741">
        <v>35404</v>
      </c>
      <c r="G3741">
        <v>2945</v>
      </c>
      <c r="H3741">
        <v>33932</v>
      </c>
      <c r="I3741">
        <v>252492</v>
      </c>
    </row>
    <row r="3742" spans="1:9">
      <c r="A3742" s="2">
        <v>1983</v>
      </c>
      <c r="B3742">
        <v>75</v>
      </c>
      <c r="C3742">
        <v>9.6149999999999999E-2</v>
      </c>
      <c r="D3742">
        <v>9.1740000000000002E-2</v>
      </c>
      <c r="E3742">
        <v>0.5</v>
      </c>
      <c r="F3742">
        <v>32459</v>
      </c>
      <c r="G3742">
        <v>2978</v>
      </c>
      <c r="H3742">
        <v>30970</v>
      </c>
      <c r="I3742">
        <v>218561</v>
      </c>
    </row>
    <row r="3743" spans="1:9">
      <c r="A3743" s="2">
        <v>1983</v>
      </c>
      <c r="B3743">
        <v>76</v>
      </c>
      <c r="C3743">
        <v>0.10503999999999999</v>
      </c>
      <c r="D3743">
        <v>9.98E-2</v>
      </c>
      <c r="E3743">
        <v>0.5</v>
      </c>
      <c r="F3743">
        <v>29481</v>
      </c>
      <c r="G3743">
        <v>2942</v>
      </c>
      <c r="H3743">
        <v>28010</v>
      </c>
      <c r="I3743">
        <v>187591</v>
      </c>
    </row>
    <row r="3744" spans="1:9">
      <c r="A3744" s="2">
        <v>1983</v>
      </c>
      <c r="B3744">
        <v>77</v>
      </c>
      <c r="C3744">
        <v>0.11267000000000001</v>
      </c>
      <c r="D3744">
        <v>0.10666</v>
      </c>
      <c r="E3744">
        <v>0.5</v>
      </c>
      <c r="F3744">
        <v>26539</v>
      </c>
      <c r="G3744">
        <v>2831</v>
      </c>
      <c r="H3744">
        <v>25124</v>
      </c>
      <c r="I3744">
        <v>159581</v>
      </c>
    </row>
    <row r="3745" spans="1:9">
      <c r="A3745" s="2">
        <v>1983</v>
      </c>
      <c r="B3745">
        <v>78</v>
      </c>
      <c r="C3745">
        <v>0.11719</v>
      </c>
      <c r="D3745">
        <v>0.11070000000000001</v>
      </c>
      <c r="E3745">
        <v>0.5</v>
      </c>
      <c r="F3745">
        <v>23708</v>
      </c>
      <c r="G3745">
        <v>2625</v>
      </c>
      <c r="H3745">
        <v>22396</v>
      </c>
      <c r="I3745">
        <v>134457</v>
      </c>
    </row>
    <row r="3746" spans="1:9">
      <c r="A3746" s="2">
        <v>1983</v>
      </c>
      <c r="B3746">
        <v>79</v>
      </c>
      <c r="C3746">
        <v>0.13356999999999999</v>
      </c>
      <c r="D3746">
        <v>0.12520000000000001</v>
      </c>
      <c r="E3746">
        <v>0.5</v>
      </c>
      <c r="F3746">
        <v>21084</v>
      </c>
      <c r="G3746">
        <v>2640</v>
      </c>
      <c r="H3746">
        <v>19764</v>
      </c>
      <c r="I3746">
        <v>112061</v>
      </c>
    </row>
    <row r="3747" spans="1:9">
      <c r="A3747" s="2">
        <v>1983</v>
      </c>
      <c r="B3747">
        <v>80</v>
      </c>
      <c r="C3747">
        <v>0.14648</v>
      </c>
      <c r="D3747">
        <v>0.13647999999999999</v>
      </c>
      <c r="E3747">
        <v>0.5</v>
      </c>
      <c r="F3747">
        <v>18444</v>
      </c>
      <c r="G3747">
        <v>2517</v>
      </c>
      <c r="H3747">
        <v>17185</v>
      </c>
      <c r="I3747">
        <v>92297</v>
      </c>
    </row>
    <row r="3748" spans="1:9">
      <c r="A3748" s="2">
        <v>1983</v>
      </c>
      <c r="B3748">
        <v>81</v>
      </c>
      <c r="C3748">
        <v>0.15751999999999999</v>
      </c>
      <c r="D3748">
        <v>0.14602000000000001</v>
      </c>
      <c r="E3748">
        <v>0.5</v>
      </c>
      <c r="F3748">
        <v>15927</v>
      </c>
      <c r="G3748">
        <v>2326</v>
      </c>
      <c r="H3748">
        <v>14764</v>
      </c>
      <c r="I3748">
        <v>75111</v>
      </c>
    </row>
    <row r="3749" spans="1:9">
      <c r="A3749" s="2">
        <v>1983</v>
      </c>
      <c r="B3749">
        <v>82</v>
      </c>
      <c r="C3749">
        <v>0.16971</v>
      </c>
      <c r="D3749">
        <v>0.15643000000000001</v>
      </c>
      <c r="E3749">
        <v>0.5</v>
      </c>
      <c r="F3749">
        <v>13601</v>
      </c>
      <c r="G3749">
        <v>2128</v>
      </c>
      <c r="H3749">
        <v>12537</v>
      </c>
      <c r="I3749">
        <v>60348</v>
      </c>
    </row>
    <row r="3750" spans="1:9">
      <c r="A3750" s="2">
        <v>1983</v>
      </c>
      <c r="B3750">
        <v>83</v>
      </c>
      <c r="C3750">
        <v>0.18459999999999999</v>
      </c>
      <c r="D3750">
        <v>0.16900000000000001</v>
      </c>
      <c r="E3750">
        <v>0.5</v>
      </c>
      <c r="F3750">
        <v>11474</v>
      </c>
      <c r="G3750">
        <v>1939</v>
      </c>
      <c r="H3750">
        <v>10504</v>
      </c>
      <c r="I3750">
        <v>47810</v>
      </c>
    </row>
    <row r="3751" spans="1:9">
      <c r="A3751" s="2">
        <v>1983</v>
      </c>
      <c r="B3751">
        <v>84</v>
      </c>
      <c r="C3751">
        <v>0.20449000000000001</v>
      </c>
      <c r="D3751">
        <v>0.18551999999999999</v>
      </c>
      <c r="E3751">
        <v>0.5</v>
      </c>
      <c r="F3751">
        <v>9534</v>
      </c>
      <c r="G3751">
        <v>1769</v>
      </c>
      <c r="H3751">
        <v>8650</v>
      </c>
      <c r="I3751">
        <v>37306</v>
      </c>
    </row>
    <row r="3752" spans="1:9">
      <c r="A3752" s="2">
        <v>1983</v>
      </c>
      <c r="B3752">
        <v>85</v>
      </c>
      <c r="C3752">
        <v>0.21865000000000001</v>
      </c>
      <c r="D3752">
        <v>0.1971</v>
      </c>
      <c r="E3752">
        <v>0.5</v>
      </c>
      <c r="F3752">
        <v>7766</v>
      </c>
      <c r="G3752">
        <v>1531</v>
      </c>
      <c r="H3752">
        <v>7000</v>
      </c>
      <c r="I3752">
        <v>28656</v>
      </c>
    </row>
    <row r="3753" spans="1:9">
      <c r="A3753" s="2">
        <v>1983</v>
      </c>
      <c r="B3753">
        <v>86</v>
      </c>
      <c r="C3753">
        <v>0.23315</v>
      </c>
      <c r="D3753">
        <v>0.20881</v>
      </c>
      <c r="E3753">
        <v>0.5</v>
      </c>
      <c r="F3753">
        <v>6235</v>
      </c>
      <c r="G3753">
        <v>1302</v>
      </c>
      <c r="H3753">
        <v>5584</v>
      </c>
      <c r="I3753">
        <v>21656</v>
      </c>
    </row>
    <row r="3754" spans="1:9">
      <c r="A3754" s="2">
        <v>1983</v>
      </c>
      <c r="B3754">
        <v>87</v>
      </c>
      <c r="C3754">
        <v>0.25656000000000001</v>
      </c>
      <c r="D3754">
        <v>0.22739000000000001</v>
      </c>
      <c r="E3754">
        <v>0.5</v>
      </c>
      <c r="F3754">
        <v>4933</v>
      </c>
      <c r="G3754">
        <v>1122</v>
      </c>
      <c r="H3754">
        <v>4372</v>
      </c>
      <c r="I3754">
        <v>16072</v>
      </c>
    </row>
    <row r="3755" spans="1:9">
      <c r="A3755" s="2">
        <v>1983</v>
      </c>
      <c r="B3755">
        <v>88</v>
      </c>
      <c r="C3755">
        <v>0.26404</v>
      </c>
      <c r="D3755">
        <v>0.23325000000000001</v>
      </c>
      <c r="E3755">
        <v>0.5</v>
      </c>
      <c r="F3755">
        <v>3811</v>
      </c>
      <c r="G3755">
        <v>889</v>
      </c>
      <c r="H3755">
        <v>3367</v>
      </c>
      <c r="I3755">
        <v>11700</v>
      </c>
    </row>
    <row r="3756" spans="1:9">
      <c r="A3756" s="2">
        <v>1983</v>
      </c>
      <c r="B3756">
        <v>89</v>
      </c>
      <c r="C3756">
        <v>0.30475000000000002</v>
      </c>
      <c r="D3756">
        <v>0.26445999999999997</v>
      </c>
      <c r="E3756">
        <v>0.5</v>
      </c>
      <c r="F3756">
        <v>2922</v>
      </c>
      <c r="G3756">
        <v>773</v>
      </c>
      <c r="H3756">
        <v>2536</v>
      </c>
      <c r="I3756">
        <v>8333</v>
      </c>
    </row>
    <row r="3757" spans="1:9">
      <c r="A3757" s="2">
        <v>1983</v>
      </c>
      <c r="B3757">
        <v>90</v>
      </c>
      <c r="C3757">
        <v>0.32755000000000001</v>
      </c>
      <c r="D3757">
        <v>0.28144999999999998</v>
      </c>
      <c r="E3757">
        <v>0.5</v>
      </c>
      <c r="F3757">
        <v>2150</v>
      </c>
      <c r="G3757">
        <v>605</v>
      </c>
      <c r="H3757">
        <v>1847</v>
      </c>
      <c r="I3757">
        <v>5797</v>
      </c>
    </row>
    <row r="3758" spans="1:9">
      <c r="A3758" s="2">
        <v>1983</v>
      </c>
      <c r="B3758">
        <v>91</v>
      </c>
      <c r="C3758">
        <v>0.36252000000000001</v>
      </c>
      <c r="D3758">
        <v>0.30689</v>
      </c>
      <c r="E3758">
        <v>0.5</v>
      </c>
      <c r="F3758">
        <v>1545</v>
      </c>
      <c r="G3758">
        <v>474</v>
      </c>
      <c r="H3758">
        <v>1308</v>
      </c>
      <c r="I3758">
        <v>3950</v>
      </c>
    </row>
    <row r="3759" spans="1:9">
      <c r="A3759" s="2">
        <v>1983</v>
      </c>
      <c r="B3759">
        <v>92</v>
      </c>
      <c r="C3759">
        <v>0.37</v>
      </c>
      <c r="D3759">
        <v>0.31224000000000002</v>
      </c>
      <c r="E3759">
        <v>0.5</v>
      </c>
      <c r="F3759">
        <v>1071</v>
      </c>
      <c r="G3759">
        <v>334</v>
      </c>
      <c r="H3759">
        <v>903</v>
      </c>
      <c r="I3759">
        <v>2642</v>
      </c>
    </row>
    <row r="3760" spans="1:9">
      <c r="A3760" s="2">
        <v>1983</v>
      </c>
      <c r="B3760">
        <v>93</v>
      </c>
      <c r="C3760">
        <v>0.36026999999999998</v>
      </c>
      <c r="D3760">
        <v>0.30528</v>
      </c>
      <c r="E3760">
        <v>0.5</v>
      </c>
      <c r="F3760">
        <v>736</v>
      </c>
      <c r="G3760">
        <v>225</v>
      </c>
      <c r="H3760">
        <v>624</v>
      </c>
      <c r="I3760">
        <v>1739</v>
      </c>
    </row>
    <row r="3761" spans="1:9">
      <c r="A3761" s="2">
        <v>1983</v>
      </c>
      <c r="B3761">
        <v>94</v>
      </c>
      <c r="C3761">
        <v>0.43686999999999998</v>
      </c>
      <c r="D3761">
        <v>0.35854999999999998</v>
      </c>
      <c r="E3761">
        <v>0.5</v>
      </c>
      <c r="F3761">
        <v>511</v>
      </c>
      <c r="G3761">
        <v>183</v>
      </c>
      <c r="H3761">
        <v>420</v>
      </c>
      <c r="I3761">
        <v>1115</v>
      </c>
    </row>
    <row r="3762" spans="1:9">
      <c r="A3762" s="2">
        <v>1983</v>
      </c>
      <c r="B3762">
        <v>95</v>
      </c>
      <c r="C3762">
        <v>0.43540000000000001</v>
      </c>
      <c r="D3762">
        <v>0.35755999999999999</v>
      </c>
      <c r="E3762">
        <v>0.5</v>
      </c>
      <c r="F3762">
        <v>328</v>
      </c>
      <c r="G3762">
        <v>117</v>
      </c>
      <c r="H3762">
        <v>269</v>
      </c>
      <c r="I3762">
        <v>695</v>
      </c>
    </row>
    <row r="3763" spans="1:9">
      <c r="A3763" s="2">
        <v>1983</v>
      </c>
      <c r="B3763">
        <v>96</v>
      </c>
      <c r="C3763">
        <v>0.46039999999999998</v>
      </c>
      <c r="D3763">
        <v>0.37425000000000003</v>
      </c>
      <c r="E3763">
        <v>0.5</v>
      </c>
      <c r="F3763">
        <v>211</v>
      </c>
      <c r="G3763">
        <v>79</v>
      </c>
      <c r="H3763">
        <v>171</v>
      </c>
      <c r="I3763">
        <v>426</v>
      </c>
    </row>
    <row r="3764" spans="1:9">
      <c r="A3764" s="2">
        <v>1983</v>
      </c>
      <c r="B3764">
        <v>97</v>
      </c>
      <c r="C3764">
        <v>0.48559999999999998</v>
      </c>
      <c r="D3764">
        <v>0.39073000000000002</v>
      </c>
      <c r="E3764">
        <v>0.5</v>
      </c>
      <c r="F3764">
        <v>132</v>
      </c>
      <c r="G3764">
        <v>52</v>
      </c>
      <c r="H3764">
        <v>106</v>
      </c>
      <c r="I3764">
        <v>255</v>
      </c>
    </row>
    <row r="3765" spans="1:9">
      <c r="A3765" s="2">
        <v>1983</v>
      </c>
      <c r="B3765">
        <v>98</v>
      </c>
      <c r="C3765">
        <v>0.51087000000000005</v>
      </c>
      <c r="D3765">
        <v>0.40693000000000001</v>
      </c>
      <c r="E3765">
        <v>0.5</v>
      </c>
      <c r="F3765">
        <v>80</v>
      </c>
      <c r="G3765">
        <v>33</v>
      </c>
      <c r="H3765">
        <v>64</v>
      </c>
      <c r="I3765">
        <v>148</v>
      </c>
    </row>
    <row r="3766" spans="1:9">
      <c r="A3766" s="2">
        <v>1983</v>
      </c>
      <c r="B3766">
        <v>99</v>
      </c>
      <c r="C3766">
        <v>0.53608999999999996</v>
      </c>
      <c r="D3766">
        <v>0.42276999999999998</v>
      </c>
      <c r="E3766">
        <v>0.5</v>
      </c>
      <c r="F3766">
        <v>48</v>
      </c>
      <c r="G3766">
        <v>20</v>
      </c>
      <c r="H3766">
        <v>38</v>
      </c>
      <c r="I3766">
        <v>84</v>
      </c>
    </row>
    <row r="3767" spans="1:9">
      <c r="A3767" s="2">
        <v>1983</v>
      </c>
      <c r="B3767">
        <v>100</v>
      </c>
      <c r="C3767">
        <v>0.56111999999999995</v>
      </c>
      <c r="D3767">
        <v>0.43819000000000002</v>
      </c>
      <c r="E3767">
        <v>0.5</v>
      </c>
      <c r="F3767">
        <v>28</v>
      </c>
      <c r="G3767">
        <v>12</v>
      </c>
      <c r="H3767">
        <v>21</v>
      </c>
      <c r="I3767">
        <v>47</v>
      </c>
    </row>
    <row r="3768" spans="1:9">
      <c r="A3768" s="2">
        <v>1983</v>
      </c>
      <c r="B3768">
        <v>101</v>
      </c>
      <c r="C3768">
        <v>0.58584999999999998</v>
      </c>
      <c r="D3768">
        <v>0.45312000000000002</v>
      </c>
      <c r="E3768">
        <v>0.5</v>
      </c>
      <c r="F3768">
        <v>15</v>
      </c>
      <c r="G3768">
        <v>7</v>
      </c>
      <c r="H3768">
        <v>12</v>
      </c>
      <c r="I3768">
        <v>25</v>
      </c>
    </row>
    <row r="3769" spans="1:9">
      <c r="A3769" s="2">
        <v>1983</v>
      </c>
      <c r="B3769">
        <v>102</v>
      </c>
      <c r="C3769">
        <v>0.61014999999999997</v>
      </c>
      <c r="D3769">
        <v>0.46751999999999999</v>
      </c>
      <c r="E3769">
        <v>0.5</v>
      </c>
      <c r="F3769">
        <v>8</v>
      </c>
      <c r="G3769">
        <v>4</v>
      </c>
      <c r="H3769">
        <v>6</v>
      </c>
      <c r="I3769">
        <v>13</v>
      </c>
    </row>
    <row r="3770" spans="1:9">
      <c r="A3770" s="2">
        <v>1983</v>
      </c>
      <c r="B3770">
        <v>103</v>
      </c>
      <c r="C3770">
        <v>0.63392000000000004</v>
      </c>
      <c r="D3770">
        <v>0.48135</v>
      </c>
      <c r="E3770">
        <v>0.5</v>
      </c>
      <c r="F3770">
        <v>5</v>
      </c>
      <c r="G3770">
        <v>2</v>
      </c>
      <c r="H3770">
        <v>3</v>
      </c>
      <c r="I3770">
        <v>7</v>
      </c>
    </row>
    <row r="3771" spans="1:9">
      <c r="A3771" s="2">
        <v>1983</v>
      </c>
      <c r="B3771">
        <v>104</v>
      </c>
      <c r="C3771">
        <v>0.65705000000000002</v>
      </c>
      <c r="D3771">
        <v>0.49457000000000001</v>
      </c>
      <c r="E3771">
        <v>0.5</v>
      </c>
      <c r="F3771">
        <v>2</v>
      </c>
      <c r="G3771">
        <v>1</v>
      </c>
      <c r="H3771">
        <v>2</v>
      </c>
      <c r="I3771">
        <v>3</v>
      </c>
    </row>
    <row r="3772" spans="1:9">
      <c r="A3772" s="2">
        <v>1983</v>
      </c>
      <c r="B3772">
        <v>105</v>
      </c>
      <c r="C3772">
        <v>0.67945999999999995</v>
      </c>
      <c r="D3772">
        <v>0.50716000000000006</v>
      </c>
      <c r="E3772">
        <v>0.5</v>
      </c>
      <c r="F3772">
        <v>1</v>
      </c>
      <c r="G3772">
        <v>1</v>
      </c>
      <c r="H3772">
        <v>1</v>
      </c>
      <c r="I3772">
        <v>2</v>
      </c>
    </row>
    <row r="3773" spans="1:9">
      <c r="A3773" s="2">
        <v>1983</v>
      </c>
      <c r="B3773">
        <v>106</v>
      </c>
      <c r="C3773">
        <v>0.70106999999999997</v>
      </c>
      <c r="D3773">
        <v>0.51910999999999996</v>
      </c>
      <c r="E3773">
        <v>0.5</v>
      </c>
      <c r="F3773">
        <v>1</v>
      </c>
      <c r="G3773">
        <v>0</v>
      </c>
      <c r="H3773">
        <v>0</v>
      </c>
      <c r="I3773">
        <v>1</v>
      </c>
    </row>
    <row r="3774" spans="1:9">
      <c r="A3774" s="2">
        <v>1983</v>
      </c>
      <c r="B3774">
        <v>107</v>
      </c>
      <c r="C3774">
        <v>0.72182999999999997</v>
      </c>
      <c r="D3774">
        <v>0.53039999999999998</v>
      </c>
      <c r="E3774">
        <v>0.5</v>
      </c>
      <c r="F3774">
        <v>0</v>
      </c>
      <c r="G3774">
        <v>0</v>
      </c>
      <c r="H3774">
        <v>0</v>
      </c>
      <c r="I3774">
        <v>0</v>
      </c>
    </row>
    <row r="3775" spans="1:9">
      <c r="A3775" s="2">
        <v>1983</v>
      </c>
      <c r="B3775">
        <v>108</v>
      </c>
      <c r="C3775">
        <v>0.74167000000000005</v>
      </c>
      <c r="D3775">
        <v>0.54103000000000001</v>
      </c>
      <c r="E3775">
        <v>0.5</v>
      </c>
      <c r="F3775">
        <v>0</v>
      </c>
      <c r="G3775">
        <v>0</v>
      </c>
      <c r="H3775">
        <v>0</v>
      </c>
      <c r="I3775">
        <v>0</v>
      </c>
    </row>
    <row r="3776" spans="1:9">
      <c r="A3776" s="2">
        <v>1983</v>
      </c>
      <c r="B3776">
        <v>109</v>
      </c>
      <c r="C3776">
        <v>0.76056000000000001</v>
      </c>
      <c r="D3776">
        <v>0.55101999999999995</v>
      </c>
      <c r="E3776">
        <v>0.5</v>
      </c>
      <c r="F3776">
        <v>0</v>
      </c>
      <c r="G3776">
        <v>0</v>
      </c>
      <c r="H3776">
        <v>0</v>
      </c>
      <c r="I3776">
        <v>0</v>
      </c>
    </row>
    <row r="3777" spans="1:9">
      <c r="A3777" s="2">
        <v>1983</v>
      </c>
      <c r="B3777" t="s">
        <v>26</v>
      </c>
      <c r="C3777">
        <v>0.77849000000000002</v>
      </c>
      <c r="D3777">
        <v>1</v>
      </c>
      <c r="E3777" s="3" t="s">
        <v>41</v>
      </c>
      <c r="F3777">
        <v>0</v>
      </c>
      <c r="G3777">
        <v>0</v>
      </c>
      <c r="H3777">
        <v>0</v>
      </c>
      <c r="I3777">
        <v>0</v>
      </c>
    </row>
    <row r="3778" spans="1:9">
      <c r="A3778" s="2">
        <v>1984</v>
      </c>
      <c r="B3778">
        <v>0</v>
      </c>
      <c r="C3778">
        <v>2.2929999999999999E-2</v>
      </c>
      <c r="D3778">
        <v>2.247E-2</v>
      </c>
      <c r="E3778">
        <v>0.1</v>
      </c>
      <c r="F3778">
        <v>100000</v>
      </c>
      <c r="G3778">
        <v>2247</v>
      </c>
      <c r="H3778">
        <v>97985</v>
      </c>
      <c r="I3778">
        <v>6497800</v>
      </c>
    </row>
    <row r="3779" spans="1:9">
      <c r="A3779" s="2">
        <v>1984</v>
      </c>
      <c r="B3779">
        <v>1</v>
      </c>
      <c r="C3779">
        <v>9.2000000000000003E-4</v>
      </c>
      <c r="D3779">
        <v>9.2000000000000003E-4</v>
      </c>
      <c r="E3779">
        <v>0.5</v>
      </c>
      <c r="F3779">
        <v>97753</v>
      </c>
      <c r="G3779">
        <v>90</v>
      </c>
      <c r="H3779">
        <v>97708</v>
      </c>
      <c r="I3779">
        <v>6399815</v>
      </c>
    </row>
    <row r="3780" spans="1:9">
      <c r="A3780" s="2">
        <v>1984</v>
      </c>
      <c r="B3780">
        <v>2</v>
      </c>
      <c r="C3780">
        <v>6.0999999999999997E-4</v>
      </c>
      <c r="D3780">
        <v>6.0999999999999997E-4</v>
      </c>
      <c r="E3780">
        <v>0.5</v>
      </c>
      <c r="F3780">
        <v>97663</v>
      </c>
      <c r="G3780">
        <v>60</v>
      </c>
      <c r="H3780">
        <v>97633</v>
      </c>
      <c r="I3780">
        <v>6302107</v>
      </c>
    </row>
    <row r="3781" spans="1:9">
      <c r="A3781" s="2">
        <v>1984</v>
      </c>
      <c r="B3781">
        <v>3</v>
      </c>
      <c r="C3781">
        <v>4.4000000000000002E-4</v>
      </c>
      <c r="D3781">
        <v>4.4000000000000002E-4</v>
      </c>
      <c r="E3781">
        <v>0.5</v>
      </c>
      <c r="F3781">
        <v>97603</v>
      </c>
      <c r="G3781">
        <v>43</v>
      </c>
      <c r="H3781">
        <v>97582</v>
      </c>
      <c r="I3781">
        <v>6204474</v>
      </c>
    </row>
    <row r="3782" spans="1:9">
      <c r="A3782" s="2">
        <v>1984</v>
      </c>
      <c r="B3782">
        <v>4</v>
      </c>
      <c r="C3782">
        <v>2.2000000000000001E-4</v>
      </c>
      <c r="D3782">
        <v>2.2000000000000001E-4</v>
      </c>
      <c r="E3782">
        <v>0.5</v>
      </c>
      <c r="F3782">
        <v>97560</v>
      </c>
      <c r="G3782">
        <v>21</v>
      </c>
      <c r="H3782">
        <v>97549</v>
      </c>
      <c r="I3782">
        <v>6106892</v>
      </c>
    </row>
    <row r="3783" spans="1:9">
      <c r="A3783" s="2">
        <v>1984</v>
      </c>
      <c r="B3783">
        <v>5</v>
      </c>
      <c r="C3783">
        <v>3.8999999999999999E-4</v>
      </c>
      <c r="D3783">
        <v>3.8999999999999999E-4</v>
      </c>
      <c r="E3783">
        <v>0.5</v>
      </c>
      <c r="F3783">
        <v>97539</v>
      </c>
      <c r="G3783">
        <v>38</v>
      </c>
      <c r="H3783">
        <v>97520</v>
      </c>
      <c r="I3783">
        <v>6009343</v>
      </c>
    </row>
    <row r="3784" spans="1:9">
      <c r="A3784" s="2">
        <v>1984</v>
      </c>
      <c r="B3784">
        <v>6</v>
      </c>
      <c r="C3784">
        <v>2.7E-4</v>
      </c>
      <c r="D3784">
        <v>2.7E-4</v>
      </c>
      <c r="E3784">
        <v>0.5</v>
      </c>
      <c r="F3784">
        <v>97501</v>
      </c>
      <c r="G3784">
        <v>26</v>
      </c>
      <c r="H3784">
        <v>97488</v>
      </c>
      <c r="I3784">
        <v>5911823</v>
      </c>
    </row>
    <row r="3785" spans="1:9">
      <c r="A3785" s="2">
        <v>1984</v>
      </c>
      <c r="B3785">
        <v>7</v>
      </c>
      <c r="C3785">
        <v>2.9999999999999997E-4</v>
      </c>
      <c r="D3785">
        <v>2.9999999999999997E-4</v>
      </c>
      <c r="E3785">
        <v>0.5</v>
      </c>
      <c r="F3785">
        <v>97475</v>
      </c>
      <c r="G3785">
        <v>29</v>
      </c>
      <c r="H3785">
        <v>97460</v>
      </c>
      <c r="I3785">
        <v>5814336</v>
      </c>
    </row>
    <row r="3786" spans="1:9">
      <c r="A3786" s="2">
        <v>1984</v>
      </c>
      <c r="B3786">
        <v>8</v>
      </c>
      <c r="C3786">
        <v>2.4000000000000001E-4</v>
      </c>
      <c r="D3786">
        <v>2.4000000000000001E-4</v>
      </c>
      <c r="E3786">
        <v>0.5</v>
      </c>
      <c r="F3786">
        <v>97445</v>
      </c>
      <c r="G3786">
        <v>24</v>
      </c>
      <c r="H3786">
        <v>97434</v>
      </c>
      <c r="I3786">
        <v>5716876</v>
      </c>
    </row>
    <row r="3787" spans="1:9">
      <c r="A3787" s="2">
        <v>1984</v>
      </c>
      <c r="B3787">
        <v>9</v>
      </c>
      <c r="C3787">
        <v>2.3000000000000001E-4</v>
      </c>
      <c r="D3787">
        <v>2.3000000000000001E-4</v>
      </c>
      <c r="E3787">
        <v>0.5</v>
      </c>
      <c r="F3787">
        <v>97422</v>
      </c>
      <c r="G3787">
        <v>22</v>
      </c>
      <c r="H3787">
        <v>97411</v>
      </c>
      <c r="I3787">
        <v>5619442</v>
      </c>
    </row>
    <row r="3788" spans="1:9">
      <c r="A3788" s="2">
        <v>1984</v>
      </c>
      <c r="B3788">
        <v>10</v>
      </c>
      <c r="C3788">
        <v>3.3E-4</v>
      </c>
      <c r="D3788">
        <v>3.3E-4</v>
      </c>
      <c r="E3788">
        <v>0.5</v>
      </c>
      <c r="F3788">
        <v>97400</v>
      </c>
      <c r="G3788">
        <v>32</v>
      </c>
      <c r="H3788">
        <v>97383</v>
      </c>
      <c r="I3788">
        <v>5522032</v>
      </c>
    </row>
    <row r="3789" spans="1:9">
      <c r="A3789" s="2">
        <v>1984</v>
      </c>
      <c r="B3789">
        <v>11</v>
      </c>
      <c r="C3789">
        <v>2.2000000000000001E-4</v>
      </c>
      <c r="D3789">
        <v>2.2000000000000001E-4</v>
      </c>
      <c r="E3789">
        <v>0.5</v>
      </c>
      <c r="F3789">
        <v>97367</v>
      </c>
      <c r="G3789">
        <v>21</v>
      </c>
      <c r="H3789">
        <v>97356</v>
      </c>
      <c r="I3789">
        <v>5424648</v>
      </c>
    </row>
    <row r="3790" spans="1:9">
      <c r="A3790" s="2">
        <v>1984</v>
      </c>
      <c r="B3790">
        <v>12</v>
      </c>
      <c r="C3790">
        <v>3.5E-4</v>
      </c>
      <c r="D3790">
        <v>3.5E-4</v>
      </c>
      <c r="E3790">
        <v>0.5</v>
      </c>
      <c r="F3790">
        <v>97346</v>
      </c>
      <c r="G3790">
        <v>34</v>
      </c>
      <c r="H3790">
        <v>97329</v>
      </c>
      <c r="I3790">
        <v>5327292</v>
      </c>
    </row>
    <row r="3791" spans="1:9">
      <c r="A3791" s="2">
        <v>1984</v>
      </c>
      <c r="B3791">
        <v>13</v>
      </c>
      <c r="C3791">
        <v>4.2000000000000002E-4</v>
      </c>
      <c r="D3791">
        <v>4.2000000000000002E-4</v>
      </c>
      <c r="E3791">
        <v>0.5</v>
      </c>
      <c r="F3791">
        <v>97312</v>
      </c>
      <c r="G3791">
        <v>41</v>
      </c>
      <c r="H3791">
        <v>97291</v>
      </c>
      <c r="I3791">
        <v>5229963</v>
      </c>
    </row>
    <row r="3792" spans="1:9">
      <c r="A3792" s="2">
        <v>1984</v>
      </c>
      <c r="B3792">
        <v>14</v>
      </c>
      <c r="C3792">
        <v>3.8000000000000002E-4</v>
      </c>
      <c r="D3792">
        <v>3.8000000000000002E-4</v>
      </c>
      <c r="E3792">
        <v>0.5</v>
      </c>
      <c r="F3792">
        <v>97271</v>
      </c>
      <c r="G3792">
        <v>37</v>
      </c>
      <c r="H3792">
        <v>97252</v>
      </c>
      <c r="I3792">
        <v>5132672</v>
      </c>
    </row>
    <row r="3793" spans="1:9">
      <c r="A3793" s="2">
        <v>1984</v>
      </c>
      <c r="B3793">
        <v>15</v>
      </c>
      <c r="C3793">
        <v>5.2999999999999998E-4</v>
      </c>
      <c r="D3793">
        <v>5.2999999999999998E-4</v>
      </c>
      <c r="E3793">
        <v>0.5</v>
      </c>
      <c r="F3793">
        <v>97234</v>
      </c>
      <c r="G3793">
        <v>51</v>
      </c>
      <c r="H3793">
        <v>97208</v>
      </c>
      <c r="I3793">
        <v>5035419</v>
      </c>
    </row>
    <row r="3794" spans="1:9">
      <c r="A3794" s="2">
        <v>1984</v>
      </c>
      <c r="B3794">
        <v>16</v>
      </c>
      <c r="C3794">
        <v>8.0000000000000004E-4</v>
      </c>
      <c r="D3794">
        <v>8.0000000000000004E-4</v>
      </c>
      <c r="E3794">
        <v>0.5</v>
      </c>
      <c r="F3794">
        <v>97182</v>
      </c>
      <c r="G3794">
        <v>78</v>
      </c>
      <c r="H3794">
        <v>97143</v>
      </c>
      <c r="I3794">
        <v>4938212</v>
      </c>
    </row>
    <row r="3795" spans="1:9">
      <c r="A3795" s="2">
        <v>1984</v>
      </c>
      <c r="B3795">
        <v>17</v>
      </c>
      <c r="C3795">
        <v>1.01E-3</v>
      </c>
      <c r="D3795">
        <v>1.01E-3</v>
      </c>
      <c r="E3795">
        <v>0.5</v>
      </c>
      <c r="F3795">
        <v>97104</v>
      </c>
      <c r="G3795">
        <v>98</v>
      </c>
      <c r="H3795">
        <v>97056</v>
      </c>
      <c r="I3795">
        <v>4841068</v>
      </c>
    </row>
    <row r="3796" spans="1:9">
      <c r="A3796" s="2">
        <v>1984</v>
      </c>
      <c r="B3796">
        <v>18</v>
      </c>
      <c r="C3796">
        <v>1.15E-3</v>
      </c>
      <c r="D3796">
        <v>1.15E-3</v>
      </c>
      <c r="E3796">
        <v>0.5</v>
      </c>
      <c r="F3796">
        <v>97007</v>
      </c>
      <c r="G3796">
        <v>112</v>
      </c>
      <c r="H3796">
        <v>96951</v>
      </c>
      <c r="I3796">
        <v>4744013</v>
      </c>
    </row>
    <row r="3797" spans="1:9">
      <c r="A3797" s="2">
        <v>1984</v>
      </c>
      <c r="B3797">
        <v>19</v>
      </c>
      <c r="C3797">
        <v>1.3799999999999999E-3</v>
      </c>
      <c r="D3797">
        <v>1.3799999999999999E-3</v>
      </c>
      <c r="E3797">
        <v>0.5</v>
      </c>
      <c r="F3797">
        <v>96895</v>
      </c>
      <c r="G3797">
        <v>134</v>
      </c>
      <c r="H3797">
        <v>96828</v>
      </c>
      <c r="I3797">
        <v>4647062</v>
      </c>
    </row>
    <row r="3798" spans="1:9">
      <c r="A3798" s="2">
        <v>1984</v>
      </c>
      <c r="B3798">
        <v>20</v>
      </c>
      <c r="C3798">
        <v>1.6800000000000001E-3</v>
      </c>
      <c r="D3798">
        <v>1.6800000000000001E-3</v>
      </c>
      <c r="E3798">
        <v>0.5</v>
      </c>
      <c r="F3798">
        <v>96761</v>
      </c>
      <c r="G3798">
        <v>163</v>
      </c>
      <c r="H3798">
        <v>96680</v>
      </c>
      <c r="I3798">
        <v>4550234</v>
      </c>
    </row>
    <row r="3799" spans="1:9">
      <c r="A3799" s="2">
        <v>1984</v>
      </c>
      <c r="B3799">
        <v>21</v>
      </c>
      <c r="C3799">
        <v>1.33E-3</v>
      </c>
      <c r="D3799">
        <v>1.33E-3</v>
      </c>
      <c r="E3799">
        <v>0.5</v>
      </c>
      <c r="F3799">
        <v>96598</v>
      </c>
      <c r="G3799">
        <v>128</v>
      </c>
      <c r="H3799">
        <v>96534</v>
      </c>
      <c r="I3799">
        <v>4453554</v>
      </c>
    </row>
    <row r="3800" spans="1:9">
      <c r="A3800" s="2">
        <v>1984</v>
      </c>
      <c r="B3800">
        <v>22</v>
      </c>
      <c r="C3800">
        <v>1.34E-3</v>
      </c>
      <c r="D3800">
        <v>1.34E-3</v>
      </c>
      <c r="E3800">
        <v>0.5</v>
      </c>
      <c r="F3800">
        <v>96470</v>
      </c>
      <c r="G3800">
        <v>130</v>
      </c>
      <c r="H3800">
        <v>96405</v>
      </c>
      <c r="I3800">
        <v>4357020</v>
      </c>
    </row>
    <row r="3801" spans="1:9">
      <c r="A3801" s="2">
        <v>1984</v>
      </c>
      <c r="B3801">
        <v>23</v>
      </c>
      <c r="C3801">
        <v>1.58E-3</v>
      </c>
      <c r="D3801">
        <v>1.58E-3</v>
      </c>
      <c r="E3801">
        <v>0.5</v>
      </c>
      <c r="F3801">
        <v>96341</v>
      </c>
      <c r="G3801">
        <v>152</v>
      </c>
      <c r="H3801">
        <v>96265</v>
      </c>
      <c r="I3801">
        <v>4260614</v>
      </c>
    </row>
    <row r="3802" spans="1:9">
      <c r="A3802" s="2">
        <v>1984</v>
      </c>
      <c r="B3802">
        <v>24</v>
      </c>
      <c r="C3802">
        <v>1.83E-3</v>
      </c>
      <c r="D3802">
        <v>1.82E-3</v>
      </c>
      <c r="E3802">
        <v>0.5</v>
      </c>
      <c r="F3802">
        <v>96188</v>
      </c>
      <c r="G3802">
        <v>175</v>
      </c>
      <c r="H3802">
        <v>96101</v>
      </c>
      <c r="I3802">
        <v>4164350</v>
      </c>
    </row>
    <row r="3803" spans="1:9">
      <c r="A3803" s="2">
        <v>1984</v>
      </c>
      <c r="B3803">
        <v>25</v>
      </c>
      <c r="C3803">
        <v>1.9400000000000001E-3</v>
      </c>
      <c r="D3803">
        <v>1.9400000000000001E-3</v>
      </c>
      <c r="E3803">
        <v>0.5</v>
      </c>
      <c r="F3803">
        <v>96013</v>
      </c>
      <c r="G3803">
        <v>186</v>
      </c>
      <c r="H3803">
        <v>95920</v>
      </c>
      <c r="I3803">
        <v>4068249</v>
      </c>
    </row>
    <row r="3804" spans="1:9">
      <c r="A3804" s="2">
        <v>1984</v>
      </c>
      <c r="B3804">
        <v>26</v>
      </c>
      <c r="C3804">
        <v>1.7600000000000001E-3</v>
      </c>
      <c r="D3804">
        <v>1.7600000000000001E-3</v>
      </c>
      <c r="E3804">
        <v>0.5</v>
      </c>
      <c r="F3804">
        <v>95827</v>
      </c>
      <c r="G3804">
        <v>168</v>
      </c>
      <c r="H3804">
        <v>95742</v>
      </c>
      <c r="I3804">
        <v>3972330</v>
      </c>
    </row>
    <row r="3805" spans="1:9">
      <c r="A3805" s="2">
        <v>1984</v>
      </c>
      <c r="B3805">
        <v>27</v>
      </c>
      <c r="C3805">
        <v>1.81E-3</v>
      </c>
      <c r="D3805">
        <v>1.81E-3</v>
      </c>
      <c r="E3805">
        <v>0.5</v>
      </c>
      <c r="F3805">
        <v>95658</v>
      </c>
      <c r="G3805">
        <v>173</v>
      </c>
      <c r="H3805">
        <v>95572</v>
      </c>
      <c r="I3805">
        <v>3876587</v>
      </c>
    </row>
    <row r="3806" spans="1:9">
      <c r="A3806" s="2">
        <v>1984</v>
      </c>
      <c r="B3806">
        <v>28</v>
      </c>
      <c r="C3806">
        <v>1.91E-3</v>
      </c>
      <c r="D3806">
        <v>1.91E-3</v>
      </c>
      <c r="E3806">
        <v>0.5</v>
      </c>
      <c r="F3806">
        <v>95485</v>
      </c>
      <c r="G3806">
        <v>183</v>
      </c>
      <c r="H3806">
        <v>95394</v>
      </c>
      <c r="I3806">
        <v>3781015</v>
      </c>
    </row>
    <row r="3807" spans="1:9">
      <c r="A3807" s="2">
        <v>1984</v>
      </c>
      <c r="B3807">
        <v>29</v>
      </c>
      <c r="C3807">
        <v>2.2399999999999998E-3</v>
      </c>
      <c r="D3807">
        <v>2.2399999999999998E-3</v>
      </c>
      <c r="E3807">
        <v>0.5</v>
      </c>
      <c r="F3807">
        <v>95303</v>
      </c>
      <c r="G3807">
        <v>213</v>
      </c>
      <c r="H3807">
        <v>95196</v>
      </c>
      <c r="I3807">
        <v>3685621</v>
      </c>
    </row>
    <row r="3808" spans="1:9">
      <c r="A3808" s="2">
        <v>1984</v>
      </c>
      <c r="B3808">
        <v>30</v>
      </c>
      <c r="C3808">
        <v>2.1299999999999999E-3</v>
      </c>
      <c r="D3808">
        <v>2.1299999999999999E-3</v>
      </c>
      <c r="E3808">
        <v>0.5</v>
      </c>
      <c r="F3808">
        <v>95090</v>
      </c>
      <c r="G3808">
        <v>203</v>
      </c>
      <c r="H3808">
        <v>94988</v>
      </c>
      <c r="I3808">
        <v>3590425</v>
      </c>
    </row>
    <row r="3809" spans="1:9">
      <c r="A3809" s="2">
        <v>1984</v>
      </c>
      <c r="B3809">
        <v>31</v>
      </c>
      <c r="C3809">
        <v>2.5600000000000002E-3</v>
      </c>
      <c r="D3809">
        <v>2.5600000000000002E-3</v>
      </c>
      <c r="E3809">
        <v>0.5</v>
      </c>
      <c r="F3809">
        <v>94887</v>
      </c>
      <c r="G3809">
        <v>243</v>
      </c>
      <c r="H3809">
        <v>94766</v>
      </c>
      <c r="I3809">
        <v>3495437</v>
      </c>
    </row>
    <row r="3810" spans="1:9">
      <c r="A3810" s="2">
        <v>1984</v>
      </c>
      <c r="B3810">
        <v>32</v>
      </c>
      <c r="C3810">
        <v>2.9299999999999999E-3</v>
      </c>
      <c r="D3810">
        <v>2.9299999999999999E-3</v>
      </c>
      <c r="E3810">
        <v>0.5</v>
      </c>
      <c r="F3810">
        <v>94644</v>
      </c>
      <c r="G3810">
        <v>277</v>
      </c>
      <c r="H3810">
        <v>94506</v>
      </c>
      <c r="I3810">
        <v>3400671</v>
      </c>
    </row>
    <row r="3811" spans="1:9">
      <c r="A3811" s="2">
        <v>1984</v>
      </c>
      <c r="B3811">
        <v>33</v>
      </c>
      <c r="C3811">
        <v>3.14E-3</v>
      </c>
      <c r="D3811">
        <v>3.14E-3</v>
      </c>
      <c r="E3811">
        <v>0.5</v>
      </c>
      <c r="F3811">
        <v>94367</v>
      </c>
      <c r="G3811">
        <v>296</v>
      </c>
      <c r="H3811">
        <v>94219</v>
      </c>
      <c r="I3811">
        <v>3306165</v>
      </c>
    </row>
    <row r="3812" spans="1:9">
      <c r="A3812" s="2">
        <v>1984</v>
      </c>
      <c r="B3812">
        <v>34</v>
      </c>
      <c r="C3812">
        <v>3.5300000000000002E-3</v>
      </c>
      <c r="D3812">
        <v>3.5300000000000002E-3</v>
      </c>
      <c r="E3812">
        <v>0.5</v>
      </c>
      <c r="F3812">
        <v>94071</v>
      </c>
      <c r="G3812">
        <v>332</v>
      </c>
      <c r="H3812">
        <v>93905</v>
      </c>
      <c r="I3812">
        <v>3211946</v>
      </c>
    </row>
    <row r="3813" spans="1:9">
      <c r="A3813" s="2">
        <v>1984</v>
      </c>
      <c r="B3813">
        <v>35</v>
      </c>
      <c r="C3813">
        <v>3.5599999999999998E-3</v>
      </c>
      <c r="D3813">
        <v>3.5500000000000002E-3</v>
      </c>
      <c r="E3813">
        <v>0.5</v>
      </c>
      <c r="F3813">
        <v>93739</v>
      </c>
      <c r="G3813">
        <v>333</v>
      </c>
      <c r="H3813">
        <v>93573</v>
      </c>
      <c r="I3813">
        <v>3118041</v>
      </c>
    </row>
    <row r="3814" spans="1:9">
      <c r="A3814" s="2">
        <v>1984</v>
      </c>
      <c r="B3814">
        <v>36</v>
      </c>
      <c r="C3814">
        <v>3.8400000000000001E-3</v>
      </c>
      <c r="D3814">
        <v>3.8300000000000001E-3</v>
      </c>
      <c r="E3814">
        <v>0.5</v>
      </c>
      <c r="F3814">
        <v>93406</v>
      </c>
      <c r="G3814">
        <v>358</v>
      </c>
      <c r="H3814">
        <v>93227</v>
      </c>
      <c r="I3814">
        <v>3024468</v>
      </c>
    </row>
    <row r="3815" spans="1:9">
      <c r="A3815" s="2">
        <v>1984</v>
      </c>
      <c r="B3815">
        <v>37</v>
      </c>
      <c r="C3815">
        <v>4.4900000000000001E-3</v>
      </c>
      <c r="D3815">
        <v>4.4799999999999996E-3</v>
      </c>
      <c r="E3815">
        <v>0.5</v>
      </c>
      <c r="F3815">
        <v>93048</v>
      </c>
      <c r="G3815">
        <v>417</v>
      </c>
      <c r="H3815">
        <v>92840</v>
      </c>
      <c r="I3815">
        <v>2931241</v>
      </c>
    </row>
    <row r="3816" spans="1:9">
      <c r="A3816" s="2">
        <v>1984</v>
      </c>
      <c r="B3816">
        <v>38</v>
      </c>
      <c r="C3816">
        <v>4.7800000000000004E-3</v>
      </c>
      <c r="D3816">
        <v>4.7699999999999999E-3</v>
      </c>
      <c r="E3816">
        <v>0.5</v>
      </c>
      <c r="F3816">
        <v>92631</v>
      </c>
      <c r="G3816">
        <v>442</v>
      </c>
      <c r="H3816">
        <v>92410</v>
      </c>
      <c r="I3816">
        <v>2838401</v>
      </c>
    </row>
    <row r="3817" spans="1:9">
      <c r="A3817" s="2">
        <v>1984</v>
      </c>
      <c r="B3817">
        <v>39</v>
      </c>
      <c r="C3817">
        <v>5.2399999999999999E-3</v>
      </c>
      <c r="D3817">
        <v>5.2300000000000003E-3</v>
      </c>
      <c r="E3817">
        <v>0.5</v>
      </c>
      <c r="F3817">
        <v>92189</v>
      </c>
      <c r="G3817">
        <v>482</v>
      </c>
      <c r="H3817">
        <v>91948</v>
      </c>
      <c r="I3817">
        <v>2745990</v>
      </c>
    </row>
    <row r="3818" spans="1:9">
      <c r="A3818" s="2">
        <v>1984</v>
      </c>
      <c r="B3818">
        <v>40</v>
      </c>
      <c r="C3818">
        <v>6.28E-3</v>
      </c>
      <c r="D3818">
        <v>6.2599999999999999E-3</v>
      </c>
      <c r="E3818">
        <v>0.5</v>
      </c>
      <c r="F3818">
        <v>91707</v>
      </c>
      <c r="G3818">
        <v>574</v>
      </c>
      <c r="H3818">
        <v>91420</v>
      </c>
      <c r="I3818">
        <v>2654042</v>
      </c>
    </row>
    <row r="3819" spans="1:9">
      <c r="A3819" s="2">
        <v>1984</v>
      </c>
      <c r="B3819">
        <v>41</v>
      </c>
      <c r="C3819">
        <v>6.1199999999999996E-3</v>
      </c>
      <c r="D3819">
        <v>6.1000000000000004E-3</v>
      </c>
      <c r="E3819">
        <v>0.5</v>
      </c>
      <c r="F3819">
        <v>91133</v>
      </c>
      <c r="G3819">
        <v>556</v>
      </c>
      <c r="H3819">
        <v>90855</v>
      </c>
      <c r="I3819">
        <v>2562622</v>
      </c>
    </row>
    <row r="3820" spans="1:9">
      <c r="A3820" s="2">
        <v>1984</v>
      </c>
      <c r="B3820">
        <v>42</v>
      </c>
      <c r="C3820">
        <v>6.9699999999999996E-3</v>
      </c>
      <c r="D3820">
        <v>6.9499999999999996E-3</v>
      </c>
      <c r="E3820">
        <v>0.5</v>
      </c>
      <c r="F3820">
        <v>90577</v>
      </c>
      <c r="G3820">
        <v>629</v>
      </c>
      <c r="H3820">
        <v>90263</v>
      </c>
      <c r="I3820">
        <v>2471767</v>
      </c>
    </row>
    <row r="3821" spans="1:9">
      <c r="A3821" s="2">
        <v>1984</v>
      </c>
      <c r="B3821">
        <v>43</v>
      </c>
      <c r="C3821">
        <v>7.9900000000000006E-3</v>
      </c>
      <c r="D3821">
        <v>7.9600000000000001E-3</v>
      </c>
      <c r="E3821">
        <v>0.5</v>
      </c>
      <c r="F3821">
        <v>89948</v>
      </c>
      <c r="G3821">
        <v>716</v>
      </c>
      <c r="H3821">
        <v>89590</v>
      </c>
      <c r="I3821">
        <v>2381504</v>
      </c>
    </row>
    <row r="3822" spans="1:9">
      <c r="A3822" s="2">
        <v>1984</v>
      </c>
      <c r="B3822">
        <v>44</v>
      </c>
      <c r="C3822">
        <v>8.0499999999999999E-3</v>
      </c>
      <c r="D3822">
        <v>8.0199999999999994E-3</v>
      </c>
      <c r="E3822">
        <v>0.5</v>
      </c>
      <c r="F3822">
        <v>89232</v>
      </c>
      <c r="G3822">
        <v>715</v>
      </c>
      <c r="H3822">
        <v>88874</v>
      </c>
      <c r="I3822">
        <v>2291914</v>
      </c>
    </row>
    <row r="3823" spans="1:9">
      <c r="A3823" s="2">
        <v>1984</v>
      </c>
      <c r="B3823">
        <v>45</v>
      </c>
      <c r="C3823">
        <v>8.7399999999999995E-3</v>
      </c>
      <c r="D3823">
        <v>8.6999999999999994E-3</v>
      </c>
      <c r="E3823">
        <v>0.5</v>
      </c>
      <c r="F3823">
        <v>88517</v>
      </c>
      <c r="G3823">
        <v>770</v>
      </c>
      <c r="H3823">
        <v>88132</v>
      </c>
      <c r="I3823">
        <v>2203040</v>
      </c>
    </row>
    <row r="3824" spans="1:9">
      <c r="A3824" s="2">
        <v>1984</v>
      </c>
      <c r="B3824">
        <v>46</v>
      </c>
      <c r="C3824">
        <v>9.9900000000000006E-3</v>
      </c>
      <c r="D3824">
        <v>9.9399999999999992E-3</v>
      </c>
      <c r="E3824">
        <v>0.5</v>
      </c>
      <c r="F3824">
        <v>87747</v>
      </c>
      <c r="G3824">
        <v>873</v>
      </c>
      <c r="H3824">
        <v>87310</v>
      </c>
      <c r="I3824">
        <v>2114908</v>
      </c>
    </row>
    <row r="3825" spans="1:9">
      <c r="A3825" s="2">
        <v>1984</v>
      </c>
      <c r="B3825">
        <v>47</v>
      </c>
      <c r="C3825">
        <v>1.0619999999999999E-2</v>
      </c>
      <c r="D3825">
        <v>1.057E-2</v>
      </c>
      <c r="E3825">
        <v>0.5</v>
      </c>
      <c r="F3825">
        <v>86874</v>
      </c>
      <c r="G3825">
        <v>918</v>
      </c>
      <c r="H3825">
        <v>86415</v>
      </c>
      <c r="I3825">
        <v>2027598</v>
      </c>
    </row>
    <row r="3826" spans="1:9">
      <c r="A3826" s="2">
        <v>1984</v>
      </c>
      <c r="B3826">
        <v>48</v>
      </c>
      <c r="C3826">
        <v>1.2149999999999999E-2</v>
      </c>
      <c r="D3826">
        <v>1.2070000000000001E-2</v>
      </c>
      <c r="E3826">
        <v>0.5</v>
      </c>
      <c r="F3826">
        <v>85956</v>
      </c>
      <c r="G3826">
        <v>1038</v>
      </c>
      <c r="H3826">
        <v>85437</v>
      </c>
      <c r="I3826">
        <v>1941183</v>
      </c>
    </row>
    <row r="3827" spans="1:9">
      <c r="A3827" s="2">
        <v>1984</v>
      </c>
      <c r="B3827">
        <v>49</v>
      </c>
      <c r="C3827">
        <v>1.255E-2</v>
      </c>
      <c r="D3827">
        <v>1.247E-2</v>
      </c>
      <c r="E3827">
        <v>0.5</v>
      </c>
      <c r="F3827">
        <v>84918</v>
      </c>
      <c r="G3827">
        <v>1059</v>
      </c>
      <c r="H3827">
        <v>84389</v>
      </c>
      <c r="I3827">
        <v>1855746</v>
      </c>
    </row>
    <row r="3828" spans="1:9">
      <c r="A3828" s="2">
        <v>1984</v>
      </c>
      <c r="B3828">
        <v>50</v>
      </c>
      <c r="C3828">
        <v>1.421E-2</v>
      </c>
      <c r="D3828">
        <v>1.4109999999999999E-2</v>
      </c>
      <c r="E3828">
        <v>0.5</v>
      </c>
      <c r="F3828">
        <v>83859</v>
      </c>
      <c r="G3828">
        <v>1183</v>
      </c>
      <c r="H3828">
        <v>83267</v>
      </c>
      <c r="I3828">
        <v>1771357</v>
      </c>
    </row>
    <row r="3829" spans="1:9">
      <c r="A3829" s="2">
        <v>1984</v>
      </c>
      <c r="B3829">
        <v>51</v>
      </c>
      <c r="C3829">
        <v>1.384E-2</v>
      </c>
      <c r="D3829">
        <v>1.374E-2</v>
      </c>
      <c r="E3829">
        <v>0.5</v>
      </c>
      <c r="F3829">
        <v>82676</v>
      </c>
      <c r="G3829">
        <v>1136</v>
      </c>
      <c r="H3829">
        <v>82108</v>
      </c>
      <c r="I3829">
        <v>1688090</v>
      </c>
    </row>
    <row r="3830" spans="1:9">
      <c r="A3830" s="2">
        <v>1984</v>
      </c>
      <c r="B3830">
        <v>52</v>
      </c>
      <c r="C3830">
        <v>1.5879999999999998E-2</v>
      </c>
      <c r="D3830">
        <v>1.575E-2</v>
      </c>
      <c r="E3830">
        <v>0.5</v>
      </c>
      <c r="F3830">
        <v>81540</v>
      </c>
      <c r="G3830">
        <v>1284</v>
      </c>
      <c r="H3830">
        <v>80898</v>
      </c>
      <c r="I3830">
        <v>1605982</v>
      </c>
    </row>
    <row r="3831" spans="1:9">
      <c r="A3831" s="2">
        <v>1984</v>
      </c>
      <c r="B3831">
        <v>53</v>
      </c>
      <c r="C3831">
        <v>1.7739999999999999E-2</v>
      </c>
      <c r="D3831">
        <v>1.7590000000000001E-2</v>
      </c>
      <c r="E3831">
        <v>0.5</v>
      </c>
      <c r="F3831">
        <v>80255</v>
      </c>
      <c r="G3831">
        <v>1411</v>
      </c>
      <c r="H3831">
        <v>79550</v>
      </c>
      <c r="I3831">
        <v>1525084</v>
      </c>
    </row>
    <row r="3832" spans="1:9">
      <c r="A3832" s="2">
        <v>1984</v>
      </c>
      <c r="B3832">
        <v>54</v>
      </c>
      <c r="C3832">
        <v>1.7690000000000001E-2</v>
      </c>
      <c r="D3832">
        <v>1.753E-2</v>
      </c>
      <c r="E3832">
        <v>0.5</v>
      </c>
      <c r="F3832">
        <v>78844</v>
      </c>
      <c r="G3832">
        <v>1382</v>
      </c>
      <c r="H3832">
        <v>78153</v>
      </c>
      <c r="I3832">
        <v>1445534</v>
      </c>
    </row>
    <row r="3833" spans="1:9">
      <c r="A3833" s="2">
        <v>1984</v>
      </c>
      <c r="B3833">
        <v>55</v>
      </c>
      <c r="C3833">
        <v>2.0979999999999999E-2</v>
      </c>
      <c r="D3833">
        <v>2.0760000000000001E-2</v>
      </c>
      <c r="E3833">
        <v>0.5</v>
      </c>
      <c r="F3833">
        <v>77462</v>
      </c>
      <c r="G3833">
        <v>1608</v>
      </c>
      <c r="H3833">
        <v>76658</v>
      </c>
      <c r="I3833">
        <v>1367381</v>
      </c>
    </row>
    <row r="3834" spans="1:9">
      <c r="A3834" s="2">
        <v>1984</v>
      </c>
      <c r="B3834">
        <v>56</v>
      </c>
      <c r="C3834">
        <v>2.147E-2</v>
      </c>
      <c r="D3834">
        <v>2.1250000000000002E-2</v>
      </c>
      <c r="E3834">
        <v>0.5</v>
      </c>
      <c r="F3834">
        <v>75854</v>
      </c>
      <c r="G3834">
        <v>1612</v>
      </c>
      <c r="H3834">
        <v>75048</v>
      </c>
      <c r="I3834">
        <v>1290724</v>
      </c>
    </row>
    <row r="3835" spans="1:9">
      <c r="A3835" s="2">
        <v>1984</v>
      </c>
      <c r="B3835">
        <v>57</v>
      </c>
      <c r="C3835">
        <v>2.3630000000000002E-2</v>
      </c>
      <c r="D3835">
        <v>2.3349999999999999E-2</v>
      </c>
      <c r="E3835">
        <v>0.5</v>
      </c>
      <c r="F3835">
        <v>74242</v>
      </c>
      <c r="G3835">
        <v>1734</v>
      </c>
      <c r="H3835">
        <v>73375</v>
      </c>
      <c r="I3835">
        <v>1215676</v>
      </c>
    </row>
    <row r="3836" spans="1:9">
      <c r="A3836" s="2">
        <v>1984</v>
      </c>
      <c r="B3836">
        <v>58</v>
      </c>
      <c r="C3836">
        <v>2.5270000000000001E-2</v>
      </c>
      <c r="D3836">
        <v>2.495E-2</v>
      </c>
      <c r="E3836">
        <v>0.5</v>
      </c>
      <c r="F3836">
        <v>72508</v>
      </c>
      <c r="G3836">
        <v>1809</v>
      </c>
      <c r="H3836">
        <v>71604</v>
      </c>
      <c r="I3836">
        <v>1142300</v>
      </c>
    </row>
    <row r="3837" spans="1:9">
      <c r="A3837" s="2">
        <v>1984</v>
      </c>
      <c r="B3837">
        <v>59</v>
      </c>
      <c r="C3837">
        <v>2.5729999999999999E-2</v>
      </c>
      <c r="D3837">
        <v>2.5399999999999999E-2</v>
      </c>
      <c r="E3837">
        <v>0.5</v>
      </c>
      <c r="F3837">
        <v>70699</v>
      </c>
      <c r="G3837">
        <v>1796</v>
      </c>
      <c r="H3837">
        <v>69801</v>
      </c>
      <c r="I3837">
        <v>1070696</v>
      </c>
    </row>
    <row r="3838" spans="1:9">
      <c r="A3838" s="2">
        <v>1984</v>
      </c>
      <c r="B3838">
        <v>60</v>
      </c>
      <c r="C3838">
        <v>2.9170000000000001E-2</v>
      </c>
      <c r="D3838">
        <v>2.8750000000000001E-2</v>
      </c>
      <c r="E3838">
        <v>0.5</v>
      </c>
      <c r="F3838">
        <v>68903</v>
      </c>
      <c r="G3838">
        <v>1981</v>
      </c>
      <c r="H3838">
        <v>67913</v>
      </c>
      <c r="I3838">
        <v>1000895</v>
      </c>
    </row>
    <row r="3839" spans="1:9">
      <c r="A3839" s="2">
        <v>1984</v>
      </c>
      <c r="B3839">
        <v>61</v>
      </c>
      <c r="C3839">
        <v>3.0800000000000001E-2</v>
      </c>
      <c r="D3839">
        <v>3.0329999999999999E-2</v>
      </c>
      <c r="E3839">
        <v>0.5</v>
      </c>
      <c r="F3839">
        <v>66923</v>
      </c>
      <c r="G3839">
        <v>2030</v>
      </c>
      <c r="H3839">
        <v>65908</v>
      </c>
      <c r="I3839">
        <v>932982</v>
      </c>
    </row>
    <row r="3840" spans="1:9">
      <c r="A3840" s="2">
        <v>1984</v>
      </c>
      <c r="B3840">
        <v>62</v>
      </c>
      <c r="C3840">
        <v>3.338E-2</v>
      </c>
      <c r="D3840">
        <v>3.2829999999999998E-2</v>
      </c>
      <c r="E3840">
        <v>0.5</v>
      </c>
      <c r="F3840">
        <v>64893</v>
      </c>
      <c r="G3840">
        <v>2130</v>
      </c>
      <c r="H3840">
        <v>63827</v>
      </c>
      <c r="I3840">
        <v>867075</v>
      </c>
    </row>
    <row r="3841" spans="1:9">
      <c r="A3841" s="2">
        <v>1984</v>
      </c>
      <c r="B3841">
        <v>63</v>
      </c>
      <c r="C3841">
        <v>3.3660000000000002E-2</v>
      </c>
      <c r="D3841">
        <v>3.3099999999999997E-2</v>
      </c>
      <c r="E3841">
        <v>0.5</v>
      </c>
      <c r="F3841">
        <v>62762</v>
      </c>
      <c r="G3841">
        <v>2078</v>
      </c>
      <c r="H3841">
        <v>61723</v>
      </c>
      <c r="I3841">
        <v>803247</v>
      </c>
    </row>
    <row r="3842" spans="1:9">
      <c r="A3842" s="2">
        <v>1984</v>
      </c>
      <c r="B3842">
        <v>64</v>
      </c>
      <c r="C3842">
        <v>4.1009999999999998E-2</v>
      </c>
      <c r="D3842">
        <v>4.0189999999999997E-2</v>
      </c>
      <c r="E3842">
        <v>0.5</v>
      </c>
      <c r="F3842">
        <v>60685</v>
      </c>
      <c r="G3842">
        <v>2439</v>
      </c>
      <c r="H3842">
        <v>59465</v>
      </c>
      <c r="I3842">
        <v>741524</v>
      </c>
    </row>
    <row r="3843" spans="1:9">
      <c r="A3843" s="2">
        <v>1984</v>
      </c>
      <c r="B3843">
        <v>65</v>
      </c>
      <c r="C3843">
        <v>3.4810000000000001E-2</v>
      </c>
      <c r="D3843">
        <v>3.4209999999999997E-2</v>
      </c>
      <c r="E3843">
        <v>0.5</v>
      </c>
      <c r="F3843">
        <v>58246</v>
      </c>
      <c r="G3843">
        <v>1993</v>
      </c>
      <c r="H3843">
        <v>57249</v>
      </c>
      <c r="I3843">
        <v>682059</v>
      </c>
    </row>
    <row r="3844" spans="1:9">
      <c r="A3844" s="2">
        <v>1984</v>
      </c>
      <c r="B3844">
        <v>66</v>
      </c>
      <c r="C3844">
        <v>4.369E-2</v>
      </c>
      <c r="D3844">
        <v>4.2759999999999999E-2</v>
      </c>
      <c r="E3844">
        <v>0.5</v>
      </c>
      <c r="F3844">
        <v>56253</v>
      </c>
      <c r="G3844">
        <v>2405</v>
      </c>
      <c r="H3844">
        <v>55050</v>
      </c>
      <c r="I3844">
        <v>624809</v>
      </c>
    </row>
    <row r="3845" spans="1:9">
      <c r="A3845" s="2">
        <v>1984</v>
      </c>
      <c r="B3845">
        <v>67</v>
      </c>
      <c r="C3845">
        <v>4.709E-2</v>
      </c>
      <c r="D3845">
        <v>4.5999999999999999E-2</v>
      </c>
      <c r="E3845">
        <v>0.5</v>
      </c>
      <c r="F3845">
        <v>53848</v>
      </c>
      <c r="G3845">
        <v>2477</v>
      </c>
      <c r="H3845">
        <v>52609</v>
      </c>
      <c r="I3845">
        <v>569759</v>
      </c>
    </row>
    <row r="3846" spans="1:9">
      <c r="A3846" s="2">
        <v>1984</v>
      </c>
      <c r="B3846">
        <v>68</v>
      </c>
      <c r="C3846">
        <v>4.6699999999999998E-2</v>
      </c>
      <c r="D3846">
        <v>4.5629999999999997E-2</v>
      </c>
      <c r="E3846">
        <v>0.5</v>
      </c>
      <c r="F3846">
        <v>51370</v>
      </c>
      <c r="G3846">
        <v>2344</v>
      </c>
      <c r="H3846">
        <v>50198</v>
      </c>
      <c r="I3846">
        <v>517150</v>
      </c>
    </row>
    <row r="3847" spans="1:9">
      <c r="A3847" s="2">
        <v>1984</v>
      </c>
      <c r="B3847">
        <v>69</v>
      </c>
      <c r="C3847">
        <v>5.6460000000000003E-2</v>
      </c>
      <c r="D3847">
        <v>5.491E-2</v>
      </c>
      <c r="E3847">
        <v>0.5</v>
      </c>
      <c r="F3847">
        <v>49026</v>
      </c>
      <c r="G3847">
        <v>2692</v>
      </c>
      <c r="H3847">
        <v>47680</v>
      </c>
      <c r="I3847">
        <v>466952</v>
      </c>
    </row>
    <row r="3848" spans="1:9">
      <c r="A3848" s="2">
        <v>1984</v>
      </c>
      <c r="B3848">
        <v>70</v>
      </c>
      <c r="C3848">
        <v>5.8319999999999997E-2</v>
      </c>
      <c r="D3848">
        <v>5.6669999999999998E-2</v>
      </c>
      <c r="E3848">
        <v>0.5</v>
      </c>
      <c r="F3848">
        <v>46334</v>
      </c>
      <c r="G3848">
        <v>2626</v>
      </c>
      <c r="H3848">
        <v>45021</v>
      </c>
      <c r="I3848">
        <v>419272</v>
      </c>
    </row>
    <row r="3849" spans="1:9">
      <c r="A3849" s="2">
        <v>1984</v>
      </c>
      <c r="B3849">
        <v>71</v>
      </c>
      <c r="C3849">
        <v>6.3789999999999999E-2</v>
      </c>
      <c r="D3849">
        <v>6.182E-2</v>
      </c>
      <c r="E3849">
        <v>0.5</v>
      </c>
      <c r="F3849">
        <v>43709</v>
      </c>
      <c r="G3849">
        <v>2702</v>
      </c>
      <c r="H3849">
        <v>42358</v>
      </c>
      <c r="I3849">
        <v>374250</v>
      </c>
    </row>
    <row r="3850" spans="1:9">
      <c r="A3850" s="2">
        <v>1984</v>
      </c>
      <c r="B3850">
        <v>72</v>
      </c>
      <c r="C3850">
        <v>6.8919999999999995E-2</v>
      </c>
      <c r="D3850">
        <v>6.6629999999999995E-2</v>
      </c>
      <c r="E3850">
        <v>0.5</v>
      </c>
      <c r="F3850">
        <v>41007</v>
      </c>
      <c r="G3850">
        <v>2732</v>
      </c>
      <c r="H3850">
        <v>39641</v>
      </c>
      <c r="I3850">
        <v>331893</v>
      </c>
    </row>
    <row r="3851" spans="1:9">
      <c r="A3851" s="2">
        <v>1984</v>
      </c>
      <c r="B3851">
        <v>73</v>
      </c>
      <c r="C3851">
        <v>7.9009999999999997E-2</v>
      </c>
      <c r="D3851">
        <v>7.6009999999999994E-2</v>
      </c>
      <c r="E3851">
        <v>0.5</v>
      </c>
      <c r="F3851">
        <v>38274</v>
      </c>
      <c r="G3851">
        <v>2909</v>
      </c>
      <c r="H3851">
        <v>36820</v>
      </c>
      <c r="I3851">
        <v>292252</v>
      </c>
    </row>
    <row r="3852" spans="1:9">
      <c r="A3852" s="2">
        <v>1984</v>
      </c>
      <c r="B3852">
        <v>74</v>
      </c>
      <c r="C3852">
        <v>8.3739999999999995E-2</v>
      </c>
      <c r="D3852">
        <v>8.0369999999999997E-2</v>
      </c>
      <c r="E3852">
        <v>0.5</v>
      </c>
      <c r="F3852">
        <v>35365</v>
      </c>
      <c r="G3852">
        <v>2842</v>
      </c>
      <c r="H3852">
        <v>33944</v>
      </c>
      <c r="I3852">
        <v>255432</v>
      </c>
    </row>
    <row r="3853" spans="1:9">
      <c r="A3853" s="2">
        <v>1984</v>
      </c>
      <c r="B3853">
        <v>75</v>
      </c>
      <c r="C3853">
        <v>9.2609999999999998E-2</v>
      </c>
      <c r="D3853">
        <v>8.8510000000000005E-2</v>
      </c>
      <c r="E3853">
        <v>0.5</v>
      </c>
      <c r="F3853">
        <v>32523</v>
      </c>
      <c r="G3853">
        <v>2879</v>
      </c>
      <c r="H3853">
        <v>31083</v>
      </c>
      <c r="I3853">
        <v>221488</v>
      </c>
    </row>
    <row r="3854" spans="1:9">
      <c r="A3854" s="2">
        <v>1984</v>
      </c>
      <c r="B3854">
        <v>76</v>
      </c>
      <c r="C3854">
        <v>0.10391</v>
      </c>
      <c r="D3854">
        <v>9.8780000000000007E-2</v>
      </c>
      <c r="E3854">
        <v>0.5</v>
      </c>
      <c r="F3854">
        <v>29644</v>
      </c>
      <c r="G3854">
        <v>2928</v>
      </c>
      <c r="H3854">
        <v>28180</v>
      </c>
      <c r="I3854">
        <v>190405</v>
      </c>
    </row>
    <row r="3855" spans="1:9">
      <c r="A3855" s="2">
        <v>1984</v>
      </c>
      <c r="B3855">
        <v>77</v>
      </c>
      <c r="C3855">
        <v>0.10953</v>
      </c>
      <c r="D3855">
        <v>0.10384</v>
      </c>
      <c r="E3855">
        <v>0.5</v>
      </c>
      <c r="F3855">
        <v>26716</v>
      </c>
      <c r="G3855">
        <v>2774</v>
      </c>
      <c r="H3855">
        <v>25329</v>
      </c>
      <c r="I3855">
        <v>162225</v>
      </c>
    </row>
    <row r="3856" spans="1:9">
      <c r="A3856" s="2">
        <v>1984</v>
      </c>
      <c r="B3856">
        <v>78</v>
      </c>
      <c r="C3856">
        <v>0.12347</v>
      </c>
      <c r="D3856">
        <v>0.11629</v>
      </c>
      <c r="E3856">
        <v>0.5</v>
      </c>
      <c r="F3856">
        <v>23942</v>
      </c>
      <c r="G3856">
        <v>2784</v>
      </c>
      <c r="H3856">
        <v>22550</v>
      </c>
      <c r="I3856">
        <v>136896</v>
      </c>
    </row>
    <row r="3857" spans="1:9">
      <c r="A3857" s="2">
        <v>1984</v>
      </c>
      <c r="B3857">
        <v>79</v>
      </c>
      <c r="C3857">
        <v>0.13017999999999999</v>
      </c>
      <c r="D3857">
        <v>0.12222</v>
      </c>
      <c r="E3857">
        <v>0.5</v>
      </c>
      <c r="F3857">
        <v>21158</v>
      </c>
      <c r="G3857">
        <v>2586</v>
      </c>
      <c r="H3857">
        <v>19865</v>
      </c>
      <c r="I3857">
        <v>114346</v>
      </c>
    </row>
    <row r="3858" spans="1:9">
      <c r="A3858" s="2">
        <v>1984</v>
      </c>
      <c r="B3858">
        <v>80</v>
      </c>
      <c r="C3858">
        <v>0.14172000000000001</v>
      </c>
      <c r="D3858">
        <v>0.13235</v>
      </c>
      <c r="E3858">
        <v>0.5</v>
      </c>
      <c r="F3858">
        <v>18572</v>
      </c>
      <c r="G3858">
        <v>2458</v>
      </c>
      <c r="H3858">
        <v>17343</v>
      </c>
      <c r="I3858">
        <v>94481</v>
      </c>
    </row>
    <row r="3859" spans="1:9">
      <c r="A3859" s="2">
        <v>1984</v>
      </c>
      <c r="B3859">
        <v>81</v>
      </c>
      <c r="C3859">
        <v>0.15758</v>
      </c>
      <c r="D3859">
        <v>0.14607000000000001</v>
      </c>
      <c r="E3859">
        <v>0.5</v>
      </c>
      <c r="F3859">
        <v>16114</v>
      </c>
      <c r="G3859">
        <v>2354</v>
      </c>
      <c r="H3859">
        <v>14937</v>
      </c>
      <c r="I3859">
        <v>77139</v>
      </c>
    </row>
    <row r="3860" spans="1:9">
      <c r="A3860" s="2">
        <v>1984</v>
      </c>
      <c r="B3860">
        <v>82</v>
      </c>
      <c r="C3860">
        <v>0.17419999999999999</v>
      </c>
      <c r="D3860">
        <v>0.16023999999999999</v>
      </c>
      <c r="E3860">
        <v>0.5</v>
      </c>
      <c r="F3860">
        <v>13760</v>
      </c>
      <c r="G3860">
        <v>2205</v>
      </c>
      <c r="H3860">
        <v>12658</v>
      </c>
      <c r="I3860">
        <v>62202</v>
      </c>
    </row>
    <row r="3861" spans="1:9">
      <c r="A3861" s="2">
        <v>1984</v>
      </c>
      <c r="B3861">
        <v>83</v>
      </c>
      <c r="C3861">
        <v>0.18743000000000001</v>
      </c>
      <c r="D3861">
        <v>0.17136999999999999</v>
      </c>
      <c r="E3861">
        <v>0.5</v>
      </c>
      <c r="F3861">
        <v>11555</v>
      </c>
      <c r="G3861">
        <v>1980</v>
      </c>
      <c r="H3861">
        <v>10565</v>
      </c>
      <c r="I3861">
        <v>49544</v>
      </c>
    </row>
    <row r="3862" spans="1:9">
      <c r="A3862" s="2">
        <v>1984</v>
      </c>
      <c r="B3862">
        <v>84</v>
      </c>
      <c r="C3862">
        <v>0.19156999999999999</v>
      </c>
      <c r="D3862">
        <v>0.17482</v>
      </c>
      <c r="E3862">
        <v>0.5</v>
      </c>
      <c r="F3862">
        <v>9575</v>
      </c>
      <c r="G3862">
        <v>1674</v>
      </c>
      <c r="H3862">
        <v>8738</v>
      </c>
      <c r="I3862">
        <v>38979</v>
      </c>
    </row>
    <row r="3863" spans="1:9">
      <c r="A3863" s="2">
        <v>1984</v>
      </c>
      <c r="B3863">
        <v>85</v>
      </c>
      <c r="C3863">
        <v>0.2177</v>
      </c>
      <c r="D3863">
        <v>0.19633</v>
      </c>
      <c r="E3863">
        <v>0.5</v>
      </c>
      <c r="F3863">
        <v>7901</v>
      </c>
      <c r="G3863">
        <v>1551</v>
      </c>
      <c r="H3863">
        <v>7125</v>
      </c>
      <c r="I3863">
        <v>30241</v>
      </c>
    </row>
    <row r="3864" spans="1:9">
      <c r="A3864" s="2">
        <v>1984</v>
      </c>
      <c r="B3864">
        <v>86</v>
      </c>
      <c r="C3864">
        <v>0.21690999999999999</v>
      </c>
      <c r="D3864">
        <v>0.19569</v>
      </c>
      <c r="E3864">
        <v>0.5</v>
      </c>
      <c r="F3864">
        <v>6350</v>
      </c>
      <c r="G3864">
        <v>1243</v>
      </c>
      <c r="H3864">
        <v>5729</v>
      </c>
      <c r="I3864">
        <v>23115</v>
      </c>
    </row>
    <row r="3865" spans="1:9">
      <c r="A3865" s="2">
        <v>1984</v>
      </c>
      <c r="B3865">
        <v>87</v>
      </c>
      <c r="C3865">
        <v>0.24562</v>
      </c>
      <c r="D3865">
        <v>0.21875</v>
      </c>
      <c r="E3865">
        <v>0.5</v>
      </c>
      <c r="F3865">
        <v>5107</v>
      </c>
      <c r="G3865">
        <v>1117</v>
      </c>
      <c r="H3865">
        <v>4549</v>
      </c>
      <c r="I3865">
        <v>17387</v>
      </c>
    </row>
    <row r="3866" spans="1:9">
      <c r="A3866" s="2">
        <v>1984</v>
      </c>
      <c r="B3866">
        <v>88</v>
      </c>
      <c r="C3866">
        <v>0.25223000000000001</v>
      </c>
      <c r="D3866">
        <v>0.22398000000000001</v>
      </c>
      <c r="E3866">
        <v>0.5</v>
      </c>
      <c r="F3866">
        <v>3990</v>
      </c>
      <c r="G3866">
        <v>894</v>
      </c>
      <c r="H3866">
        <v>3543</v>
      </c>
      <c r="I3866">
        <v>12838</v>
      </c>
    </row>
    <row r="3867" spans="1:9">
      <c r="A3867" s="2">
        <v>1984</v>
      </c>
      <c r="B3867">
        <v>89</v>
      </c>
      <c r="C3867">
        <v>0.29143000000000002</v>
      </c>
      <c r="D3867">
        <v>0.25436999999999999</v>
      </c>
      <c r="E3867">
        <v>0.5</v>
      </c>
      <c r="F3867">
        <v>3096</v>
      </c>
      <c r="G3867">
        <v>788</v>
      </c>
      <c r="H3867">
        <v>2703</v>
      </c>
      <c r="I3867">
        <v>9295</v>
      </c>
    </row>
    <row r="3868" spans="1:9">
      <c r="A3868" s="2">
        <v>1984</v>
      </c>
      <c r="B3868">
        <v>90</v>
      </c>
      <c r="C3868">
        <v>0.30645</v>
      </c>
      <c r="D3868">
        <v>0.26573000000000002</v>
      </c>
      <c r="E3868">
        <v>0.5</v>
      </c>
      <c r="F3868">
        <v>2309</v>
      </c>
      <c r="G3868">
        <v>613</v>
      </c>
      <c r="H3868">
        <v>2002</v>
      </c>
      <c r="I3868">
        <v>6593</v>
      </c>
    </row>
    <row r="3869" spans="1:9">
      <c r="A3869" s="2">
        <v>1984</v>
      </c>
      <c r="B3869">
        <v>91</v>
      </c>
      <c r="C3869">
        <v>0.32334000000000002</v>
      </c>
      <c r="D3869">
        <v>0.27833999999999998</v>
      </c>
      <c r="E3869">
        <v>0.5</v>
      </c>
      <c r="F3869">
        <v>1695</v>
      </c>
      <c r="G3869">
        <v>472</v>
      </c>
      <c r="H3869">
        <v>1459</v>
      </c>
      <c r="I3869">
        <v>4591</v>
      </c>
    </row>
    <row r="3870" spans="1:9">
      <c r="A3870" s="2">
        <v>1984</v>
      </c>
      <c r="B3870">
        <v>92</v>
      </c>
      <c r="C3870">
        <v>0.34105999999999997</v>
      </c>
      <c r="D3870">
        <v>0.29137000000000002</v>
      </c>
      <c r="E3870">
        <v>0.5</v>
      </c>
      <c r="F3870">
        <v>1223</v>
      </c>
      <c r="G3870">
        <v>356</v>
      </c>
      <c r="H3870">
        <v>1045</v>
      </c>
      <c r="I3870">
        <v>3131</v>
      </c>
    </row>
    <row r="3871" spans="1:9">
      <c r="A3871" s="2">
        <v>1984</v>
      </c>
      <c r="B3871">
        <v>93</v>
      </c>
      <c r="C3871">
        <v>0.39472000000000002</v>
      </c>
      <c r="D3871">
        <v>0.32966000000000001</v>
      </c>
      <c r="E3871">
        <v>0.5</v>
      </c>
      <c r="F3871">
        <v>867</v>
      </c>
      <c r="G3871">
        <v>286</v>
      </c>
      <c r="H3871">
        <v>724</v>
      </c>
      <c r="I3871">
        <v>2086</v>
      </c>
    </row>
    <row r="3872" spans="1:9">
      <c r="A3872" s="2">
        <v>1984</v>
      </c>
      <c r="B3872">
        <v>94</v>
      </c>
      <c r="C3872">
        <v>0.37791999999999998</v>
      </c>
      <c r="D3872">
        <v>0.31785999999999998</v>
      </c>
      <c r="E3872">
        <v>0.5</v>
      </c>
      <c r="F3872">
        <v>581</v>
      </c>
      <c r="G3872">
        <v>185</v>
      </c>
      <c r="H3872">
        <v>489</v>
      </c>
      <c r="I3872">
        <v>1362</v>
      </c>
    </row>
    <row r="3873" spans="1:9">
      <c r="A3873" s="2">
        <v>1984</v>
      </c>
      <c r="B3873">
        <v>95</v>
      </c>
      <c r="C3873">
        <v>0.41737999999999997</v>
      </c>
      <c r="D3873">
        <v>0.34532000000000002</v>
      </c>
      <c r="E3873">
        <v>0.5</v>
      </c>
      <c r="F3873">
        <v>396</v>
      </c>
      <c r="G3873">
        <v>137</v>
      </c>
      <c r="H3873">
        <v>328</v>
      </c>
      <c r="I3873">
        <v>873</v>
      </c>
    </row>
    <row r="3874" spans="1:9">
      <c r="A3874" s="2">
        <v>1984</v>
      </c>
      <c r="B3874">
        <v>96</v>
      </c>
      <c r="C3874">
        <v>0.44109999999999999</v>
      </c>
      <c r="D3874">
        <v>0.3614</v>
      </c>
      <c r="E3874">
        <v>0.5</v>
      </c>
      <c r="F3874">
        <v>260</v>
      </c>
      <c r="G3874">
        <v>94</v>
      </c>
      <c r="H3874">
        <v>213</v>
      </c>
      <c r="I3874">
        <v>545</v>
      </c>
    </row>
    <row r="3875" spans="1:9">
      <c r="A3875" s="2">
        <v>1984</v>
      </c>
      <c r="B3875">
        <v>97</v>
      </c>
      <c r="C3875">
        <v>0.46510000000000001</v>
      </c>
      <c r="D3875">
        <v>0.37735000000000002</v>
      </c>
      <c r="E3875">
        <v>0.5</v>
      </c>
      <c r="F3875">
        <v>166</v>
      </c>
      <c r="G3875">
        <v>63</v>
      </c>
      <c r="H3875">
        <v>134</v>
      </c>
      <c r="I3875">
        <v>333</v>
      </c>
    </row>
    <row r="3876" spans="1:9">
      <c r="A3876" s="2">
        <v>1984</v>
      </c>
      <c r="B3876">
        <v>98</v>
      </c>
      <c r="C3876">
        <v>0.48925000000000002</v>
      </c>
      <c r="D3876">
        <v>0.39308999999999999</v>
      </c>
      <c r="E3876">
        <v>0.5</v>
      </c>
      <c r="F3876">
        <v>103</v>
      </c>
      <c r="G3876">
        <v>41</v>
      </c>
      <c r="H3876">
        <v>83</v>
      </c>
      <c r="I3876">
        <v>198</v>
      </c>
    </row>
    <row r="3877" spans="1:9">
      <c r="A3877" s="2">
        <v>1984</v>
      </c>
      <c r="B3877">
        <v>99</v>
      </c>
      <c r="C3877">
        <v>0.51346000000000003</v>
      </c>
      <c r="D3877">
        <v>0.40856999999999999</v>
      </c>
      <c r="E3877">
        <v>0.5</v>
      </c>
      <c r="F3877">
        <v>63</v>
      </c>
      <c r="G3877">
        <v>26</v>
      </c>
      <c r="H3877">
        <v>50</v>
      </c>
      <c r="I3877">
        <v>115</v>
      </c>
    </row>
    <row r="3878" spans="1:9">
      <c r="A3878" s="2">
        <v>1984</v>
      </c>
      <c r="B3878">
        <v>100</v>
      </c>
      <c r="C3878">
        <v>0.53761000000000003</v>
      </c>
      <c r="D3878">
        <v>0.42370999999999998</v>
      </c>
      <c r="E3878">
        <v>0.5</v>
      </c>
      <c r="F3878">
        <v>37</v>
      </c>
      <c r="G3878">
        <v>16</v>
      </c>
      <c r="H3878">
        <v>29</v>
      </c>
      <c r="I3878">
        <v>66</v>
      </c>
    </row>
    <row r="3879" spans="1:9">
      <c r="A3879" s="2">
        <v>1984</v>
      </c>
      <c r="B3879">
        <v>101</v>
      </c>
      <c r="C3879">
        <v>0.56157999999999997</v>
      </c>
      <c r="D3879">
        <v>0.43846000000000002</v>
      </c>
      <c r="E3879">
        <v>0.5</v>
      </c>
      <c r="F3879">
        <v>21</v>
      </c>
      <c r="G3879">
        <v>9</v>
      </c>
      <c r="H3879">
        <v>17</v>
      </c>
      <c r="I3879">
        <v>36</v>
      </c>
    </row>
    <row r="3880" spans="1:9">
      <c r="A3880" s="2">
        <v>1984</v>
      </c>
      <c r="B3880">
        <v>102</v>
      </c>
      <c r="C3880">
        <v>0.58526</v>
      </c>
      <c r="D3880">
        <v>0.45277000000000001</v>
      </c>
      <c r="E3880">
        <v>0.5</v>
      </c>
      <c r="F3880">
        <v>12</v>
      </c>
      <c r="G3880">
        <v>5</v>
      </c>
      <c r="H3880">
        <v>9</v>
      </c>
      <c r="I3880">
        <v>20</v>
      </c>
    </row>
    <row r="3881" spans="1:9">
      <c r="A3881" s="2">
        <v>1984</v>
      </c>
      <c r="B3881">
        <v>103</v>
      </c>
      <c r="C3881">
        <v>0.60855999999999999</v>
      </c>
      <c r="D3881">
        <v>0.46659</v>
      </c>
      <c r="E3881">
        <v>0.5</v>
      </c>
      <c r="F3881">
        <v>7</v>
      </c>
      <c r="G3881">
        <v>3</v>
      </c>
      <c r="H3881">
        <v>5</v>
      </c>
      <c r="I3881">
        <v>10</v>
      </c>
    </row>
    <row r="3882" spans="1:9">
      <c r="A3882" s="2">
        <v>1984</v>
      </c>
      <c r="B3882">
        <v>104</v>
      </c>
      <c r="C3882">
        <v>0.63136999999999999</v>
      </c>
      <c r="D3882">
        <v>0.47987999999999997</v>
      </c>
      <c r="E3882">
        <v>0.5</v>
      </c>
      <c r="F3882">
        <v>3</v>
      </c>
      <c r="G3882">
        <v>2</v>
      </c>
      <c r="H3882">
        <v>3</v>
      </c>
      <c r="I3882">
        <v>5</v>
      </c>
    </row>
    <row r="3883" spans="1:9">
      <c r="A3883" s="2">
        <v>1984</v>
      </c>
      <c r="B3883">
        <v>105</v>
      </c>
      <c r="C3883">
        <v>0.65361999999999998</v>
      </c>
      <c r="D3883">
        <v>0.49262</v>
      </c>
      <c r="E3883">
        <v>0.5</v>
      </c>
      <c r="F3883">
        <v>2</v>
      </c>
      <c r="G3883">
        <v>1</v>
      </c>
      <c r="H3883">
        <v>1</v>
      </c>
      <c r="I3883">
        <v>3</v>
      </c>
    </row>
    <row r="3884" spans="1:9">
      <c r="A3884" s="2">
        <v>1984</v>
      </c>
      <c r="B3884">
        <v>106</v>
      </c>
      <c r="C3884">
        <v>0.67520000000000002</v>
      </c>
      <c r="D3884">
        <v>0.50478999999999996</v>
      </c>
      <c r="E3884">
        <v>0.5</v>
      </c>
      <c r="F3884">
        <v>1</v>
      </c>
      <c r="G3884">
        <v>0</v>
      </c>
      <c r="H3884">
        <v>1</v>
      </c>
      <c r="I3884">
        <v>1</v>
      </c>
    </row>
    <row r="3885" spans="1:9">
      <c r="A3885" s="2">
        <v>1984</v>
      </c>
      <c r="B3885">
        <v>107</v>
      </c>
      <c r="C3885">
        <v>0.69606999999999997</v>
      </c>
      <c r="D3885">
        <v>0.51636000000000004</v>
      </c>
      <c r="E3885">
        <v>0.5</v>
      </c>
      <c r="F3885">
        <v>0</v>
      </c>
      <c r="G3885">
        <v>0</v>
      </c>
      <c r="H3885">
        <v>0</v>
      </c>
      <c r="I3885">
        <v>1</v>
      </c>
    </row>
    <row r="3886" spans="1:9">
      <c r="A3886" s="2">
        <v>1984</v>
      </c>
      <c r="B3886">
        <v>108</v>
      </c>
      <c r="C3886">
        <v>0.71616999999999997</v>
      </c>
      <c r="D3886">
        <v>0.52734000000000003</v>
      </c>
      <c r="E3886">
        <v>0.5</v>
      </c>
      <c r="F3886">
        <v>0</v>
      </c>
      <c r="G3886">
        <v>0</v>
      </c>
      <c r="H3886">
        <v>0</v>
      </c>
      <c r="I3886">
        <v>0</v>
      </c>
    </row>
    <row r="3887" spans="1:9">
      <c r="A3887" s="2">
        <v>1984</v>
      </c>
      <c r="B3887">
        <v>109</v>
      </c>
      <c r="C3887">
        <v>0.73543000000000003</v>
      </c>
      <c r="D3887">
        <v>0.53771000000000002</v>
      </c>
      <c r="E3887">
        <v>0.5</v>
      </c>
      <c r="F3887">
        <v>0</v>
      </c>
      <c r="G3887">
        <v>0</v>
      </c>
      <c r="H3887">
        <v>0</v>
      </c>
      <c r="I3887">
        <v>0</v>
      </c>
    </row>
    <row r="3888" spans="1:9">
      <c r="A3888" s="2">
        <v>1984</v>
      </c>
      <c r="B3888" t="s">
        <v>26</v>
      </c>
      <c r="C3888">
        <v>0.75383999999999995</v>
      </c>
      <c r="D3888">
        <v>1</v>
      </c>
      <c r="E3888">
        <v>1.33</v>
      </c>
      <c r="F3888">
        <v>0</v>
      </c>
      <c r="G3888">
        <v>0</v>
      </c>
      <c r="H3888">
        <v>0</v>
      </c>
      <c r="I3888">
        <v>0</v>
      </c>
    </row>
    <row r="3889" spans="1:9">
      <c r="A3889" s="2">
        <v>1985</v>
      </c>
      <c r="B3889">
        <v>0</v>
      </c>
      <c r="C3889">
        <v>2.3349999999999999E-2</v>
      </c>
      <c r="D3889">
        <v>2.2870000000000001E-2</v>
      </c>
      <c r="E3889">
        <v>0.1</v>
      </c>
      <c r="F3889">
        <v>100000</v>
      </c>
      <c r="G3889">
        <v>2287</v>
      </c>
      <c r="H3889">
        <v>97952</v>
      </c>
      <c r="I3889">
        <v>6495174</v>
      </c>
    </row>
    <row r="3890" spans="1:9">
      <c r="A3890" s="2">
        <v>1985</v>
      </c>
      <c r="B3890">
        <v>1</v>
      </c>
      <c r="C3890">
        <v>9.2000000000000003E-4</v>
      </c>
      <c r="D3890">
        <v>9.2000000000000003E-4</v>
      </c>
      <c r="E3890">
        <v>0.5</v>
      </c>
      <c r="F3890">
        <v>97713</v>
      </c>
      <c r="G3890">
        <v>90</v>
      </c>
      <c r="H3890">
        <v>97668</v>
      </c>
      <c r="I3890">
        <v>6397223</v>
      </c>
    </row>
    <row r="3891" spans="1:9">
      <c r="A3891" s="2">
        <v>1985</v>
      </c>
      <c r="B3891">
        <v>2</v>
      </c>
      <c r="C3891">
        <v>6.3000000000000003E-4</v>
      </c>
      <c r="D3891">
        <v>6.3000000000000003E-4</v>
      </c>
      <c r="E3891">
        <v>0.5</v>
      </c>
      <c r="F3891">
        <v>97623</v>
      </c>
      <c r="G3891">
        <v>61</v>
      </c>
      <c r="H3891">
        <v>97592</v>
      </c>
      <c r="I3891">
        <v>6299555</v>
      </c>
    </row>
    <row r="3892" spans="1:9">
      <c r="A3892" s="2">
        <v>1985</v>
      </c>
      <c r="B3892">
        <v>3</v>
      </c>
      <c r="C3892">
        <v>4.0999999999999999E-4</v>
      </c>
      <c r="D3892">
        <v>4.0999999999999999E-4</v>
      </c>
      <c r="E3892">
        <v>0.5</v>
      </c>
      <c r="F3892">
        <v>97561</v>
      </c>
      <c r="G3892">
        <v>40</v>
      </c>
      <c r="H3892">
        <v>97541</v>
      </c>
      <c r="I3892">
        <v>6201962</v>
      </c>
    </row>
    <row r="3893" spans="1:9">
      <c r="A3893" s="2">
        <v>1985</v>
      </c>
      <c r="B3893">
        <v>4</v>
      </c>
      <c r="C3893">
        <v>5.1999999999999995E-4</v>
      </c>
      <c r="D3893">
        <v>5.1999999999999995E-4</v>
      </c>
      <c r="E3893">
        <v>0.5</v>
      </c>
      <c r="F3893">
        <v>97522</v>
      </c>
      <c r="G3893">
        <v>51</v>
      </c>
      <c r="H3893">
        <v>97496</v>
      </c>
      <c r="I3893">
        <v>6104421</v>
      </c>
    </row>
    <row r="3894" spans="1:9">
      <c r="A3894" s="2">
        <v>1985</v>
      </c>
      <c r="B3894">
        <v>5</v>
      </c>
      <c r="C3894">
        <v>2.7E-4</v>
      </c>
      <c r="D3894">
        <v>2.7E-4</v>
      </c>
      <c r="E3894">
        <v>0.5</v>
      </c>
      <c r="F3894">
        <v>97470</v>
      </c>
      <c r="G3894">
        <v>26</v>
      </c>
      <c r="H3894">
        <v>97457</v>
      </c>
      <c r="I3894">
        <v>6006925</v>
      </c>
    </row>
    <row r="3895" spans="1:9">
      <c r="A3895" s="2">
        <v>1985</v>
      </c>
      <c r="B3895">
        <v>6</v>
      </c>
      <c r="C3895">
        <v>4.0000000000000002E-4</v>
      </c>
      <c r="D3895">
        <v>4.0000000000000002E-4</v>
      </c>
      <c r="E3895">
        <v>0.5</v>
      </c>
      <c r="F3895">
        <v>97444</v>
      </c>
      <c r="G3895">
        <v>39</v>
      </c>
      <c r="H3895">
        <v>97424</v>
      </c>
      <c r="I3895">
        <v>5909468</v>
      </c>
    </row>
    <row r="3896" spans="1:9">
      <c r="A3896" s="2">
        <v>1985</v>
      </c>
      <c r="B3896">
        <v>7</v>
      </c>
      <c r="C3896">
        <v>3.4000000000000002E-4</v>
      </c>
      <c r="D3896">
        <v>3.4000000000000002E-4</v>
      </c>
      <c r="E3896">
        <v>0.5</v>
      </c>
      <c r="F3896">
        <v>97405</v>
      </c>
      <c r="G3896">
        <v>33</v>
      </c>
      <c r="H3896">
        <v>97388</v>
      </c>
      <c r="I3896">
        <v>5812043</v>
      </c>
    </row>
    <row r="3897" spans="1:9">
      <c r="A3897" s="2">
        <v>1985</v>
      </c>
      <c r="B3897">
        <v>8</v>
      </c>
      <c r="C3897">
        <v>2.1000000000000001E-4</v>
      </c>
      <c r="D3897">
        <v>2.1000000000000001E-4</v>
      </c>
      <c r="E3897">
        <v>0.5</v>
      </c>
      <c r="F3897">
        <v>97372</v>
      </c>
      <c r="G3897">
        <v>20</v>
      </c>
      <c r="H3897">
        <v>97362</v>
      </c>
      <c r="I3897">
        <v>5714655</v>
      </c>
    </row>
    <row r="3898" spans="1:9">
      <c r="A3898" s="2">
        <v>1985</v>
      </c>
      <c r="B3898">
        <v>9</v>
      </c>
      <c r="C3898">
        <v>3.1E-4</v>
      </c>
      <c r="D3898">
        <v>3.1E-4</v>
      </c>
      <c r="E3898">
        <v>0.5</v>
      </c>
      <c r="F3898">
        <v>97351</v>
      </c>
      <c r="G3898">
        <v>30</v>
      </c>
      <c r="H3898">
        <v>97336</v>
      </c>
      <c r="I3898">
        <v>5617294</v>
      </c>
    </row>
    <row r="3899" spans="1:9">
      <c r="A3899" s="2">
        <v>1985</v>
      </c>
      <c r="B3899">
        <v>10</v>
      </c>
      <c r="C3899">
        <v>2.9999999999999997E-4</v>
      </c>
      <c r="D3899">
        <v>2.9999999999999997E-4</v>
      </c>
      <c r="E3899">
        <v>0.5</v>
      </c>
      <c r="F3899">
        <v>97321</v>
      </c>
      <c r="G3899">
        <v>29</v>
      </c>
      <c r="H3899">
        <v>97307</v>
      </c>
      <c r="I3899">
        <v>5519957</v>
      </c>
    </row>
    <row r="3900" spans="1:9">
      <c r="A3900" s="2">
        <v>1985</v>
      </c>
      <c r="B3900">
        <v>11</v>
      </c>
      <c r="C3900">
        <v>2.4000000000000001E-4</v>
      </c>
      <c r="D3900">
        <v>2.4000000000000001E-4</v>
      </c>
      <c r="E3900">
        <v>0.5</v>
      </c>
      <c r="F3900">
        <v>97292</v>
      </c>
      <c r="G3900">
        <v>23</v>
      </c>
      <c r="H3900">
        <v>97281</v>
      </c>
      <c r="I3900">
        <v>5422650</v>
      </c>
    </row>
    <row r="3901" spans="1:9">
      <c r="A3901" s="2">
        <v>1985</v>
      </c>
      <c r="B3901">
        <v>12</v>
      </c>
      <c r="C3901">
        <v>3.1E-4</v>
      </c>
      <c r="D3901">
        <v>3.1E-4</v>
      </c>
      <c r="E3901">
        <v>0.5</v>
      </c>
      <c r="F3901">
        <v>97269</v>
      </c>
      <c r="G3901">
        <v>30</v>
      </c>
      <c r="H3901">
        <v>97254</v>
      </c>
      <c r="I3901">
        <v>5325370</v>
      </c>
    </row>
    <row r="3902" spans="1:9">
      <c r="A3902" s="2">
        <v>1985</v>
      </c>
      <c r="B3902">
        <v>13</v>
      </c>
      <c r="C3902">
        <v>3.2000000000000003E-4</v>
      </c>
      <c r="D3902">
        <v>3.2000000000000003E-4</v>
      </c>
      <c r="E3902">
        <v>0.5</v>
      </c>
      <c r="F3902">
        <v>97239</v>
      </c>
      <c r="G3902">
        <v>31</v>
      </c>
      <c r="H3902">
        <v>97223</v>
      </c>
      <c r="I3902">
        <v>5228115</v>
      </c>
    </row>
    <row r="3903" spans="1:9">
      <c r="A3903" s="2">
        <v>1985</v>
      </c>
      <c r="B3903">
        <v>14</v>
      </c>
      <c r="C3903">
        <v>3.4000000000000002E-4</v>
      </c>
      <c r="D3903">
        <v>3.4000000000000002E-4</v>
      </c>
      <c r="E3903">
        <v>0.5</v>
      </c>
      <c r="F3903">
        <v>97208</v>
      </c>
      <c r="G3903">
        <v>33</v>
      </c>
      <c r="H3903">
        <v>97191</v>
      </c>
      <c r="I3903">
        <v>5130892</v>
      </c>
    </row>
    <row r="3904" spans="1:9">
      <c r="A3904" s="2">
        <v>1985</v>
      </c>
      <c r="B3904">
        <v>15</v>
      </c>
      <c r="C3904">
        <v>6.0999999999999997E-4</v>
      </c>
      <c r="D3904">
        <v>6.0999999999999997E-4</v>
      </c>
      <c r="E3904">
        <v>0.5</v>
      </c>
      <c r="F3904">
        <v>97175</v>
      </c>
      <c r="G3904">
        <v>59</v>
      </c>
      <c r="H3904">
        <v>97145</v>
      </c>
      <c r="I3904">
        <v>5033701</v>
      </c>
    </row>
    <row r="3905" spans="1:9">
      <c r="A3905" s="2">
        <v>1985</v>
      </c>
      <c r="B3905">
        <v>16</v>
      </c>
      <c r="C3905">
        <v>6.8999999999999997E-4</v>
      </c>
      <c r="D3905">
        <v>6.8999999999999997E-4</v>
      </c>
      <c r="E3905">
        <v>0.5</v>
      </c>
      <c r="F3905">
        <v>97115</v>
      </c>
      <c r="G3905">
        <v>67</v>
      </c>
      <c r="H3905">
        <v>97082</v>
      </c>
      <c r="I3905">
        <v>4936556</v>
      </c>
    </row>
    <row r="3906" spans="1:9">
      <c r="A3906" s="2">
        <v>1985</v>
      </c>
      <c r="B3906">
        <v>17</v>
      </c>
      <c r="C3906">
        <v>8.3000000000000001E-4</v>
      </c>
      <c r="D3906">
        <v>8.3000000000000001E-4</v>
      </c>
      <c r="E3906">
        <v>0.5</v>
      </c>
      <c r="F3906">
        <v>97048</v>
      </c>
      <c r="G3906">
        <v>81</v>
      </c>
      <c r="H3906">
        <v>97008</v>
      </c>
      <c r="I3906">
        <v>4839474</v>
      </c>
    </row>
    <row r="3907" spans="1:9">
      <c r="A3907" s="2">
        <v>1985</v>
      </c>
      <c r="B3907">
        <v>18</v>
      </c>
      <c r="C3907">
        <v>1.2700000000000001E-3</v>
      </c>
      <c r="D3907">
        <v>1.2700000000000001E-3</v>
      </c>
      <c r="E3907">
        <v>0.5</v>
      </c>
      <c r="F3907">
        <v>96968</v>
      </c>
      <c r="G3907">
        <v>123</v>
      </c>
      <c r="H3907">
        <v>96906</v>
      </c>
      <c r="I3907">
        <v>4742466</v>
      </c>
    </row>
    <row r="3908" spans="1:9">
      <c r="A3908" s="2">
        <v>1985</v>
      </c>
      <c r="B3908">
        <v>19</v>
      </c>
      <c r="C3908">
        <v>1.6199999999999999E-3</v>
      </c>
      <c r="D3908">
        <v>1.6199999999999999E-3</v>
      </c>
      <c r="E3908">
        <v>0.5</v>
      </c>
      <c r="F3908">
        <v>96844</v>
      </c>
      <c r="G3908">
        <v>157</v>
      </c>
      <c r="H3908">
        <v>96766</v>
      </c>
      <c r="I3908">
        <v>4645560</v>
      </c>
    </row>
    <row r="3909" spans="1:9">
      <c r="A3909" s="2">
        <v>1985</v>
      </c>
      <c r="B3909">
        <v>20</v>
      </c>
      <c r="C3909">
        <v>1.66E-3</v>
      </c>
      <c r="D3909">
        <v>1.65E-3</v>
      </c>
      <c r="E3909">
        <v>0.5</v>
      </c>
      <c r="F3909">
        <v>96688</v>
      </c>
      <c r="G3909">
        <v>160</v>
      </c>
      <c r="H3909">
        <v>96608</v>
      </c>
      <c r="I3909">
        <v>4548794</v>
      </c>
    </row>
    <row r="3910" spans="1:9">
      <c r="A3910" s="2">
        <v>1985</v>
      </c>
      <c r="B3910">
        <v>21</v>
      </c>
      <c r="C3910">
        <v>1.2899999999999999E-3</v>
      </c>
      <c r="D3910">
        <v>1.2899999999999999E-3</v>
      </c>
      <c r="E3910">
        <v>0.5</v>
      </c>
      <c r="F3910">
        <v>96528</v>
      </c>
      <c r="G3910">
        <v>124</v>
      </c>
      <c r="H3910">
        <v>96466</v>
      </c>
      <c r="I3910">
        <v>4452186</v>
      </c>
    </row>
    <row r="3911" spans="1:9">
      <c r="A3911" s="2">
        <v>1985</v>
      </c>
      <c r="B3911">
        <v>22</v>
      </c>
      <c r="C3911">
        <v>1.34E-3</v>
      </c>
      <c r="D3911">
        <v>1.34E-3</v>
      </c>
      <c r="E3911">
        <v>0.5</v>
      </c>
      <c r="F3911">
        <v>96404</v>
      </c>
      <c r="G3911">
        <v>129</v>
      </c>
      <c r="H3911">
        <v>96339</v>
      </c>
      <c r="I3911">
        <v>4355720</v>
      </c>
    </row>
    <row r="3912" spans="1:9">
      <c r="A3912" s="2">
        <v>1985</v>
      </c>
      <c r="B3912">
        <v>23</v>
      </c>
      <c r="C3912">
        <v>1.6800000000000001E-3</v>
      </c>
      <c r="D3912">
        <v>1.6800000000000001E-3</v>
      </c>
      <c r="E3912">
        <v>0.5</v>
      </c>
      <c r="F3912">
        <v>96275</v>
      </c>
      <c r="G3912">
        <v>162</v>
      </c>
      <c r="H3912">
        <v>96194</v>
      </c>
      <c r="I3912">
        <v>4259381</v>
      </c>
    </row>
    <row r="3913" spans="1:9">
      <c r="A3913" s="2">
        <v>1985</v>
      </c>
      <c r="B3913">
        <v>24</v>
      </c>
      <c r="C3913">
        <v>1.72E-3</v>
      </c>
      <c r="D3913">
        <v>1.72E-3</v>
      </c>
      <c r="E3913">
        <v>0.5</v>
      </c>
      <c r="F3913">
        <v>96113</v>
      </c>
      <c r="G3913">
        <v>166</v>
      </c>
      <c r="H3913">
        <v>96030</v>
      </c>
      <c r="I3913">
        <v>4163187</v>
      </c>
    </row>
    <row r="3914" spans="1:9">
      <c r="A3914" s="2">
        <v>1985</v>
      </c>
      <c r="B3914">
        <v>25</v>
      </c>
      <c r="C3914">
        <v>1.82E-3</v>
      </c>
      <c r="D3914">
        <v>1.82E-3</v>
      </c>
      <c r="E3914">
        <v>0.5</v>
      </c>
      <c r="F3914">
        <v>95948</v>
      </c>
      <c r="G3914">
        <v>175</v>
      </c>
      <c r="H3914">
        <v>95860</v>
      </c>
      <c r="I3914">
        <v>4067156</v>
      </c>
    </row>
    <row r="3915" spans="1:9">
      <c r="A3915" s="2">
        <v>1985</v>
      </c>
      <c r="B3915">
        <v>26</v>
      </c>
      <c r="C3915">
        <v>1.8699999999999999E-3</v>
      </c>
      <c r="D3915">
        <v>1.8699999999999999E-3</v>
      </c>
      <c r="E3915">
        <v>0.5</v>
      </c>
      <c r="F3915">
        <v>95773</v>
      </c>
      <c r="G3915">
        <v>179</v>
      </c>
      <c r="H3915">
        <v>95683</v>
      </c>
      <c r="I3915">
        <v>3971296</v>
      </c>
    </row>
    <row r="3916" spans="1:9">
      <c r="A3916" s="2">
        <v>1985</v>
      </c>
      <c r="B3916">
        <v>27</v>
      </c>
      <c r="C3916">
        <v>2.4099999999999998E-3</v>
      </c>
      <c r="D3916">
        <v>2.4099999999999998E-3</v>
      </c>
      <c r="E3916">
        <v>0.5</v>
      </c>
      <c r="F3916">
        <v>95594</v>
      </c>
      <c r="G3916">
        <v>231</v>
      </c>
      <c r="H3916">
        <v>95478</v>
      </c>
      <c r="I3916">
        <v>3875613</v>
      </c>
    </row>
    <row r="3917" spans="1:9">
      <c r="A3917" s="2">
        <v>1985</v>
      </c>
      <c r="B3917">
        <v>28</v>
      </c>
      <c r="C3917">
        <v>2E-3</v>
      </c>
      <c r="D3917">
        <v>2E-3</v>
      </c>
      <c r="E3917">
        <v>0.5</v>
      </c>
      <c r="F3917">
        <v>95363</v>
      </c>
      <c r="G3917">
        <v>191</v>
      </c>
      <c r="H3917">
        <v>95268</v>
      </c>
      <c r="I3917">
        <v>3780134</v>
      </c>
    </row>
    <row r="3918" spans="1:9">
      <c r="A3918" s="2">
        <v>1985</v>
      </c>
      <c r="B3918">
        <v>29</v>
      </c>
      <c r="C3918">
        <v>1.9499999999999999E-3</v>
      </c>
      <c r="D3918">
        <v>1.9499999999999999E-3</v>
      </c>
      <c r="E3918">
        <v>0.5</v>
      </c>
      <c r="F3918">
        <v>95172</v>
      </c>
      <c r="G3918">
        <v>185</v>
      </c>
      <c r="H3918">
        <v>95080</v>
      </c>
      <c r="I3918">
        <v>3684867</v>
      </c>
    </row>
    <row r="3919" spans="1:9">
      <c r="A3919" s="2">
        <v>1985</v>
      </c>
      <c r="B3919">
        <v>30</v>
      </c>
      <c r="C3919">
        <v>2.47E-3</v>
      </c>
      <c r="D3919">
        <v>2.47E-3</v>
      </c>
      <c r="E3919">
        <v>0.5</v>
      </c>
      <c r="F3919">
        <v>94987</v>
      </c>
      <c r="G3919">
        <v>234</v>
      </c>
      <c r="H3919">
        <v>94870</v>
      </c>
      <c r="I3919">
        <v>3589787</v>
      </c>
    </row>
    <row r="3920" spans="1:9">
      <c r="A3920" s="2">
        <v>1985</v>
      </c>
      <c r="B3920">
        <v>31</v>
      </c>
      <c r="C3920">
        <v>2.65E-3</v>
      </c>
      <c r="D3920">
        <v>2.65E-3</v>
      </c>
      <c r="E3920">
        <v>0.5</v>
      </c>
      <c r="F3920">
        <v>94753</v>
      </c>
      <c r="G3920">
        <v>251</v>
      </c>
      <c r="H3920">
        <v>94627</v>
      </c>
      <c r="I3920">
        <v>3494917</v>
      </c>
    </row>
    <row r="3921" spans="1:9">
      <c r="A3921" s="2">
        <v>1985</v>
      </c>
      <c r="B3921">
        <v>32</v>
      </c>
      <c r="C3921">
        <v>2.8400000000000001E-3</v>
      </c>
      <c r="D3921">
        <v>2.8400000000000001E-3</v>
      </c>
      <c r="E3921">
        <v>0.5</v>
      </c>
      <c r="F3921">
        <v>94502</v>
      </c>
      <c r="G3921">
        <v>268</v>
      </c>
      <c r="H3921">
        <v>94368</v>
      </c>
      <c r="I3921">
        <v>3400290</v>
      </c>
    </row>
    <row r="3922" spans="1:9">
      <c r="A3922" s="2">
        <v>1985</v>
      </c>
      <c r="B3922">
        <v>33</v>
      </c>
      <c r="C3922">
        <v>2.8400000000000001E-3</v>
      </c>
      <c r="D3922">
        <v>2.8400000000000001E-3</v>
      </c>
      <c r="E3922">
        <v>0.5</v>
      </c>
      <c r="F3922">
        <v>94234</v>
      </c>
      <c r="G3922">
        <v>267</v>
      </c>
      <c r="H3922">
        <v>94100</v>
      </c>
      <c r="I3922">
        <v>3305922</v>
      </c>
    </row>
    <row r="3923" spans="1:9">
      <c r="A3923" s="2">
        <v>1985</v>
      </c>
      <c r="B3923">
        <v>34</v>
      </c>
      <c r="C3923">
        <v>3.82E-3</v>
      </c>
      <c r="D3923">
        <v>3.82E-3</v>
      </c>
      <c r="E3923">
        <v>0.5</v>
      </c>
      <c r="F3923">
        <v>93967</v>
      </c>
      <c r="G3923">
        <v>359</v>
      </c>
      <c r="H3923">
        <v>93787</v>
      </c>
      <c r="I3923">
        <v>3211821</v>
      </c>
    </row>
    <row r="3924" spans="1:9">
      <c r="A3924" s="2">
        <v>1985</v>
      </c>
      <c r="B3924">
        <v>35</v>
      </c>
      <c r="C3924">
        <v>3.5200000000000001E-3</v>
      </c>
      <c r="D3924">
        <v>3.5100000000000001E-3</v>
      </c>
      <c r="E3924">
        <v>0.5</v>
      </c>
      <c r="F3924">
        <v>93608</v>
      </c>
      <c r="G3924">
        <v>329</v>
      </c>
      <c r="H3924">
        <v>93443</v>
      </c>
      <c r="I3924">
        <v>3118034</v>
      </c>
    </row>
    <row r="3925" spans="1:9">
      <c r="A3925" s="2">
        <v>1985</v>
      </c>
      <c r="B3925">
        <v>36</v>
      </c>
      <c r="C3925">
        <v>4.3600000000000002E-3</v>
      </c>
      <c r="D3925">
        <v>4.3499999999999997E-3</v>
      </c>
      <c r="E3925">
        <v>0.5</v>
      </c>
      <c r="F3925">
        <v>93279</v>
      </c>
      <c r="G3925">
        <v>406</v>
      </c>
      <c r="H3925">
        <v>93076</v>
      </c>
      <c r="I3925">
        <v>3024591</v>
      </c>
    </row>
    <row r="3926" spans="1:9">
      <c r="A3926" s="2">
        <v>1985</v>
      </c>
      <c r="B3926">
        <v>37</v>
      </c>
      <c r="C3926">
        <v>4.6899999999999997E-3</v>
      </c>
      <c r="D3926">
        <v>4.6800000000000001E-3</v>
      </c>
      <c r="E3926">
        <v>0.5</v>
      </c>
      <c r="F3926">
        <v>92873</v>
      </c>
      <c r="G3926">
        <v>434</v>
      </c>
      <c r="H3926">
        <v>92656</v>
      </c>
      <c r="I3926">
        <v>2931515</v>
      </c>
    </row>
    <row r="3927" spans="1:9">
      <c r="A3927" s="2">
        <v>1985</v>
      </c>
      <c r="B3927">
        <v>38</v>
      </c>
      <c r="C3927">
        <v>4.9300000000000004E-3</v>
      </c>
      <c r="D3927">
        <v>4.9199999999999999E-3</v>
      </c>
      <c r="E3927">
        <v>0.5</v>
      </c>
      <c r="F3927">
        <v>92439</v>
      </c>
      <c r="G3927">
        <v>454</v>
      </c>
      <c r="H3927">
        <v>92212</v>
      </c>
      <c r="I3927">
        <v>2838859</v>
      </c>
    </row>
    <row r="3928" spans="1:9">
      <c r="A3928" s="2">
        <v>1985</v>
      </c>
      <c r="B3928">
        <v>39</v>
      </c>
      <c r="C3928">
        <v>4.8500000000000001E-3</v>
      </c>
      <c r="D3928">
        <v>4.8399999999999997E-3</v>
      </c>
      <c r="E3928">
        <v>0.5</v>
      </c>
      <c r="F3928">
        <v>91985</v>
      </c>
      <c r="G3928">
        <v>445</v>
      </c>
      <c r="H3928">
        <v>91762</v>
      </c>
      <c r="I3928">
        <v>2746647</v>
      </c>
    </row>
    <row r="3929" spans="1:9">
      <c r="A3929" s="2">
        <v>1985</v>
      </c>
      <c r="B3929">
        <v>40</v>
      </c>
      <c r="C3929">
        <v>5.7999999999999996E-3</v>
      </c>
      <c r="D3929">
        <v>5.7800000000000004E-3</v>
      </c>
      <c r="E3929">
        <v>0.5</v>
      </c>
      <c r="F3929">
        <v>91540</v>
      </c>
      <c r="G3929">
        <v>529</v>
      </c>
      <c r="H3929">
        <v>91275</v>
      </c>
      <c r="I3929">
        <v>2654885</v>
      </c>
    </row>
    <row r="3930" spans="1:9">
      <c r="A3930" s="2">
        <v>1985</v>
      </c>
      <c r="B3930">
        <v>41</v>
      </c>
      <c r="C3930">
        <v>6.9300000000000004E-3</v>
      </c>
      <c r="D3930">
        <v>6.8999999999999999E-3</v>
      </c>
      <c r="E3930">
        <v>0.5</v>
      </c>
      <c r="F3930">
        <v>91010</v>
      </c>
      <c r="G3930">
        <v>628</v>
      </c>
      <c r="H3930">
        <v>90696</v>
      </c>
      <c r="I3930">
        <v>2563610</v>
      </c>
    </row>
    <row r="3931" spans="1:9">
      <c r="A3931" s="2">
        <v>1985</v>
      </c>
      <c r="B3931">
        <v>42</v>
      </c>
      <c r="C3931">
        <v>7.1300000000000001E-3</v>
      </c>
      <c r="D3931">
        <v>7.1000000000000004E-3</v>
      </c>
      <c r="E3931">
        <v>0.5</v>
      </c>
      <c r="F3931">
        <v>90382</v>
      </c>
      <c r="G3931">
        <v>642</v>
      </c>
      <c r="H3931">
        <v>90061</v>
      </c>
      <c r="I3931">
        <v>2472914</v>
      </c>
    </row>
    <row r="3932" spans="1:9">
      <c r="A3932" s="2">
        <v>1985</v>
      </c>
      <c r="B3932">
        <v>43</v>
      </c>
      <c r="C3932">
        <v>7.6299999999999996E-3</v>
      </c>
      <c r="D3932">
        <v>7.6E-3</v>
      </c>
      <c r="E3932">
        <v>0.5</v>
      </c>
      <c r="F3932">
        <v>89740</v>
      </c>
      <c r="G3932">
        <v>682</v>
      </c>
      <c r="H3932">
        <v>89399</v>
      </c>
      <c r="I3932">
        <v>2382853</v>
      </c>
    </row>
    <row r="3933" spans="1:9">
      <c r="A3933" s="2">
        <v>1985</v>
      </c>
      <c r="B3933">
        <v>44</v>
      </c>
      <c r="C3933">
        <v>7.7200000000000003E-3</v>
      </c>
      <c r="D3933">
        <v>7.6899999999999998E-3</v>
      </c>
      <c r="E3933">
        <v>0.5</v>
      </c>
      <c r="F3933">
        <v>89058</v>
      </c>
      <c r="G3933">
        <v>685</v>
      </c>
      <c r="H3933">
        <v>88715</v>
      </c>
      <c r="I3933">
        <v>2293454</v>
      </c>
    </row>
    <row r="3934" spans="1:9">
      <c r="A3934" s="2">
        <v>1985</v>
      </c>
      <c r="B3934">
        <v>45</v>
      </c>
      <c r="C3934">
        <v>9.8300000000000002E-3</v>
      </c>
      <c r="D3934">
        <v>9.7900000000000001E-3</v>
      </c>
      <c r="E3934">
        <v>0.5</v>
      </c>
      <c r="F3934">
        <v>88373</v>
      </c>
      <c r="G3934">
        <v>865</v>
      </c>
      <c r="H3934">
        <v>87940</v>
      </c>
      <c r="I3934">
        <v>2204739</v>
      </c>
    </row>
    <row r="3935" spans="1:9">
      <c r="A3935" s="2">
        <v>1985</v>
      </c>
      <c r="B3935">
        <v>46</v>
      </c>
      <c r="C3935">
        <v>1.0699999999999999E-2</v>
      </c>
      <c r="D3935">
        <v>1.065E-2</v>
      </c>
      <c r="E3935">
        <v>0.5</v>
      </c>
      <c r="F3935">
        <v>87508</v>
      </c>
      <c r="G3935">
        <v>932</v>
      </c>
      <c r="H3935">
        <v>87042</v>
      </c>
      <c r="I3935">
        <v>2116799</v>
      </c>
    </row>
    <row r="3936" spans="1:9">
      <c r="A3936" s="2">
        <v>1985</v>
      </c>
      <c r="B3936">
        <v>47</v>
      </c>
      <c r="C3936">
        <v>1.065E-2</v>
      </c>
      <c r="D3936">
        <v>1.059E-2</v>
      </c>
      <c r="E3936">
        <v>0.5</v>
      </c>
      <c r="F3936">
        <v>86576</v>
      </c>
      <c r="G3936">
        <v>917</v>
      </c>
      <c r="H3936">
        <v>86117</v>
      </c>
      <c r="I3936">
        <v>2029757</v>
      </c>
    </row>
    <row r="3937" spans="1:9">
      <c r="A3937" s="2">
        <v>1985</v>
      </c>
      <c r="B3937">
        <v>48</v>
      </c>
      <c r="C3937">
        <v>1.188E-2</v>
      </c>
      <c r="D3937">
        <v>1.1809999999999999E-2</v>
      </c>
      <c r="E3937">
        <v>0.5</v>
      </c>
      <c r="F3937">
        <v>85659</v>
      </c>
      <c r="G3937">
        <v>1012</v>
      </c>
      <c r="H3937">
        <v>85153</v>
      </c>
      <c r="I3937">
        <v>1943639</v>
      </c>
    </row>
    <row r="3938" spans="1:9">
      <c r="A3938" s="2">
        <v>1985</v>
      </c>
      <c r="B3938">
        <v>49</v>
      </c>
      <c r="C3938">
        <v>1.191E-2</v>
      </c>
      <c r="D3938">
        <v>1.184E-2</v>
      </c>
      <c r="E3938">
        <v>0.5</v>
      </c>
      <c r="F3938">
        <v>84647</v>
      </c>
      <c r="G3938">
        <v>1003</v>
      </c>
      <c r="H3938">
        <v>84146</v>
      </c>
      <c r="I3938">
        <v>1858487</v>
      </c>
    </row>
    <row r="3939" spans="1:9">
      <c r="A3939" s="2">
        <v>1985</v>
      </c>
      <c r="B3939">
        <v>50</v>
      </c>
      <c r="C3939">
        <v>1.2880000000000001E-2</v>
      </c>
      <c r="D3939">
        <v>1.2800000000000001E-2</v>
      </c>
      <c r="E3939">
        <v>0.5</v>
      </c>
      <c r="F3939">
        <v>83644</v>
      </c>
      <c r="G3939">
        <v>1070</v>
      </c>
      <c r="H3939">
        <v>83109</v>
      </c>
      <c r="I3939">
        <v>1774341</v>
      </c>
    </row>
    <row r="3940" spans="1:9">
      <c r="A3940" s="2">
        <v>1985</v>
      </c>
      <c r="B3940">
        <v>51</v>
      </c>
      <c r="C3940">
        <v>1.4800000000000001E-2</v>
      </c>
      <c r="D3940">
        <v>1.469E-2</v>
      </c>
      <c r="E3940">
        <v>0.5</v>
      </c>
      <c r="F3940">
        <v>82574</v>
      </c>
      <c r="G3940">
        <v>1213</v>
      </c>
      <c r="H3940">
        <v>81968</v>
      </c>
      <c r="I3940">
        <v>1691232</v>
      </c>
    </row>
    <row r="3941" spans="1:9">
      <c r="A3941" s="2">
        <v>1985</v>
      </c>
      <c r="B3941">
        <v>52</v>
      </c>
      <c r="C3941">
        <v>1.5990000000000001E-2</v>
      </c>
      <c r="D3941">
        <v>1.5869999999999999E-2</v>
      </c>
      <c r="E3941">
        <v>0.5</v>
      </c>
      <c r="F3941">
        <v>81361</v>
      </c>
      <c r="G3941">
        <v>1291</v>
      </c>
      <c r="H3941">
        <v>80716</v>
      </c>
      <c r="I3941">
        <v>1609264</v>
      </c>
    </row>
    <row r="3942" spans="1:9">
      <c r="A3942" s="2">
        <v>1985</v>
      </c>
      <c r="B3942">
        <v>53</v>
      </c>
      <c r="C3942">
        <v>1.6709999999999999E-2</v>
      </c>
      <c r="D3942">
        <v>1.6570000000000001E-2</v>
      </c>
      <c r="E3942">
        <v>0.5</v>
      </c>
      <c r="F3942">
        <v>80070</v>
      </c>
      <c r="G3942">
        <v>1327</v>
      </c>
      <c r="H3942">
        <v>79407</v>
      </c>
      <c r="I3942">
        <v>1528548</v>
      </c>
    </row>
    <row r="3943" spans="1:9">
      <c r="A3943" s="2">
        <v>1985</v>
      </c>
      <c r="B3943">
        <v>54</v>
      </c>
      <c r="C3943">
        <v>1.78E-2</v>
      </c>
      <c r="D3943">
        <v>1.7639999999999999E-2</v>
      </c>
      <c r="E3943">
        <v>0.5</v>
      </c>
      <c r="F3943">
        <v>78744</v>
      </c>
      <c r="G3943">
        <v>1389</v>
      </c>
      <c r="H3943">
        <v>78049</v>
      </c>
      <c r="I3943">
        <v>1449141</v>
      </c>
    </row>
    <row r="3944" spans="1:9">
      <c r="A3944" s="2">
        <v>1985</v>
      </c>
      <c r="B3944">
        <v>55</v>
      </c>
      <c r="C3944">
        <v>1.9179999999999999E-2</v>
      </c>
      <c r="D3944">
        <v>1.9E-2</v>
      </c>
      <c r="E3944">
        <v>0.5</v>
      </c>
      <c r="F3944">
        <v>77355</v>
      </c>
      <c r="G3944">
        <v>1470</v>
      </c>
      <c r="H3944">
        <v>76620</v>
      </c>
      <c r="I3944">
        <v>1371092</v>
      </c>
    </row>
    <row r="3945" spans="1:9">
      <c r="A3945" s="2">
        <v>1985</v>
      </c>
      <c r="B3945">
        <v>56</v>
      </c>
      <c r="C3945">
        <v>2.1479999999999999E-2</v>
      </c>
      <c r="D3945">
        <v>2.1250000000000002E-2</v>
      </c>
      <c r="E3945">
        <v>0.5</v>
      </c>
      <c r="F3945">
        <v>75885</v>
      </c>
      <c r="G3945">
        <v>1612</v>
      </c>
      <c r="H3945">
        <v>75079</v>
      </c>
      <c r="I3945">
        <v>1294472</v>
      </c>
    </row>
    <row r="3946" spans="1:9">
      <c r="A3946" s="2">
        <v>1985</v>
      </c>
      <c r="B3946">
        <v>57</v>
      </c>
      <c r="C3946">
        <v>2.3349999999999999E-2</v>
      </c>
      <c r="D3946">
        <v>2.308E-2</v>
      </c>
      <c r="E3946">
        <v>0.5</v>
      </c>
      <c r="F3946">
        <v>74273</v>
      </c>
      <c r="G3946">
        <v>1714</v>
      </c>
      <c r="H3946">
        <v>73416</v>
      </c>
      <c r="I3946">
        <v>1219393</v>
      </c>
    </row>
    <row r="3947" spans="1:9">
      <c r="A3947" s="2">
        <v>1985</v>
      </c>
      <c r="B3947">
        <v>58</v>
      </c>
      <c r="C3947">
        <v>2.462E-2</v>
      </c>
      <c r="D3947">
        <v>2.4320000000000001E-2</v>
      </c>
      <c r="E3947">
        <v>0.5</v>
      </c>
      <c r="F3947">
        <v>72559</v>
      </c>
      <c r="G3947">
        <v>1765</v>
      </c>
      <c r="H3947">
        <v>71676</v>
      </c>
      <c r="I3947">
        <v>1145977</v>
      </c>
    </row>
    <row r="3948" spans="1:9">
      <c r="A3948" s="2">
        <v>1985</v>
      </c>
      <c r="B3948">
        <v>59</v>
      </c>
      <c r="C3948">
        <v>2.7709999999999999E-2</v>
      </c>
      <c r="D3948">
        <v>2.733E-2</v>
      </c>
      <c r="E3948">
        <v>0.5</v>
      </c>
      <c r="F3948">
        <v>70794</v>
      </c>
      <c r="G3948">
        <v>1935</v>
      </c>
      <c r="H3948">
        <v>69827</v>
      </c>
      <c r="I3948">
        <v>1074301</v>
      </c>
    </row>
    <row r="3949" spans="1:9">
      <c r="A3949" s="2">
        <v>1985</v>
      </c>
      <c r="B3949">
        <v>60</v>
      </c>
      <c r="C3949">
        <v>2.9940000000000001E-2</v>
      </c>
      <c r="D3949">
        <v>2.9499999999999998E-2</v>
      </c>
      <c r="E3949">
        <v>0.5</v>
      </c>
      <c r="F3949">
        <v>68859</v>
      </c>
      <c r="G3949">
        <v>2031</v>
      </c>
      <c r="H3949">
        <v>67844</v>
      </c>
      <c r="I3949">
        <v>1004475</v>
      </c>
    </row>
    <row r="3950" spans="1:9">
      <c r="A3950" s="2">
        <v>1985</v>
      </c>
      <c r="B3950">
        <v>61</v>
      </c>
      <c r="C3950">
        <v>2.8930000000000001E-2</v>
      </c>
      <c r="D3950">
        <v>2.852E-2</v>
      </c>
      <c r="E3950">
        <v>0.5</v>
      </c>
      <c r="F3950">
        <v>66828</v>
      </c>
      <c r="G3950">
        <v>1906</v>
      </c>
      <c r="H3950">
        <v>65875</v>
      </c>
      <c r="I3950">
        <v>936631</v>
      </c>
    </row>
    <row r="3951" spans="1:9">
      <c r="A3951" s="2">
        <v>1985</v>
      </c>
      <c r="B3951">
        <v>62</v>
      </c>
      <c r="C3951">
        <v>3.2239999999999998E-2</v>
      </c>
      <c r="D3951">
        <v>3.1730000000000001E-2</v>
      </c>
      <c r="E3951">
        <v>0.5</v>
      </c>
      <c r="F3951">
        <v>64922</v>
      </c>
      <c r="G3951">
        <v>2060</v>
      </c>
      <c r="H3951">
        <v>63892</v>
      </c>
      <c r="I3951">
        <v>870756</v>
      </c>
    </row>
    <row r="3952" spans="1:9">
      <c r="A3952" s="2">
        <v>1985</v>
      </c>
      <c r="B3952">
        <v>63</v>
      </c>
      <c r="C3952">
        <v>3.5400000000000001E-2</v>
      </c>
      <c r="D3952">
        <v>3.4790000000000001E-2</v>
      </c>
      <c r="E3952">
        <v>0.5</v>
      </c>
      <c r="F3952">
        <v>62862</v>
      </c>
      <c r="G3952">
        <v>2187</v>
      </c>
      <c r="H3952">
        <v>61769</v>
      </c>
      <c r="I3952">
        <v>806864</v>
      </c>
    </row>
    <row r="3953" spans="1:9">
      <c r="A3953" s="2">
        <v>1985</v>
      </c>
      <c r="B3953">
        <v>64</v>
      </c>
      <c r="C3953">
        <v>3.6360000000000003E-2</v>
      </c>
      <c r="D3953">
        <v>3.5709999999999999E-2</v>
      </c>
      <c r="E3953">
        <v>0.5</v>
      </c>
      <c r="F3953">
        <v>60675</v>
      </c>
      <c r="G3953">
        <v>2167</v>
      </c>
      <c r="H3953">
        <v>59592</v>
      </c>
      <c r="I3953">
        <v>745095</v>
      </c>
    </row>
    <row r="3954" spans="1:9">
      <c r="A3954" s="2">
        <v>1985</v>
      </c>
      <c r="B3954">
        <v>65</v>
      </c>
      <c r="C3954">
        <v>4.2549999999999998E-2</v>
      </c>
      <c r="D3954">
        <v>4.1669999999999999E-2</v>
      </c>
      <c r="E3954">
        <v>0.5</v>
      </c>
      <c r="F3954">
        <v>58508</v>
      </c>
      <c r="G3954">
        <v>2438</v>
      </c>
      <c r="H3954">
        <v>57290</v>
      </c>
      <c r="I3954">
        <v>685503</v>
      </c>
    </row>
    <row r="3955" spans="1:9">
      <c r="A3955" s="2">
        <v>1985</v>
      </c>
      <c r="B3955">
        <v>66</v>
      </c>
      <c r="C3955">
        <v>3.7819999999999999E-2</v>
      </c>
      <c r="D3955">
        <v>3.712E-2</v>
      </c>
      <c r="E3955">
        <v>0.5</v>
      </c>
      <c r="F3955">
        <v>56071</v>
      </c>
      <c r="G3955">
        <v>2082</v>
      </c>
      <c r="H3955">
        <v>55030</v>
      </c>
      <c r="I3955">
        <v>628214</v>
      </c>
    </row>
    <row r="3956" spans="1:9">
      <c r="A3956" s="2">
        <v>1985</v>
      </c>
      <c r="B3956">
        <v>67</v>
      </c>
      <c r="C3956">
        <v>4.3729999999999998E-2</v>
      </c>
      <c r="D3956">
        <v>4.2799999999999998E-2</v>
      </c>
      <c r="E3956">
        <v>0.5</v>
      </c>
      <c r="F3956">
        <v>53989</v>
      </c>
      <c r="G3956">
        <v>2310</v>
      </c>
      <c r="H3956">
        <v>52834</v>
      </c>
      <c r="I3956">
        <v>573184</v>
      </c>
    </row>
    <row r="3957" spans="1:9">
      <c r="A3957" s="2">
        <v>1985</v>
      </c>
      <c r="B3957">
        <v>68</v>
      </c>
      <c r="C3957">
        <v>4.9090000000000002E-2</v>
      </c>
      <c r="D3957">
        <v>4.7910000000000001E-2</v>
      </c>
      <c r="E3957">
        <v>0.5</v>
      </c>
      <c r="F3957">
        <v>51679</v>
      </c>
      <c r="G3957">
        <v>2476</v>
      </c>
      <c r="H3957">
        <v>50441</v>
      </c>
      <c r="I3957">
        <v>520350</v>
      </c>
    </row>
    <row r="3958" spans="1:9">
      <c r="A3958" s="2">
        <v>1985</v>
      </c>
      <c r="B3958">
        <v>69</v>
      </c>
      <c r="C3958">
        <v>5.101E-2</v>
      </c>
      <c r="D3958">
        <v>4.9750000000000003E-2</v>
      </c>
      <c r="E3958">
        <v>0.5</v>
      </c>
      <c r="F3958">
        <v>49203</v>
      </c>
      <c r="G3958">
        <v>2448</v>
      </c>
      <c r="H3958">
        <v>47979</v>
      </c>
      <c r="I3958">
        <v>469909</v>
      </c>
    </row>
    <row r="3959" spans="1:9">
      <c r="A3959" s="2">
        <v>1985</v>
      </c>
      <c r="B3959">
        <v>70</v>
      </c>
      <c r="C3959">
        <v>6.4839999999999995E-2</v>
      </c>
      <c r="D3959">
        <v>6.2810000000000005E-2</v>
      </c>
      <c r="E3959">
        <v>0.5</v>
      </c>
      <c r="F3959">
        <v>46755</v>
      </c>
      <c r="G3959">
        <v>2936</v>
      </c>
      <c r="H3959">
        <v>45287</v>
      </c>
      <c r="I3959">
        <v>421931</v>
      </c>
    </row>
    <row r="3960" spans="1:9">
      <c r="A3960" s="2">
        <v>1985</v>
      </c>
      <c r="B3960">
        <v>71</v>
      </c>
      <c r="C3960">
        <v>6.429E-2</v>
      </c>
      <c r="D3960">
        <v>6.2289999999999998E-2</v>
      </c>
      <c r="E3960">
        <v>0.5</v>
      </c>
      <c r="F3960">
        <v>43819</v>
      </c>
      <c r="G3960">
        <v>2729</v>
      </c>
      <c r="H3960">
        <v>42454</v>
      </c>
      <c r="I3960">
        <v>376644</v>
      </c>
    </row>
    <row r="3961" spans="1:9">
      <c r="A3961" s="2">
        <v>1985</v>
      </c>
      <c r="B3961">
        <v>72</v>
      </c>
      <c r="C3961">
        <v>6.9959999999999994E-2</v>
      </c>
      <c r="D3961">
        <v>6.7599999999999993E-2</v>
      </c>
      <c r="E3961">
        <v>0.5</v>
      </c>
      <c r="F3961">
        <v>41089</v>
      </c>
      <c r="G3961">
        <v>2778</v>
      </c>
      <c r="H3961">
        <v>39700</v>
      </c>
      <c r="I3961">
        <v>334190</v>
      </c>
    </row>
    <row r="3962" spans="1:9">
      <c r="A3962" s="2">
        <v>1985</v>
      </c>
      <c r="B3962">
        <v>73</v>
      </c>
      <c r="C3962">
        <v>7.4569999999999997E-2</v>
      </c>
      <c r="D3962">
        <v>7.1889999999999996E-2</v>
      </c>
      <c r="E3962">
        <v>0.5</v>
      </c>
      <c r="F3962">
        <v>38312</v>
      </c>
      <c r="G3962">
        <v>2754</v>
      </c>
      <c r="H3962">
        <v>36935</v>
      </c>
      <c r="I3962">
        <v>294489</v>
      </c>
    </row>
    <row r="3963" spans="1:9">
      <c r="A3963" s="2">
        <v>1985</v>
      </c>
      <c r="B3963">
        <v>74</v>
      </c>
      <c r="C3963">
        <v>8.2790000000000002E-2</v>
      </c>
      <c r="D3963">
        <v>7.9490000000000005E-2</v>
      </c>
      <c r="E3963">
        <v>0.5</v>
      </c>
      <c r="F3963">
        <v>35557</v>
      </c>
      <c r="G3963">
        <v>2827</v>
      </c>
      <c r="H3963">
        <v>34144</v>
      </c>
      <c r="I3963">
        <v>257555</v>
      </c>
    </row>
    <row r="3964" spans="1:9">
      <c r="A3964" s="2">
        <v>1985</v>
      </c>
      <c r="B3964">
        <v>75</v>
      </c>
      <c r="C3964">
        <v>9.1920000000000002E-2</v>
      </c>
      <c r="D3964">
        <v>8.788E-2</v>
      </c>
      <c r="E3964">
        <v>0.5</v>
      </c>
      <c r="F3964">
        <v>32731</v>
      </c>
      <c r="G3964">
        <v>2876</v>
      </c>
      <c r="H3964">
        <v>31293</v>
      </c>
      <c r="I3964">
        <v>223411</v>
      </c>
    </row>
    <row r="3965" spans="1:9">
      <c r="A3965" s="2">
        <v>1985</v>
      </c>
      <c r="B3965">
        <v>76</v>
      </c>
      <c r="C3965">
        <v>0.10027</v>
      </c>
      <c r="D3965">
        <v>9.5479999999999995E-2</v>
      </c>
      <c r="E3965">
        <v>0.5</v>
      </c>
      <c r="F3965">
        <v>29854</v>
      </c>
      <c r="G3965">
        <v>2851</v>
      </c>
      <c r="H3965">
        <v>28429</v>
      </c>
      <c r="I3965">
        <v>192118</v>
      </c>
    </row>
    <row r="3966" spans="1:9">
      <c r="A3966" s="2">
        <v>1985</v>
      </c>
      <c r="B3966">
        <v>77</v>
      </c>
      <c r="C3966">
        <v>0.10836999999999999</v>
      </c>
      <c r="D3966">
        <v>0.1028</v>
      </c>
      <c r="E3966">
        <v>0.5</v>
      </c>
      <c r="F3966">
        <v>27004</v>
      </c>
      <c r="G3966">
        <v>2776</v>
      </c>
      <c r="H3966">
        <v>25616</v>
      </c>
      <c r="I3966">
        <v>163689</v>
      </c>
    </row>
    <row r="3967" spans="1:9">
      <c r="A3967" s="2">
        <v>1985</v>
      </c>
      <c r="B3967">
        <v>78</v>
      </c>
      <c r="C3967">
        <v>0.11434</v>
      </c>
      <c r="D3967">
        <v>0.10816000000000001</v>
      </c>
      <c r="E3967">
        <v>0.5</v>
      </c>
      <c r="F3967">
        <v>24228</v>
      </c>
      <c r="G3967">
        <v>2620</v>
      </c>
      <c r="H3967">
        <v>22918</v>
      </c>
      <c r="I3967">
        <v>138073</v>
      </c>
    </row>
    <row r="3968" spans="1:9">
      <c r="A3968" s="2">
        <v>1985</v>
      </c>
      <c r="B3968">
        <v>79</v>
      </c>
      <c r="C3968">
        <v>0.13264000000000001</v>
      </c>
      <c r="D3968">
        <v>0.12439</v>
      </c>
      <c r="E3968">
        <v>0.5</v>
      </c>
      <c r="F3968">
        <v>21607</v>
      </c>
      <c r="G3968">
        <v>2688</v>
      </c>
      <c r="H3968">
        <v>20263</v>
      </c>
      <c r="I3968">
        <v>115155</v>
      </c>
    </row>
    <row r="3969" spans="1:9">
      <c r="A3969" s="2">
        <v>1985</v>
      </c>
      <c r="B3969">
        <v>80</v>
      </c>
      <c r="C3969">
        <v>0.13350999999999999</v>
      </c>
      <c r="D3969">
        <v>0.12515000000000001</v>
      </c>
      <c r="E3969">
        <v>0.5</v>
      </c>
      <c r="F3969">
        <v>18920</v>
      </c>
      <c r="G3969">
        <v>2368</v>
      </c>
      <c r="H3969">
        <v>17736</v>
      </c>
      <c r="I3969">
        <v>94892</v>
      </c>
    </row>
    <row r="3970" spans="1:9">
      <c r="A3970" s="2">
        <v>1985</v>
      </c>
      <c r="B3970">
        <v>81</v>
      </c>
      <c r="C3970">
        <v>0.15804000000000001</v>
      </c>
      <c r="D3970">
        <v>0.14646999999999999</v>
      </c>
      <c r="E3970">
        <v>0.5</v>
      </c>
      <c r="F3970">
        <v>16552</v>
      </c>
      <c r="G3970">
        <v>2424</v>
      </c>
      <c r="H3970">
        <v>15340</v>
      </c>
      <c r="I3970">
        <v>77156</v>
      </c>
    </row>
    <row r="3971" spans="1:9">
      <c r="A3971" s="2">
        <v>1985</v>
      </c>
      <c r="B3971">
        <v>82</v>
      </c>
      <c r="C3971">
        <v>0.17186999999999999</v>
      </c>
      <c r="D3971">
        <v>0.15826999999999999</v>
      </c>
      <c r="E3971">
        <v>0.5</v>
      </c>
      <c r="F3971">
        <v>14127</v>
      </c>
      <c r="G3971">
        <v>2236</v>
      </c>
      <c r="H3971">
        <v>13009</v>
      </c>
      <c r="I3971">
        <v>61817</v>
      </c>
    </row>
    <row r="3972" spans="1:9">
      <c r="A3972" s="2">
        <v>1985</v>
      </c>
      <c r="B3972">
        <v>83</v>
      </c>
      <c r="C3972">
        <v>0.18781999999999999</v>
      </c>
      <c r="D3972">
        <v>0.17169999999999999</v>
      </c>
      <c r="E3972">
        <v>0.5</v>
      </c>
      <c r="F3972">
        <v>11891</v>
      </c>
      <c r="G3972">
        <v>2042</v>
      </c>
      <c r="H3972">
        <v>10871</v>
      </c>
      <c r="I3972">
        <v>48807</v>
      </c>
    </row>
    <row r="3973" spans="1:9">
      <c r="A3973" s="2">
        <v>1985</v>
      </c>
      <c r="B3973">
        <v>84</v>
      </c>
      <c r="C3973">
        <v>0.20344999999999999</v>
      </c>
      <c r="D3973">
        <v>0.18465999999999999</v>
      </c>
      <c r="E3973">
        <v>0.5</v>
      </c>
      <c r="F3973">
        <v>9850</v>
      </c>
      <c r="G3973">
        <v>1819</v>
      </c>
      <c r="H3973">
        <v>8940</v>
      </c>
      <c r="I3973">
        <v>37937</v>
      </c>
    </row>
    <row r="3974" spans="1:9">
      <c r="A3974" s="2">
        <v>1985</v>
      </c>
      <c r="B3974">
        <v>85</v>
      </c>
      <c r="C3974">
        <v>0.23826</v>
      </c>
      <c r="D3974">
        <v>0.21289</v>
      </c>
      <c r="E3974">
        <v>0.5</v>
      </c>
      <c r="F3974">
        <v>8031</v>
      </c>
      <c r="G3974">
        <v>1710</v>
      </c>
      <c r="H3974">
        <v>7176</v>
      </c>
      <c r="I3974">
        <v>28996</v>
      </c>
    </row>
    <row r="3975" spans="1:9">
      <c r="A3975" s="2">
        <v>1985</v>
      </c>
      <c r="B3975">
        <v>86</v>
      </c>
      <c r="C3975">
        <v>0.23351</v>
      </c>
      <c r="D3975">
        <v>0.20909</v>
      </c>
      <c r="E3975">
        <v>0.5</v>
      </c>
      <c r="F3975">
        <v>6321</v>
      </c>
      <c r="G3975">
        <v>1322</v>
      </c>
      <c r="H3975">
        <v>5660</v>
      </c>
      <c r="I3975">
        <v>21820</v>
      </c>
    </row>
    <row r="3976" spans="1:9">
      <c r="A3976" s="2">
        <v>1985</v>
      </c>
      <c r="B3976">
        <v>87</v>
      </c>
      <c r="C3976">
        <v>0.25573000000000001</v>
      </c>
      <c r="D3976">
        <v>0.22674</v>
      </c>
      <c r="E3976">
        <v>0.5</v>
      </c>
      <c r="F3976">
        <v>4999</v>
      </c>
      <c r="G3976">
        <v>1134</v>
      </c>
      <c r="H3976">
        <v>4433</v>
      </c>
      <c r="I3976">
        <v>16160</v>
      </c>
    </row>
    <row r="3977" spans="1:9">
      <c r="A3977" s="2">
        <v>1985</v>
      </c>
      <c r="B3977">
        <v>88</v>
      </c>
      <c r="C3977">
        <v>0.26568999999999998</v>
      </c>
      <c r="D3977">
        <v>0.23452999999999999</v>
      </c>
      <c r="E3977">
        <v>0.5</v>
      </c>
      <c r="F3977">
        <v>3866</v>
      </c>
      <c r="G3977">
        <v>907</v>
      </c>
      <c r="H3977">
        <v>3413</v>
      </c>
      <c r="I3977">
        <v>11727</v>
      </c>
    </row>
    <row r="3978" spans="1:9">
      <c r="A3978" s="2">
        <v>1985</v>
      </c>
      <c r="B3978">
        <v>89</v>
      </c>
      <c r="C3978">
        <v>0.30431999999999998</v>
      </c>
      <c r="D3978">
        <v>0.26412999999999998</v>
      </c>
      <c r="E3978">
        <v>0.5</v>
      </c>
      <c r="F3978">
        <v>2959</v>
      </c>
      <c r="G3978">
        <v>782</v>
      </c>
      <c r="H3978">
        <v>2568</v>
      </c>
      <c r="I3978">
        <v>8315</v>
      </c>
    </row>
    <row r="3979" spans="1:9">
      <c r="A3979" s="2">
        <v>1985</v>
      </c>
      <c r="B3979">
        <v>90</v>
      </c>
      <c r="C3979">
        <v>0.32991999999999999</v>
      </c>
      <c r="D3979">
        <v>0.28320000000000001</v>
      </c>
      <c r="E3979">
        <v>0.5</v>
      </c>
      <c r="F3979">
        <v>2178</v>
      </c>
      <c r="G3979">
        <v>617</v>
      </c>
      <c r="H3979">
        <v>1869</v>
      </c>
      <c r="I3979">
        <v>5746</v>
      </c>
    </row>
    <row r="3980" spans="1:9">
      <c r="A3980" s="2">
        <v>1985</v>
      </c>
      <c r="B3980">
        <v>91</v>
      </c>
      <c r="C3980">
        <v>0.36424000000000001</v>
      </c>
      <c r="D3980">
        <v>0.30813000000000001</v>
      </c>
      <c r="E3980">
        <v>0.5</v>
      </c>
      <c r="F3980">
        <v>1561</v>
      </c>
      <c r="G3980">
        <v>481</v>
      </c>
      <c r="H3980">
        <v>1320</v>
      </c>
      <c r="I3980">
        <v>3877</v>
      </c>
    </row>
    <row r="3981" spans="1:9">
      <c r="A3981" s="2">
        <v>1985</v>
      </c>
      <c r="B3981">
        <v>92</v>
      </c>
      <c r="C3981">
        <v>0.36459000000000003</v>
      </c>
      <c r="D3981">
        <v>0.30836999999999998</v>
      </c>
      <c r="E3981">
        <v>0.5</v>
      </c>
      <c r="F3981">
        <v>1080</v>
      </c>
      <c r="G3981">
        <v>333</v>
      </c>
      <c r="H3981">
        <v>913</v>
      </c>
      <c r="I3981">
        <v>2557</v>
      </c>
    </row>
    <row r="3982" spans="1:9">
      <c r="A3982" s="2">
        <v>1985</v>
      </c>
      <c r="B3982">
        <v>93</v>
      </c>
      <c r="C3982">
        <v>0.41755999999999999</v>
      </c>
      <c r="D3982">
        <v>0.34544000000000002</v>
      </c>
      <c r="E3982">
        <v>0.5</v>
      </c>
      <c r="F3982">
        <v>747</v>
      </c>
      <c r="G3982">
        <v>258</v>
      </c>
      <c r="H3982">
        <v>618</v>
      </c>
      <c r="I3982">
        <v>1643</v>
      </c>
    </row>
    <row r="3983" spans="1:9">
      <c r="A3983" s="2">
        <v>1985</v>
      </c>
      <c r="B3983">
        <v>94</v>
      </c>
      <c r="C3983">
        <v>0.44728000000000001</v>
      </c>
      <c r="D3983">
        <v>0.36553000000000002</v>
      </c>
      <c r="E3983">
        <v>0.5</v>
      </c>
      <c r="F3983">
        <v>489</v>
      </c>
      <c r="G3983">
        <v>179</v>
      </c>
      <c r="H3983">
        <v>400</v>
      </c>
      <c r="I3983">
        <v>1025</v>
      </c>
    </row>
    <row r="3984" spans="1:9">
      <c r="A3984" s="2">
        <v>1985</v>
      </c>
      <c r="B3984">
        <v>95</v>
      </c>
      <c r="C3984">
        <v>0.45851999999999998</v>
      </c>
      <c r="D3984">
        <v>0.373</v>
      </c>
      <c r="E3984">
        <v>0.5</v>
      </c>
      <c r="F3984">
        <v>310</v>
      </c>
      <c r="G3984">
        <v>116</v>
      </c>
      <c r="H3984">
        <v>252</v>
      </c>
      <c r="I3984">
        <v>626</v>
      </c>
    </row>
    <row r="3985" spans="1:9">
      <c r="A3985" s="2">
        <v>1985</v>
      </c>
      <c r="B3985">
        <v>96</v>
      </c>
      <c r="C3985">
        <v>0.48579</v>
      </c>
      <c r="D3985">
        <v>0.39084999999999998</v>
      </c>
      <c r="E3985">
        <v>0.5</v>
      </c>
      <c r="F3985">
        <v>194</v>
      </c>
      <c r="G3985">
        <v>76</v>
      </c>
      <c r="H3985">
        <v>156</v>
      </c>
      <c r="I3985">
        <v>374</v>
      </c>
    </row>
    <row r="3986" spans="1:9">
      <c r="A3986" s="2">
        <v>1985</v>
      </c>
      <c r="B3986">
        <v>97</v>
      </c>
      <c r="C3986">
        <v>0.51314000000000004</v>
      </c>
      <c r="D3986">
        <v>0.40836</v>
      </c>
      <c r="E3986">
        <v>0.5</v>
      </c>
      <c r="F3986">
        <v>118</v>
      </c>
      <c r="G3986">
        <v>48</v>
      </c>
      <c r="H3986">
        <v>94</v>
      </c>
      <c r="I3986">
        <v>217</v>
      </c>
    </row>
    <row r="3987" spans="1:9">
      <c r="A3987" s="2">
        <v>1985</v>
      </c>
      <c r="B3987">
        <v>98</v>
      </c>
      <c r="C3987">
        <v>0.54040999999999995</v>
      </c>
      <c r="D3987">
        <v>0.42544999999999999</v>
      </c>
      <c r="E3987">
        <v>0.5</v>
      </c>
      <c r="F3987">
        <v>70</v>
      </c>
      <c r="G3987">
        <v>30</v>
      </c>
      <c r="H3987">
        <v>55</v>
      </c>
      <c r="I3987">
        <v>123</v>
      </c>
    </row>
    <row r="3988" spans="1:9">
      <c r="A3988" s="2">
        <v>1985</v>
      </c>
      <c r="B3988">
        <v>99</v>
      </c>
      <c r="C3988">
        <v>0.56745000000000001</v>
      </c>
      <c r="D3988">
        <v>0.44202999999999998</v>
      </c>
      <c r="E3988">
        <v>0.5</v>
      </c>
      <c r="F3988">
        <v>40</v>
      </c>
      <c r="G3988">
        <v>18</v>
      </c>
      <c r="H3988">
        <v>31</v>
      </c>
      <c r="I3988">
        <v>68</v>
      </c>
    </row>
    <row r="3989" spans="1:9">
      <c r="A3989" s="2">
        <v>1985</v>
      </c>
      <c r="B3989">
        <v>100</v>
      </c>
      <c r="C3989">
        <v>0.59409000000000001</v>
      </c>
      <c r="D3989">
        <v>0.45802999999999999</v>
      </c>
      <c r="E3989">
        <v>0.5</v>
      </c>
      <c r="F3989">
        <v>22</v>
      </c>
      <c r="G3989">
        <v>10</v>
      </c>
      <c r="H3989">
        <v>17</v>
      </c>
      <c r="I3989">
        <v>36</v>
      </c>
    </row>
    <row r="3990" spans="1:9">
      <c r="A3990" s="2">
        <v>1985</v>
      </c>
      <c r="B3990">
        <v>101</v>
      </c>
      <c r="C3990">
        <v>0.62017999999999995</v>
      </c>
      <c r="D3990">
        <v>0.47338999999999998</v>
      </c>
      <c r="E3990">
        <v>0.5</v>
      </c>
      <c r="F3990">
        <v>12</v>
      </c>
      <c r="G3990">
        <v>6</v>
      </c>
      <c r="H3990">
        <v>9</v>
      </c>
      <c r="I3990">
        <v>19</v>
      </c>
    </row>
    <row r="3991" spans="1:9">
      <c r="A3991" s="2">
        <v>1985</v>
      </c>
      <c r="B3991">
        <v>102</v>
      </c>
      <c r="C3991">
        <v>0.64559999999999995</v>
      </c>
      <c r="D3991">
        <v>0.48805999999999999</v>
      </c>
      <c r="E3991">
        <v>0.5</v>
      </c>
      <c r="F3991">
        <v>6</v>
      </c>
      <c r="G3991">
        <v>3</v>
      </c>
      <c r="H3991">
        <v>5</v>
      </c>
      <c r="I3991">
        <v>10</v>
      </c>
    </row>
    <row r="3992" spans="1:9">
      <c r="A3992" s="2">
        <v>1985</v>
      </c>
      <c r="B3992">
        <v>103</v>
      </c>
      <c r="C3992">
        <v>0.67022999999999999</v>
      </c>
      <c r="D3992">
        <v>0.502</v>
      </c>
      <c r="E3992">
        <v>0.5</v>
      </c>
      <c r="F3992">
        <v>3</v>
      </c>
      <c r="G3992">
        <v>2</v>
      </c>
      <c r="H3992">
        <v>2</v>
      </c>
      <c r="I3992">
        <v>5</v>
      </c>
    </row>
    <row r="3993" spans="1:9">
      <c r="A3993" s="2">
        <v>1985</v>
      </c>
      <c r="B3993">
        <v>104</v>
      </c>
      <c r="C3993">
        <v>0.69394999999999996</v>
      </c>
      <c r="D3993">
        <v>0.51519000000000004</v>
      </c>
      <c r="E3993">
        <v>0.5</v>
      </c>
      <c r="F3993">
        <v>2</v>
      </c>
      <c r="G3993">
        <v>1</v>
      </c>
      <c r="H3993">
        <v>1</v>
      </c>
      <c r="I3993">
        <v>2</v>
      </c>
    </row>
    <row r="3994" spans="1:9">
      <c r="A3994" s="2">
        <v>1985</v>
      </c>
      <c r="B3994">
        <v>105</v>
      </c>
      <c r="C3994">
        <v>0.71669000000000005</v>
      </c>
      <c r="D3994">
        <v>0.52761999999999998</v>
      </c>
      <c r="E3994">
        <v>0.5</v>
      </c>
      <c r="F3994">
        <v>1</v>
      </c>
      <c r="G3994">
        <v>0</v>
      </c>
      <c r="H3994">
        <v>1</v>
      </c>
      <c r="I3994">
        <v>1</v>
      </c>
    </row>
    <row r="3995" spans="1:9">
      <c r="A3995" s="2">
        <v>1985</v>
      </c>
      <c r="B3995">
        <v>106</v>
      </c>
      <c r="C3995">
        <v>0.73836999999999997</v>
      </c>
      <c r="D3995">
        <v>0.53927999999999998</v>
      </c>
      <c r="E3995">
        <v>0.5</v>
      </c>
      <c r="F3995">
        <v>0</v>
      </c>
      <c r="G3995">
        <v>0</v>
      </c>
      <c r="H3995">
        <v>0</v>
      </c>
      <c r="I3995">
        <v>0</v>
      </c>
    </row>
    <row r="3996" spans="1:9">
      <c r="A3996" s="2">
        <v>1985</v>
      </c>
      <c r="B3996">
        <v>107</v>
      </c>
      <c r="C3996">
        <v>0.75895999999999997</v>
      </c>
      <c r="D3996">
        <v>0.55018</v>
      </c>
      <c r="E3996">
        <v>0.5</v>
      </c>
      <c r="F3996">
        <v>0</v>
      </c>
      <c r="G3996">
        <v>0</v>
      </c>
      <c r="H3996">
        <v>0</v>
      </c>
      <c r="I3996">
        <v>0</v>
      </c>
    </row>
    <row r="3997" spans="1:9">
      <c r="A3997" s="2">
        <v>1985</v>
      </c>
      <c r="B3997">
        <v>108</v>
      </c>
      <c r="C3997">
        <v>0.77841000000000005</v>
      </c>
      <c r="D3997">
        <v>0.56032999999999999</v>
      </c>
      <c r="E3997">
        <v>0.5</v>
      </c>
      <c r="F3997">
        <v>0</v>
      </c>
      <c r="G3997">
        <v>0</v>
      </c>
      <c r="H3997">
        <v>0</v>
      </c>
      <c r="I3997">
        <v>0</v>
      </c>
    </row>
    <row r="3998" spans="1:9">
      <c r="A3998" s="2">
        <v>1985</v>
      </c>
      <c r="B3998">
        <v>109</v>
      </c>
      <c r="C3998">
        <v>0.79671000000000003</v>
      </c>
      <c r="D3998">
        <v>0.56974999999999998</v>
      </c>
      <c r="E3998">
        <v>0.5</v>
      </c>
      <c r="F3998">
        <v>0</v>
      </c>
      <c r="G3998">
        <v>0</v>
      </c>
      <c r="H3998">
        <v>0</v>
      </c>
      <c r="I3998">
        <v>0</v>
      </c>
    </row>
    <row r="3999" spans="1:9">
      <c r="A3999" s="2">
        <v>1985</v>
      </c>
      <c r="B3999" t="s">
        <v>26</v>
      </c>
      <c r="C3999">
        <v>0.81386000000000003</v>
      </c>
      <c r="D3999">
        <v>1</v>
      </c>
      <c r="E3999" s="3" t="s">
        <v>31</v>
      </c>
      <c r="F3999">
        <v>0</v>
      </c>
      <c r="G3999">
        <v>0</v>
      </c>
      <c r="H3999">
        <v>0</v>
      </c>
      <c r="I3999">
        <v>0</v>
      </c>
    </row>
    <row r="4000" spans="1:9">
      <c r="A4000" s="2">
        <v>1986</v>
      </c>
      <c r="B4000">
        <v>0</v>
      </c>
      <c r="C4000">
        <v>2.1659999999999999E-2</v>
      </c>
      <c r="D4000">
        <v>2.1250000000000002E-2</v>
      </c>
      <c r="E4000">
        <v>0.11</v>
      </c>
      <c r="F4000">
        <v>100000</v>
      </c>
      <c r="G4000">
        <v>2125</v>
      </c>
      <c r="H4000">
        <v>98101</v>
      </c>
      <c r="I4000">
        <v>6519936</v>
      </c>
    </row>
    <row r="4001" spans="1:9">
      <c r="A4001" s="2">
        <v>1986</v>
      </c>
      <c r="B4001">
        <v>1</v>
      </c>
      <c r="C4001">
        <v>8.0000000000000004E-4</v>
      </c>
      <c r="D4001">
        <v>8.0000000000000004E-4</v>
      </c>
      <c r="E4001">
        <v>0.5</v>
      </c>
      <c r="F4001">
        <v>97875</v>
      </c>
      <c r="G4001">
        <v>79</v>
      </c>
      <c r="H4001">
        <v>97836</v>
      </c>
      <c r="I4001">
        <v>6421835</v>
      </c>
    </row>
    <row r="4002" spans="1:9">
      <c r="A4002" s="2">
        <v>1986</v>
      </c>
      <c r="B4002">
        <v>2</v>
      </c>
      <c r="C4002">
        <v>6.2E-4</v>
      </c>
      <c r="D4002">
        <v>6.2E-4</v>
      </c>
      <c r="E4002">
        <v>0.5</v>
      </c>
      <c r="F4002">
        <v>97797</v>
      </c>
      <c r="G4002">
        <v>61</v>
      </c>
      <c r="H4002">
        <v>97766</v>
      </c>
      <c r="I4002">
        <v>6323999</v>
      </c>
    </row>
    <row r="4003" spans="1:9">
      <c r="A4003" s="2">
        <v>1986</v>
      </c>
      <c r="B4003">
        <v>3</v>
      </c>
      <c r="C4003">
        <v>3.1E-4</v>
      </c>
      <c r="D4003">
        <v>3.1E-4</v>
      </c>
      <c r="E4003">
        <v>0.5</v>
      </c>
      <c r="F4003">
        <v>97736</v>
      </c>
      <c r="G4003">
        <v>30</v>
      </c>
      <c r="H4003">
        <v>97721</v>
      </c>
      <c r="I4003">
        <v>6226233</v>
      </c>
    </row>
    <row r="4004" spans="1:9">
      <c r="A4004" s="2">
        <v>1986</v>
      </c>
      <c r="B4004">
        <v>4</v>
      </c>
      <c r="C4004">
        <v>5.0000000000000001E-4</v>
      </c>
      <c r="D4004">
        <v>5.0000000000000001E-4</v>
      </c>
      <c r="E4004">
        <v>0.5</v>
      </c>
      <c r="F4004">
        <v>97706</v>
      </c>
      <c r="G4004">
        <v>48</v>
      </c>
      <c r="H4004">
        <v>97682</v>
      </c>
      <c r="I4004">
        <v>6128512</v>
      </c>
    </row>
    <row r="4005" spans="1:9">
      <c r="A4005" s="2">
        <v>1986</v>
      </c>
      <c r="B4005">
        <v>5</v>
      </c>
      <c r="C4005">
        <v>3.6000000000000002E-4</v>
      </c>
      <c r="D4005">
        <v>3.6000000000000002E-4</v>
      </c>
      <c r="E4005">
        <v>0.5</v>
      </c>
      <c r="F4005">
        <v>97657</v>
      </c>
      <c r="G4005">
        <v>35</v>
      </c>
      <c r="H4005">
        <v>97640</v>
      </c>
      <c r="I4005">
        <v>6030830</v>
      </c>
    </row>
    <row r="4006" spans="1:9">
      <c r="A4006" s="2">
        <v>1986</v>
      </c>
      <c r="B4006">
        <v>6</v>
      </c>
      <c r="C4006">
        <v>3.8000000000000002E-4</v>
      </c>
      <c r="D4006">
        <v>3.8000000000000002E-4</v>
      </c>
      <c r="E4006">
        <v>0.5</v>
      </c>
      <c r="F4006">
        <v>97622</v>
      </c>
      <c r="G4006">
        <v>37</v>
      </c>
      <c r="H4006">
        <v>97604</v>
      </c>
      <c r="I4006">
        <v>5933190</v>
      </c>
    </row>
    <row r="4007" spans="1:9">
      <c r="A4007" s="2">
        <v>1986</v>
      </c>
      <c r="B4007">
        <v>7</v>
      </c>
      <c r="C4007">
        <v>2.9E-4</v>
      </c>
      <c r="D4007">
        <v>2.9E-4</v>
      </c>
      <c r="E4007">
        <v>0.5</v>
      </c>
      <c r="F4007">
        <v>97586</v>
      </c>
      <c r="G4007">
        <v>29</v>
      </c>
      <c r="H4007">
        <v>97571</v>
      </c>
      <c r="I4007">
        <v>5835586</v>
      </c>
    </row>
    <row r="4008" spans="1:9">
      <c r="A4008" s="2">
        <v>1986</v>
      </c>
      <c r="B4008">
        <v>8</v>
      </c>
      <c r="C4008">
        <v>3.4000000000000002E-4</v>
      </c>
      <c r="D4008">
        <v>3.4000000000000002E-4</v>
      </c>
      <c r="E4008">
        <v>0.5</v>
      </c>
      <c r="F4008">
        <v>97557</v>
      </c>
      <c r="G4008">
        <v>33</v>
      </c>
      <c r="H4008">
        <v>97540</v>
      </c>
      <c r="I4008">
        <v>5738015</v>
      </c>
    </row>
    <row r="4009" spans="1:9">
      <c r="A4009" s="2">
        <v>1986</v>
      </c>
      <c r="B4009">
        <v>9</v>
      </c>
      <c r="C4009">
        <v>2.9E-4</v>
      </c>
      <c r="D4009">
        <v>2.9E-4</v>
      </c>
      <c r="E4009">
        <v>0.5</v>
      </c>
      <c r="F4009">
        <v>97524</v>
      </c>
      <c r="G4009">
        <v>28</v>
      </c>
      <c r="H4009">
        <v>97510</v>
      </c>
      <c r="I4009">
        <v>5640475</v>
      </c>
    </row>
    <row r="4010" spans="1:9">
      <c r="A4010" s="2">
        <v>1986</v>
      </c>
      <c r="B4010">
        <v>10</v>
      </c>
      <c r="C4010">
        <v>2.9999999999999997E-4</v>
      </c>
      <c r="D4010">
        <v>2.9999999999999997E-4</v>
      </c>
      <c r="E4010">
        <v>0.5</v>
      </c>
      <c r="F4010">
        <v>97496</v>
      </c>
      <c r="G4010">
        <v>29</v>
      </c>
      <c r="H4010">
        <v>97481</v>
      </c>
      <c r="I4010">
        <v>5542965</v>
      </c>
    </row>
    <row r="4011" spans="1:9">
      <c r="A4011" s="2">
        <v>1986</v>
      </c>
      <c r="B4011">
        <v>11</v>
      </c>
      <c r="C4011">
        <v>2.5999999999999998E-4</v>
      </c>
      <c r="D4011">
        <v>2.5999999999999998E-4</v>
      </c>
      <c r="E4011">
        <v>0.5</v>
      </c>
      <c r="F4011">
        <v>97467</v>
      </c>
      <c r="G4011">
        <v>25</v>
      </c>
      <c r="H4011">
        <v>97454</v>
      </c>
      <c r="I4011">
        <v>5445483</v>
      </c>
    </row>
    <row r="4012" spans="1:9">
      <c r="A4012" s="2">
        <v>1986</v>
      </c>
      <c r="B4012">
        <v>12</v>
      </c>
      <c r="C4012">
        <v>1.8000000000000001E-4</v>
      </c>
      <c r="D4012">
        <v>1.8000000000000001E-4</v>
      </c>
      <c r="E4012">
        <v>0.5</v>
      </c>
      <c r="F4012">
        <v>97442</v>
      </c>
      <c r="G4012">
        <v>17</v>
      </c>
      <c r="H4012">
        <v>97433</v>
      </c>
      <c r="I4012">
        <v>5348029</v>
      </c>
    </row>
    <row r="4013" spans="1:9">
      <c r="A4013" s="2">
        <v>1986</v>
      </c>
      <c r="B4013">
        <v>13</v>
      </c>
      <c r="C4013">
        <v>3.4000000000000002E-4</v>
      </c>
      <c r="D4013">
        <v>3.4000000000000002E-4</v>
      </c>
      <c r="E4013">
        <v>0.5</v>
      </c>
      <c r="F4013">
        <v>97424</v>
      </c>
      <c r="G4013">
        <v>33</v>
      </c>
      <c r="H4013">
        <v>97408</v>
      </c>
      <c r="I4013">
        <v>5250596</v>
      </c>
    </row>
    <row r="4014" spans="1:9">
      <c r="A4014" s="2">
        <v>1986</v>
      </c>
      <c r="B4014">
        <v>14</v>
      </c>
      <c r="C4014">
        <v>3.8999999999999999E-4</v>
      </c>
      <c r="D4014">
        <v>3.8999999999999999E-4</v>
      </c>
      <c r="E4014">
        <v>0.5</v>
      </c>
      <c r="F4014">
        <v>97392</v>
      </c>
      <c r="G4014">
        <v>38</v>
      </c>
      <c r="H4014">
        <v>97373</v>
      </c>
      <c r="I4014">
        <v>5153188</v>
      </c>
    </row>
    <row r="4015" spans="1:9">
      <c r="A4015" s="2">
        <v>1986</v>
      </c>
      <c r="B4015">
        <v>15</v>
      </c>
      <c r="C4015">
        <v>5.9000000000000003E-4</v>
      </c>
      <c r="D4015">
        <v>5.9000000000000003E-4</v>
      </c>
      <c r="E4015">
        <v>0.5</v>
      </c>
      <c r="F4015">
        <v>97354</v>
      </c>
      <c r="G4015">
        <v>57</v>
      </c>
      <c r="H4015">
        <v>97325</v>
      </c>
      <c r="I4015">
        <v>5055815</v>
      </c>
    </row>
    <row r="4016" spans="1:9">
      <c r="A4016" s="2">
        <v>1986</v>
      </c>
      <c r="B4016">
        <v>16</v>
      </c>
      <c r="C4016">
        <v>5.5000000000000003E-4</v>
      </c>
      <c r="D4016">
        <v>5.5000000000000003E-4</v>
      </c>
      <c r="E4016">
        <v>0.5</v>
      </c>
      <c r="F4016">
        <v>97297</v>
      </c>
      <c r="G4016">
        <v>53</v>
      </c>
      <c r="H4016">
        <v>97270</v>
      </c>
      <c r="I4016">
        <v>4958490</v>
      </c>
    </row>
    <row r="4017" spans="1:9">
      <c r="A4017" s="2">
        <v>1986</v>
      </c>
      <c r="B4017">
        <v>17</v>
      </c>
      <c r="C4017">
        <v>1.01E-3</v>
      </c>
      <c r="D4017">
        <v>1.01E-3</v>
      </c>
      <c r="E4017">
        <v>0.5</v>
      </c>
      <c r="F4017">
        <v>97244</v>
      </c>
      <c r="G4017">
        <v>99</v>
      </c>
      <c r="H4017">
        <v>97194</v>
      </c>
      <c r="I4017">
        <v>4861220</v>
      </c>
    </row>
    <row r="4018" spans="1:9">
      <c r="A4018" s="2">
        <v>1986</v>
      </c>
      <c r="B4018">
        <v>18</v>
      </c>
      <c r="C4018">
        <v>1.1800000000000001E-3</v>
      </c>
      <c r="D4018">
        <v>1.1800000000000001E-3</v>
      </c>
      <c r="E4018">
        <v>0.5</v>
      </c>
      <c r="F4018">
        <v>97145</v>
      </c>
      <c r="G4018">
        <v>115</v>
      </c>
      <c r="H4018">
        <v>97088</v>
      </c>
      <c r="I4018">
        <v>4764025</v>
      </c>
    </row>
    <row r="4019" spans="1:9">
      <c r="A4019" s="2">
        <v>1986</v>
      </c>
      <c r="B4019">
        <v>19</v>
      </c>
      <c r="C4019">
        <v>1.5100000000000001E-3</v>
      </c>
      <c r="D4019">
        <v>1.5100000000000001E-3</v>
      </c>
      <c r="E4019">
        <v>0.5</v>
      </c>
      <c r="F4019">
        <v>97030</v>
      </c>
      <c r="G4019">
        <v>146</v>
      </c>
      <c r="H4019">
        <v>96957</v>
      </c>
      <c r="I4019">
        <v>4666938</v>
      </c>
    </row>
    <row r="4020" spans="1:9">
      <c r="A4020" s="2">
        <v>1986</v>
      </c>
      <c r="B4020">
        <v>20</v>
      </c>
      <c r="C4020">
        <v>1.1199999999999999E-3</v>
      </c>
      <c r="D4020">
        <v>1.1199999999999999E-3</v>
      </c>
      <c r="E4020">
        <v>0.5</v>
      </c>
      <c r="F4020">
        <v>96884</v>
      </c>
      <c r="G4020">
        <v>109</v>
      </c>
      <c r="H4020">
        <v>96829</v>
      </c>
      <c r="I4020">
        <v>4569981</v>
      </c>
    </row>
    <row r="4021" spans="1:9">
      <c r="A4021" s="2">
        <v>1986</v>
      </c>
      <c r="B4021">
        <v>21</v>
      </c>
      <c r="C4021">
        <v>1.1199999999999999E-3</v>
      </c>
      <c r="D4021">
        <v>1.1199999999999999E-3</v>
      </c>
      <c r="E4021">
        <v>0.5</v>
      </c>
      <c r="F4021">
        <v>96775</v>
      </c>
      <c r="G4021">
        <v>108</v>
      </c>
      <c r="H4021">
        <v>96721</v>
      </c>
      <c r="I4021">
        <v>4473151</v>
      </c>
    </row>
    <row r="4022" spans="1:9">
      <c r="A4022" s="2">
        <v>1986</v>
      </c>
      <c r="B4022">
        <v>22</v>
      </c>
      <c r="C4022">
        <v>1.1199999999999999E-3</v>
      </c>
      <c r="D4022">
        <v>1.1199999999999999E-3</v>
      </c>
      <c r="E4022">
        <v>0.5</v>
      </c>
      <c r="F4022">
        <v>96667</v>
      </c>
      <c r="G4022">
        <v>109</v>
      </c>
      <c r="H4022">
        <v>96613</v>
      </c>
      <c r="I4022">
        <v>4376430</v>
      </c>
    </row>
    <row r="4023" spans="1:9">
      <c r="A4023" s="2">
        <v>1986</v>
      </c>
      <c r="B4023">
        <v>23</v>
      </c>
      <c r="C4023">
        <v>1.5100000000000001E-3</v>
      </c>
      <c r="D4023">
        <v>1.5100000000000001E-3</v>
      </c>
      <c r="E4023">
        <v>0.5</v>
      </c>
      <c r="F4023">
        <v>96559</v>
      </c>
      <c r="G4023">
        <v>146</v>
      </c>
      <c r="H4023">
        <v>96486</v>
      </c>
      <c r="I4023">
        <v>4279817</v>
      </c>
    </row>
    <row r="4024" spans="1:9">
      <c r="A4024" s="2">
        <v>1986</v>
      </c>
      <c r="B4024">
        <v>24</v>
      </c>
      <c r="C4024">
        <v>1.5299999999999999E-3</v>
      </c>
      <c r="D4024">
        <v>1.5299999999999999E-3</v>
      </c>
      <c r="E4024">
        <v>0.5</v>
      </c>
      <c r="F4024">
        <v>96413</v>
      </c>
      <c r="G4024">
        <v>148</v>
      </c>
      <c r="H4024">
        <v>96339</v>
      </c>
      <c r="I4024">
        <v>4183331</v>
      </c>
    </row>
    <row r="4025" spans="1:9">
      <c r="A4025" s="2">
        <v>1986</v>
      </c>
      <c r="B4025">
        <v>25</v>
      </c>
      <c r="C4025">
        <v>1.7899999999999999E-3</v>
      </c>
      <c r="D4025">
        <v>1.7899999999999999E-3</v>
      </c>
      <c r="E4025">
        <v>0.5</v>
      </c>
      <c r="F4025">
        <v>96265</v>
      </c>
      <c r="G4025">
        <v>172</v>
      </c>
      <c r="H4025">
        <v>96179</v>
      </c>
      <c r="I4025">
        <v>4086992</v>
      </c>
    </row>
    <row r="4026" spans="1:9">
      <c r="A4026" s="2">
        <v>1986</v>
      </c>
      <c r="B4026">
        <v>26</v>
      </c>
      <c r="C4026">
        <v>1.58E-3</v>
      </c>
      <c r="D4026">
        <v>1.58E-3</v>
      </c>
      <c r="E4026">
        <v>0.5</v>
      </c>
      <c r="F4026">
        <v>96093</v>
      </c>
      <c r="G4026">
        <v>152</v>
      </c>
      <c r="H4026">
        <v>96017</v>
      </c>
      <c r="I4026">
        <v>3990813</v>
      </c>
    </row>
    <row r="4027" spans="1:9">
      <c r="A4027" s="2">
        <v>1986</v>
      </c>
      <c r="B4027">
        <v>27</v>
      </c>
      <c r="C4027">
        <v>1.9300000000000001E-3</v>
      </c>
      <c r="D4027">
        <v>1.92E-3</v>
      </c>
      <c r="E4027">
        <v>0.5</v>
      </c>
      <c r="F4027">
        <v>95941</v>
      </c>
      <c r="G4027">
        <v>185</v>
      </c>
      <c r="H4027">
        <v>95848</v>
      </c>
      <c r="I4027">
        <v>3894796</v>
      </c>
    </row>
    <row r="4028" spans="1:9">
      <c r="A4028" s="2">
        <v>1986</v>
      </c>
      <c r="B4028">
        <v>28</v>
      </c>
      <c r="C4028">
        <v>2.0100000000000001E-3</v>
      </c>
      <c r="D4028">
        <v>2E-3</v>
      </c>
      <c r="E4028">
        <v>0.5</v>
      </c>
      <c r="F4028">
        <v>95756</v>
      </c>
      <c r="G4028">
        <v>192</v>
      </c>
      <c r="H4028">
        <v>95660</v>
      </c>
      <c r="I4028">
        <v>3798948</v>
      </c>
    </row>
    <row r="4029" spans="1:9">
      <c r="A4029" s="2">
        <v>1986</v>
      </c>
      <c r="B4029">
        <v>29</v>
      </c>
      <c r="C4029">
        <v>2.3999999999999998E-3</v>
      </c>
      <c r="D4029">
        <v>2.3999999999999998E-3</v>
      </c>
      <c r="E4029">
        <v>0.5</v>
      </c>
      <c r="F4029">
        <v>95564</v>
      </c>
      <c r="G4029">
        <v>229</v>
      </c>
      <c r="H4029">
        <v>95450</v>
      </c>
      <c r="I4029">
        <v>3703288</v>
      </c>
    </row>
    <row r="4030" spans="1:9">
      <c r="A4030" s="2">
        <v>1986</v>
      </c>
      <c r="B4030">
        <v>30</v>
      </c>
      <c r="C4030">
        <v>2.4199999999999998E-3</v>
      </c>
      <c r="D4030">
        <v>2.4199999999999998E-3</v>
      </c>
      <c r="E4030">
        <v>0.5</v>
      </c>
      <c r="F4030">
        <v>95335</v>
      </c>
      <c r="G4030">
        <v>230</v>
      </c>
      <c r="H4030">
        <v>95220</v>
      </c>
      <c r="I4030">
        <v>3607838</v>
      </c>
    </row>
    <row r="4031" spans="1:9">
      <c r="A4031" s="2">
        <v>1986</v>
      </c>
      <c r="B4031">
        <v>31</v>
      </c>
      <c r="C4031">
        <v>2.6199999999999999E-3</v>
      </c>
      <c r="D4031">
        <v>2.6199999999999999E-3</v>
      </c>
      <c r="E4031">
        <v>0.5</v>
      </c>
      <c r="F4031">
        <v>95105</v>
      </c>
      <c r="G4031">
        <v>249</v>
      </c>
      <c r="H4031">
        <v>94980</v>
      </c>
      <c r="I4031">
        <v>3512619</v>
      </c>
    </row>
    <row r="4032" spans="1:9">
      <c r="A4032" s="2">
        <v>1986</v>
      </c>
      <c r="B4032">
        <v>32</v>
      </c>
      <c r="C4032">
        <v>2.82E-3</v>
      </c>
      <c r="D4032">
        <v>2.82E-3</v>
      </c>
      <c r="E4032">
        <v>0.5</v>
      </c>
      <c r="F4032">
        <v>94856</v>
      </c>
      <c r="G4032">
        <v>268</v>
      </c>
      <c r="H4032">
        <v>94722</v>
      </c>
      <c r="I4032">
        <v>3417638</v>
      </c>
    </row>
    <row r="4033" spans="1:9">
      <c r="A4033" s="2">
        <v>1986</v>
      </c>
      <c r="B4033">
        <v>33</v>
      </c>
      <c r="C4033">
        <v>2.99E-3</v>
      </c>
      <c r="D4033">
        <v>2.99E-3</v>
      </c>
      <c r="E4033">
        <v>0.5</v>
      </c>
      <c r="F4033">
        <v>94588</v>
      </c>
      <c r="G4033">
        <v>283</v>
      </c>
      <c r="H4033">
        <v>94447</v>
      </c>
      <c r="I4033">
        <v>3322916</v>
      </c>
    </row>
    <row r="4034" spans="1:9">
      <c r="A4034" s="2">
        <v>1986</v>
      </c>
      <c r="B4034">
        <v>34</v>
      </c>
      <c r="C4034">
        <v>3.7299999999999998E-3</v>
      </c>
      <c r="D4034">
        <v>3.7200000000000002E-3</v>
      </c>
      <c r="E4034">
        <v>0.5</v>
      </c>
      <c r="F4034">
        <v>94306</v>
      </c>
      <c r="G4034">
        <v>351</v>
      </c>
      <c r="H4034">
        <v>94130</v>
      </c>
      <c r="I4034">
        <v>3228469</v>
      </c>
    </row>
    <row r="4035" spans="1:9">
      <c r="A4035" s="2">
        <v>1986</v>
      </c>
      <c r="B4035">
        <v>35</v>
      </c>
      <c r="C4035">
        <v>3.9199999999999999E-3</v>
      </c>
      <c r="D4035">
        <v>3.9199999999999999E-3</v>
      </c>
      <c r="E4035">
        <v>0.5</v>
      </c>
      <c r="F4035">
        <v>93955</v>
      </c>
      <c r="G4035">
        <v>368</v>
      </c>
      <c r="H4035">
        <v>93771</v>
      </c>
      <c r="I4035">
        <v>3134339</v>
      </c>
    </row>
    <row r="4036" spans="1:9">
      <c r="A4036" s="2">
        <v>1986</v>
      </c>
      <c r="B4036">
        <v>36</v>
      </c>
      <c r="C4036">
        <v>3.65E-3</v>
      </c>
      <c r="D4036">
        <v>3.65E-3</v>
      </c>
      <c r="E4036">
        <v>0.5</v>
      </c>
      <c r="F4036">
        <v>93587</v>
      </c>
      <c r="G4036">
        <v>341</v>
      </c>
      <c r="H4036">
        <v>93416</v>
      </c>
      <c r="I4036">
        <v>3040569</v>
      </c>
    </row>
    <row r="4037" spans="1:9">
      <c r="A4037" s="2">
        <v>1986</v>
      </c>
      <c r="B4037">
        <v>37</v>
      </c>
      <c r="C4037">
        <v>4.4799999999999996E-3</v>
      </c>
      <c r="D4037">
        <v>4.47E-3</v>
      </c>
      <c r="E4037">
        <v>0.5</v>
      </c>
      <c r="F4037">
        <v>93245</v>
      </c>
      <c r="G4037">
        <v>417</v>
      </c>
      <c r="H4037">
        <v>93037</v>
      </c>
      <c r="I4037">
        <v>2947153</v>
      </c>
    </row>
    <row r="4038" spans="1:9">
      <c r="A4038" s="2">
        <v>1986</v>
      </c>
      <c r="B4038">
        <v>38</v>
      </c>
      <c r="C4038">
        <v>4.4900000000000001E-3</v>
      </c>
      <c r="D4038">
        <v>4.4799999999999996E-3</v>
      </c>
      <c r="E4038">
        <v>0.5</v>
      </c>
      <c r="F4038">
        <v>92829</v>
      </c>
      <c r="G4038">
        <v>416</v>
      </c>
      <c r="H4038">
        <v>92621</v>
      </c>
      <c r="I4038">
        <v>2854116</v>
      </c>
    </row>
    <row r="4039" spans="1:9">
      <c r="A4039" s="2">
        <v>1986</v>
      </c>
      <c r="B4039">
        <v>39</v>
      </c>
      <c r="C4039">
        <v>5.1200000000000004E-3</v>
      </c>
      <c r="D4039">
        <v>5.11E-3</v>
      </c>
      <c r="E4039">
        <v>0.5</v>
      </c>
      <c r="F4039">
        <v>92413</v>
      </c>
      <c r="G4039">
        <v>472</v>
      </c>
      <c r="H4039">
        <v>92177</v>
      </c>
      <c r="I4039">
        <v>2761495</v>
      </c>
    </row>
    <row r="4040" spans="1:9">
      <c r="A4040" s="2">
        <v>1986</v>
      </c>
      <c r="B4040">
        <v>40</v>
      </c>
      <c r="C4040">
        <v>5.5100000000000001E-3</v>
      </c>
      <c r="D4040">
        <v>5.4999999999999997E-3</v>
      </c>
      <c r="E4040">
        <v>0.5</v>
      </c>
      <c r="F4040">
        <v>91941</v>
      </c>
      <c r="G4040">
        <v>505</v>
      </c>
      <c r="H4040">
        <v>91688</v>
      </c>
      <c r="I4040">
        <v>2669318</v>
      </c>
    </row>
    <row r="4041" spans="1:9">
      <c r="A4041" s="2">
        <v>1986</v>
      </c>
      <c r="B4041">
        <v>41</v>
      </c>
      <c r="C4041">
        <v>6.3499999999999997E-3</v>
      </c>
      <c r="D4041">
        <v>6.3299999999999997E-3</v>
      </c>
      <c r="E4041">
        <v>0.5</v>
      </c>
      <c r="F4041">
        <v>91436</v>
      </c>
      <c r="G4041">
        <v>579</v>
      </c>
      <c r="H4041">
        <v>91146</v>
      </c>
      <c r="I4041">
        <v>2577630</v>
      </c>
    </row>
    <row r="4042" spans="1:9">
      <c r="A4042" s="2">
        <v>1986</v>
      </c>
      <c r="B4042">
        <v>42</v>
      </c>
      <c r="C4042">
        <v>7.5799999999999999E-3</v>
      </c>
      <c r="D4042">
        <v>7.5500000000000003E-3</v>
      </c>
      <c r="E4042">
        <v>0.5</v>
      </c>
      <c r="F4042">
        <v>90857</v>
      </c>
      <c r="G4042">
        <v>686</v>
      </c>
      <c r="H4042">
        <v>90514</v>
      </c>
      <c r="I4042">
        <v>2486484</v>
      </c>
    </row>
    <row r="4043" spans="1:9">
      <c r="A4043" s="2">
        <v>1986</v>
      </c>
      <c r="B4043">
        <v>43</v>
      </c>
      <c r="C4043">
        <v>7.4900000000000001E-3</v>
      </c>
      <c r="D4043">
        <v>7.4599999999999996E-3</v>
      </c>
      <c r="E4043">
        <v>0.5</v>
      </c>
      <c r="F4043">
        <v>90171</v>
      </c>
      <c r="G4043">
        <v>673</v>
      </c>
      <c r="H4043">
        <v>89834</v>
      </c>
      <c r="I4043">
        <v>2395970</v>
      </c>
    </row>
    <row r="4044" spans="1:9">
      <c r="A4044" s="2">
        <v>1986</v>
      </c>
      <c r="B4044">
        <v>44</v>
      </c>
      <c r="C4044">
        <v>7.9600000000000001E-3</v>
      </c>
      <c r="D4044">
        <v>7.9299999999999995E-3</v>
      </c>
      <c r="E4044">
        <v>0.5</v>
      </c>
      <c r="F4044">
        <v>89498</v>
      </c>
      <c r="G4044">
        <v>710</v>
      </c>
      <c r="H4044">
        <v>89143</v>
      </c>
      <c r="I4044">
        <v>2306136</v>
      </c>
    </row>
    <row r="4045" spans="1:9">
      <c r="A4045" s="2">
        <v>1986</v>
      </c>
      <c r="B4045">
        <v>45</v>
      </c>
      <c r="C4045">
        <v>9.11E-3</v>
      </c>
      <c r="D4045">
        <v>9.0699999999999999E-3</v>
      </c>
      <c r="E4045">
        <v>0.5</v>
      </c>
      <c r="F4045">
        <v>88788</v>
      </c>
      <c r="G4045">
        <v>805</v>
      </c>
      <c r="H4045">
        <v>88386</v>
      </c>
      <c r="I4045">
        <v>2216992</v>
      </c>
    </row>
    <row r="4046" spans="1:9">
      <c r="A4046" s="2">
        <v>1986</v>
      </c>
      <c r="B4046">
        <v>46</v>
      </c>
      <c r="C4046">
        <v>9.7599999999999996E-3</v>
      </c>
      <c r="D4046">
        <v>9.7099999999999999E-3</v>
      </c>
      <c r="E4046">
        <v>0.5</v>
      </c>
      <c r="F4046">
        <v>87983</v>
      </c>
      <c r="G4046">
        <v>854</v>
      </c>
      <c r="H4046">
        <v>87556</v>
      </c>
      <c r="I4046">
        <v>2128606</v>
      </c>
    </row>
    <row r="4047" spans="1:9">
      <c r="A4047" s="2">
        <v>1986</v>
      </c>
      <c r="B4047">
        <v>47</v>
      </c>
      <c r="C4047">
        <v>1.042E-2</v>
      </c>
      <c r="D4047">
        <v>1.0359999999999999E-2</v>
      </c>
      <c r="E4047">
        <v>0.5</v>
      </c>
      <c r="F4047">
        <v>87129</v>
      </c>
      <c r="G4047">
        <v>903</v>
      </c>
      <c r="H4047">
        <v>86677</v>
      </c>
      <c r="I4047">
        <v>2041050</v>
      </c>
    </row>
    <row r="4048" spans="1:9">
      <c r="A4048" s="2">
        <v>1986</v>
      </c>
      <c r="B4048">
        <v>48</v>
      </c>
      <c r="C4048">
        <v>1.1209999999999999E-2</v>
      </c>
      <c r="D4048">
        <v>1.115E-2</v>
      </c>
      <c r="E4048">
        <v>0.5</v>
      </c>
      <c r="F4048">
        <v>86226</v>
      </c>
      <c r="G4048">
        <v>961</v>
      </c>
      <c r="H4048">
        <v>85745</v>
      </c>
      <c r="I4048">
        <v>1954373</v>
      </c>
    </row>
    <row r="4049" spans="1:9">
      <c r="A4049" s="2">
        <v>1986</v>
      </c>
      <c r="B4049">
        <v>49</v>
      </c>
      <c r="C4049">
        <v>1.383E-2</v>
      </c>
      <c r="D4049">
        <v>1.3729999999999999E-2</v>
      </c>
      <c r="E4049">
        <v>0.5</v>
      </c>
      <c r="F4049">
        <v>85265</v>
      </c>
      <c r="G4049">
        <v>1171</v>
      </c>
      <c r="H4049">
        <v>84679</v>
      </c>
      <c r="I4049">
        <v>1868628</v>
      </c>
    </row>
    <row r="4050" spans="1:9">
      <c r="A4050" s="2">
        <v>1986</v>
      </c>
      <c r="B4050">
        <v>50</v>
      </c>
      <c r="C4050">
        <v>1.346E-2</v>
      </c>
      <c r="D4050">
        <v>1.337E-2</v>
      </c>
      <c r="E4050">
        <v>0.5</v>
      </c>
      <c r="F4050">
        <v>84094</v>
      </c>
      <c r="G4050">
        <v>1125</v>
      </c>
      <c r="H4050">
        <v>83531</v>
      </c>
      <c r="I4050">
        <v>1783948</v>
      </c>
    </row>
    <row r="4051" spans="1:9">
      <c r="A4051" s="2">
        <v>1986</v>
      </c>
      <c r="B4051">
        <v>51</v>
      </c>
      <c r="C4051">
        <v>1.482E-2</v>
      </c>
      <c r="D4051">
        <v>1.4710000000000001E-2</v>
      </c>
      <c r="E4051">
        <v>0.5</v>
      </c>
      <c r="F4051">
        <v>82969</v>
      </c>
      <c r="G4051">
        <v>1220</v>
      </c>
      <c r="H4051">
        <v>82359</v>
      </c>
      <c r="I4051">
        <v>1700417</v>
      </c>
    </row>
    <row r="4052" spans="1:9">
      <c r="A4052" s="2">
        <v>1986</v>
      </c>
      <c r="B4052">
        <v>52</v>
      </c>
      <c r="C4052">
        <v>1.626E-2</v>
      </c>
      <c r="D4052">
        <v>1.6129999999999999E-2</v>
      </c>
      <c r="E4052">
        <v>0.5</v>
      </c>
      <c r="F4052">
        <v>81749</v>
      </c>
      <c r="G4052">
        <v>1318</v>
      </c>
      <c r="H4052">
        <v>81090</v>
      </c>
      <c r="I4052">
        <v>1618058</v>
      </c>
    </row>
    <row r="4053" spans="1:9">
      <c r="A4053" s="2">
        <v>1986</v>
      </c>
      <c r="B4053">
        <v>53</v>
      </c>
      <c r="C4053">
        <v>1.6E-2</v>
      </c>
      <c r="D4053">
        <v>1.5879999999999998E-2</v>
      </c>
      <c r="E4053">
        <v>0.5</v>
      </c>
      <c r="F4053">
        <v>80430</v>
      </c>
      <c r="G4053">
        <v>1277</v>
      </c>
      <c r="H4053">
        <v>79792</v>
      </c>
      <c r="I4053">
        <v>1536968</v>
      </c>
    </row>
    <row r="4054" spans="1:9">
      <c r="A4054" s="2">
        <v>1986</v>
      </c>
      <c r="B4054">
        <v>54</v>
      </c>
      <c r="C4054">
        <v>1.7600000000000001E-2</v>
      </c>
      <c r="D4054">
        <v>1.745E-2</v>
      </c>
      <c r="E4054">
        <v>0.5</v>
      </c>
      <c r="F4054">
        <v>79153</v>
      </c>
      <c r="G4054">
        <v>1381</v>
      </c>
      <c r="H4054">
        <v>78463</v>
      </c>
      <c r="I4054">
        <v>1457177</v>
      </c>
    </row>
    <row r="4055" spans="1:9">
      <c r="A4055" s="2">
        <v>1986</v>
      </c>
      <c r="B4055">
        <v>55</v>
      </c>
      <c r="C4055">
        <v>2.036E-2</v>
      </c>
      <c r="D4055">
        <v>2.0150000000000001E-2</v>
      </c>
      <c r="E4055">
        <v>0.5</v>
      </c>
      <c r="F4055">
        <v>77772</v>
      </c>
      <c r="G4055">
        <v>1567</v>
      </c>
      <c r="H4055">
        <v>76989</v>
      </c>
      <c r="I4055">
        <v>1378714</v>
      </c>
    </row>
    <row r="4056" spans="1:9">
      <c r="A4056" s="2">
        <v>1986</v>
      </c>
      <c r="B4056">
        <v>56</v>
      </c>
      <c r="C4056">
        <v>2.1329999999999998E-2</v>
      </c>
      <c r="D4056">
        <v>2.1100000000000001E-2</v>
      </c>
      <c r="E4056">
        <v>0.5</v>
      </c>
      <c r="F4056">
        <v>76205</v>
      </c>
      <c r="G4056">
        <v>1608</v>
      </c>
      <c r="H4056">
        <v>75401</v>
      </c>
      <c r="I4056">
        <v>1301725</v>
      </c>
    </row>
    <row r="4057" spans="1:9">
      <c r="A4057" s="2">
        <v>1986</v>
      </c>
      <c r="B4057">
        <v>57</v>
      </c>
      <c r="C4057">
        <v>2.249E-2</v>
      </c>
      <c r="D4057">
        <v>2.2239999999999999E-2</v>
      </c>
      <c r="E4057">
        <v>0.5</v>
      </c>
      <c r="F4057">
        <v>74597</v>
      </c>
      <c r="G4057">
        <v>1659</v>
      </c>
      <c r="H4057">
        <v>73767</v>
      </c>
      <c r="I4057">
        <v>1226324</v>
      </c>
    </row>
    <row r="4058" spans="1:9">
      <c r="A4058" s="2">
        <v>1986</v>
      </c>
      <c r="B4058">
        <v>58</v>
      </c>
      <c r="C4058">
        <v>2.4979999999999999E-2</v>
      </c>
      <c r="D4058">
        <v>2.4670000000000001E-2</v>
      </c>
      <c r="E4058">
        <v>0.5</v>
      </c>
      <c r="F4058">
        <v>72938</v>
      </c>
      <c r="G4058">
        <v>1800</v>
      </c>
      <c r="H4058">
        <v>72038</v>
      </c>
      <c r="I4058">
        <v>1152556</v>
      </c>
    </row>
    <row r="4059" spans="1:9">
      <c r="A4059" s="2">
        <v>1986</v>
      </c>
      <c r="B4059">
        <v>59</v>
      </c>
      <c r="C4059">
        <v>2.8729999999999999E-2</v>
      </c>
      <c r="D4059">
        <v>2.8320000000000001E-2</v>
      </c>
      <c r="E4059">
        <v>0.5</v>
      </c>
      <c r="F4059">
        <v>71138</v>
      </c>
      <c r="G4059">
        <v>2015</v>
      </c>
      <c r="H4059">
        <v>70131</v>
      </c>
      <c r="I4059">
        <v>1080518</v>
      </c>
    </row>
    <row r="4060" spans="1:9">
      <c r="A4060" s="2">
        <v>1986</v>
      </c>
      <c r="B4060">
        <v>60</v>
      </c>
      <c r="C4060">
        <v>2.9510000000000002E-2</v>
      </c>
      <c r="D4060">
        <v>2.9080000000000002E-2</v>
      </c>
      <c r="E4060">
        <v>0.5</v>
      </c>
      <c r="F4060">
        <v>69123</v>
      </c>
      <c r="G4060">
        <v>2010</v>
      </c>
      <c r="H4060">
        <v>68118</v>
      </c>
      <c r="I4060">
        <v>1010388</v>
      </c>
    </row>
    <row r="4061" spans="1:9">
      <c r="A4061" s="2">
        <v>1986</v>
      </c>
      <c r="B4061">
        <v>61</v>
      </c>
      <c r="C4061">
        <v>2.9479999999999999E-2</v>
      </c>
      <c r="D4061">
        <v>2.9049999999999999E-2</v>
      </c>
      <c r="E4061">
        <v>0.5</v>
      </c>
      <c r="F4061">
        <v>67113</v>
      </c>
      <c r="G4061">
        <v>1950</v>
      </c>
      <c r="H4061">
        <v>66139</v>
      </c>
      <c r="I4061">
        <v>942269</v>
      </c>
    </row>
    <row r="4062" spans="1:9">
      <c r="A4062" s="2">
        <v>1986</v>
      </c>
      <c r="B4062">
        <v>62</v>
      </c>
      <c r="C4062">
        <v>3.3509999999999998E-2</v>
      </c>
      <c r="D4062">
        <v>3.2960000000000003E-2</v>
      </c>
      <c r="E4062">
        <v>0.5</v>
      </c>
      <c r="F4062">
        <v>65164</v>
      </c>
      <c r="G4062">
        <v>2148</v>
      </c>
      <c r="H4062">
        <v>64090</v>
      </c>
      <c r="I4062">
        <v>876131</v>
      </c>
    </row>
    <row r="4063" spans="1:9">
      <c r="A4063" s="2">
        <v>1986</v>
      </c>
      <c r="B4063">
        <v>63</v>
      </c>
      <c r="C4063">
        <v>3.61E-2</v>
      </c>
      <c r="D4063">
        <v>3.5459999999999998E-2</v>
      </c>
      <c r="E4063">
        <v>0.5</v>
      </c>
      <c r="F4063">
        <v>63016</v>
      </c>
      <c r="G4063">
        <v>2235</v>
      </c>
      <c r="H4063">
        <v>61899</v>
      </c>
      <c r="I4063">
        <v>812041</v>
      </c>
    </row>
    <row r="4064" spans="1:9">
      <c r="A4064" s="2">
        <v>1986</v>
      </c>
      <c r="B4064">
        <v>64</v>
      </c>
      <c r="C4064">
        <v>3.8210000000000001E-2</v>
      </c>
      <c r="D4064">
        <v>3.7499999999999999E-2</v>
      </c>
      <c r="E4064">
        <v>0.5</v>
      </c>
      <c r="F4064">
        <v>60781</v>
      </c>
      <c r="G4064">
        <v>2279</v>
      </c>
      <c r="H4064">
        <v>59642</v>
      </c>
      <c r="I4064">
        <v>750142</v>
      </c>
    </row>
    <row r="4065" spans="1:9">
      <c r="A4065" s="2">
        <v>1986</v>
      </c>
      <c r="B4065">
        <v>65</v>
      </c>
      <c r="C4065">
        <v>3.9149999999999997E-2</v>
      </c>
      <c r="D4065">
        <v>3.8399999999999997E-2</v>
      </c>
      <c r="E4065">
        <v>0.5</v>
      </c>
      <c r="F4065">
        <v>58502</v>
      </c>
      <c r="G4065">
        <v>2246</v>
      </c>
      <c r="H4065">
        <v>57379</v>
      </c>
      <c r="I4065">
        <v>690500</v>
      </c>
    </row>
    <row r="4066" spans="1:9">
      <c r="A4066" s="2">
        <v>1986</v>
      </c>
      <c r="B4066">
        <v>66</v>
      </c>
      <c r="C4066">
        <v>4.8750000000000002E-2</v>
      </c>
      <c r="D4066">
        <v>4.759E-2</v>
      </c>
      <c r="E4066">
        <v>0.5</v>
      </c>
      <c r="F4066">
        <v>56256</v>
      </c>
      <c r="G4066">
        <v>2677</v>
      </c>
      <c r="H4066">
        <v>54917</v>
      </c>
      <c r="I4066">
        <v>633121</v>
      </c>
    </row>
    <row r="4067" spans="1:9">
      <c r="A4067" s="2">
        <v>1986</v>
      </c>
      <c r="B4067">
        <v>67</v>
      </c>
      <c r="C4067">
        <v>4.0719999999999999E-2</v>
      </c>
      <c r="D4067">
        <v>3.9899999999999998E-2</v>
      </c>
      <c r="E4067">
        <v>0.5</v>
      </c>
      <c r="F4067">
        <v>53579</v>
      </c>
      <c r="G4067">
        <v>2138</v>
      </c>
      <c r="H4067">
        <v>52510</v>
      </c>
      <c r="I4067">
        <v>578203</v>
      </c>
    </row>
    <row r="4068" spans="1:9">
      <c r="A4068" s="2">
        <v>1986</v>
      </c>
      <c r="B4068">
        <v>68</v>
      </c>
      <c r="C4068">
        <v>4.8149999999999998E-2</v>
      </c>
      <c r="D4068">
        <v>4.7010000000000003E-2</v>
      </c>
      <c r="E4068">
        <v>0.5</v>
      </c>
      <c r="F4068">
        <v>51441</v>
      </c>
      <c r="G4068">
        <v>2418</v>
      </c>
      <c r="H4068">
        <v>50232</v>
      </c>
      <c r="I4068">
        <v>525694</v>
      </c>
    </row>
    <row r="4069" spans="1:9">
      <c r="A4069" s="2">
        <v>1986</v>
      </c>
      <c r="B4069">
        <v>69</v>
      </c>
      <c r="C4069">
        <v>5.3330000000000002E-2</v>
      </c>
      <c r="D4069">
        <v>5.194E-2</v>
      </c>
      <c r="E4069">
        <v>0.5</v>
      </c>
      <c r="F4069">
        <v>49022</v>
      </c>
      <c r="G4069">
        <v>2546</v>
      </c>
      <c r="H4069">
        <v>47749</v>
      </c>
      <c r="I4069">
        <v>475462</v>
      </c>
    </row>
    <row r="4070" spans="1:9">
      <c r="A4070" s="2">
        <v>1986</v>
      </c>
      <c r="B4070">
        <v>70</v>
      </c>
      <c r="C4070">
        <v>5.3699999999999998E-2</v>
      </c>
      <c r="D4070">
        <v>5.2299999999999999E-2</v>
      </c>
      <c r="E4070">
        <v>0.5</v>
      </c>
      <c r="F4070">
        <v>46476</v>
      </c>
      <c r="G4070">
        <v>2431</v>
      </c>
      <c r="H4070">
        <v>45261</v>
      </c>
      <c r="I4070">
        <v>427713</v>
      </c>
    </row>
    <row r="4071" spans="1:9">
      <c r="A4071" s="2">
        <v>1986</v>
      </c>
      <c r="B4071">
        <v>71</v>
      </c>
      <c r="C4071">
        <v>6.583E-2</v>
      </c>
      <c r="D4071">
        <v>6.3740000000000005E-2</v>
      </c>
      <c r="E4071">
        <v>0.5</v>
      </c>
      <c r="F4071">
        <v>44045</v>
      </c>
      <c r="G4071">
        <v>2807</v>
      </c>
      <c r="H4071">
        <v>42642</v>
      </c>
      <c r="I4071">
        <v>382452</v>
      </c>
    </row>
    <row r="4072" spans="1:9">
      <c r="A4072" s="2">
        <v>1986</v>
      </c>
      <c r="B4072">
        <v>72</v>
      </c>
      <c r="C4072">
        <v>6.9470000000000004E-2</v>
      </c>
      <c r="D4072">
        <v>6.7140000000000005E-2</v>
      </c>
      <c r="E4072">
        <v>0.5</v>
      </c>
      <c r="F4072">
        <v>41238</v>
      </c>
      <c r="G4072">
        <v>2769</v>
      </c>
      <c r="H4072">
        <v>39854</v>
      </c>
      <c r="I4072">
        <v>339810</v>
      </c>
    </row>
    <row r="4073" spans="1:9">
      <c r="A4073" s="2">
        <v>1986</v>
      </c>
      <c r="B4073">
        <v>73</v>
      </c>
      <c r="C4073">
        <v>7.3609999999999995E-2</v>
      </c>
      <c r="D4073">
        <v>7.0989999999999998E-2</v>
      </c>
      <c r="E4073">
        <v>0.5</v>
      </c>
      <c r="F4073">
        <v>38470</v>
      </c>
      <c r="G4073">
        <v>2731</v>
      </c>
      <c r="H4073">
        <v>37104</v>
      </c>
      <c r="I4073">
        <v>299957</v>
      </c>
    </row>
    <row r="4074" spans="1:9">
      <c r="A4074" s="2">
        <v>1986</v>
      </c>
      <c r="B4074">
        <v>74</v>
      </c>
      <c r="C4074">
        <v>8.4040000000000004E-2</v>
      </c>
      <c r="D4074">
        <v>8.0659999999999996E-2</v>
      </c>
      <c r="E4074">
        <v>0.5</v>
      </c>
      <c r="F4074">
        <v>35738</v>
      </c>
      <c r="G4074">
        <v>2883</v>
      </c>
      <c r="H4074">
        <v>34297</v>
      </c>
      <c r="I4074">
        <v>262853</v>
      </c>
    </row>
    <row r="4075" spans="1:9">
      <c r="A4075" s="2">
        <v>1986</v>
      </c>
      <c r="B4075">
        <v>75</v>
      </c>
      <c r="C4075">
        <v>8.8480000000000003E-2</v>
      </c>
      <c r="D4075">
        <v>8.473E-2</v>
      </c>
      <c r="E4075">
        <v>0.5</v>
      </c>
      <c r="F4075">
        <v>32856</v>
      </c>
      <c r="G4075">
        <v>2784</v>
      </c>
      <c r="H4075">
        <v>31464</v>
      </c>
      <c r="I4075">
        <v>228555</v>
      </c>
    </row>
    <row r="4076" spans="1:9">
      <c r="A4076" s="2">
        <v>1986</v>
      </c>
      <c r="B4076">
        <v>76</v>
      </c>
      <c r="C4076">
        <v>9.6860000000000002E-2</v>
      </c>
      <c r="D4076">
        <v>9.2380000000000004E-2</v>
      </c>
      <c r="E4076">
        <v>0.5</v>
      </c>
      <c r="F4076">
        <v>30072</v>
      </c>
      <c r="G4076">
        <v>2778</v>
      </c>
      <c r="H4076">
        <v>28683</v>
      </c>
      <c r="I4076">
        <v>197091</v>
      </c>
    </row>
    <row r="4077" spans="1:9">
      <c r="A4077" s="2">
        <v>1986</v>
      </c>
      <c r="B4077">
        <v>77</v>
      </c>
      <c r="C4077">
        <v>0.10630000000000001</v>
      </c>
      <c r="D4077">
        <v>0.10093000000000001</v>
      </c>
      <c r="E4077">
        <v>0.5</v>
      </c>
      <c r="F4077">
        <v>27294</v>
      </c>
      <c r="G4077">
        <v>2755</v>
      </c>
      <c r="H4077">
        <v>25917</v>
      </c>
      <c r="I4077">
        <v>168408</v>
      </c>
    </row>
    <row r="4078" spans="1:9">
      <c r="A4078" s="2">
        <v>1986</v>
      </c>
      <c r="B4078">
        <v>78</v>
      </c>
      <c r="C4078">
        <v>0.11833</v>
      </c>
      <c r="D4078">
        <v>0.11172</v>
      </c>
      <c r="E4078">
        <v>0.5</v>
      </c>
      <c r="F4078">
        <v>24539</v>
      </c>
      <c r="G4078">
        <v>2741</v>
      </c>
      <c r="H4078">
        <v>23168</v>
      </c>
      <c r="I4078">
        <v>142492</v>
      </c>
    </row>
    <row r="4079" spans="1:9">
      <c r="A4079" s="2">
        <v>1986</v>
      </c>
      <c r="B4079">
        <v>79</v>
      </c>
      <c r="C4079">
        <v>0.127</v>
      </c>
      <c r="D4079">
        <v>0.11942</v>
      </c>
      <c r="E4079">
        <v>0.5</v>
      </c>
      <c r="F4079">
        <v>21798</v>
      </c>
      <c r="G4079">
        <v>2603</v>
      </c>
      <c r="H4079">
        <v>20496</v>
      </c>
      <c r="I4079">
        <v>119323</v>
      </c>
    </row>
    <row r="4080" spans="1:9">
      <c r="A4080" s="2">
        <v>1986</v>
      </c>
      <c r="B4080">
        <v>80</v>
      </c>
      <c r="C4080">
        <v>0.13603999999999999</v>
      </c>
      <c r="D4080">
        <v>0.12737999999999999</v>
      </c>
      <c r="E4080">
        <v>0.5</v>
      </c>
      <c r="F4080">
        <v>19195</v>
      </c>
      <c r="G4080">
        <v>2445</v>
      </c>
      <c r="H4080">
        <v>17972</v>
      </c>
      <c r="I4080">
        <v>98827</v>
      </c>
    </row>
    <row r="4081" spans="1:9">
      <c r="A4081" s="2">
        <v>1986</v>
      </c>
      <c r="B4081">
        <v>81</v>
      </c>
      <c r="C4081">
        <v>0.15595000000000001</v>
      </c>
      <c r="D4081">
        <v>0.14466999999999999</v>
      </c>
      <c r="E4081">
        <v>0.5</v>
      </c>
      <c r="F4081">
        <v>16750</v>
      </c>
      <c r="G4081">
        <v>2423</v>
      </c>
      <c r="H4081">
        <v>15538</v>
      </c>
      <c r="I4081">
        <v>80855</v>
      </c>
    </row>
    <row r="4082" spans="1:9">
      <c r="A4082" s="2">
        <v>1986</v>
      </c>
      <c r="B4082">
        <v>82</v>
      </c>
      <c r="C4082">
        <v>0.16694999999999999</v>
      </c>
      <c r="D4082">
        <v>0.15409</v>
      </c>
      <c r="E4082">
        <v>0.5</v>
      </c>
      <c r="F4082">
        <v>14326</v>
      </c>
      <c r="G4082">
        <v>2208</v>
      </c>
      <c r="H4082">
        <v>13223</v>
      </c>
      <c r="I4082">
        <v>65317</v>
      </c>
    </row>
    <row r="4083" spans="1:9">
      <c r="A4083" s="2">
        <v>1986</v>
      </c>
      <c r="B4083">
        <v>83</v>
      </c>
      <c r="C4083">
        <v>0.17216999999999999</v>
      </c>
      <c r="D4083">
        <v>0.15851999999999999</v>
      </c>
      <c r="E4083">
        <v>0.5</v>
      </c>
      <c r="F4083">
        <v>12119</v>
      </c>
      <c r="G4083">
        <v>1921</v>
      </c>
      <c r="H4083">
        <v>11158</v>
      </c>
      <c r="I4083">
        <v>52094</v>
      </c>
    </row>
    <row r="4084" spans="1:9">
      <c r="A4084" s="2">
        <v>1986</v>
      </c>
      <c r="B4084">
        <v>84</v>
      </c>
      <c r="C4084">
        <v>0.20007</v>
      </c>
      <c r="D4084">
        <v>0.18187</v>
      </c>
      <c r="E4084">
        <v>0.5</v>
      </c>
      <c r="F4084">
        <v>10198</v>
      </c>
      <c r="G4084">
        <v>1855</v>
      </c>
      <c r="H4084">
        <v>9270</v>
      </c>
      <c r="I4084">
        <v>40936</v>
      </c>
    </row>
    <row r="4085" spans="1:9">
      <c r="A4085" s="2">
        <v>1986</v>
      </c>
      <c r="B4085">
        <v>85</v>
      </c>
      <c r="C4085">
        <v>0.21364</v>
      </c>
      <c r="D4085">
        <v>0.19302</v>
      </c>
      <c r="E4085">
        <v>0.5</v>
      </c>
      <c r="F4085">
        <v>8343</v>
      </c>
      <c r="G4085">
        <v>1610</v>
      </c>
      <c r="H4085">
        <v>7538</v>
      </c>
      <c r="I4085">
        <v>31666</v>
      </c>
    </row>
    <row r="4086" spans="1:9">
      <c r="A4086" s="2">
        <v>1986</v>
      </c>
      <c r="B4086">
        <v>86</v>
      </c>
      <c r="C4086">
        <v>0.22678999999999999</v>
      </c>
      <c r="D4086">
        <v>0.20369000000000001</v>
      </c>
      <c r="E4086">
        <v>0.5</v>
      </c>
      <c r="F4086">
        <v>6733</v>
      </c>
      <c r="G4086">
        <v>1371</v>
      </c>
      <c r="H4086">
        <v>6047</v>
      </c>
      <c r="I4086">
        <v>24128</v>
      </c>
    </row>
    <row r="4087" spans="1:9">
      <c r="A4087" s="2">
        <v>1986</v>
      </c>
      <c r="B4087">
        <v>87</v>
      </c>
      <c r="C4087">
        <v>0.23882999999999999</v>
      </c>
      <c r="D4087">
        <v>0.21335000000000001</v>
      </c>
      <c r="E4087">
        <v>0.5</v>
      </c>
      <c r="F4087">
        <v>5361</v>
      </c>
      <c r="G4087">
        <v>1144</v>
      </c>
      <c r="H4087">
        <v>4789</v>
      </c>
      <c r="I4087">
        <v>18081</v>
      </c>
    </row>
    <row r="4088" spans="1:9">
      <c r="A4088" s="2">
        <v>1986</v>
      </c>
      <c r="B4088">
        <v>88</v>
      </c>
      <c r="C4088">
        <v>0.24393999999999999</v>
      </c>
      <c r="D4088">
        <v>0.21742</v>
      </c>
      <c r="E4088">
        <v>0.5</v>
      </c>
      <c r="F4088">
        <v>4217</v>
      </c>
      <c r="G4088">
        <v>917</v>
      </c>
      <c r="H4088">
        <v>3759</v>
      </c>
      <c r="I4088">
        <v>13291</v>
      </c>
    </row>
    <row r="4089" spans="1:9">
      <c r="A4089" s="2">
        <v>1986</v>
      </c>
      <c r="B4089">
        <v>89</v>
      </c>
      <c r="C4089">
        <v>0.28469</v>
      </c>
      <c r="D4089">
        <v>0.24922</v>
      </c>
      <c r="E4089">
        <v>0.5</v>
      </c>
      <c r="F4089">
        <v>3301</v>
      </c>
      <c r="G4089">
        <v>823</v>
      </c>
      <c r="H4089">
        <v>2889</v>
      </c>
      <c r="I4089">
        <v>9532</v>
      </c>
    </row>
    <row r="4090" spans="1:9">
      <c r="A4090" s="2">
        <v>1986</v>
      </c>
      <c r="B4090">
        <v>90</v>
      </c>
      <c r="C4090">
        <v>0.32608999999999999</v>
      </c>
      <c r="D4090">
        <v>0.28037000000000001</v>
      </c>
      <c r="E4090">
        <v>0.5</v>
      </c>
      <c r="F4090">
        <v>2478</v>
      </c>
      <c r="G4090">
        <v>695</v>
      </c>
      <c r="H4090">
        <v>2131</v>
      </c>
      <c r="I4090">
        <v>6643</v>
      </c>
    </row>
    <row r="4091" spans="1:9">
      <c r="A4091" s="2">
        <v>1986</v>
      </c>
      <c r="B4091">
        <v>91</v>
      </c>
      <c r="C4091">
        <v>0.38690000000000002</v>
      </c>
      <c r="D4091">
        <v>0.32418000000000002</v>
      </c>
      <c r="E4091">
        <v>0.5</v>
      </c>
      <c r="F4091">
        <v>1783</v>
      </c>
      <c r="G4091">
        <v>578</v>
      </c>
      <c r="H4091">
        <v>1494</v>
      </c>
      <c r="I4091">
        <v>4513</v>
      </c>
    </row>
    <row r="4092" spans="1:9">
      <c r="A4092" s="2">
        <v>1986</v>
      </c>
      <c r="B4092">
        <v>92</v>
      </c>
      <c r="C4092">
        <v>0.34710000000000002</v>
      </c>
      <c r="D4092">
        <v>0.29576999999999998</v>
      </c>
      <c r="E4092">
        <v>0.5</v>
      </c>
      <c r="F4092">
        <v>1205</v>
      </c>
      <c r="G4092">
        <v>356</v>
      </c>
      <c r="H4092">
        <v>1027</v>
      </c>
      <c r="I4092">
        <v>3018</v>
      </c>
    </row>
    <row r="4093" spans="1:9">
      <c r="A4093" s="2">
        <v>1986</v>
      </c>
      <c r="B4093">
        <v>93</v>
      </c>
      <c r="C4093">
        <v>0.37334000000000001</v>
      </c>
      <c r="D4093">
        <v>0.31461</v>
      </c>
      <c r="E4093">
        <v>0.5</v>
      </c>
      <c r="F4093">
        <v>849</v>
      </c>
      <c r="G4093">
        <v>267</v>
      </c>
      <c r="H4093">
        <v>715</v>
      </c>
      <c r="I4093">
        <v>1991</v>
      </c>
    </row>
    <row r="4094" spans="1:9">
      <c r="A4094" s="2">
        <v>1986</v>
      </c>
      <c r="B4094">
        <v>94</v>
      </c>
      <c r="C4094">
        <v>0.43614000000000003</v>
      </c>
      <c r="D4094">
        <v>0.35805999999999999</v>
      </c>
      <c r="E4094">
        <v>0.5</v>
      </c>
      <c r="F4094">
        <v>582</v>
      </c>
      <c r="G4094">
        <v>208</v>
      </c>
      <c r="H4094">
        <v>478</v>
      </c>
      <c r="I4094">
        <v>1276</v>
      </c>
    </row>
    <row r="4095" spans="1:9">
      <c r="A4095" s="2">
        <v>1986</v>
      </c>
      <c r="B4095">
        <v>95</v>
      </c>
      <c r="C4095">
        <v>0.42991000000000001</v>
      </c>
      <c r="D4095">
        <v>0.35385</v>
      </c>
      <c r="E4095">
        <v>0.5</v>
      </c>
      <c r="F4095">
        <v>373</v>
      </c>
      <c r="G4095">
        <v>132</v>
      </c>
      <c r="H4095">
        <v>307</v>
      </c>
      <c r="I4095">
        <v>799</v>
      </c>
    </row>
    <row r="4096" spans="1:9">
      <c r="A4096" s="2">
        <v>1986</v>
      </c>
      <c r="B4096">
        <v>96</v>
      </c>
      <c r="C4096">
        <v>0.45539000000000002</v>
      </c>
      <c r="D4096">
        <v>0.37092999999999998</v>
      </c>
      <c r="E4096">
        <v>0.5</v>
      </c>
      <c r="F4096">
        <v>241</v>
      </c>
      <c r="G4096">
        <v>89</v>
      </c>
      <c r="H4096">
        <v>197</v>
      </c>
      <c r="I4096">
        <v>491</v>
      </c>
    </row>
    <row r="4097" spans="1:9">
      <c r="A4097" s="2">
        <v>1986</v>
      </c>
      <c r="B4097">
        <v>97</v>
      </c>
      <c r="C4097">
        <v>0.48110000000000003</v>
      </c>
      <c r="D4097">
        <v>0.38780999999999999</v>
      </c>
      <c r="E4097">
        <v>0.5</v>
      </c>
      <c r="F4097">
        <v>152</v>
      </c>
      <c r="G4097">
        <v>59</v>
      </c>
      <c r="H4097">
        <v>122</v>
      </c>
      <c r="I4097">
        <v>295</v>
      </c>
    </row>
    <row r="4098" spans="1:9">
      <c r="A4098" s="2">
        <v>1986</v>
      </c>
      <c r="B4098">
        <v>98</v>
      </c>
      <c r="C4098">
        <v>0.50692000000000004</v>
      </c>
      <c r="D4098">
        <v>0.40440999999999999</v>
      </c>
      <c r="E4098">
        <v>0.5</v>
      </c>
      <c r="F4098">
        <v>93</v>
      </c>
      <c r="G4098">
        <v>38</v>
      </c>
      <c r="H4098">
        <v>74</v>
      </c>
      <c r="I4098">
        <v>173</v>
      </c>
    </row>
    <row r="4099" spans="1:9">
      <c r="A4099" s="2">
        <v>1986</v>
      </c>
      <c r="B4099">
        <v>99</v>
      </c>
      <c r="C4099">
        <v>0.53269</v>
      </c>
      <c r="D4099">
        <v>0.42065000000000002</v>
      </c>
      <c r="E4099">
        <v>0.5</v>
      </c>
      <c r="F4099">
        <v>55</v>
      </c>
      <c r="G4099">
        <v>23</v>
      </c>
      <c r="H4099">
        <v>44</v>
      </c>
      <c r="I4099">
        <v>98</v>
      </c>
    </row>
    <row r="4100" spans="1:9">
      <c r="A4100" s="2">
        <v>1986</v>
      </c>
      <c r="B4100">
        <v>100</v>
      </c>
      <c r="C4100">
        <v>0.55830000000000002</v>
      </c>
      <c r="D4100">
        <v>0.43646000000000001</v>
      </c>
      <c r="E4100">
        <v>0.5</v>
      </c>
      <c r="F4100">
        <v>32</v>
      </c>
      <c r="G4100">
        <v>14</v>
      </c>
      <c r="H4100">
        <v>25</v>
      </c>
      <c r="I4100">
        <v>55</v>
      </c>
    </row>
    <row r="4101" spans="1:9">
      <c r="A4101" s="2">
        <v>1986</v>
      </c>
      <c r="B4101">
        <v>101</v>
      </c>
      <c r="C4101">
        <v>0.58359000000000005</v>
      </c>
      <c r="D4101">
        <v>0.45177</v>
      </c>
      <c r="E4101">
        <v>0.5</v>
      </c>
      <c r="F4101">
        <v>18</v>
      </c>
      <c r="G4101">
        <v>8</v>
      </c>
      <c r="H4101">
        <v>14</v>
      </c>
      <c r="I4101">
        <v>30</v>
      </c>
    </row>
    <row r="4102" spans="1:9">
      <c r="A4102" s="2">
        <v>1986</v>
      </c>
      <c r="B4102">
        <v>102</v>
      </c>
      <c r="C4102">
        <v>0.60846</v>
      </c>
      <c r="D4102">
        <v>0.46653</v>
      </c>
      <c r="E4102">
        <v>0.5</v>
      </c>
      <c r="F4102">
        <v>10</v>
      </c>
      <c r="G4102">
        <v>5</v>
      </c>
      <c r="H4102">
        <v>8</v>
      </c>
      <c r="I4102">
        <v>16</v>
      </c>
    </row>
    <row r="4103" spans="1:9">
      <c r="A4103" s="2">
        <v>1986</v>
      </c>
      <c r="B4103">
        <v>103</v>
      </c>
      <c r="C4103">
        <v>0.63277000000000005</v>
      </c>
      <c r="D4103">
        <v>0.48069000000000001</v>
      </c>
      <c r="E4103">
        <v>0.5</v>
      </c>
      <c r="F4103">
        <v>5</v>
      </c>
      <c r="G4103">
        <v>3</v>
      </c>
      <c r="H4103">
        <v>4</v>
      </c>
      <c r="I4103">
        <v>8</v>
      </c>
    </row>
    <row r="4104" spans="1:9">
      <c r="A4104" s="2">
        <v>1986</v>
      </c>
      <c r="B4104">
        <v>104</v>
      </c>
      <c r="C4104">
        <v>0.65642999999999996</v>
      </c>
      <c r="D4104">
        <v>0.49421999999999999</v>
      </c>
      <c r="E4104">
        <v>0.5</v>
      </c>
      <c r="F4104">
        <v>3</v>
      </c>
      <c r="G4104">
        <v>1</v>
      </c>
      <c r="H4104">
        <v>2</v>
      </c>
      <c r="I4104">
        <v>4</v>
      </c>
    </row>
    <row r="4105" spans="1:9">
      <c r="A4105" s="2">
        <v>1986</v>
      </c>
      <c r="B4105">
        <v>105</v>
      </c>
      <c r="C4105">
        <v>0.67934000000000005</v>
      </c>
      <c r="D4105">
        <v>0.50709000000000004</v>
      </c>
      <c r="E4105">
        <v>0.5</v>
      </c>
      <c r="F4105">
        <v>1</v>
      </c>
      <c r="G4105">
        <v>1</v>
      </c>
      <c r="H4105">
        <v>1</v>
      </c>
      <c r="I4105">
        <v>2</v>
      </c>
    </row>
    <row r="4106" spans="1:9">
      <c r="A4106" s="2">
        <v>1986</v>
      </c>
      <c r="B4106">
        <v>106</v>
      </c>
      <c r="C4106">
        <v>0.70140999999999998</v>
      </c>
      <c r="D4106">
        <v>0.51929000000000003</v>
      </c>
      <c r="E4106">
        <v>0.5</v>
      </c>
      <c r="F4106">
        <v>1</v>
      </c>
      <c r="G4106">
        <v>0</v>
      </c>
      <c r="H4106">
        <v>1</v>
      </c>
      <c r="I4106">
        <v>1</v>
      </c>
    </row>
    <row r="4107" spans="1:9">
      <c r="A4107" s="2">
        <v>1986</v>
      </c>
      <c r="B4107">
        <v>107</v>
      </c>
      <c r="C4107">
        <v>0.72258</v>
      </c>
      <c r="D4107">
        <v>0.53081</v>
      </c>
      <c r="E4107">
        <v>0.5</v>
      </c>
      <c r="F4107">
        <v>0</v>
      </c>
      <c r="G4107">
        <v>0</v>
      </c>
      <c r="H4107">
        <v>0</v>
      </c>
      <c r="I4107">
        <v>0</v>
      </c>
    </row>
    <row r="4108" spans="1:9">
      <c r="A4108" s="2">
        <v>1986</v>
      </c>
      <c r="B4108">
        <v>108</v>
      </c>
      <c r="C4108">
        <v>0.74280999999999997</v>
      </c>
      <c r="D4108">
        <v>0.54164000000000001</v>
      </c>
      <c r="E4108">
        <v>0.5</v>
      </c>
      <c r="F4108">
        <v>0</v>
      </c>
      <c r="G4108">
        <v>0</v>
      </c>
      <c r="H4108">
        <v>0</v>
      </c>
      <c r="I4108">
        <v>0</v>
      </c>
    </row>
    <row r="4109" spans="1:9">
      <c r="A4109" s="2">
        <v>1986</v>
      </c>
      <c r="B4109">
        <v>109</v>
      </c>
      <c r="C4109">
        <v>0.76204000000000005</v>
      </c>
      <c r="D4109">
        <v>0.55179999999999996</v>
      </c>
      <c r="E4109">
        <v>0.5</v>
      </c>
      <c r="F4109">
        <v>0</v>
      </c>
      <c r="G4109">
        <v>0</v>
      </c>
      <c r="H4109">
        <v>0</v>
      </c>
      <c r="I4109">
        <v>0</v>
      </c>
    </row>
    <row r="4110" spans="1:9">
      <c r="A4110" s="2">
        <v>1986</v>
      </c>
      <c r="B4110" t="s">
        <v>26</v>
      </c>
      <c r="C4110">
        <v>0.78025999999999995</v>
      </c>
      <c r="D4110">
        <v>1</v>
      </c>
      <c r="E4110" s="3" t="s">
        <v>41</v>
      </c>
      <c r="F4110">
        <v>0</v>
      </c>
      <c r="G4110">
        <v>0</v>
      </c>
      <c r="H4110">
        <v>0</v>
      </c>
      <c r="I4110">
        <v>0</v>
      </c>
    </row>
    <row r="4111" spans="1:9">
      <c r="A4111" s="2">
        <v>1987</v>
      </c>
      <c r="B4111">
        <v>0</v>
      </c>
      <c r="C4111">
        <v>2.0039999999999999E-2</v>
      </c>
      <c r="D4111">
        <v>1.9689999999999999E-2</v>
      </c>
      <c r="E4111">
        <v>0.11</v>
      </c>
      <c r="F4111">
        <v>100000</v>
      </c>
      <c r="G4111">
        <v>1969</v>
      </c>
      <c r="H4111">
        <v>98246</v>
      </c>
      <c r="I4111">
        <v>6555573</v>
      </c>
    </row>
    <row r="4112" spans="1:9">
      <c r="A4112" s="2">
        <v>1987</v>
      </c>
      <c r="B4112">
        <v>1</v>
      </c>
      <c r="C4112">
        <v>1.0499999999999999E-3</v>
      </c>
      <c r="D4112">
        <v>1.0499999999999999E-3</v>
      </c>
      <c r="E4112">
        <v>0.5</v>
      </c>
      <c r="F4112">
        <v>98031</v>
      </c>
      <c r="G4112">
        <v>103</v>
      </c>
      <c r="H4112">
        <v>97979</v>
      </c>
      <c r="I4112">
        <v>6457327</v>
      </c>
    </row>
    <row r="4113" spans="1:9">
      <c r="A4113" s="2">
        <v>1987</v>
      </c>
      <c r="B4113">
        <v>2</v>
      </c>
      <c r="C4113">
        <v>6.9999999999999999E-4</v>
      </c>
      <c r="D4113">
        <v>6.8999999999999997E-4</v>
      </c>
      <c r="E4113">
        <v>0.5</v>
      </c>
      <c r="F4113">
        <v>97928</v>
      </c>
      <c r="G4113">
        <v>68</v>
      </c>
      <c r="H4113">
        <v>97894</v>
      </c>
      <c r="I4113">
        <v>6359348</v>
      </c>
    </row>
    <row r="4114" spans="1:9">
      <c r="A4114" s="2">
        <v>1987</v>
      </c>
      <c r="B4114">
        <v>3</v>
      </c>
      <c r="C4114">
        <v>5.4000000000000001E-4</v>
      </c>
      <c r="D4114">
        <v>5.4000000000000001E-4</v>
      </c>
      <c r="E4114">
        <v>0.5</v>
      </c>
      <c r="F4114">
        <v>97860</v>
      </c>
      <c r="G4114">
        <v>53</v>
      </c>
      <c r="H4114">
        <v>97833</v>
      </c>
      <c r="I4114">
        <v>6261453</v>
      </c>
    </row>
    <row r="4115" spans="1:9">
      <c r="A4115" s="2">
        <v>1987</v>
      </c>
      <c r="B4115">
        <v>4</v>
      </c>
      <c r="C4115">
        <v>3.4000000000000002E-4</v>
      </c>
      <c r="D4115">
        <v>3.4000000000000002E-4</v>
      </c>
      <c r="E4115">
        <v>0.5</v>
      </c>
      <c r="F4115">
        <v>97807</v>
      </c>
      <c r="G4115">
        <v>33</v>
      </c>
      <c r="H4115">
        <v>97790</v>
      </c>
      <c r="I4115">
        <v>6163620</v>
      </c>
    </row>
    <row r="4116" spans="1:9">
      <c r="A4116" s="2">
        <v>1987</v>
      </c>
      <c r="B4116">
        <v>5</v>
      </c>
      <c r="C4116">
        <v>3.8000000000000002E-4</v>
      </c>
      <c r="D4116">
        <v>3.8000000000000002E-4</v>
      </c>
      <c r="E4116">
        <v>0.5</v>
      </c>
      <c r="F4116">
        <v>97774</v>
      </c>
      <c r="G4116">
        <v>37</v>
      </c>
      <c r="H4116">
        <v>97755</v>
      </c>
      <c r="I4116">
        <v>6065830</v>
      </c>
    </row>
    <row r="4117" spans="1:9">
      <c r="A4117" s="2">
        <v>1987</v>
      </c>
      <c r="B4117">
        <v>6</v>
      </c>
      <c r="C4117">
        <v>2.2000000000000001E-4</v>
      </c>
      <c r="D4117">
        <v>2.2000000000000001E-4</v>
      </c>
      <c r="E4117">
        <v>0.5</v>
      </c>
      <c r="F4117">
        <v>97737</v>
      </c>
      <c r="G4117">
        <v>22</v>
      </c>
      <c r="H4117">
        <v>97726</v>
      </c>
      <c r="I4117">
        <v>5968075</v>
      </c>
    </row>
    <row r="4118" spans="1:9">
      <c r="A4118" s="2">
        <v>1987</v>
      </c>
      <c r="B4118">
        <v>7</v>
      </c>
      <c r="C4118">
        <v>2.5000000000000001E-4</v>
      </c>
      <c r="D4118">
        <v>2.5000000000000001E-4</v>
      </c>
      <c r="E4118">
        <v>0.5</v>
      </c>
      <c r="F4118">
        <v>97715</v>
      </c>
      <c r="G4118">
        <v>24</v>
      </c>
      <c r="H4118">
        <v>97703</v>
      </c>
      <c r="I4118">
        <v>5870349</v>
      </c>
    </row>
    <row r="4119" spans="1:9">
      <c r="A4119" s="2">
        <v>1987</v>
      </c>
      <c r="B4119">
        <v>8</v>
      </c>
      <c r="C4119">
        <v>2.7999999999999998E-4</v>
      </c>
      <c r="D4119">
        <v>2.7999999999999998E-4</v>
      </c>
      <c r="E4119">
        <v>0.5</v>
      </c>
      <c r="F4119">
        <v>97691</v>
      </c>
      <c r="G4119">
        <v>28</v>
      </c>
      <c r="H4119">
        <v>97677</v>
      </c>
      <c r="I4119">
        <v>5772646</v>
      </c>
    </row>
    <row r="4120" spans="1:9">
      <c r="A4120" s="2">
        <v>1987</v>
      </c>
      <c r="B4120">
        <v>9</v>
      </c>
      <c r="C4120">
        <v>2.9E-4</v>
      </c>
      <c r="D4120">
        <v>2.9E-4</v>
      </c>
      <c r="E4120">
        <v>0.5</v>
      </c>
      <c r="F4120">
        <v>97663</v>
      </c>
      <c r="G4120">
        <v>28</v>
      </c>
      <c r="H4120">
        <v>97649</v>
      </c>
      <c r="I4120">
        <v>5674969</v>
      </c>
    </row>
    <row r="4121" spans="1:9">
      <c r="A4121" s="2">
        <v>1987</v>
      </c>
      <c r="B4121">
        <v>10</v>
      </c>
      <c r="C4121">
        <v>3.1E-4</v>
      </c>
      <c r="D4121">
        <v>3.1E-4</v>
      </c>
      <c r="E4121">
        <v>0.5</v>
      </c>
      <c r="F4121">
        <v>97635</v>
      </c>
      <c r="G4121">
        <v>30</v>
      </c>
      <c r="H4121">
        <v>97620</v>
      </c>
      <c r="I4121">
        <v>5577320</v>
      </c>
    </row>
    <row r="4122" spans="1:9">
      <c r="A4122" s="2">
        <v>1987</v>
      </c>
      <c r="B4122">
        <v>11</v>
      </c>
      <c r="C4122">
        <v>2.2000000000000001E-4</v>
      </c>
      <c r="D4122">
        <v>2.2000000000000001E-4</v>
      </c>
      <c r="E4122">
        <v>0.5</v>
      </c>
      <c r="F4122">
        <v>97604</v>
      </c>
      <c r="G4122">
        <v>22</v>
      </c>
      <c r="H4122">
        <v>97594</v>
      </c>
      <c r="I4122">
        <v>5479700</v>
      </c>
    </row>
    <row r="4123" spans="1:9">
      <c r="A4123" s="2">
        <v>1987</v>
      </c>
      <c r="B4123">
        <v>12</v>
      </c>
      <c r="C4123">
        <v>2.9E-4</v>
      </c>
      <c r="D4123">
        <v>2.9E-4</v>
      </c>
      <c r="E4123">
        <v>0.5</v>
      </c>
      <c r="F4123">
        <v>97583</v>
      </c>
      <c r="G4123">
        <v>28</v>
      </c>
      <c r="H4123">
        <v>97569</v>
      </c>
      <c r="I4123">
        <v>5382107</v>
      </c>
    </row>
    <row r="4124" spans="1:9">
      <c r="A4124" s="2">
        <v>1987</v>
      </c>
      <c r="B4124">
        <v>13</v>
      </c>
      <c r="C4124">
        <v>3.8000000000000002E-4</v>
      </c>
      <c r="D4124">
        <v>3.8000000000000002E-4</v>
      </c>
      <c r="E4124">
        <v>0.5</v>
      </c>
      <c r="F4124">
        <v>97555</v>
      </c>
      <c r="G4124">
        <v>37</v>
      </c>
      <c r="H4124">
        <v>97536</v>
      </c>
      <c r="I4124">
        <v>5284538</v>
      </c>
    </row>
    <row r="4125" spans="1:9">
      <c r="A4125" s="2">
        <v>1987</v>
      </c>
      <c r="B4125">
        <v>14</v>
      </c>
      <c r="C4125">
        <v>3.8999999999999999E-4</v>
      </c>
      <c r="D4125">
        <v>3.8999999999999999E-4</v>
      </c>
      <c r="E4125">
        <v>0.5</v>
      </c>
      <c r="F4125">
        <v>97517</v>
      </c>
      <c r="G4125">
        <v>38</v>
      </c>
      <c r="H4125">
        <v>97499</v>
      </c>
      <c r="I4125">
        <v>5187002</v>
      </c>
    </row>
    <row r="4126" spans="1:9">
      <c r="A4126" s="2">
        <v>1987</v>
      </c>
      <c r="B4126">
        <v>15</v>
      </c>
      <c r="C4126">
        <v>4.6999999999999999E-4</v>
      </c>
      <c r="D4126">
        <v>4.6999999999999999E-4</v>
      </c>
      <c r="E4126">
        <v>0.5</v>
      </c>
      <c r="F4126">
        <v>97480</v>
      </c>
      <c r="G4126">
        <v>46</v>
      </c>
      <c r="H4126">
        <v>97457</v>
      </c>
      <c r="I4126">
        <v>5089504</v>
      </c>
    </row>
    <row r="4127" spans="1:9">
      <c r="A4127" s="2">
        <v>1987</v>
      </c>
      <c r="B4127">
        <v>16</v>
      </c>
      <c r="C4127">
        <v>6.9999999999999999E-4</v>
      </c>
      <c r="D4127">
        <v>6.9999999999999999E-4</v>
      </c>
      <c r="E4127">
        <v>0.5</v>
      </c>
      <c r="F4127">
        <v>97434</v>
      </c>
      <c r="G4127">
        <v>68</v>
      </c>
      <c r="H4127">
        <v>97400</v>
      </c>
      <c r="I4127">
        <v>4992047</v>
      </c>
    </row>
    <row r="4128" spans="1:9">
      <c r="A4128" s="2">
        <v>1987</v>
      </c>
      <c r="B4128">
        <v>17</v>
      </c>
      <c r="C4128">
        <v>1.1100000000000001E-3</v>
      </c>
      <c r="D4128">
        <v>1.1100000000000001E-3</v>
      </c>
      <c r="E4128">
        <v>0.5</v>
      </c>
      <c r="F4128">
        <v>97366</v>
      </c>
      <c r="G4128">
        <v>108</v>
      </c>
      <c r="H4128">
        <v>97312</v>
      </c>
      <c r="I4128">
        <v>4894647</v>
      </c>
    </row>
    <row r="4129" spans="1:9">
      <c r="A4129" s="2">
        <v>1987</v>
      </c>
      <c r="B4129">
        <v>18</v>
      </c>
      <c r="C4129">
        <v>1.1800000000000001E-3</v>
      </c>
      <c r="D4129">
        <v>1.1800000000000001E-3</v>
      </c>
      <c r="E4129">
        <v>0.5</v>
      </c>
      <c r="F4129">
        <v>97258</v>
      </c>
      <c r="G4129">
        <v>115</v>
      </c>
      <c r="H4129">
        <v>97201</v>
      </c>
      <c r="I4129">
        <v>4797336</v>
      </c>
    </row>
    <row r="4130" spans="1:9">
      <c r="A4130" s="2">
        <v>1987</v>
      </c>
      <c r="B4130">
        <v>19</v>
      </c>
      <c r="C4130">
        <v>1.58E-3</v>
      </c>
      <c r="D4130">
        <v>1.58E-3</v>
      </c>
      <c r="E4130">
        <v>0.5</v>
      </c>
      <c r="F4130">
        <v>97143</v>
      </c>
      <c r="G4130">
        <v>153</v>
      </c>
      <c r="H4130">
        <v>97067</v>
      </c>
      <c r="I4130">
        <v>4700135</v>
      </c>
    </row>
    <row r="4131" spans="1:9">
      <c r="A4131" s="2">
        <v>1987</v>
      </c>
      <c r="B4131">
        <v>20</v>
      </c>
      <c r="C4131">
        <v>1.0399999999999999E-3</v>
      </c>
      <c r="D4131">
        <v>1.0399999999999999E-3</v>
      </c>
      <c r="E4131">
        <v>0.5</v>
      </c>
      <c r="F4131">
        <v>96990</v>
      </c>
      <c r="G4131">
        <v>100</v>
      </c>
      <c r="H4131">
        <v>96940</v>
      </c>
      <c r="I4131">
        <v>4603068</v>
      </c>
    </row>
    <row r="4132" spans="1:9">
      <c r="A4132" s="2">
        <v>1987</v>
      </c>
      <c r="B4132">
        <v>21</v>
      </c>
      <c r="C4132">
        <v>1.1900000000000001E-3</v>
      </c>
      <c r="D4132">
        <v>1.1900000000000001E-3</v>
      </c>
      <c r="E4132">
        <v>0.5</v>
      </c>
      <c r="F4132">
        <v>96890</v>
      </c>
      <c r="G4132">
        <v>115</v>
      </c>
      <c r="H4132">
        <v>96832</v>
      </c>
      <c r="I4132">
        <v>4506128</v>
      </c>
    </row>
    <row r="4133" spans="1:9">
      <c r="A4133" s="2">
        <v>1987</v>
      </c>
      <c r="B4133">
        <v>22</v>
      </c>
      <c r="C4133">
        <v>1.2800000000000001E-3</v>
      </c>
      <c r="D4133">
        <v>1.2800000000000001E-3</v>
      </c>
      <c r="E4133">
        <v>0.5</v>
      </c>
      <c r="F4133">
        <v>96774</v>
      </c>
      <c r="G4133">
        <v>124</v>
      </c>
      <c r="H4133">
        <v>96712</v>
      </c>
      <c r="I4133">
        <v>4409296</v>
      </c>
    </row>
    <row r="4134" spans="1:9">
      <c r="A4134" s="2">
        <v>1987</v>
      </c>
      <c r="B4134">
        <v>23</v>
      </c>
      <c r="C4134">
        <v>1.6100000000000001E-3</v>
      </c>
      <c r="D4134">
        <v>1.6100000000000001E-3</v>
      </c>
      <c r="E4134">
        <v>0.5</v>
      </c>
      <c r="F4134">
        <v>96650</v>
      </c>
      <c r="G4134">
        <v>156</v>
      </c>
      <c r="H4134">
        <v>96573</v>
      </c>
      <c r="I4134">
        <v>4312584</v>
      </c>
    </row>
    <row r="4135" spans="1:9">
      <c r="A4135" s="2">
        <v>1987</v>
      </c>
      <c r="B4135">
        <v>24</v>
      </c>
      <c r="C4135">
        <v>1.5900000000000001E-3</v>
      </c>
      <c r="D4135">
        <v>1.58E-3</v>
      </c>
      <c r="E4135">
        <v>0.5</v>
      </c>
      <c r="F4135">
        <v>96495</v>
      </c>
      <c r="G4135">
        <v>153</v>
      </c>
      <c r="H4135">
        <v>96418</v>
      </c>
      <c r="I4135">
        <v>4216011</v>
      </c>
    </row>
    <row r="4136" spans="1:9">
      <c r="A4136" s="2">
        <v>1987</v>
      </c>
      <c r="B4136">
        <v>25</v>
      </c>
      <c r="C4136">
        <v>1.5E-3</v>
      </c>
      <c r="D4136">
        <v>1.5E-3</v>
      </c>
      <c r="E4136">
        <v>0.5</v>
      </c>
      <c r="F4136">
        <v>96342</v>
      </c>
      <c r="G4136">
        <v>144</v>
      </c>
      <c r="H4136">
        <v>96270</v>
      </c>
      <c r="I4136">
        <v>4119593</v>
      </c>
    </row>
    <row r="4137" spans="1:9">
      <c r="A4137" s="2">
        <v>1987</v>
      </c>
      <c r="B4137">
        <v>26</v>
      </c>
      <c r="C4137">
        <v>1.7899999999999999E-3</v>
      </c>
      <c r="D4137">
        <v>1.7899999999999999E-3</v>
      </c>
      <c r="E4137">
        <v>0.5</v>
      </c>
      <c r="F4137">
        <v>96198</v>
      </c>
      <c r="G4137">
        <v>172</v>
      </c>
      <c r="H4137">
        <v>96112</v>
      </c>
      <c r="I4137">
        <v>4023323</v>
      </c>
    </row>
    <row r="4138" spans="1:9">
      <c r="A4138" s="2">
        <v>1987</v>
      </c>
      <c r="B4138">
        <v>27</v>
      </c>
      <c r="C4138">
        <v>1.7700000000000001E-3</v>
      </c>
      <c r="D4138">
        <v>1.7700000000000001E-3</v>
      </c>
      <c r="E4138">
        <v>0.5</v>
      </c>
      <c r="F4138">
        <v>96026</v>
      </c>
      <c r="G4138">
        <v>170</v>
      </c>
      <c r="H4138">
        <v>95941</v>
      </c>
      <c r="I4138">
        <v>3927211</v>
      </c>
    </row>
    <row r="4139" spans="1:9">
      <c r="A4139" s="2">
        <v>1987</v>
      </c>
      <c r="B4139">
        <v>28</v>
      </c>
      <c r="C4139">
        <v>2.1900000000000001E-3</v>
      </c>
      <c r="D4139">
        <v>2.1900000000000001E-3</v>
      </c>
      <c r="E4139">
        <v>0.5</v>
      </c>
      <c r="F4139">
        <v>95856</v>
      </c>
      <c r="G4139">
        <v>210</v>
      </c>
      <c r="H4139">
        <v>95751</v>
      </c>
      <c r="I4139">
        <v>3831270</v>
      </c>
    </row>
    <row r="4140" spans="1:9">
      <c r="A4140" s="2">
        <v>1987</v>
      </c>
      <c r="B4140">
        <v>29</v>
      </c>
      <c r="C4140">
        <v>2.2799999999999999E-3</v>
      </c>
      <c r="D4140">
        <v>2.2799999999999999E-3</v>
      </c>
      <c r="E4140">
        <v>0.5</v>
      </c>
      <c r="F4140">
        <v>95646</v>
      </c>
      <c r="G4140">
        <v>218</v>
      </c>
      <c r="H4140">
        <v>95537</v>
      </c>
      <c r="I4140">
        <v>3735519</v>
      </c>
    </row>
    <row r="4141" spans="1:9">
      <c r="A4141" s="2">
        <v>1987</v>
      </c>
      <c r="B4141">
        <v>30</v>
      </c>
      <c r="C4141">
        <v>2.3999999999999998E-3</v>
      </c>
      <c r="D4141">
        <v>2.3999999999999998E-3</v>
      </c>
      <c r="E4141">
        <v>0.5</v>
      </c>
      <c r="F4141">
        <v>95428</v>
      </c>
      <c r="G4141">
        <v>229</v>
      </c>
      <c r="H4141">
        <v>95313</v>
      </c>
      <c r="I4141">
        <v>3639981</v>
      </c>
    </row>
    <row r="4142" spans="1:9">
      <c r="A4142" s="2">
        <v>1987</v>
      </c>
      <c r="B4142">
        <v>31</v>
      </c>
      <c r="C4142">
        <v>2.9399999999999999E-3</v>
      </c>
      <c r="D4142">
        <v>2.9399999999999999E-3</v>
      </c>
      <c r="E4142">
        <v>0.5</v>
      </c>
      <c r="F4142">
        <v>95199</v>
      </c>
      <c r="G4142">
        <v>280</v>
      </c>
      <c r="H4142">
        <v>95059</v>
      </c>
      <c r="I4142">
        <v>3544668</v>
      </c>
    </row>
    <row r="4143" spans="1:9">
      <c r="A4143" s="2">
        <v>1987</v>
      </c>
      <c r="B4143">
        <v>32</v>
      </c>
      <c r="C4143">
        <v>2.5899999999999999E-3</v>
      </c>
      <c r="D4143">
        <v>2.5799999999999998E-3</v>
      </c>
      <c r="E4143">
        <v>0.5</v>
      </c>
      <c r="F4143">
        <v>94919</v>
      </c>
      <c r="G4143">
        <v>245</v>
      </c>
      <c r="H4143">
        <v>94796</v>
      </c>
      <c r="I4143">
        <v>3449609</v>
      </c>
    </row>
    <row r="4144" spans="1:9">
      <c r="A4144" s="2">
        <v>1987</v>
      </c>
      <c r="B4144">
        <v>33</v>
      </c>
      <c r="C4144">
        <v>3.2499999999999999E-3</v>
      </c>
      <c r="D4144">
        <v>3.2399999999999998E-3</v>
      </c>
      <c r="E4144">
        <v>0.5</v>
      </c>
      <c r="F4144">
        <v>94674</v>
      </c>
      <c r="G4144">
        <v>307</v>
      </c>
      <c r="H4144">
        <v>94520</v>
      </c>
      <c r="I4144">
        <v>3354813</v>
      </c>
    </row>
    <row r="4145" spans="1:9">
      <c r="A4145" s="2">
        <v>1987</v>
      </c>
      <c r="B4145">
        <v>34</v>
      </c>
      <c r="C4145">
        <v>3.2000000000000002E-3</v>
      </c>
      <c r="D4145">
        <v>3.2000000000000002E-3</v>
      </c>
      <c r="E4145">
        <v>0.5</v>
      </c>
      <c r="F4145">
        <v>94367</v>
      </c>
      <c r="G4145">
        <v>302</v>
      </c>
      <c r="H4145">
        <v>94216</v>
      </c>
      <c r="I4145">
        <v>3260293</v>
      </c>
    </row>
    <row r="4146" spans="1:9">
      <c r="A4146" s="2">
        <v>1987</v>
      </c>
      <c r="B4146">
        <v>35</v>
      </c>
      <c r="C4146">
        <v>3.7100000000000002E-3</v>
      </c>
      <c r="D4146">
        <v>3.7000000000000002E-3</v>
      </c>
      <c r="E4146">
        <v>0.5</v>
      </c>
      <c r="F4146">
        <v>94065</v>
      </c>
      <c r="G4146">
        <v>348</v>
      </c>
      <c r="H4146">
        <v>93891</v>
      </c>
      <c r="I4146">
        <v>3166077</v>
      </c>
    </row>
    <row r="4147" spans="1:9">
      <c r="A4147" s="2">
        <v>1987</v>
      </c>
      <c r="B4147">
        <v>36</v>
      </c>
      <c r="C4147">
        <v>3.5699999999999998E-3</v>
      </c>
      <c r="D4147">
        <v>3.5699999999999998E-3</v>
      </c>
      <c r="E4147">
        <v>0.5</v>
      </c>
      <c r="F4147">
        <v>93717</v>
      </c>
      <c r="G4147">
        <v>334</v>
      </c>
      <c r="H4147">
        <v>93550</v>
      </c>
      <c r="I4147">
        <v>3072185</v>
      </c>
    </row>
    <row r="4148" spans="1:9">
      <c r="A4148" s="2">
        <v>1987</v>
      </c>
      <c r="B4148">
        <v>37</v>
      </c>
      <c r="C4148">
        <v>4.0600000000000002E-3</v>
      </c>
      <c r="D4148">
        <v>4.0499999999999998E-3</v>
      </c>
      <c r="E4148">
        <v>0.5</v>
      </c>
      <c r="F4148">
        <v>93383</v>
      </c>
      <c r="G4148">
        <v>378</v>
      </c>
      <c r="H4148">
        <v>93194</v>
      </c>
      <c r="I4148">
        <v>2978635</v>
      </c>
    </row>
    <row r="4149" spans="1:9">
      <c r="A4149" s="2">
        <v>1987</v>
      </c>
      <c r="B4149">
        <v>38</v>
      </c>
      <c r="C4149">
        <v>4.4900000000000001E-3</v>
      </c>
      <c r="D4149">
        <v>4.4799999999999996E-3</v>
      </c>
      <c r="E4149">
        <v>0.5</v>
      </c>
      <c r="F4149">
        <v>93005</v>
      </c>
      <c r="G4149">
        <v>416</v>
      </c>
      <c r="H4149">
        <v>92796</v>
      </c>
      <c r="I4149">
        <v>2885442</v>
      </c>
    </row>
    <row r="4150" spans="1:9">
      <c r="A4150" s="2">
        <v>1987</v>
      </c>
      <c r="B4150">
        <v>39</v>
      </c>
      <c r="C4150">
        <v>5.4000000000000003E-3</v>
      </c>
      <c r="D4150">
        <v>5.3800000000000002E-3</v>
      </c>
      <c r="E4150">
        <v>0.5</v>
      </c>
      <c r="F4150">
        <v>92588</v>
      </c>
      <c r="G4150">
        <v>499</v>
      </c>
      <c r="H4150">
        <v>92339</v>
      </c>
      <c r="I4150">
        <v>2792645</v>
      </c>
    </row>
    <row r="4151" spans="1:9">
      <c r="A4151" s="2">
        <v>1987</v>
      </c>
      <c r="B4151">
        <v>40</v>
      </c>
      <c r="C4151">
        <v>5.5900000000000004E-3</v>
      </c>
      <c r="D4151">
        <v>5.5700000000000003E-3</v>
      </c>
      <c r="E4151">
        <v>0.5</v>
      </c>
      <c r="F4151">
        <v>92090</v>
      </c>
      <c r="G4151">
        <v>513</v>
      </c>
      <c r="H4151">
        <v>91833</v>
      </c>
      <c r="I4151">
        <v>2700306</v>
      </c>
    </row>
    <row r="4152" spans="1:9">
      <c r="A4152" s="2">
        <v>1987</v>
      </c>
      <c r="B4152">
        <v>41</v>
      </c>
      <c r="C4152">
        <v>5.2199999999999998E-3</v>
      </c>
      <c r="D4152">
        <v>5.1999999999999998E-3</v>
      </c>
      <c r="E4152">
        <v>0.5</v>
      </c>
      <c r="F4152">
        <v>91577</v>
      </c>
      <c r="G4152">
        <v>477</v>
      </c>
      <c r="H4152">
        <v>91338</v>
      </c>
      <c r="I4152">
        <v>2608473</v>
      </c>
    </row>
    <row r="4153" spans="1:9">
      <c r="A4153" s="2">
        <v>1987</v>
      </c>
      <c r="B4153">
        <v>42</v>
      </c>
      <c r="C4153">
        <v>6.94E-3</v>
      </c>
      <c r="D4153">
        <v>6.9199999999999999E-3</v>
      </c>
      <c r="E4153">
        <v>0.5</v>
      </c>
      <c r="F4153">
        <v>91100</v>
      </c>
      <c r="G4153">
        <v>630</v>
      </c>
      <c r="H4153">
        <v>90785</v>
      </c>
      <c r="I4153">
        <v>2517135</v>
      </c>
    </row>
    <row r="4154" spans="1:9">
      <c r="A4154" s="2">
        <v>1987</v>
      </c>
      <c r="B4154">
        <v>43</v>
      </c>
      <c r="C4154">
        <v>7.1700000000000002E-3</v>
      </c>
      <c r="D4154">
        <v>7.1399999999999996E-3</v>
      </c>
      <c r="E4154">
        <v>0.5</v>
      </c>
      <c r="F4154">
        <v>90470</v>
      </c>
      <c r="G4154">
        <v>646</v>
      </c>
      <c r="H4154">
        <v>90147</v>
      </c>
      <c r="I4154">
        <v>2426350</v>
      </c>
    </row>
    <row r="4155" spans="1:9">
      <c r="A4155" s="2">
        <v>1987</v>
      </c>
      <c r="B4155">
        <v>44</v>
      </c>
      <c r="C4155">
        <v>7.4599999999999996E-3</v>
      </c>
      <c r="D4155">
        <v>7.43E-3</v>
      </c>
      <c r="E4155">
        <v>0.5</v>
      </c>
      <c r="F4155">
        <v>89824</v>
      </c>
      <c r="G4155">
        <v>667</v>
      </c>
      <c r="H4155">
        <v>89490</v>
      </c>
      <c r="I4155">
        <v>2336203</v>
      </c>
    </row>
    <row r="4156" spans="1:9">
      <c r="A4156" s="2">
        <v>1987</v>
      </c>
      <c r="B4156">
        <v>45</v>
      </c>
      <c r="C4156">
        <v>8.6599999999999993E-3</v>
      </c>
      <c r="D4156">
        <v>8.6300000000000005E-3</v>
      </c>
      <c r="E4156">
        <v>0.5</v>
      </c>
      <c r="F4156">
        <v>89157</v>
      </c>
      <c r="G4156">
        <v>769</v>
      </c>
      <c r="H4156">
        <v>88772</v>
      </c>
      <c r="I4156">
        <v>2246712</v>
      </c>
    </row>
    <row r="4157" spans="1:9">
      <c r="A4157" s="2">
        <v>1987</v>
      </c>
      <c r="B4157">
        <v>46</v>
      </c>
      <c r="C4157">
        <v>9.4900000000000002E-3</v>
      </c>
      <c r="D4157">
        <v>9.4500000000000001E-3</v>
      </c>
      <c r="E4157">
        <v>0.5</v>
      </c>
      <c r="F4157">
        <v>88388</v>
      </c>
      <c r="G4157">
        <v>835</v>
      </c>
      <c r="H4157">
        <v>87970</v>
      </c>
      <c r="I4157">
        <v>2157940</v>
      </c>
    </row>
    <row r="4158" spans="1:9">
      <c r="A4158" s="2">
        <v>1987</v>
      </c>
      <c r="B4158">
        <v>47</v>
      </c>
      <c r="C4158">
        <v>1.064E-2</v>
      </c>
      <c r="D4158">
        <v>1.059E-2</v>
      </c>
      <c r="E4158">
        <v>0.5</v>
      </c>
      <c r="F4158">
        <v>87553</v>
      </c>
      <c r="G4158">
        <v>927</v>
      </c>
      <c r="H4158">
        <v>87089</v>
      </c>
      <c r="I4158">
        <v>2069970</v>
      </c>
    </row>
    <row r="4159" spans="1:9">
      <c r="A4159" s="2">
        <v>1987</v>
      </c>
      <c r="B4159">
        <v>48</v>
      </c>
      <c r="C4159">
        <v>1.21E-2</v>
      </c>
      <c r="D4159">
        <v>1.2030000000000001E-2</v>
      </c>
      <c r="E4159">
        <v>0.5</v>
      </c>
      <c r="F4159">
        <v>86626</v>
      </c>
      <c r="G4159">
        <v>1042</v>
      </c>
      <c r="H4159">
        <v>86105</v>
      </c>
      <c r="I4159">
        <v>1982880</v>
      </c>
    </row>
    <row r="4160" spans="1:9">
      <c r="A4160" s="2">
        <v>1987</v>
      </c>
      <c r="B4160">
        <v>49</v>
      </c>
      <c r="C4160">
        <v>1.2109999999999999E-2</v>
      </c>
      <c r="D4160">
        <v>1.2030000000000001E-2</v>
      </c>
      <c r="E4160">
        <v>0.5</v>
      </c>
      <c r="F4160">
        <v>85584</v>
      </c>
      <c r="G4160">
        <v>1030</v>
      </c>
      <c r="H4160">
        <v>85069</v>
      </c>
      <c r="I4160">
        <v>1896776</v>
      </c>
    </row>
    <row r="4161" spans="1:9">
      <c r="A4161" s="2">
        <v>1987</v>
      </c>
      <c r="B4161">
        <v>50</v>
      </c>
      <c r="C4161">
        <v>1.3820000000000001E-2</v>
      </c>
      <c r="D4161">
        <v>1.372E-2</v>
      </c>
      <c r="E4161">
        <v>0.5</v>
      </c>
      <c r="F4161">
        <v>84554</v>
      </c>
      <c r="G4161">
        <v>1160</v>
      </c>
      <c r="H4161">
        <v>83974</v>
      </c>
      <c r="I4161">
        <v>1811707</v>
      </c>
    </row>
    <row r="4162" spans="1:9">
      <c r="A4162" s="2">
        <v>1987</v>
      </c>
      <c r="B4162">
        <v>51</v>
      </c>
      <c r="C4162">
        <v>1.47E-2</v>
      </c>
      <c r="D4162">
        <v>1.4590000000000001E-2</v>
      </c>
      <c r="E4162">
        <v>0.5</v>
      </c>
      <c r="F4162">
        <v>83394</v>
      </c>
      <c r="G4162">
        <v>1217</v>
      </c>
      <c r="H4162">
        <v>82785</v>
      </c>
      <c r="I4162">
        <v>1727733</v>
      </c>
    </row>
    <row r="4163" spans="1:9">
      <c r="A4163" s="2">
        <v>1987</v>
      </c>
      <c r="B4163">
        <v>52</v>
      </c>
      <c r="C4163">
        <v>1.5800000000000002E-2</v>
      </c>
      <c r="D4163">
        <v>1.567E-2</v>
      </c>
      <c r="E4163">
        <v>0.5</v>
      </c>
      <c r="F4163">
        <v>82177</v>
      </c>
      <c r="G4163">
        <v>1288</v>
      </c>
      <c r="H4163">
        <v>81533</v>
      </c>
      <c r="I4163">
        <v>1644947</v>
      </c>
    </row>
    <row r="4164" spans="1:9">
      <c r="A4164" s="2">
        <v>1987</v>
      </c>
      <c r="B4164">
        <v>53</v>
      </c>
      <c r="C4164">
        <v>1.6959999999999999E-2</v>
      </c>
      <c r="D4164">
        <v>1.6820000000000002E-2</v>
      </c>
      <c r="E4164">
        <v>0.5</v>
      </c>
      <c r="F4164">
        <v>80889</v>
      </c>
      <c r="G4164">
        <v>1361</v>
      </c>
      <c r="H4164">
        <v>80209</v>
      </c>
      <c r="I4164">
        <v>1563414</v>
      </c>
    </row>
    <row r="4165" spans="1:9">
      <c r="A4165" s="2">
        <v>1987</v>
      </c>
      <c r="B4165">
        <v>54</v>
      </c>
      <c r="C4165">
        <v>1.7760000000000001E-2</v>
      </c>
      <c r="D4165">
        <v>1.7600000000000001E-2</v>
      </c>
      <c r="E4165">
        <v>0.5</v>
      </c>
      <c r="F4165">
        <v>79528</v>
      </c>
      <c r="G4165">
        <v>1400</v>
      </c>
      <c r="H4165">
        <v>78828</v>
      </c>
      <c r="I4165">
        <v>1483206</v>
      </c>
    </row>
    <row r="4166" spans="1:9">
      <c r="A4166" s="2">
        <v>1987</v>
      </c>
      <c r="B4166">
        <v>55</v>
      </c>
      <c r="C4166">
        <v>1.916E-2</v>
      </c>
      <c r="D4166">
        <v>1.898E-2</v>
      </c>
      <c r="E4166">
        <v>0.5</v>
      </c>
      <c r="F4166">
        <v>78128</v>
      </c>
      <c r="G4166">
        <v>1483</v>
      </c>
      <c r="H4166">
        <v>77387</v>
      </c>
      <c r="I4166">
        <v>1404377</v>
      </c>
    </row>
    <row r="4167" spans="1:9">
      <c r="A4167" s="2">
        <v>1987</v>
      </c>
      <c r="B4167">
        <v>56</v>
      </c>
      <c r="C4167">
        <v>2.1399999999999999E-2</v>
      </c>
      <c r="D4167">
        <v>2.1170000000000001E-2</v>
      </c>
      <c r="E4167">
        <v>0.5</v>
      </c>
      <c r="F4167">
        <v>76646</v>
      </c>
      <c r="G4167">
        <v>1623</v>
      </c>
      <c r="H4167">
        <v>75835</v>
      </c>
      <c r="I4167">
        <v>1326990</v>
      </c>
    </row>
    <row r="4168" spans="1:9">
      <c r="A4168" s="2">
        <v>1987</v>
      </c>
      <c r="B4168">
        <v>57</v>
      </c>
      <c r="C4168">
        <v>2.256E-2</v>
      </c>
      <c r="D4168">
        <v>2.231E-2</v>
      </c>
      <c r="E4168">
        <v>0.5</v>
      </c>
      <c r="F4168">
        <v>75023</v>
      </c>
      <c r="G4168">
        <v>1674</v>
      </c>
      <c r="H4168">
        <v>74186</v>
      </c>
      <c r="I4168">
        <v>1251156</v>
      </c>
    </row>
    <row r="4169" spans="1:9">
      <c r="A4169" s="2">
        <v>1987</v>
      </c>
      <c r="B4169">
        <v>58</v>
      </c>
      <c r="C4169">
        <v>2.3140000000000001E-2</v>
      </c>
      <c r="D4169">
        <v>2.2880000000000001E-2</v>
      </c>
      <c r="E4169">
        <v>0.5</v>
      </c>
      <c r="F4169">
        <v>73349</v>
      </c>
      <c r="G4169">
        <v>1678</v>
      </c>
      <c r="H4169">
        <v>72510</v>
      </c>
      <c r="I4169">
        <v>1176969</v>
      </c>
    </row>
    <row r="4170" spans="1:9">
      <c r="A4170" s="2">
        <v>1987</v>
      </c>
      <c r="B4170">
        <v>59</v>
      </c>
      <c r="C4170">
        <v>2.5690000000000001E-2</v>
      </c>
      <c r="D4170">
        <v>2.5360000000000001E-2</v>
      </c>
      <c r="E4170">
        <v>0.5</v>
      </c>
      <c r="F4170">
        <v>71671</v>
      </c>
      <c r="G4170">
        <v>1818</v>
      </c>
      <c r="H4170">
        <v>70762</v>
      </c>
      <c r="I4170">
        <v>1104459</v>
      </c>
    </row>
    <row r="4171" spans="1:9">
      <c r="A4171" s="2">
        <v>1987</v>
      </c>
      <c r="B4171">
        <v>60</v>
      </c>
      <c r="C4171">
        <v>2.8060000000000002E-2</v>
      </c>
      <c r="D4171">
        <v>2.767E-2</v>
      </c>
      <c r="E4171">
        <v>0.5</v>
      </c>
      <c r="F4171">
        <v>69853</v>
      </c>
      <c r="G4171">
        <v>1933</v>
      </c>
      <c r="H4171">
        <v>68887</v>
      </c>
      <c r="I4171">
        <v>1033697</v>
      </c>
    </row>
    <row r="4172" spans="1:9">
      <c r="A4172" s="2">
        <v>1987</v>
      </c>
      <c r="B4172">
        <v>61</v>
      </c>
      <c r="C4172">
        <v>3.2840000000000001E-2</v>
      </c>
      <c r="D4172">
        <v>3.2309999999999998E-2</v>
      </c>
      <c r="E4172">
        <v>0.5</v>
      </c>
      <c r="F4172">
        <v>67920</v>
      </c>
      <c r="G4172">
        <v>2195</v>
      </c>
      <c r="H4172">
        <v>66823</v>
      </c>
      <c r="I4172">
        <v>964810</v>
      </c>
    </row>
    <row r="4173" spans="1:9">
      <c r="A4173" s="2">
        <v>1987</v>
      </c>
      <c r="B4173">
        <v>62</v>
      </c>
      <c r="C4173">
        <v>3.2489999999999998E-2</v>
      </c>
      <c r="D4173">
        <v>3.1969999999999998E-2</v>
      </c>
      <c r="E4173">
        <v>0.5</v>
      </c>
      <c r="F4173">
        <v>65726</v>
      </c>
      <c r="G4173">
        <v>2101</v>
      </c>
      <c r="H4173">
        <v>64675</v>
      </c>
      <c r="I4173">
        <v>897987</v>
      </c>
    </row>
    <row r="4174" spans="1:9">
      <c r="A4174" s="2">
        <v>1987</v>
      </c>
      <c r="B4174">
        <v>63</v>
      </c>
      <c r="C4174">
        <v>3.5020000000000003E-2</v>
      </c>
      <c r="D4174">
        <v>3.4419999999999999E-2</v>
      </c>
      <c r="E4174">
        <v>0.5</v>
      </c>
      <c r="F4174">
        <v>63624</v>
      </c>
      <c r="G4174">
        <v>2190</v>
      </c>
      <c r="H4174">
        <v>62529</v>
      </c>
      <c r="I4174">
        <v>833312</v>
      </c>
    </row>
    <row r="4175" spans="1:9">
      <c r="A4175" s="2">
        <v>1987</v>
      </c>
      <c r="B4175">
        <v>64</v>
      </c>
      <c r="C4175">
        <v>3.6659999999999998E-2</v>
      </c>
      <c r="D4175">
        <v>3.5999999999999997E-2</v>
      </c>
      <c r="E4175">
        <v>0.5</v>
      </c>
      <c r="F4175">
        <v>61434</v>
      </c>
      <c r="G4175">
        <v>2212</v>
      </c>
      <c r="H4175">
        <v>60329</v>
      </c>
      <c r="I4175">
        <v>770782</v>
      </c>
    </row>
    <row r="4176" spans="1:9">
      <c r="A4176" s="2">
        <v>1987</v>
      </c>
      <c r="B4176">
        <v>65</v>
      </c>
      <c r="C4176">
        <v>4.0770000000000001E-2</v>
      </c>
      <c r="D4176">
        <v>3.9949999999999999E-2</v>
      </c>
      <c r="E4176">
        <v>0.5</v>
      </c>
      <c r="F4176">
        <v>59223</v>
      </c>
      <c r="G4176">
        <v>2366</v>
      </c>
      <c r="H4176">
        <v>58040</v>
      </c>
      <c r="I4176">
        <v>710453</v>
      </c>
    </row>
    <row r="4177" spans="1:9">
      <c r="A4177" s="2">
        <v>1987</v>
      </c>
      <c r="B4177">
        <v>66</v>
      </c>
      <c r="C4177">
        <v>3.9809999999999998E-2</v>
      </c>
      <c r="D4177">
        <v>3.9039999999999998E-2</v>
      </c>
      <c r="E4177">
        <v>0.5</v>
      </c>
      <c r="F4177">
        <v>56857</v>
      </c>
      <c r="G4177">
        <v>2219</v>
      </c>
      <c r="H4177">
        <v>55747</v>
      </c>
      <c r="I4177">
        <v>652414</v>
      </c>
    </row>
    <row r="4178" spans="1:9">
      <c r="A4178" s="2">
        <v>1987</v>
      </c>
      <c r="B4178">
        <v>67</v>
      </c>
      <c r="C4178">
        <v>5.0520000000000002E-2</v>
      </c>
      <c r="D4178">
        <v>4.9279999999999997E-2</v>
      </c>
      <c r="E4178">
        <v>0.5</v>
      </c>
      <c r="F4178">
        <v>54637</v>
      </c>
      <c r="G4178">
        <v>2692</v>
      </c>
      <c r="H4178">
        <v>53291</v>
      </c>
      <c r="I4178">
        <v>596667</v>
      </c>
    </row>
    <row r="4179" spans="1:9">
      <c r="A4179" s="2">
        <v>1987</v>
      </c>
      <c r="B4179">
        <v>68</v>
      </c>
      <c r="C4179">
        <v>4.3560000000000001E-2</v>
      </c>
      <c r="D4179">
        <v>4.2630000000000001E-2</v>
      </c>
      <c r="E4179">
        <v>0.5</v>
      </c>
      <c r="F4179">
        <v>51945</v>
      </c>
      <c r="G4179">
        <v>2214</v>
      </c>
      <c r="H4179">
        <v>50838</v>
      </c>
      <c r="I4179">
        <v>543376</v>
      </c>
    </row>
    <row r="4180" spans="1:9">
      <c r="A4180" s="2">
        <v>1987</v>
      </c>
      <c r="B4180">
        <v>69</v>
      </c>
      <c r="C4180">
        <v>5.1380000000000002E-2</v>
      </c>
      <c r="D4180">
        <v>5.0090000000000003E-2</v>
      </c>
      <c r="E4180">
        <v>0.5</v>
      </c>
      <c r="F4180">
        <v>49730</v>
      </c>
      <c r="G4180">
        <v>2491</v>
      </c>
      <c r="H4180">
        <v>48485</v>
      </c>
      <c r="I4180">
        <v>492538</v>
      </c>
    </row>
    <row r="4181" spans="1:9">
      <c r="A4181" s="2">
        <v>1987</v>
      </c>
      <c r="B4181">
        <v>70</v>
      </c>
      <c r="C4181">
        <v>5.4789999999999998E-2</v>
      </c>
      <c r="D4181">
        <v>5.3330000000000002E-2</v>
      </c>
      <c r="E4181">
        <v>0.5</v>
      </c>
      <c r="F4181">
        <v>47239</v>
      </c>
      <c r="G4181">
        <v>2519</v>
      </c>
      <c r="H4181">
        <v>45980</v>
      </c>
      <c r="I4181">
        <v>444053</v>
      </c>
    </row>
    <row r="4182" spans="1:9">
      <c r="A4182" s="2">
        <v>1987</v>
      </c>
      <c r="B4182">
        <v>71</v>
      </c>
      <c r="C4182">
        <v>5.8270000000000002E-2</v>
      </c>
      <c r="D4182">
        <v>5.6619999999999997E-2</v>
      </c>
      <c r="E4182">
        <v>0.5</v>
      </c>
      <c r="F4182">
        <v>44720</v>
      </c>
      <c r="G4182">
        <v>2532</v>
      </c>
      <c r="H4182">
        <v>43454</v>
      </c>
      <c r="I4182">
        <v>398074</v>
      </c>
    </row>
    <row r="4183" spans="1:9">
      <c r="A4183" s="2">
        <v>1987</v>
      </c>
      <c r="B4183">
        <v>72</v>
      </c>
      <c r="C4183">
        <v>7.1389999999999995E-2</v>
      </c>
      <c r="D4183">
        <v>6.8930000000000005E-2</v>
      </c>
      <c r="E4183">
        <v>0.5</v>
      </c>
      <c r="F4183">
        <v>42188</v>
      </c>
      <c r="G4183">
        <v>2908</v>
      </c>
      <c r="H4183">
        <v>40734</v>
      </c>
      <c r="I4183">
        <v>354620</v>
      </c>
    </row>
    <row r="4184" spans="1:9">
      <c r="A4184" s="2">
        <v>1987</v>
      </c>
      <c r="B4184">
        <v>73</v>
      </c>
      <c r="C4184">
        <v>7.3179999999999995E-2</v>
      </c>
      <c r="D4184">
        <v>7.0599999999999996E-2</v>
      </c>
      <c r="E4184">
        <v>0.5</v>
      </c>
      <c r="F4184">
        <v>39280</v>
      </c>
      <c r="G4184">
        <v>2773</v>
      </c>
      <c r="H4184">
        <v>37893</v>
      </c>
      <c r="I4184">
        <v>313886</v>
      </c>
    </row>
    <row r="4185" spans="1:9">
      <c r="A4185" s="2">
        <v>1987</v>
      </c>
      <c r="B4185">
        <v>74</v>
      </c>
      <c r="C4185">
        <v>7.9960000000000003E-2</v>
      </c>
      <c r="D4185">
        <v>7.689E-2</v>
      </c>
      <c r="E4185">
        <v>0.5</v>
      </c>
      <c r="F4185">
        <v>36507</v>
      </c>
      <c r="G4185">
        <v>2807</v>
      </c>
      <c r="H4185">
        <v>35103</v>
      </c>
      <c r="I4185">
        <v>275992</v>
      </c>
    </row>
    <row r="4186" spans="1:9">
      <c r="A4186" s="2">
        <v>1987</v>
      </c>
      <c r="B4186">
        <v>75</v>
      </c>
      <c r="C4186">
        <v>8.2189999999999999E-2</v>
      </c>
      <c r="D4186">
        <v>7.8939999999999996E-2</v>
      </c>
      <c r="E4186">
        <v>0.5</v>
      </c>
      <c r="F4186">
        <v>33700</v>
      </c>
      <c r="G4186">
        <v>2660</v>
      </c>
      <c r="H4186">
        <v>32370</v>
      </c>
      <c r="I4186">
        <v>240889</v>
      </c>
    </row>
    <row r="4187" spans="1:9">
      <c r="A4187" s="2">
        <v>1987</v>
      </c>
      <c r="B4187">
        <v>76</v>
      </c>
      <c r="C4187">
        <v>9.2160000000000006E-2</v>
      </c>
      <c r="D4187">
        <v>8.8099999999999998E-2</v>
      </c>
      <c r="E4187">
        <v>0.5</v>
      </c>
      <c r="F4187">
        <v>31039</v>
      </c>
      <c r="G4187">
        <v>2735</v>
      </c>
      <c r="H4187">
        <v>29672</v>
      </c>
      <c r="I4187">
        <v>208520</v>
      </c>
    </row>
    <row r="4188" spans="1:9">
      <c r="A4188" s="2">
        <v>1987</v>
      </c>
      <c r="B4188">
        <v>77</v>
      </c>
      <c r="C4188">
        <v>0.1051</v>
      </c>
      <c r="D4188">
        <v>9.9849999999999994E-2</v>
      </c>
      <c r="E4188">
        <v>0.5</v>
      </c>
      <c r="F4188">
        <v>28305</v>
      </c>
      <c r="G4188">
        <v>2826</v>
      </c>
      <c r="H4188">
        <v>26891</v>
      </c>
      <c r="I4188">
        <v>178848</v>
      </c>
    </row>
    <row r="4189" spans="1:9">
      <c r="A4189" s="2">
        <v>1987</v>
      </c>
      <c r="B4189">
        <v>78</v>
      </c>
      <c r="C4189">
        <v>0.11353000000000001</v>
      </c>
      <c r="D4189">
        <v>0.10743</v>
      </c>
      <c r="E4189">
        <v>0.5</v>
      </c>
      <c r="F4189">
        <v>25478</v>
      </c>
      <c r="G4189">
        <v>2737</v>
      </c>
      <c r="H4189">
        <v>24110</v>
      </c>
      <c r="I4189">
        <v>151956</v>
      </c>
    </row>
    <row r="4190" spans="1:9">
      <c r="A4190" s="2">
        <v>1987</v>
      </c>
      <c r="B4190">
        <v>79</v>
      </c>
      <c r="C4190">
        <v>0.12281</v>
      </c>
      <c r="D4190">
        <v>0.11570999999999999</v>
      </c>
      <c r="E4190">
        <v>0.5</v>
      </c>
      <c r="F4190">
        <v>22741</v>
      </c>
      <c r="G4190">
        <v>2631</v>
      </c>
      <c r="H4190">
        <v>21426</v>
      </c>
      <c r="I4190">
        <v>127846</v>
      </c>
    </row>
    <row r="4191" spans="1:9">
      <c r="A4191" s="2">
        <v>1987</v>
      </c>
      <c r="B4191">
        <v>80</v>
      </c>
      <c r="C4191">
        <v>0.13494999999999999</v>
      </c>
      <c r="D4191">
        <v>0.12642</v>
      </c>
      <c r="E4191">
        <v>0.5</v>
      </c>
      <c r="F4191">
        <v>20110</v>
      </c>
      <c r="G4191">
        <v>2542</v>
      </c>
      <c r="H4191">
        <v>18839</v>
      </c>
      <c r="I4191">
        <v>106421</v>
      </c>
    </row>
    <row r="4192" spans="1:9">
      <c r="A4192" s="2">
        <v>1987</v>
      </c>
      <c r="B4192">
        <v>81</v>
      </c>
      <c r="C4192">
        <v>0.14226</v>
      </c>
      <c r="D4192">
        <v>0.13281000000000001</v>
      </c>
      <c r="E4192">
        <v>0.5</v>
      </c>
      <c r="F4192">
        <v>17568</v>
      </c>
      <c r="G4192">
        <v>2333</v>
      </c>
      <c r="H4192">
        <v>16401</v>
      </c>
      <c r="I4192">
        <v>87582</v>
      </c>
    </row>
    <row r="4193" spans="1:9">
      <c r="A4193" s="2">
        <v>1987</v>
      </c>
      <c r="B4193">
        <v>82</v>
      </c>
      <c r="C4193">
        <v>0.15698999999999999</v>
      </c>
      <c r="D4193">
        <v>0.14555999999999999</v>
      </c>
      <c r="E4193">
        <v>0.5</v>
      </c>
      <c r="F4193">
        <v>15234</v>
      </c>
      <c r="G4193">
        <v>2218</v>
      </c>
      <c r="H4193">
        <v>14126</v>
      </c>
      <c r="I4193">
        <v>71181</v>
      </c>
    </row>
    <row r="4194" spans="1:9">
      <c r="A4194" s="2">
        <v>1987</v>
      </c>
      <c r="B4194">
        <v>83</v>
      </c>
      <c r="C4194">
        <v>0.17401</v>
      </c>
      <c r="D4194">
        <v>0.16008</v>
      </c>
      <c r="E4194">
        <v>0.5</v>
      </c>
      <c r="F4194">
        <v>13017</v>
      </c>
      <c r="G4194">
        <v>2084</v>
      </c>
      <c r="H4194">
        <v>11975</v>
      </c>
      <c r="I4194">
        <v>57055</v>
      </c>
    </row>
    <row r="4195" spans="1:9">
      <c r="A4195" s="2">
        <v>1987</v>
      </c>
      <c r="B4195">
        <v>84</v>
      </c>
      <c r="C4195">
        <v>0.19614999999999999</v>
      </c>
      <c r="D4195">
        <v>0.17863000000000001</v>
      </c>
      <c r="E4195">
        <v>0.5</v>
      </c>
      <c r="F4195">
        <v>10933</v>
      </c>
      <c r="G4195">
        <v>1953</v>
      </c>
      <c r="H4195">
        <v>9957</v>
      </c>
      <c r="I4195">
        <v>45080</v>
      </c>
    </row>
    <row r="4196" spans="1:9">
      <c r="A4196" s="2">
        <v>1987</v>
      </c>
      <c r="B4196">
        <v>85</v>
      </c>
      <c r="C4196">
        <v>0.20544000000000001</v>
      </c>
      <c r="D4196">
        <v>0.18631</v>
      </c>
      <c r="E4196">
        <v>0.5</v>
      </c>
      <c r="F4196">
        <v>8980</v>
      </c>
      <c r="G4196">
        <v>1673</v>
      </c>
      <c r="H4196">
        <v>8144</v>
      </c>
      <c r="I4196">
        <v>35124</v>
      </c>
    </row>
    <row r="4197" spans="1:9">
      <c r="A4197" s="2">
        <v>1987</v>
      </c>
      <c r="B4197">
        <v>86</v>
      </c>
      <c r="C4197">
        <v>0.21217</v>
      </c>
      <c r="D4197">
        <v>0.19181999999999999</v>
      </c>
      <c r="E4197">
        <v>0.5</v>
      </c>
      <c r="F4197">
        <v>7307</v>
      </c>
      <c r="G4197">
        <v>1402</v>
      </c>
      <c r="H4197">
        <v>6606</v>
      </c>
      <c r="I4197">
        <v>26980</v>
      </c>
    </row>
    <row r="4198" spans="1:9">
      <c r="A4198" s="2">
        <v>1987</v>
      </c>
      <c r="B4198">
        <v>87</v>
      </c>
      <c r="C4198">
        <v>0.23644000000000001</v>
      </c>
      <c r="D4198">
        <v>0.21143999999999999</v>
      </c>
      <c r="E4198">
        <v>0.5</v>
      </c>
      <c r="F4198">
        <v>5905</v>
      </c>
      <c r="G4198">
        <v>1249</v>
      </c>
      <c r="H4198">
        <v>5281</v>
      </c>
      <c r="I4198">
        <v>20374</v>
      </c>
    </row>
    <row r="4199" spans="1:9">
      <c r="A4199" s="2">
        <v>1987</v>
      </c>
      <c r="B4199">
        <v>88</v>
      </c>
      <c r="C4199">
        <v>0.25444</v>
      </c>
      <c r="D4199">
        <v>0.22572</v>
      </c>
      <c r="E4199">
        <v>0.5</v>
      </c>
      <c r="F4199">
        <v>4657</v>
      </c>
      <c r="G4199">
        <v>1051</v>
      </c>
      <c r="H4199">
        <v>4131</v>
      </c>
      <c r="I4199">
        <v>15093</v>
      </c>
    </row>
    <row r="4200" spans="1:9">
      <c r="A4200" s="2">
        <v>1987</v>
      </c>
      <c r="B4200">
        <v>89</v>
      </c>
      <c r="C4200">
        <v>0.28077999999999997</v>
      </c>
      <c r="D4200">
        <v>0.24621000000000001</v>
      </c>
      <c r="E4200">
        <v>0.5</v>
      </c>
      <c r="F4200">
        <v>3606</v>
      </c>
      <c r="G4200">
        <v>888</v>
      </c>
      <c r="H4200">
        <v>3162</v>
      </c>
      <c r="I4200">
        <v>10962</v>
      </c>
    </row>
    <row r="4201" spans="1:9">
      <c r="A4201" s="2">
        <v>1987</v>
      </c>
      <c r="B4201">
        <v>90</v>
      </c>
      <c r="C4201">
        <v>0.30831999999999998</v>
      </c>
      <c r="D4201">
        <v>0.26713999999999999</v>
      </c>
      <c r="E4201">
        <v>0.5</v>
      </c>
      <c r="F4201">
        <v>2718</v>
      </c>
      <c r="G4201">
        <v>726</v>
      </c>
      <c r="H4201">
        <v>2355</v>
      </c>
      <c r="I4201">
        <v>7800</v>
      </c>
    </row>
    <row r="4202" spans="1:9">
      <c r="A4202" s="2">
        <v>1987</v>
      </c>
      <c r="B4202">
        <v>91</v>
      </c>
      <c r="C4202">
        <v>0.28552</v>
      </c>
      <c r="D4202">
        <v>0.24984999999999999</v>
      </c>
      <c r="E4202">
        <v>0.5</v>
      </c>
      <c r="F4202">
        <v>1992</v>
      </c>
      <c r="G4202">
        <v>498</v>
      </c>
      <c r="H4202">
        <v>1743</v>
      </c>
      <c r="I4202">
        <v>5445</v>
      </c>
    </row>
    <row r="4203" spans="1:9">
      <c r="A4203" s="2">
        <v>1987</v>
      </c>
      <c r="B4203">
        <v>92</v>
      </c>
      <c r="C4203">
        <v>0.37304999999999999</v>
      </c>
      <c r="D4203">
        <v>0.31441000000000002</v>
      </c>
      <c r="E4203">
        <v>0.5</v>
      </c>
      <c r="F4203">
        <v>1494</v>
      </c>
      <c r="G4203">
        <v>470</v>
      </c>
      <c r="H4203">
        <v>1259</v>
      </c>
      <c r="I4203">
        <v>3702</v>
      </c>
    </row>
    <row r="4204" spans="1:9">
      <c r="A4204" s="2">
        <v>1987</v>
      </c>
      <c r="B4204">
        <v>93</v>
      </c>
      <c r="C4204">
        <v>0.34843000000000002</v>
      </c>
      <c r="D4204">
        <v>0.29674</v>
      </c>
      <c r="E4204">
        <v>0.5</v>
      </c>
      <c r="F4204">
        <v>1024</v>
      </c>
      <c r="G4204">
        <v>304</v>
      </c>
      <c r="H4204">
        <v>872</v>
      </c>
      <c r="I4204">
        <v>2443</v>
      </c>
    </row>
    <row r="4205" spans="1:9">
      <c r="A4205" s="2">
        <v>1987</v>
      </c>
      <c r="B4205">
        <v>94</v>
      </c>
      <c r="C4205">
        <v>0.46150000000000002</v>
      </c>
      <c r="D4205">
        <v>0.37497999999999998</v>
      </c>
      <c r="E4205">
        <v>0.5</v>
      </c>
      <c r="F4205">
        <v>720</v>
      </c>
      <c r="G4205">
        <v>270</v>
      </c>
      <c r="H4205">
        <v>585</v>
      </c>
      <c r="I4205">
        <v>1570</v>
      </c>
    </row>
    <row r="4206" spans="1:9">
      <c r="A4206" s="2">
        <v>1987</v>
      </c>
      <c r="B4206">
        <v>95</v>
      </c>
      <c r="C4206">
        <v>0.41871000000000003</v>
      </c>
      <c r="D4206">
        <v>0.34622999999999998</v>
      </c>
      <c r="E4206">
        <v>0.5</v>
      </c>
      <c r="F4206">
        <v>450</v>
      </c>
      <c r="G4206">
        <v>156</v>
      </c>
      <c r="H4206">
        <v>372</v>
      </c>
      <c r="I4206">
        <v>985</v>
      </c>
    </row>
    <row r="4207" spans="1:9">
      <c r="A4207" s="2">
        <v>1987</v>
      </c>
      <c r="B4207">
        <v>96</v>
      </c>
      <c r="C4207">
        <v>0.44402000000000003</v>
      </c>
      <c r="D4207">
        <v>0.36335000000000001</v>
      </c>
      <c r="E4207">
        <v>0.5</v>
      </c>
      <c r="F4207">
        <v>294</v>
      </c>
      <c r="G4207">
        <v>107</v>
      </c>
      <c r="H4207">
        <v>241</v>
      </c>
      <c r="I4207">
        <v>613</v>
      </c>
    </row>
    <row r="4208" spans="1:9">
      <c r="A4208" s="2">
        <v>1987</v>
      </c>
      <c r="B4208">
        <v>97</v>
      </c>
      <c r="C4208">
        <v>0.46961999999999998</v>
      </c>
      <c r="D4208">
        <v>0.38031999999999999</v>
      </c>
      <c r="E4208">
        <v>0.5</v>
      </c>
      <c r="F4208">
        <v>187</v>
      </c>
      <c r="G4208">
        <v>71</v>
      </c>
      <c r="H4208">
        <v>152</v>
      </c>
      <c r="I4208">
        <v>372</v>
      </c>
    </row>
    <row r="4209" spans="1:9">
      <c r="A4209" s="2">
        <v>1987</v>
      </c>
      <c r="B4209">
        <v>98</v>
      </c>
      <c r="C4209">
        <v>0.49537999999999999</v>
      </c>
      <c r="D4209">
        <v>0.39704</v>
      </c>
      <c r="E4209">
        <v>0.5</v>
      </c>
      <c r="F4209">
        <v>116</v>
      </c>
      <c r="G4209">
        <v>46</v>
      </c>
      <c r="H4209">
        <v>93</v>
      </c>
      <c r="I4209">
        <v>220</v>
      </c>
    </row>
    <row r="4210" spans="1:9">
      <c r="A4210" s="2">
        <v>1987</v>
      </c>
      <c r="B4210">
        <v>99</v>
      </c>
      <c r="C4210">
        <v>0.52115999999999996</v>
      </c>
      <c r="D4210">
        <v>0.41343000000000002</v>
      </c>
      <c r="E4210">
        <v>0.5</v>
      </c>
      <c r="F4210">
        <v>70</v>
      </c>
      <c r="G4210">
        <v>29</v>
      </c>
      <c r="H4210">
        <v>56</v>
      </c>
      <c r="I4210">
        <v>127</v>
      </c>
    </row>
    <row r="4211" spans="1:9">
      <c r="A4211" s="2">
        <v>1987</v>
      </c>
      <c r="B4211">
        <v>100</v>
      </c>
      <c r="C4211">
        <v>0.54683000000000004</v>
      </c>
      <c r="D4211">
        <v>0.42942000000000002</v>
      </c>
      <c r="E4211">
        <v>0.5</v>
      </c>
      <c r="F4211">
        <v>41</v>
      </c>
      <c r="G4211">
        <v>18</v>
      </c>
      <c r="H4211">
        <v>32</v>
      </c>
      <c r="I4211">
        <v>71</v>
      </c>
    </row>
    <row r="4212" spans="1:9">
      <c r="A4212" s="2">
        <v>1987</v>
      </c>
      <c r="B4212">
        <v>101</v>
      </c>
      <c r="C4212">
        <v>0.57225999999999999</v>
      </c>
      <c r="D4212">
        <v>0.44495000000000001</v>
      </c>
      <c r="E4212">
        <v>0.5</v>
      </c>
      <c r="F4212">
        <v>23</v>
      </c>
      <c r="G4212">
        <v>10</v>
      </c>
      <c r="H4212">
        <v>18</v>
      </c>
      <c r="I4212">
        <v>39</v>
      </c>
    </row>
    <row r="4213" spans="1:9">
      <c r="A4213" s="2">
        <v>1987</v>
      </c>
      <c r="B4213">
        <v>102</v>
      </c>
      <c r="C4213">
        <v>0.59731000000000001</v>
      </c>
      <c r="D4213">
        <v>0.45994000000000002</v>
      </c>
      <c r="E4213">
        <v>0.5</v>
      </c>
      <c r="F4213">
        <v>13</v>
      </c>
      <c r="G4213">
        <v>6</v>
      </c>
      <c r="H4213">
        <v>10</v>
      </c>
      <c r="I4213">
        <v>21</v>
      </c>
    </row>
    <row r="4214" spans="1:9">
      <c r="A4214" s="2">
        <v>1987</v>
      </c>
      <c r="B4214">
        <v>103</v>
      </c>
      <c r="C4214">
        <v>0.62185999999999997</v>
      </c>
      <c r="D4214">
        <v>0.47436</v>
      </c>
      <c r="E4214">
        <v>0.5</v>
      </c>
      <c r="F4214">
        <v>7</v>
      </c>
      <c r="G4214">
        <v>3</v>
      </c>
      <c r="H4214">
        <v>5</v>
      </c>
      <c r="I4214">
        <v>11</v>
      </c>
    </row>
    <row r="4215" spans="1:9">
      <c r="A4215" s="2">
        <v>1987</v>
      </c>
      <c r="B4215">
        <v>104</v>
      </c>
      <c r="C4215">
        <v>0.64580000000000004</v>
      </c>
      <c r="D4215">
        <v>0.48816999999999999</v>
      </c>
      <c r="E4215">
        <v>0.5</v>
      </c>
      <c r="F4215">
        <v>4</v>
      </c>
      <c r="G4215">
        <v>2</v>
      </c>
      <c r="H4215">
        <v>3</v>
      </c>
      <c r="I4215">
        <v>6</v>
      </c>
    </row>
    <row r="4216" spans="1:9">
      <c r="A4216" s="2">
        <v>1987</v>
      </c>
      <c r="B4216">
        <v>105</v>
      </c>
      <c r="C4216">
        <v>0.66903000000000001</v>
      </c>
      <c r="D4216">
        <v>0.50133000000000005</v>
      </c>
      <c r="E4216">
        <v>0.5</v>
      </c>
      <c r="F4216">
        <v>2</v>
      </c>
      <c r="G4216">
        <v>1</v>
      </c>
      <c r="H4216">
        <v>1</v>
      </c>
      <c r="I4216">
        <v>3</v>
      </c>
    </row>
    <row r="4217" spans="1:9">
      <c r="A4217" s="2">
        <v>1987</v>
      </c>
      <c r="B4217">
        <v>106</v>
      </c>
      <c r="C4217">
        <v>0.69147000000000003</v>
      </c>
      <c r="D4217">
        <v>0.51382000000000005</v>
      </c>
      <c r="E4217">
        <v>0.5</v>
      </c>
      <c r="F4217">
        <v>1</v>
      </c>
      <c r="G4217">
        <v>0</v>
      </c>
      <c r="H4217">
        <v>1</v>
      </c>
      <c r="I4217">
        <v>1</v>
      </c>
    </row>
    <row r="4218" spans="1:9">
      <c r="A4218" s="2">
        <v>1987</v>
      </c>
      <c r="B4218">
        <v>107</v>
      </c>
      <c r="C4218">
        <v>0.71304000000000001</v>
      </c>
      <c r="D4218">
        <v>0.52564</v>
      </c>
      <c r="E4218">
        <v>0.5</v>
      </c>
      <c r="F4218">
        <v>0</v>
      </c>
      <c r="G4218">
        <v>0</v>
      </c>
      <c r="H4218">
        <v>0</v>
      </c>
      <c r="I4218">
        <v>1</v>
      </c>
    </row>
    <row r="4219" spans="1:9">
      <c r="A4219" s="2">
        <v>1987</v>
      </c>
      <c r="B4219">
        <v>108</v>
      </c>
      <c r="C4219">
        <v>0.73368</v>
      </c>
      <c r="D4219">
        <v>0.53676999999999997</v>
      </c>
      <c r="E4219">
        <v>0.5</v>
      </c>
      <c r="F4219">
        <v>0</v>
      </c>
      <c r="G4219">
        <v>0</v>
      </c>
      <c r="H4219">
        <v>0</v>
      </c>
      <c r="I4219">
        <v>0</v>
      </c>
    </row>
    <row r="4220" spans="1:9">
      <c r="A4220" s="2">
        <v>1987</v>
      </c>
      <c r="B4220">
        <v>109</v>
      </c>
      <c r="C4220">
        <v>0.75334999999999996</v>
      </c>
      <c r="D4220">
        <v>0.54722000000000004</v>
      </c>
      <c r="E4220">
        <v>0.5</v>
      </c>
      <c r="F4220">
        <v>0</v>
      </c>
      <c r="G4220">
        <v>0</v>
      </c>
      <c r="H4220">
        <v>0</v>
      </c>
      <c r="I4220">
        <v>0</v>
      </c>
    </row>
    <row r="4221" spans="1:9">
      <c r="A4221" s="2">
        <v>1987</v>
      </c>
      <c r="B4221" t="s">
        <v>26</v>
      </c>
      <c r="C4221">
        <v>0.77202000000000004</v>
      </c>
      <c r="D4221">
        <v>1</v>
      </c>
      <c r="E4221" s="3" t="s">
        <v>42</v>
      </c>
      <c r="F4221">
        <v>0</v>
      </c>
      <c r="G4221">
        <v>0</v>
      </c>
      <c r="H4221">
        <v>0</v>
      </c>
      <c r="I4221">
        <v>0</v>
      </c>
    </row>
    <row r="4222" spans="1:9">
      <c r="A4222" s="2">
        <v>1988</v>
      </c>
      <c r="B4222">
        <v>0</v>
      </c>
      <c r="C4222">
        <v>1.7409999999999998E-2</v>
      </c>
      <c r="D4222">
        <v>1.7149999999999999E-2</v>
      </c>
      <c r="E4222">
        <v>0.11</v>
      </c>
      <c r="F4222">
        <v>100000</v>
      </c>
      <c r="G4222">
        <v>1715</v>
      </c>
      <c r="H4222">
        <v>98482</v>
      </c>
      <c r="I4222">
        <v>6599729</v>
      </c>
    </row>
    <row r="4223" spans="1:9">
      <c r="A4223" s="2">
        <v>1988</v>
      </c>
      <c r="B4223">
        <v>1</v>
      </c>
      <c r="C4223">
        <v>9.5E-4</v>
      </c>
      <c r="D4223">
        <v>9.5E-4</v>
      </c>
      <c r="E4223">
        <v>0.5</v>
      </c>
      <c r="F4223">
        <v>98285</v>
      </c>
      <c r="G4223">
        <v>93</v>
      </c>
      <c r="H4223">
        <v>98239</v>
      </c>
      <c r="I4223">
        <v>6501247</v>
      </c>
    </row>
    <row r="4224" spans="1:9">
      <c r="A4224" s="2">
        <v>1988</v>
      </c>
      <c r="B4224">
        <v>2</v>
      </c>
      <c r="C4224">
        <v>5.2999999999999998E-4</v>
      </c>
      <c r="D4224">
        <v>5.2999999999999998E-4</v>
      </c>
      <c r="E4224">
        <v>0.5</v>
      </c>
      <c r="F4224">
        <v>98192</v>
      </c>
      <c r="G4224">
        <v>52</v>
      </c>
      <c r="H4224">
        <v>98167</v>
      </c>
      <c r="I4224">
        <v>6403008</v>
      </c>
    </row>
    <row r="4225" spans="1:9">
      <c r="A4225" s="2">
        <v>1988</v>
      </c>
      <c r="B4225">
        <v>3</v>
      </c>
      <c r="C4225">
        <v>3.5E-4</v>
      </c>
      <c r="D4225">
        <v>3.5E-4</v>
      </c>
      <c r="E4225">
        <v>0.5</v>
      </c>
      <c r="F4225">
        <v>98141</v>
      </c>
      <c r="G4225">
        <v>34</v>
      </c>
      <c r="H4225">
        <v>98124</v>
      </c>
      <c r="I4225">
        <v>6304842</v>
      </c>
    </row>
    <row r="4226" spans="1:9">
      <c r="A4226" s="2">
        <v>1988</v>
      </c>
      <c r="B4226">
        <v>4</v>
      </c>
      <c r="C4226">
        <v>4.6000000000000001E-4</v>
      </c>
      <c r="D4226">
        <v>4.6000000000000001E-4</v>
      </c>
      <c r="E4226">
        <v>0.5</v>
      </c>
      <c r="F4226">
        <v>98107</v>
      </c>
      <c r="G4226">
        <v>46</v>
      </c>
      <c r="H4226">
        <v>98084</v>
      </c>
      <c r="I4226">
        <v>6206718</v>
      </c>
    </row>
    <row r="4227" spans="1:9">
      <c r="A4227" s="2">
        <v>1988</v>
      </c>
      <c r="B4227">
        <v>5</v>
      </c>
      <c r="C4227">
        <v>2.3000000000000001E-4</v>
      </c>
      <c r="D4227">
        <v>2.3000000000000001E-4</v>
      </c>
      <c r="E4227">
        <v>0.5</v>
      </c>
      <c r="F4227">
        <v>98061</v>
      </c>
      <c r="G4227">
        <v>23</v>
      </c>
      <c r="H4227">
        <v>98050</v>
      </c>
      <c r="I4227">
        <v>6108634</v>
      </c>
    </row>
    <row r="4228" spans="1:9">
      <c r="A4228" s="2">
        <v>1988</v>
      </c>
      <c r="B4228">
        <v>6</v>
      </c>
      <c r="C4228">
        <v>3.6999999999999999E-4</v>
      </c>
      <c r="D4228">
        <v>3.6999999999999999E-4</v>
      </c>
      <c r="E4228">
        <v>0.5</v>
      </c>
      <c r="F4228">
        <v>98038</v>
      </c>
      <c r="G4228">
        <v>36</v>
      </c>
      <c r="H4228">
        <v>98020</v>
      </c>
      <c r="I4228">
        <v>6010584</v>
      </c>
    </row>
    <row r="4229" spans="1:9">
      <c r="A4229" s="2">
        <v>1988</v>
      </c>
      <c r="B4229">
        <v>7</v>
      </c>
      <c r="C4229">
        <v>3.6999999999999999E-4</v>
      </c>
      <c r="D4229">
        <v>3.6999999999999999E-4</v>
      </c>
      <c r="E4229">
        <v>0.5</v>
      </c>
      <c r="F4229">
        <v>98002</v>
      </c>
      <c r="G4229">
        <v>37</v>
      </c>
      <c r="H4229">
        <v>97984</v>
      </c>
      <c r="I4229">
        <v>5912564</v>
      </c>
    </row>
    <row r="4230" spans="1:9">
      <c r="A4230" s="2">
        <v>1988</v>
      </c>
      <c r="B4230">
        <v>8</v>
      </c>
      <c r="C4230">
        <v>2.9E-4</v>
      </c>
      <c r="D4230">
        <v>2.9E-4</v>
      </c>
      <c r="E4230">
        <v>0.5</v>
      </c>
      <c r="F4230">
        <v>97966</v>
      </c>
      <c r="G4230">
        <v>28</v>
      </c>
      <c r="H4230">
        <v>97952</v>
      </c>
      <c r="I4230">
        <v>5814580</v>
      </c>
    </row>
    <row r="4231" spans="1:9">
      <c r="A4231" s="2">
        <v>1988</v>
      </c>
      <c r="B4231">
        <v>9</v>
      </c>
      <c r="C4231">
        <v>2.2000000000000001E-4</v>
      </c>
      <c r="D4231">
        <v>2.2000000000000001E-4</v>
      </c>
      <c r="E4231">
        <v>0.5</v>
      </c>
      <c r="F4231">
        <v>97938</v>
      </c>
      <c r="G4231">
        <v>22</v>
      </c>
      <c r="H4231">
        <v>97927</v>
      </c>
      <c r="I4231">
        <v>5716628</v>
      </c>
    </row>
    <row r="4232" spans="1:9">
      <c r="A4232" s="2">
        <v>1988</v>
      </c>
      <c r="B4232">
        <v>10</v>
      </c>
      <c r="C4232">
        <v>3.5E-4</v>
      </c>
      <c r="D4232">
        <v>3.5E-4</v>
      </c>
      <c r="E4232">
        <v>0.5</v>
      </c>
      <c r="F4232">
        <v>97916</v>
      </c>
      <c r="G4232">
        <v>34</v>
      </c>
      <c r="H4232">
        <v>97899</v>
      </c>
      <c r="I4232">
        <v>5618701</v>
      </c>
    </row>
    <row r="4233" spans="1:9">
      <c r="A4233" s="2">
        <v>1988</v>
      </c>
      <c r="B4233">
        <v>11</v>
      </c>
      <c r="C4233">
        <v>3.1E-4</v>
      </c>
      <c r="D4233">
        <v>3.1E-4</v>
      </c>
      <c r="E4233">
        <v>0.5</v>
      </c>
      <c r="F4233">
        <v>97882</v>
      </c>
      <c r="G4233">
        <v>30</v>
      </c>
      <c r="H4233">
        <v>97867</v>
      </c>
      <c r="I4233">
        <v>5520802</v>
      </c>
    </row>
    <row r="4234" spans="1:9">
      <c r="A4234" s="2">
        <v>1988</v>
      </c>
      <c r="B4234">
        <v>12</v>
      </c>
      <c r="C4234">
        <v>2.7999999999999998E-4</v>
      </c>
      <c r="D4234">
        <v>2.7999999999999998E-4</v>
      </c>
      <c r="E4234">
        <v>0.5</v>
      </c>
      <c r="F4234">
        <v>97851</v>
      </c>
      <c r="G4234">
        <v>27</v>
      </c>
      <c r="H4234">
        <v>97838</v>
      </c>
      <c r="I4234">
        <v>5422936</v>
      </c>
    </row>
    <row r="4235" spans="1:9">
      <c r="A4235" s="2">
        <v>1988</v>
      </c>
      <c r="B4235">
        <v>13</v>
      </c>
      <c r="C4235">
        <v>3.4000000000000002E-4</v>
      </c>
      <c r="D4235">
        <v>3.4000000000000002E-4</v>
      </c>
      <c r="E4235">
        <v>0.5</v>
      </c>
      <c r="F4235">
        <v>97824</v>
      </c>
      <c r="G4235">
        <v>33</v>
      </c>
      <c r="H4235">
        <v>97808</v>
      </c>
      <c r="I4235">
        <v>5325098</v>
      </c>
    </row>
    <row r="4236" spans="1:9">
      <c r="A4236" s="2">
        <v>1988</v>
      </c>
      <c r="B4236">
        <v>14</v>
      </c>
      <c r="C4236">
        <v>4.8000000000000001E-4</v>
      </c>
      <c r="D4236">
        <v>4.8000000000000001E-4</v>
      </c>
      <c r="E4236">
        <v>0.5</v>
      </c>
      <c r="F4236">
        <v>97791</v>
      </c>
      <c r="G4236">
        <v>47</v>
      </c>
      <c r="H4236">
        <v>97768</v>
      </c>
      <c r="I4236">
        <v>5227290</v>
      </c>
    </row>
    <row r="4237" spans="1:9">
      <c r="A4237" s="2">
        <v>1988</v>
      </c>
      <c r="B4237">
        <v>15</v>
      </c>
      <c r="C4237">
        <v>4.8000000000000001E-4</v>
      </c>
      <c r="D4237">
        <v>4.8000000000000001E-4</v>
      </c>
      <c r="E4237">
        <v>0.5</v>
      </c>
      <c r="F4237">
        <v>97745</v>
      </c>
      <c r="G4237">
        <v>47</v>
      </c>
      <c r="H4237">
        <v>97721</v>
      </c>
      <c r="I4237">
        <v>5129522</v>
      </c>
    </row>
    <row r="4238" spans="1:9">
      <c r="A4238" s="2">
        <v>1988</v>
      </c>
      <c r="B4238">
        <v>16</v>
      </c>
      <c r="C4238">
        <v>6.2E-4</v>
      </c>
      <c r="D4238">
        <v>6.2E-4</v>
      </c>
      <c r="E4238">
        <v>0.5</v>
      </c>
      <c r="F4238">
        <v>97698</v>
      </c>
      <c r="G4238">
        <v>61</v>
      </c>
      <c r="H4238">
        <v>97667</v>
      </c>
      <c r="I4238">
        <v>5031801</v>
      </c>
    </row>
    <row r="4239" spans="1:9">
      <c r="A4239" s="2">
        <v>1988</v>
      </c>
      <c r="B4239">
        <v>17</v>
      </c>
      <c r="C4239">
        <v>9.6000000000000002E-4</v>
      </c>
      <c r="D4239">
        <v>9.6000000000000002E-4</v>
      </c>
      <c r="E4239">
        <v>0.5</v>
      </c>
      <c r="F4239">
        <v>97637</v>
      </c>
      <c r="G4239">
        <v>94</v>
      </c>
      <c r="H4239">
        <v>97590</v>
      </c>
      <c r="I4239">
        <v>4934133</v>
      </c>
    </row>
    <row r="4240" spans="1:9">
      <c r="A4240" s="2">
        <v>1988</v>
      </c>
      <c r="B4240">
        <v>18</v>
      </c>
      <c r="C4240">
        <v>1.3699999999999999E-3</v>
      </c>
      <c r="D4240">
        <v>1.3699999999999999E-3</v>
      </c>
      <c r="E4240">
        <v>0.5</v>
      </c>
      <c r="F4240">
        <v>97544</v>
      </c>
      <c r="G4240">
        <v>133</v>
      </c>
      <c r="H4240">
        <v>97477</v>
      </c>
      <c r="I4240">
        <v>4836543</v>
      </c>
    </row>
    <row r="4241" spans="1:9">
      <c r="A4241" s="2">
        <v>1988</v>
      </c>
      <c r="B4241">
        <v>19</v>
      </c>
      <c r="C4241">
        <v>1.0200000000000001E-3</v>
      </c>
      <c r="D4241">
        <v>1.0200000000000001E-3</v>
      </c>
      <c r="E4241">
        <v>0.5</v>
      </c>
      <c r="F4241">
        <v>97410</v>
      </c>
      <c r="G4241">
        <v>100</v>
      </c>
      <c r="H4241">
        <v>97361</v>
      </c>
      <c r="I4241">
        <v>4739066</v>
      </c>
    </row>
    <row r="4242" spans="1:9">
      <c r="A4242" s="2">
        <v>1988</v>
      </c>
      <c r="B4242">
        <v>20</v>
      </c>
      <c r="C4242">
        <v>1.1100000000000001E-3</v>
      </c>
      <c r="D4242">
        <v>1.1100000000000001E-3</v>
      </c>
      <c r="E4242">
        <v>0.5</v>
      </c>
      <c r="F4242">
        <v>97311</v>
      </c>
      <c r="G4242">
        <v>108</v>
      </c>
      <c r="H4242">
        <v>97257</v>
      </c>
      <c r="I4242">
        <v>4641705</v>
      </c>
    </row>
    <row r="4243" spans="1:9">
      <c r="A4243" s="2">
        <v>1988</v>
      </c>
      <c r="B4243">
        <v>21</v>
      </c>
      <c r="C4243">
        <v>1.4499999999999999E-3</v>
      </c>
      <c r="D4243">
        <v>1.4499999999999999E-3</v>
      </c>
      <c r="E4243">
        <v>0.5</v>
      </c>
      <c r="F4243">
        <v>97203</v>
      </c>
      <c r="G4243">
        <v>141</v>
      </c>
      <c r="H4243">
        <v>97132</v>
      </c>
      <c r="I4243">
        <v>4544449</v>
      </c>
    </row>
    <row r="4244" spans="1:9">
      <c r="A4244" s="2">
        <v>1988</v>
      </c>
      <c r="B4244">
        <v>22</v>
      </c>
      <c r="C4244">
        <v>1.2600000000000001E-3</v>
      </c>
      <c r="D4244">
        <v>1.2600000000000001E-3</v>
      </c>
      <c r="E4244">
        <v>0.5</v>
      </c>
      <c r="F4244">
        <v>97062</v>
      </c>
      <c r="G4244">
        <v>122</v>
      </c>
      <c r="H4244">
        <v>97001</v>
      </c>
      <c r="I4244">
        <v>4447316</v>
      </c>
    </row>
    <row r="4245" spans="1:9">
      <c r="A4245" s="2">
        <v>1988</v>
      </c>
      <c r="B4245">
        <v>23</v>
      </c>
      <c r="C4245">
        <v>1.1299999999999999E-3</v>
      </c>
      <c r="D4245">
        <v>1.1299999999999999E-3</v>
      </c>
      <c r="E4245">
        <v>0.5</v>
      </c>
      <c r="F4245">
        <v>96940</v>
      </c>
      <c r="G4245">
        <v>110</v>
      </c>
      <c r="H4245">
        <v>96885</v>
      </c>
      <c r="I4245">
        <v>4350316</v>
      </c>
    </row>
    <row r="4246" spans="1:9">
      <c r="A4246" s="2">
        <v>1988</v>
      </c>
      <c r="B4246">
        <v>24</v>
      </c>
      <c r="C4246">
        <v>1.48E-3</v>
      </c>
      <c r="D4246">
        <v>1.48E-3</v>
      </c>
      <c r="E4246">
        <v>0.5</v>
      </c>
      <c r="F4246">
        <v>96830</v>
      </c>
      <c r="G4246">
        <v>143</v>
      </c>
      <c r="H4246">
        <v>96758</v>
      </c>
      <c r="I4246">
        <v>4253431</v>
      </c>
    </row>
    <row r="4247" spans="1:9">
      <c r="A4247" s="2">
        <v>1988</v>
      </c>
      <c r="B4247">
        <v>25</v>
      </c>
      <c r="C4247">
        <v>1.42E-3</v>
      </c>
      <c r="D4247">
        <v>1.41E-3</v>
      </c>
      <c r="E4247">
        <v>0.5</v>
      </c>
      <c r="F4247">
        <v>96687</v>
      </c>
      <c r="G4247">
        <v>137</v>
      </c>
      <c r="H4247">
        <v>96618</v>
      </c>
      <c r="I4247">
        <v>4156672</v>
      </c>
    </row>
    <row r="4248" spans="1:9">
      <c r="A4248" s="2">
        <v>1988</v>
      </c>
      <c r="B4248">
        <v>26</v>
      </c>
      <c r="C4248">
        <v>1.81E-3</v>
      </c>
      <c r="D4248">
        <v>1.81E-3</v>
      </c>
      <c r="E4248">
        <v>0.5</v>
      </c>
      <c r="F4248">
        <v>96550</v>
      </c>
      <c r="G4248">
        <v>175</v>
      </c>
      <c r="H4248">
        <v>96463</v>
      </c>
      <c r="I4248">
        <v>4060054</v>
      </c>
    </row>
    <row r="4249" spans="1:9">
      <c r="A4249" s="2">
        <v>1988</v>
      </c>
      <c r="B4249">
        <v>27</v>
      </c>
      <c r="C4249">
        <v>1.7099999999999999E-3</v>
      </c>
      <c r="D4249">
        <v>1.7099999999999999E-3</v>
      </c>
      <c r="E4249">
        <v>0.5</v>
      </c>
      <c r="F4249">
        <v>96375</v>
      </c>
      <c r="G4249">
        <v>164</v>
      </c>
      <c r="H4249">
        <v>96293</v>
      </c>
      <c r="I4249">
        <v>3963591</v>
      </c>
    </row>
    <row r="4250" spans="1:9">
      <c r="A4250" s="2">
        <v>1988</v>
      </c>
      <c r="B4250">
        <v>28</v>
      </c>
      <c r="C4250">
        <v>2.1299999999999999E-3</v>
      </c>
      <c r="D4250">
        <v>2.1299999999999999E-3</v>
      </c>
      <c r="E4250">
        <v>0.5</v>
      </c>
      <c r="F4250">
        <v>96211</v>
      </c>
      <c r="G4250">
        <v>205</v>
      </c>
      <c r="H4250">
        <v>96109</v>
      </c>
      <c r="I4250">
        <v>3867298</v>
      </c>
    </row>
    <row r="4251" spans="1:9">
      <c r="A4251" s="2">
        <v>1988</v>
      </c>
      <c r="B4251">
        <v>29</v>
      </c>
      <c r="C4251">
        <v>1.91E-3</v>
      </c>
      <c r="D4251">
        <v>1.91E-3</v>
      </c>
      <c r="E4251">
        <v>0.5</v>
      </c>
      <c r="F4251">
        <v>96006</v>
      </c>
      <c r="G4251">
        <v>183</v>
      </c>
      <c r="H4251">
        <v>95915</v>
      </c>
      <c r="I4251">
        <v>3771189</v>
      </c>
    </row>
    <row r="4252" spans="1:9">
      <c r="A4252" s="2">
        <v>1988</v>
      </c>
      <c r="B4252">
        <v>30</v>
      </c>
      <c r="C4252">
        <v>2.4099999999999998E-3</v>
      </c>
      <c r="D4252">
        <v>2.3999999999999998E-3</v>
      </c>
      <c r="E4252">
        <v>0.5</v>
      </c>
      <c r="F4252">
        <v>95823</v>
      </c>
      <c r="G4252">
        <v>230</v>
      </c>
      <c r="H4252">
        <v>95708</v>
      </c>
      <c r="I4252">
        <v>3675275</v>
      </c>
    </row>
    <row r="4253" spans="1:9">
      <c r="A4253" s="2">
        <v>1988</v>
      </c>
      <c r="B4253">
        <v>31</v>
      </c>
      <c r="C4253">
        <v>2.6099999999999999E-3</v>
      </c>
      <c r="D4253">
        <v>2.6099999999999999E-3</v>
      </c>
      <c r="E4253">
        <v>0.5</v>
      </c>
      <c r="F4253">
        <v>95593</v>
      </c>
      <c r="G4253">
        <v>249</v>
      </c>
      <c r="H4253">
        <v>95468</v>
      </c>
      <c r="I4253">
        <v>3579567</v>
      </c>
    </row>
    <row r="4254" spans="1:9">
      <c r="A4254" s="2">
        <v>1988</v>
      </c>
      <c r="B4254">
        <v>32</v>
      </c>
      <c r="C4254">
        <v>2.81E-3</v>
      </c>
      <c r="D4254">
        <v>2.8E-3</v>
      </c>
      <c r="E4254">
        <v>0.5</v>
      </c>
      <c r="F4254">
        <v>95343</v>
      </c>
      <c r="G4254">
        <v>267</v>
      </c>
      <c r="H4254">
        <v>95210</v>
      </c>
      <c r="I4254">
        <v>3484099</v>
      </c>
    </row>
    <row r="4255" spans="1:9">
      <c r="A4255" s="2">
        <v>1988</v>
      </c>
      <c r="B4255">
        <v>33</v>
      </c>
      <c r="C4255">
        <v>2.7399999999999998E-3</v>
      </c>
      <c r="D4255">
        <v>2.7399999999999998E-3</v>
      </c>
      <c r="E4255">
        <v>0.5</v>
      </c>
      <c r="F4255">
        <v>95076</v>
      </c>
      <c r="G4255">
        <v>260</v>
      </c>
      <c r="H4255">
        <v>94946</v>
      </c>
      <c r="I4255">
        <v>3388889</v>
      </c>
    </row>
    <row r="4256" spans="1:9">
      <c r="A4256" s="2">
        <v>1988</v>
      </c>
      <c r="B4256">
        <v>34</v>
      </c>
      <c r="C4256">
        <v>3.5200000000000001E-3</v>
      </c>
      <c r="D4256">
        <v>3.5100000000000001E-3</v>
      </c>
      <c r="E4256">
        <v>0.5</v>
      </c>
      <c r="F4256">
        <v>94816</v>
      </c>
      <c r="G4256">
        <v>333</v>
      </c>
      <c r="H4256">
        <v>94649</v>
      </c>
      <c r="I4256">
        <v>3293943</v>
      </c>
    </row>
    <row r="4257" spans="1:9">
      <c r="A4257" s="2">
        <v>1988</v>
      </c>
      <c r="B4257">
        <v>35</v>
      </c>
      <c r="C4257">
        <v>3.2699999999999999E-3</v>
      </c>
      <c r="D4257">
        <v>3.2699999999999999E-3</v>
      </c>
      <c r="E4257">
        <v>0.5</v>
      </c>
      <c r="F4257">
        <v>94483</v>
      </c>
      <c r="G4257">
        <v>309</v>
      </c>
      <c r="H4257">
        <v>94329</v>
      </c>
      <c r="I4257">
        <v>3199294</v>
      </c>
    </row>
    <row r="4258" spans="1:9">
      <c r="A4258" s="2">
        <v>1988</v>
      </c>
      <c r="B4258">
        <v>36</v>
      </c>
      <c r="C4258">
        <v>3.9100000000000003E-3</v>
      </c>
      <c r="D4258">
        <v>3.9100000000000003E-3</v>
      </c>
      <c r="E4258">
        <v>0.5</v>
      </c>
      <c r="F4258">
        <v>94174</v>
      </c>
      <c r="G4258">
        <v>368</v>
      </c>
      <c r="H4258">
        <v>93991</v>
      </c>
      <c r="I4258">
        <v>3104965</v>
      </c>
    </row>
    <row r="4259" spans="1:9">
      <c r="A4259" s="2">
        <v>1988</v>
      </c>
      <c r="B4259">
        <v>37</v>
      </c>
      <c r="C4259">
        <v>3.9399999999999999E-3</v>
      </c>
      <c r="D4259">
        <v>3.9399999999999999E-3</v>
      </c>
      <c r="E4259">
        <v>0.5</v>
      </c>
      <c r="F4259">
        <v>93807</v>
      </c>
      <c r="G4259">
        <v>369</v>
      </c>
      <c r="H4259">
        <v>93622</v>
      </c>
      <c r="I4259">
        <v>3010974</v>
      </c>
    </row>
    <row r="4260" spans="1:9">
      <c r="A4260" s="2">
        <v>1988</v>
      </c>
      <c r="B4260">
        <v>38</v>
      </c>
      <c r="C4260">
        <v>4.5500000000000002E-3</v>
      </c>
      <c r="D4260">
        <v>4.5399999999999998E-3</v>
      </c>
      <c r="E4260">
        <v>0.5</v>
      </c>
      <c r="F4260">
        <v>93437</v>
      </c>
      <c r="G4260">
        <v>424</v>
      </c>
      <c r="H4260">
        <v>93225</v>
      </c>
      <c r="I4260">
        <v>2917352</v>
      </c>
    </row>
    <row r="4261" spans="1:9">
      <c r="A4261" s="2">
        <v>1988</v>
      </c>
      <c r="B4261">
        <v>39</v>
      </c>
      <c r="C4261">
        <v>5.0499999999999998E-3</v>
      </c>
      <c r="D4261">
        <v>5.0299999999999997E-3</v>
      </c>
      <c r="E4261">
        <v>0.5</v>
      </c>
      <c r="F4261">
        <v>93013</v>
      </c>
      <c r="G4261">
        <v>468</v>
      </c>
      <c r="H4261">
        <v>92779</v>
      </c>
      <c r="I4261">
        <v>2824127</v>
      </c>
    </row>
    <row r="4262" spans="1:9">
      <c r="A4262" s="2">
        <v>1988</v>
      </c>
      <c r="B4262">
        <v>40</v>
      </c>
      <c r="C4262">
        <v>5.0699999999999999E-3</v>
      </c>
      <c r="D4262">
        <v>5.0600000000000003E-3</v>
      </c>
      <c r="E4262">
        <v>0.5</v>
      </c>
      <c r="F4262">
        <v>92545</v>
      </c>
      <c r="G4262">
        <v>468</v>
      </c>
      <c r="H4262">
        <v>92311</v>
      </c>
      <c r="I4262">
        <v>2731348</v>
      </c>
    </row>
    <row r="4263" spans="1:9">
      <c r="A4263" s="2">
        <v>1988</v>
      </c>
      <c r="B4263">
        <v>41</v>
      </c>
      <c r="C4263">
        <v>5.9699999999999996E-3</v>
      </c>
      <c r="D4263">
        <v>5.96E-3</v>
      </c>
      <c r="E4263">
        <v>0.5</v>
      </c>
      <c r="F4263">
        <v>92076</v>
      </c>
      <c r="G4263">
        <v>548</v>
      </c>
      <c r="H4263">
        <v>91802</v>
      </c>
      <c r="I4263">
        <v>2639038</v>
      </c>
    </row>
    <row r="4264" spans="1:9">
      <c r="A4264" s="2">
        <v>1988</v>
      </c>
      <c r="B4264">
        <v>42</v>
      </c>
      <c r="C4264">
        <v>6.3600000000000002E-3</v>
      </c>
      <c r="D4264">
        <v>6.3400000000000001E-3</v>
      </c>
      <c r="E4264">
        <v>0.5</v>
      </c>
      <c r="F4264">
        <v>91528</v>
      </c>
      <c r="G4264">
        <v>580</v>
      </c>
      <c r="H4264">
        <v>91238</v>
      </c>
      <c r="I4264">
        <v>2547236</v>
      </c>
    </row>
    <row r="4265" spans="1:9">
      <c r="A4265" s="2">
        <v>1988</v>
      </c>
      <c r="B4265">
        <v>43</v>
      </c>
      <c r="C4265">
        <v>7.1900000000000002E-3</v>
      </c>
      <c r="D4265">
        <v>7.1700000000000002E-3</v>
      </c>
      <c r="E4265">
        <v>0.5</v>
      </c>
      <c r="F4265">
        <v>90948</v>
      </c>
      <c r="G4265">
        <v>652</v>
      </c>
      <c r="H4265">
        <v>90622</v>
      </c>
      <c r="I4265">
        <v>2455998</v>
      </c>
    </row>
    <row r="4266" spans="1:9">
      <c r="A4266" s="2">
        <v>1988</v>
      </c>
      <c r="B4266">
        <v>44</v>
      </c>
      <c r="C4266">
        <v>8.2199999999999999E-3</v>
      </c>
      <c r="D4266">
        <v>8.1899999999999994E-3</v>
      </c>
      <c r="E4266">
        <v>0.5</v>
      </c>
      <c r="F4266">
        <v>90296</v>
      </c>
      <c r="G4266">
        <v>739</v>
      </c>
      <c r="H4266">
        <v>89926</v>
      </c>
      <c r="I4266">
        <v>2365376</v>
      </c>
    </row>
    <row r="4267" spans="1:9">
      <c r="A4267" s="2">
        <v>1988</v>
      </c>
      <c r="B4267">
        <v>45</v>
      </c>
      <c r="C4267">
        <v>8.1899999999999994E-3</v>
      </c>
      <c r="D4267">
        <v>8.1499999999999993E-3</v>
      </c>
      <c r="E4267">
        <v>0.5</v>
      </c>
      <c r="F4267">
        <v>89556</v>
      </c>
      <c r="G4267">
        <v>730</v>
      </c>
      <c r="H4267">
        <v>89191</v>
      </c>
      <c r="I4267">
        <v>2275451</v>
      </c>
    </row>
    <row r="4268" spans="1:9">
      <c r="A4268" s="2">
        <v>1988</v>
      </c>
      <c r="B4268">
        <v>46</v>
      </c>
      <c r="C4268">
        <v>9.1500000000000001E-3</v>
      </c>
      <c r="D4268">
        <v>9.11E-3</v>
      </c>
      <c r="E4268">
        <v>0.5</v>
      </c>
      <c r="F4268">
        <v>88826</v>
      </c>
      <c r="G4268">
        <v>809</v>
      </c>
      <c r="H4268">
        <v>88421</v>
      </c>
      <c r="I4268">
        <v>2186260</v>
      </c>
    </row>
    <row r="4269" spans="1:9">
      <c r="A4269" s="2">
        <v>1988</v>
      </c>
      <c r="B4269">
        <v>47</v>
      </c>
      <c r="C4269">
        <v>1.051E-2</v>
      </c>
      <c r="D4269">
        <v>1.0460000000000001E-2</v>
      </c>
      <c r="E4269">
        <v>0.5</v>
      </c>
      <c r="F4269">
        <v>88017</v>
      </c>
      <c r="G4269">
        <v>921</v>
      </c>
      <c r="H4269">
        <v>87556</v>
      </c>
      <c r="I4269">
        <v>2097838</v>
      </c>
    </row>
    <row r="4270" spans="1:9">
      <c r="A4270" s="2">
        <v>1988</v>
      </c>
      <c r="B4270">
        <v>48</v>
      </c>
      <c r="C4270">
        <v>1.1220000000000001E-2</v>
      </c>
      <c r="D4270">
        <v>1.116E-2</v>
      </c>
      <c r="E4270">
        <v>0.5</v>
      </c>
      <c r="F4270">
        <v>87096</v>
      </c>
      <c r="G4270">
        <v>972</v>
      </c>
      <c r="H4270">
        <v>86610</v>
      </c>
      <c r="I4270">
        <v>2010282</v>
      </c>
    </row>
    <row r="4271" spans="1:9">
      <c r="A4271" s="2">
        <v>1988</v>
      </c>
      <c r="B4271">
        <v>49</v>
      </c>
      <c r="C4271">
        <v>1.1900000000000001E-2</v>
      </c>
      <c r="D4271">
        <v>1.183E-2</v>
      </c>
      <c r="E4271">
        <v>0.5</v>
      </c>
      <c r="F4271">
        <v>86124</v>
      </c>
      <c r="G4271">
        <v>1019</v>
      </c>
      <c r="H4271">
        <v>85615</v>
      </c>
      <c r="I4271">
        <v>1923672</v>
      </c>
    </row>
    <row r="4272" spans="1:9">
      <c r="A4272" s="2">
        <v>1988</v>
      </c>
      <c r="B4272">
        <v>50</v>
      </c>
      <c r="C4272">
        <v>1.324E-2</v>
      </c>
      <c r="D4272">
        <v>1.316E-2</v>
      </c>
      <c r="E4272">
        <v>0.5</v>
      </c>
      <c r="F4272">
        <v>85105</v>
      </c>
      <c r="G4272">
        <v>1120</v>
      </c>
      <c r="H4272">
        <v>84545</v>
      </c>
      <c r="I4272">
        <v>1838057</v>
      </c>
    </row>
    <row r="4273" spans="1:9">
      <c r="A4273" s="2">
        <v>1988</v>
      </c>
      <c r="B4273">
        <v>51</v>
      </c>
      <c r="C4273">
        <v>1.474E-2</v>
      </c>
      <c r="D4273">
        <v>1.4630000000000001E-2</v>
      </c>
      <c r="E4273">
        <v>0.5</v>
      </c>
      <c r="F4273">
        <v>83985</v>
      </c>
      <c r="G4273">
        <v>1228</v>
      </c>
      <c r="H4273">
        <v>83371</v>
      </c>
      <c r="I4273">
        <v>1753511</v>
      </c>
    </row>
    <row r="4274" spans="1:9">
      <c r="A4274" s="2">
        <v>1988</v>
      </c>
      <c r="B4274">
        <v>52</v>
      </c>
      <c r="C4274">
        <v>1.5129999999999999E-2</v>
      </c>
      <c r="D4274">
        <v>1.502E-2</v>
      </c>
      <c r="E4274">
        <v>0.5</v>
      </c>
      <c r="F4274">
        <v>82757</v>
      </c>
      <c r="G4274">
        <v>1243</v>
      </c>
      <c r="H4274">
        <v>82136</v>
      </c>
      <c r="I4274">
        <v>1670140</v>
      </c>
    </row>
    <row r="4275" spans="1:9">
      <c r="A4275" s="2">
        <v>1988</v>
      </c>
      <c r="B4275">
        <v>53</v>
      </c>
      <c r="C4275">
        <v>1.695E-2</v>
      </c>
      <c r="D4275">
        <v>1.6809999999999999E-2</v>
      </c>
      <c r="E4275">
        <v>0.5</v>
      </c>
      <c r="F4275">
        <v>81514</v>
      </c>
      <c r="G4275">
        <v>1370</v>
      </c>
      <c r="H4275">
        <v>80829</v>
      </c>
      <c r="I4275">
        <v>1588005</v>
      </c>
    </row>
    <row r="4276" spans="1:9">
      <c r="A4276" s="2">
        <v>1988</v>
      </c>
      <c r="B4276">
        <v>54</v>
      </c>
      <c r="C4276">
        <v>1.8159999999999999E-2</v>
      </c>
      <c r="D4276">
        <v>1.7999999999999999E-2</v>
      </c>
      <c r="E4276">
        <v>0.5</v>
      </c>
      <c r="F4276">
        <v>80144</v>
      </c>
      <c r="G4276">
        <v>1442</v>
      </c>
      <c r="H4276">
        <v>79423</v>
      </c>
      <c r="I4276">
        <v>1507175</v>
      </c>
    </row>
    <row r="4277" spans="1:9">
      <c r="A4277" s="2">
        <v>1988</v>
      </c>
      <c r="B4277">
        <v>55</v>
      </c>
      <c r="C4277">
        <v>1.8679999999999999E-2</v>
      </c>
      <c r="D4277">
        <v>1.8509999999999999E-2</v>
      </c>
      <c r="E4277">
        <v>0.5</v>
      </c>
      <c r="F4277">
        <v>78702</v>
      </c>
      <c r="G4277">
        <v>1457</v>
      </c>
      <c r="H4277">
        <v>77973</v>
      </c>
      <c r="I4277">
        <v>1427752</v>
      </c>
    </row>
    <row r="4278" spans="1:9">
      <c r="A4278" s="2">
        <v>1988</v>
      </c>
      <c r="B4278">
        <v>56</v>
      </c>
      <c r="C4278">
        <v>2.043E-2</v>
      </c>
      <c r="D4278">
        <v>2.0219999999999998E-2</v>
      </c>
      <c r="E4278">
        <v>0.5</v>
      </c>
      <c r="F4278">
        <v>77245</v>
      </c>
      <c r="G4278">
        <v>1562</v>
      </c>
      <c r="H4278">
        <v>76464</v>
      </c>
      <c r="I4278">
        <v>1349779</v>
      </c>
    </row>
    <row r="4279" spans="1:9">
      <c r="A4279" s="2">
        <v>1988</v>
      </c>
      <c r="B4279">
        <v>57</v>
      </c>
      <c r="C4279">
        <v>2.2550000000000001E-2</v>
      </c>
      <c r="D4279">
        <v>2.23E-2</v>
      </c>
      <c r="E4279">
        <v>0.5</v>
      </c>
      <c r="F4279">
        <v>75683</v>
      </c>
      <c r="G4279">
        <v>1688</v>
      </c>
      <c r="H4279">
        <v>74839</v>
      </c>
      <c r="I4279">
        <v>1273315</v>
      </c>
    </row>
    <row r="4280" spans="1:9">
      <c r="A4280" s="2">
        <v>1988</v>
      </c>
      <c r="B4280">
        <v>58</v>
      </c>
      <c r="C4280">
        <v>2.3390000000000001E-2</v>
      </c>
      <c r="D4280">
        <v>2.3120000000000002E-2</v>
      </c>
      <c r="E4280">
        <v>0.5</v>
      </c>
      <c r="F4280">
        <v>73995</v>
      </c>
      <c r="G4280">
        <v>1711</v>
      </c>
      <c r="H4280">
        <v>73140</v>
      </c>
      <c r="I4280">
        <v>1198476</v>
      </c>
    </row>
    <row r="4281" spans="1:9">
      <c r="A4281" s="2">
        <v>1988</v>
      </c>
      <c r="B4281">
        <v>59</v>
      </c>
      <c r="C4281">
        <v>2.4830000000000001E-2</v>
      </c>
      <c r="D4281">
        <v>2.452E-2</v>
      </c>
      <c r="E4281">
        <v>0.5</v>
      </c>
      <c r="F4281">
        <v>72284</v>
      </c>
      <c r="G4281">
        <v>1773</v>
      </c>
      <c r="H4281">
        <v>71398</v>
      </c>
      <c r="I4281">
        <v>1125336</v>
      </c>
    </row>
    <row r="4282" spans="1:9">
      <c r="A4282" s="2">
        <v>1988</v>
      </c>
      <c r="B4282">
        <v>60</v>
      </c>
      <c r="C4282">
        <v>2.7799999999999998E-2</v>
      </c>
      <c r="D4282">
        <v>2.742E-2</v>
      </c>
      <c r="E4282">
        <v>0.5</v>
      </c>
      <c r="F4282">
        <v>70512</v>
      </c>
      <c r="G4282">
        <v>1934</v>
      </c>
      <c r="H4282">
        <v>69545</v>
      </c>
      <c r="I4282">
        <v>1053938</v>
      </c>
    </row>
    <row r="4283" spans="1:9">
      <c r="A4283" s="2">
        <v>1988</v>
      </c>
      <c r="B4283">
        <v>61</v>
      </c>
      <c r="C4283">
        <v>3.1739999999999997E-2</v>
      </c>
      <c r="D4283">
        <v>3.125E-2</v>
      </c>
      <c r="E4283">
        <v>0.5</v>
      </c>
      <c r="F4283">
        <v>68578</v>
      </c>
      <c r="G4283">
        <v>2143</v>
      </c>
      <c r="H4283">
        <v>67507</v>
      </c>
      <c r="I4283">
        <v>984393</v>
      </c>
    </row>
    <row r="4284" spans="1:9">
      <c r="A4284" s="2">
        <v>1988</v>
      </c>
      <c r="B4284">
        <v>62</v>
      </c>
      <c r="C4284">
        <v>3.3860000000000001E-2</v>
      </c>
      <c r="D4284">
        <v>3.3300000000000003E-2</v>
      </c>
      <c r="E4284">
        <v>0.5</v>
      </c>
      <c r="F4284">
        <v>66435</v>
      </c>
      <c r="G4284">
        <v>2212</v>
      </c>
      <c r="H4284">
        <v>65329</v>
      </c>
      <c r="I4284">
        <v>916887</v>
      </c>
    </row>
    <row r="4285" spans="1:9">
      <c r="A4285" s="2">
        <v>1988</v>
      </c>
      <c r="B4285">
        <v>63</v>
      </c>
      <c r="C4285">
        <v>3.4849999999999999E-2</v>
      </c>
      <c r="D4285">
        <v>3.4250000000000003E-2</v>
      </c>
      <c r="E4285">
        <v>0.5</v>
      </c>
      <c r="F4285">
        <v>64223</v>
      </c>
      <c r="G4285">
        <v>2200</v>
      </c>
      <c r="H4285">
        <v>63123</v>
      </c>
      <c r="I4285">
        <v>851558</v>
      </c>
    </row>
    <row r="4286" spans="1:9">
      <c r="A4286" s="2">
        <v>1988</v>
      </c>
      <c r="B4286">
        <v>64</v>
      </c>
      <c r="C4286">
        <v>3.7170000000000002E-2</v>
      </c>
      <c r="D4286">
        <v>3.6499999999999998E-2</v>
      </c>
      <c r="E4286">
        <v>0.5</v>
      </c>
      <c r="F4286">
        <v>62023</v>
      </c>
      <c r="G4286">
        <v>2264</v>
      </c>
      <c r="H4286">
        <v>60891</v>
      </c>
      <c r="I4286">
        <v>788435</v>
      </c>
    </row>
    <row r="4287" spans="1:9">
      <c r="A4287" s="2">
        <v>1988</v>
      </c>
      <c r="B4287">
        <v>65</v>
      </c>
      <c r="C4287">
        <v>3.9440000000000003E-2</v>
      </c>
      <c r="D4287">
        <v>3.8679999999999999E-2</v>
      </c>
      <c r="E4287">
        <v>0.5</v>
      </c>
      <c r="F4287">
        <v>59759</v>
      </c>
      <c r="G4287">
        <v>2311</v>
      </c>
      <c r="H4287">
        <v>58604</v>
      </c>
      <c r="I4287">
        <v>727544</v>
      </c>
    </row>
    <row r="4288" spans="1:9">
      <c r="A4288" s="2">
        <v>1988</v>
      </c>
      <c r="B4288">
        <v>66</v>
      </c>
      <c r="C4288">
        <v>4.2169999999999999E-2</v>
      </c>
      <c r="D4288">
        <v>4.1300000000000003E-2</v>
      </c>
      <c r="E4288">
        <v>0.5</v>
      </c>
      <c r="F4288">
        <v>57448</v>
      </c>
      <c r="G4288">
        <v>2372</v>
      </c>
      <c r="H4288">
        <v>56262</v>
      </c>
      <c r="I4288">
        <v>668940</v>
      </c>
    </row>
    <row r="4289" spans="1:9">
      <c r="A4289" s="2">
        <v>1988</v>
      </c>
      <c r="B4289">
        <v>67</v>
      </c>
      <c r="C4289">
        <v>4.4110000000000003E-2</v>
      </c>
      <c r="D4289">
        <v>4.3159999999999997E-2</v>
      </c>
      <c r="E4289">
        <v>0.5</v>
      </c>
      <c r="F4289">
        <v>55076</v>
      </c>
      <c r="G4289">
        <v>2377</v>
      </c>
      <c r="H4289">
        <v>53887</v>
      </c>
      <c r="I4289">
        <v>612678</v>
      </c>
    </row>
    <row r="4290" spans="1:9">
      <c r="A4290" s="2">
        <v>1988</v>
      </c>
      <c r="B4290">
        <v>68</v>
      </c>
      <c r="C4290">
        <v>5.3159999999999999E-2</v>
      </c>
      <c r="D4290">
        <v>5.178E-2</v>
      </c>
      <c r="E4290">
        <v>0.5</v>
      </c>
      <c r="F4290">
        <v>52699</v>
      </c>
      <c r="G4290">
        <v>2729</v>
      </c>
      <c r="H4290">
        <v>51334</v>
      </c>
      <c r="I4290">
        <v>558791</v>
      </c>
    </row>
    <row r="4291" spans="1:9">
      <c r="A4291" s="2">
        <v>1988</v>
      </c>
      <c r="B4291">
        <v>69</v>
      </c>
      <c r="C4291">
        <v>4.6469999999999997E-2</v>
      </c>
      <c r="D4291">
        <v>4.5409999999999999E-2</v>
      </c>
      <c r="E4291">
        <v>0.5</v>
      </c>
      <c r="F4291">
        <v>49970</v>
      </c>
      <c r="G4291">
        <v>2269</v>
      </c>
      <c r="H4291">
        <v>48835</v>
      </c>
      <c r="I4291">
        <v>507457</v>
      </c>
    </row>
    <row r="4292" spans="1:9">
      <c r="A4292" s="2">
        <v>1988</v>
      </c>
      <c r="B4292">
        <v>70</v>
      </c>
      <c r="C4292">
        <v>5.3839999999999999E-2</v>
      </c>
      <c r="D4292">
        <v>5.2429999999999997E-2</v>
      </c>
      <c r="E4292">
        <v>0.5</v>
      </c>
      <c r="F4292">
        <v>47701</v>
      </c>
      <c r="G4292">
        <v>2501</v>
      </c>
      <c r="H4292">
        <v>46450</v>
      </c>
      <c r="I4292">
        <v>458621</v>
      </c>
    </row>
    <row r="4293" spans="1:9">
      <c r="A4293" s="2">
        <v>1988</v>
      </c>
      <c r="B4293">
        <v>71</v>
      </c>
      <c r="C4293">
        <v>5.867E-2</v>
      </c>
      <c r="D4293">
        <v>5.7000000000000002E-2</v>
      </c>
      <c r="E4293">
        <v>0.5</v>
      </c>
      <c r="F4293">
        <v>45200</v>
      </c>
      <c r="G4293">
        <v>2576</v>
      </c>
      <c r="H4293">
        <v>43911</v>
      </c>
      <c r="I4293">
        <v>412171</v>
      </c>
    </row>
    <row r="4294" spans="1:9">
      <c r="A4294" s="2">
        <v>1988</v>
      </c>
      <c r="B4294">
        <v>72</v>
      </c>
      <c r="C4294">
        <v>5.8169999999999999E-2</v>
      </c>
      <c r="D4294">
        <v>5.6529999999999997E-2</v>
      </c>
      <c r="E4294">
        <v>0.5</v>
      </c>
      <c r="F4294">
        <v>42623</v>
      </c>
      <c r="G4294">
        <v>2409</v>
      </c>
      <c r="H4294">
        <v>41418</v>
      </c>
      <c r="I4294">
        <v>368260</v>
      </c>
    </row>
    <row r="4295" spans="1:9">
      <c r="A4295" s="2">
        <v>1988</v>
      </c>
      <c r="B4295">
        <v>73</v>
      </c>
      <c r="C4295">
        <v>7.3169999999999999E-2</v>
      </c>
      <c r="D4295">
        <v>7.059E-2</v>
      </c>
      <c r="E4295">
        <v>0.5</v>
      </c>
      <c r="F4295">
        <v>40214</v>
      </c>
      <c r="G4295">
        <v>2839</v>
      </c>
      <c r="H4295">
        <v>38794</v>
      </c>
      <c r="I4295">
        <v>326842</v>
      </c>
    </row>
    <row r="4296" spans="1:9">
      <c r="A4296" s="2">
        <v>1988</v>
      </c>
      <c r="B4296">
        <v>74</v>
      </c>
      <c r="C4296">
        <v>7.6759999999999995E-2</v>
      </c>
      <c r="D4296">
        <v>7.392E-2</v>
      </c>
      <c r="E4296">
        <v>0.5</v>
      </c>
      <c r="F4296">
        <v>37375</v>
      </c>
      <c r="G4296">
        <v>2763</v>
      </c>
      <c r="H4296">
        <v>35994</v>
      </c>
      <c r="I4296">
        <v>288047</v>
      </c>
    </row>
    <row r="4297" spans="1:9">
      <c r="A4297" s="2">
        <v>1988</v>
      </c>
      <c r="B4297">
        <v>75</v>
      </c>
      <c r="C4297">
        <v>8.2320000000000004E-2</v>
      </c>
      <c r="D4297">
        <v>7.9070000000000001E-2</v>
      </c>
      <c r="E4297">
        <v>0.5</v>
      </c>
      <c r="F4297">
        <v>34612</v>
      </c>
      <c r="G4297">
        <v>2737</v>
      </c>
      <c r="H4297">
        <v>33244</v>
      </c>
      <c r="I4297">
        <v>252053</v>
      </c>
    </row>
    <row r="4298" spans="1:9">
      <c r="A4298" s="2">
        <v>1988</v>
      </c>
      <c r="B4298">
        <v>76</v>
      </c>
      <c r="C4298">
        <v>8.9899999999999994E-2</v>
      </c>
      <c r="D4298">
        <v>8.6029999999999995E-2</v>
      </c>
      <c r="E4298">
        <v>0.5</v>
      </c>
      <c r="F4298">
        <v>31876</v>
      </c>
      <c r="G4298">
        <v>2742</v>
      </c>
      <c r="H4298">
        <v>30504</v>
      </c>
      <c r="I4298">
        <v>218810</v>
      </c>
    </row>
    <row r="4299" spans="1:9">
      <c r="A4299" s="2">
        <v>1988</v>
      </c>
      <c r="B4299">
        <v>77</v>
      </c>
      <c r="C4299">
        <v>9.8379999999999995E-2</v>
      </c>
      <c r="D4299">
        <v>9.3759999999999996E-2</v>
      </c>
      <c r="E4299">
        <v>0.5</v>
      </c>
      <c r="F4299">
        <v>29133</v>
      </c>
      <c r="G4299">
        <v>2732</v>
      </c>
      <c r="H4299">
        <v>27768</v>
      </c>
      <c r="I4299">
        <v>188305</v>
      </c>
    </row>
    <row r="4300" spans="1:9">
      <c r="A4300" s="2">
        <v>1988</v>
      </c>
      <c r="B4300">
        <v>78</v>
      </c>
      <c r="C4300">
        <v>0.10954999999999999</v>
      </c>
      <c r="D4300">
        <v>0.10385999999999999</v>
      </c>
      <c r="E4300">
        <v>0.5</v>
      </c>
      <c r="F4300">
        <v>26402</v>
      </c>
      <c r="G4300">
        <v>2742</v>
      </c>
      <c r="H4300">
        <v>25031</v>
      </c>
      <c r="I4300">
        <v>160537</v>
      </c>
    </row>
    <row r="4301" spans="1:9">
      <c r="A4301" s="2">
        <v>1988</v>
      </c>
      <c r="B4301">
        <v>79</v>
      </c>
      <c r="C4301">
        <v>0.12117</v>
      </c>
      <c r="D4301">
        <v>0.11425</v>
      </c>
      <c r="E4301">
        <v>0.5</v>
      </c>
      <c r="F4301">
        <v>23660</v>
      </c>
      <c r="G4301">
        <v>2703</v>
      </c>
      <c r="H4301">
        <v>22308</v>
      </c>
      <c r="I4301">
        <v>135507</v>
      </c>
    </row>
    <row r="4302" spans="1:9">
      <c r="A4302" s="2">
        <v>1988</v>
      </c>
      <c r="B4302">
        <v>80</v>
      </c>
      <c r="C4302">
        <v>0.13013</v>
      </c>
      <c r="D4302">
        <v>0.12218</v>
      </c>
      <c r="E4302">
        <v>0.5</v>
      </c>
      <c r="F4302">
        <v>20957</v>
      </c>
      <c r="G4302">
        <v>2560</v>
      </c>
      <c r="H4302">
        <v>19676</v>
      </c>
      <c r="I4302">
        <v>113199</v>
      </c>
    </row>
    <row r="4303" spans="1:9">
      <c r="A4303" s="2">
        <v>1988</v>
      </c>
      <c r="B4303">
        <v>81</v>
      </c>
      <c r="C4303">
        <v>0.14623</v>
      </c>
      <c r="D4303">
        <v>0.13627</v>
      </c>
      <c r="E4303">
        <v>0.5</v>
      </c>
      <c r="F4303">
        <v>18396</v>
      </c>
      <c r="G4303">
        <v>2507</v>
      </c>
      <c r="H4303">
        <v>17143</v>
      </c>
      <c r="I4303">
        <v>93522</v>
      </c>
    </row>
    <row r="4304" spans="1:9">
      <c r="A4304" s="2">
        <v>1988</v>
      </c>
      <c r="B4304">
        <v>82</v>
      </c>
      <c r="C4304">
        <v>0.15239</v>
      </c>
      <c r="D4304">
        <v>0.1416</v>
      </c>
      <c r="E4304">
        <v>0.5</v>
      </c>
      <c r="F4304">
        <v>15889</v>
      </c>
      <c r="G4304">
        <v>2250</v>
      </c>
      <c r="H4304">
        <v>14764</v>
      </c>
      <c r="I4304">
        <v>76380</v>
      </c>
    </row>
    <row r="4305" spans="1:9">
      <c r="A4305" s="2">
        <v>1988</v>
      </c>
      <c r="B4305">
        <v>83</v>
      </c>
      <c r="C4305">
        <v>0.17216000000000001</v>
      </c>
      <c r="D4305">
        <v>0.15851000000000001</v>
      </c>
      <c r="E4305">
        <v>0.5</v>
      </c>
      <c r="F4305">
        <v>13639</v>
      </c>
      <c r="G4305">
        <v>2162</v>
      </c>
      <c r="H4305">
        <v>12558</v>
      </c>
      <c r="I4305">
        <v>61615</v>
      </c>
    </row>
    <row r="4306" spans="1:9">
      <c r="A4306" s="2">
        <v>1988</v>
      </c>
      <c r="B4306">
        <v>84</v>
      </c>
      <c r="C4306">
        <v>0.18551000000000001</v>
      </c>
      <c r="D4306">
        <v>0.16977</v>
      </c>
      <c r="E4306">
        <v>0.5</v>
      </c>
      <c r="F4306">
        <v>11477</v>
      </c>
      <c r="G4306">
        <v>1948</v>
      </c>
      <c r="H4306">
        <v>10503</v>
      </c>
      <c r="I4306">
        <v>49057</v>
      </c>
    </row>
    <row r="4307" spans="1:9">
      <c r="A4307" s="2">
        <v>1988</v>
      </c>
      <c r="B4307">
        <v>85</v>
      </c>
      <c r="C4307">
        <v>0.19014</v>
      </c>
      <c r="D4307">
        <v>0.17363999999999999</v>
      </c>
      <c r="E4307">
        <v>0.5</v>
      </c>
      <c r="F4307">
        <v>9529</v>
      </c>
      <c r="G4307">
        <v>1655</v>
      </c>
      <c r="H4307">
        <v>8702</v>
      </c>
      <c r="I4307">
        <v>38554</v>
      </c>
    </row>
    <row r="4308" spans="1:9">
      <c r="A4308" s="2">
        <v>1988</v>
      </c>
      <c r="B4308">
        <v>86</v>
      </c>
      <c r="C4308">
        <v>0.21475</v>
      </c>
      <c r="D4308">
        <v>0.19392999999999999</v>
      </c>
      <c r="E4308">
        <v>0.5</v>
      </c>
      <c r="F4308">
        <v>7874</v>
      </c>
      <c r="G4308">
        <v>1527</v>
      </c>
      <c r="H4308">
        <v>7111</v>
      </c>
      <c r="I4308">
        <v>29852</v>
      </c>
    </row>
    <row r="4309" spans="1:9">
      <c r="A4309" s="2">
        <v>1988</v>
      </c>
      <c r="B4309">
        <v>87</v>
      </c>
      <c r="C4309">
        <v>0.22241</v>
      </c>
      <c r="D4309">
        <v>0.20014999999999999</v>
      </c>
      <c r="E4309">
        <v>0.5</v>
      </c>
      <c r="F4309">
        <v>6347</v>
      </c>
      <c r="G4309">
        <v>1270</v>
      </c>
      <c r="H4309">
        <v>5712</v>
      </c>
      <c r="I4309">
        <v>22741</v>
      </c>
    </row>
    <row r="4310" spans="1:9">
      <c r="A4310" s="2">
        <v>1988</v>
      </c>
      <c r="B4310">
        <v>88</v>
      </c>
      <c r="C4310">
        <v>0.24526999999999999</v>
      </c>
      <c r="D4310">
        <v>0.21848000000000001</v>
      </c>
      <c r="E4310">
        <v>0.5</v>
      </c>
      <c r="F4310">
        <v>5077</v>
      </c>
      <c r="G4310">
        <v>1109</v>
      </c>
      <c r="H4310">
        <v>4522</v>
      </c>
      <c r="I4310">
        <v>17029</v>
      </c>
    </row>
    <row r="4311" spans="1:9">
      <c r="A4311" s="2">
        <v>1988</v>
      </c>
      <c r="B4311">
        <v>89</v>
      </c>
      <c r="C4311">
        <v>0.26045000000000001</v>
      </c>
      <c r="D4311">
        <v>0.23044000000000001</v>
      </c>
      <c r="E4311">
        <v>0.5</v>
      </c>
      <c r="F4311">
        <v>3968</v>
      </c>
      <c r="G4311">
        <v>914</v>
      </c>
      <c r="H4311">
        <v>3511</v>
      </c>
      <c r="I4311">
        <v>12507</v>
      </c>
    </row>
    <row r="4312" spans="1:9">
      <c r="A4312" s="2">
        <v>1988</v>
      </c>
      <c r="B4312">
        <v>90</v>
      </c>
      <c r="C4312">
        <v>0.28692000000000001</v>
      </c>
      <c r="D4312">
        <v>0.25091999999999998</v>
      </c>
      <c r="E4312">
        <v>0.5</v>
      </c>
      <c r="F4312">
        <v>3053</v>
      </c>
      <c r="G4312">
        <v>766</v>
      </c>
      <c r="H4312">
        <v>2670</v>
      </c>
      <c r="I4312">
        <v>8996</v>
      </c>
    </row>
    <row r="4313" spans="1:9">
      <c r="A4313" s="2">
        <v>1988</v>
      </c>
      <c r="B4313">
        <v>91</v>
      </c>
      <c r="C4313">
        <v>0.33162999999999998</v>
      </c>
      <c r="D4313">
        <v>0.28445999999999999</v>
      </c>
      <c r="E4313">
        <v>0.5</v>
      </c>
      <c r="F4313">
        <v>2287</v>
      </c>
      <c r="G4313">
        <v>651</v>
      </c>
      <c r="H4313">
        <v>1962</v>
      </c>
      <c r="I4313">
        <v>6326</v>
      </c>
    </row>
    <row r="4314" spans="1:9">
      <c r="A4314" s="2">
        <v>1988</v>
      </c>
      <c r="B4314">
        <v>92</v>
      </c>
      <c r="C4314">
        <v>0.34218999999999999</v>
      </c>
      <c r="D4314">
        <v>0.29220000000000002</v>
      </c>
      <c r="E4314">
        <v>0.5</v>
      </c>
      <c r="F4314">
        <v>1637</v>
      </c>
      <c r="G4314">
        <v>478</v>
      </c>
      <c r="H4314">
        <v>1397</v>
      </c>
      <c r="I4314">
        <v>4364</v>
      </c>
    </row>
    <row r="4315" spans="1:9">
      <c r="A4315" s="2">
        <v>1988</v>
      </c>
      <c r="B4315">
        <v>93</v>
      </c>
      <c r="C4315">
        <v>0.33696999999999999</v>
      </c>
      <c r="D4315">
        <v>0.28838000000000003</v>
      </c>
      <c r="E4315">
        <v>0.5</v>
      </c>
      <c r="F4315">
        <v>1158</v>
      </c>
      <c r="G4315">
        <v>334</v>
      </c>
      <c r="H4315">
        <v>991</v>
      </c>
      <c r="I4315">
        <v>2966</v>
      </c>
    </row>
    <row r="4316" spans="1:9">
      <c r="A4316" s="2">
        <v>1988</v>
      </c>
      <c r="B4316">
        <v>94</v>
      </c>
      <c r="C4316">
        <v>0.38005</v>
      </c>
      <c r="D4316">
        <v>0.31935999999999998</v>
      </c>
      <c r="E4316">
        <v>0.5</v>
      </c>
      <c r="F4316">
        <v>824</v>
      </c>
      <c r="G4316">
        <v>263</v>
      </c>
      <c r="H4316">
        <v>693</v>
      </c>
      <c r="I4316">
        <v>1975</v>
      </c>
    </row>
    <row r="4317" spans="1:9">
      <c r="A4317" s="2">
        <v>1988</v>
      </c>
      <c r="B4317">
        <v>95</v>
      </c>
      <c r="C4317">
        <v>0.39895999999999998</v>
      </c>
      <c r="D4317">
        <v>0.33261000000000002</v>
      </c>
      <c r="E4317">
        <v>0.5</v>
      </c>
      <c r="F4317">
        <v>561</v>
      </c>
      <c r="G4317">
        <v>187</v>
      </c>
      <c r="H4317">
        <v>468</v>
      </c>
      <c r="I4317">
        <v>1282</v>
      </c>
    </row>
    <row r="4318" spans="1:9">
      <c r="A4318" s="2">
        <v>1988</v>
      </c>
      <c r="B4318">
        <v>96</v>
      </c>
      <c r="C4318">
        <v>0.42291000000000001</v>
      </c>
      <c r="D4318">
        <v>0.34909000000000001</v>
      </c>
      <c r="E4318">
        <v>0.5</v>
      </c>
      <c r="F4318">
        <v>374</v>
      </c>
      <c r="G4318">
        <v>131</v>
      </c>
      <c r="H4318">
        <v>309</v>
      </c>
      <c r="I4318">
        <v>815</v>
      </c>
    </row>
    <row r="4319" spans="1:9">
      <c r="A4319" s="2">
        <v>1988</v>
      </c>
      <c r="B4319">
        <v>97</v>
      </c>
      <c r="C4319">
        <v>0.44722000000000001</v>
      </c>
      <c r="D4319">
        <v>0.36548999999999998</v>
      </c>
      <c r="E4319">
        <v>0.5</v>
      </c>
      <c r="F4319">
        <v>244</v>
      </c>
      <c r="G4319">
        <v>89</v>
      </c>
      <c r="H4319">
        <v>199</v>
      </c>
      <c r="I4319">
        <v>506</v>
      </c>
    </row>
    <row r="4320" spans="1:9">
      <c r="A4320" s="2">
        <v>1988</v>
      </c>
      <c r="B4320">
        <v>98</v>
      </c>
      <c r="C4320">
        <v>0.47177999999999998</v>
      </c>
      <c r="D4320">
        <v>0.38174000000000002</v>
      </c>
      <c r="E4320">
        <v>0.5</v>
      </c>
      <c r="F4320">
        <v>155</v>
      </c>
      <c r="G4320">
        <v>59</v>
      </c>
      <c r="H4320">
        <v>125</v>
      </c>
      <c r="I4320">
        <v>306</v>
      </c>
    </row>
    <row r="4321" spans="1:9">
      <c r="A4321" s="2">
        <v>1988</v>
      </c>
      <c r="B4321">
        <v>99</v>
      </c>
      <c r="C4321">
        <v>0.49648999999999999</v>
      </c>
      <c r="D4321">
        <v>0.39774999999999999</v>
      </c>
      <c r="E4321">
        <v>0.5</v>
      </c>
      <c r="F4321">
        <v>96</v>
      </c>
      <c r="G4321">
        <v>38</v>
      </c>
      <c r="H4321">
        <v>77</v>
      </c>
      <c r="I4321">
        <v>181</v>
      </c>
    </row>
    <row r="4322" spans="1:9">
      <c r="A4322" s="2">
        <v>1988</v>
      </c>
      <c r="B4322">
        <v>100</v>
      </c>
      <c r="C4322">
        <v>0.52120999999999995</v>
      </c>
      <c r="D4322">
        <v>0.41345999999999999</v>
      </c>
      <c r="E4322">
        <v>0.5</v>
      </c>
      <c r="F4322">
        <v>58</v>
      </c>
      <c r="G4322">
        <v>24</v>
      </c>
      <c r="H4322">
        <v>46</v>
      </c>
      <c r="I4322">
        <v>105</v>
      </c>
    </row>
    <row r="4323" spans="1:9">
      <c r="A4323" s="2">
        <v>1988</v>
      </c>
      <c r="B4323">
        <v>101</v>
      </c>
      <c r="C4323">
        <v>0.54581999999999997</v>
      </c>
      <c r="D4323">
        <v>0.42880000000000001</v>
      </c>
      <c r="E4323">
        <v>0.5</v>
      </c>
      <c r="F4323">
        <v>34</v>
      </c>
      <c r="G4323">
        <v>14</v>
      </c>
      <c r="H4323">
        <v>27</v>
      </c>
      <c r="I4323">
        <v>59</v>
      </c>
    </row>
    <row r="4324" spans="1:9">
      <c r="A4324" s="2">
        <v>1988</v>
      </c>
      <c r="B4324">
        <v>102</v>
      </c>
      <c r="C4324">
        <v>0.57021999999999995</v>
      </c>
      <c r="D4324">
        <v>0.44370999999999999</v>
      </c>
      <c r="E4324">
        <v>0.5</v>
      </c>
      <c r="F4324">
        <v>19</v>
      </c>
      <c r="G4324">
        <v>9</v>
      </c>
      <c r="H4324">
        <v>15</v>
      </c>
      <c r="I4324">
        <v>32</v>
      </c>
    </row>
    <row r="4325" spans="1:9">
      <c r="A4325" s="2">
        <v>1988</v>
      </c>
      <c r="B4325">
        <v>103</v>
      </c>
      <c r="C4325">
        <v>0.59428000000000003</v>
      </c>
      <c r="D4325">
        <v>0.45813999999999999</v>
      </c>
      <c r="E4325">
        <v>0.5</v>
      </c>
      <c r="F4325">
        <v>11</v>
      </c>
      <c r="G4325">
        <v>5</v>
      </c>
      <c r="H4325">
        <v>8</v>
      </c>
      <c r="I4325">
        <v>17</v>
      </c>
    </row>
    <row r="4326" spans="1:9">
      <c r="A4326" s="2">
        <v>1988</v>
      </c>
      <c r="B4326">
        <v>104</v>
      </c>
      <c r="C4326">
        <v>0.61789000000000005</v>
      </c>
      <c r="D4326">
        <v>0.47205000000000003</v>
      </c>
      <c r="E4326">
        <v>0.5</v>
      </c>
      <c r="F4326">
        <v>6</v>
      </c>
      <c r="G4326">
        <v>3</v>
      </c>
      <c r="H4326">
        <v>4</v>
      </c>
      <c r="I4326">
        <v>9</v>
      </c>
    </row>
    <row r="4327" spans="1:9">
      <c r="A4327" s="2">
        <v>1988</v>
      </c>
      <c r="B4327">
        <v>105</v>
      </c>
      <c r="C4327">
        <v>0.64095999999999997</v>
      </c>
      <c r="D4327">
        <v>0.4854</v>
      </c>
      <c r="E4327">
        <v>0.5</v>
      </c>
      <c r="F4327">
        <v>3</v>
      </c>
      <c r="G4327">
        <v>1</v>
      </c>
      <c r="H4327">
        <v>2</v>
      </c>
      <c r="I4327">
        <v>5</v>
      </c>
    </row>
    <row r="4328" spans="1:9">
      <c r="A4328" s="2">
        <v>1988</v>
      </c>
      <c r="B4328">
        <v>106</v>
      </c>
      <c r="C4328">
        <v>0.66339999999999999</v>
      </c>
      <c r="D4328">
        <v>0.49815999999999999</v>
      </c>
      <c r="E4328">
        <v>0.5</v>
      </c>
      <c r="F4328">
        <v>2</v>
      </c>
      <c r="G4328">
        <v>1</v>
      </c>
      <c r="H4328">
        <v>1</v>
      </c>
      <c r="I4328">
        <v>2</v>
      </c>
    </row>
    <row r="4329" spans="1:9">
      <c r="A4329" s="2">
        <v>1988</v>
      </c>
      <c r="B4329">
        <v>107</v>
      </c>
      <c r="C4329">
        <v>0.68511999999999995</v>
      </c>
      <c r="D4329">
        <v>0.51031000000000004</v>
      </c>
      <c r="E4329">
        <v>0.5</v>
      </c>
      <c r="F4329">
        <v>1</v>
      </c>
      <c r="G4329">
        <v>0</v>
      </c>
      <c r="H4329">
        <v>1</v>
      </c>
      <c r="I4329">
        <v>1</v>
      </c>
    </row>
    <row r="4330" spans="1:9">
      <c r="A4330" s="2">
        <v>1988</v>
      </c>
      <c r="B4330">
        <v>108</v>
      </c>
      <c r="C4330">
        <v>0.70606000000000002</v>
      </c>
      <c r="D4330">
        <v>0.52183999999999997</v>
      </c>
      <c r="E4330">
        <v>0.5</v>
      </c>
      <c r="F4330">
        <v>0</v>
      </c>
      <c r="G4330">
        <v>0</v>
      </c>
      <c r="H4330">
        <v>0</v>
      </c>
      <c r="I4330">
        <v>1</v>
      </c>
    </row>
    <row r="4331" spans="1:9">
      <c r="A4331" s="2">
        <v>1988</v>
      </c>
      <c r="B4331">
        <v>109</v>
      </c>
      <c r="C4331">
        <v>0.72616999999999998</v>
      </c>
      <c r="D4331">
        <v>0.53273999999999999</v>
      </c>
      <c r="E4331">
        <v>0.5</v>
      </c>
      <c r="F4331">
        <v>0</v>
      </c>
      <c r="G4331">
        <v>0</v>
      </c>
      <c r="H4331">
        <v>0</v>
      </c>
      <c r="I4331">
        <v>0</v>
      </c>
    </row>
    <row r="4332" spans="1:9">
      <c r="A4332" s="2">
        <v>1988</v>
      </c>
      <c r="B4332" t="s">
        <v>26</v>
      </c>
      <c r="C4332">
        <v>0.74539</v>
      </c>
      <c r="D4332">
        <v>1</v>
      </c>
      <c r="E4332">
        <v>1.34</v>
      </c>
      <c r="F4332">
        <v>0</v>
      </c>
      <c r="G4332">
        <v>0</v>
      </c>
      <c r="H4332">
        <v>0</v>
      </c>
      <c r="I4332">
        <v>0</v>
      </c>
    </row>
    <row r="4333" spans="1:9">
      <c r="A4333" s="2">
        <v>1989</v>
      </c>
      <c r="B4333">
        <v>0</v>
      </c>
      <c r="C4333">
        <v>1.7260000000000001E-2</v>
      </c>
      <c r="D4333">
        <v>1.7000000000000001E-2</v>
      </c>
      <c r="E4333">
        <v>0.11</v>
      </c>
      <c r="F4333">
        <v>100000</v>
      </c>
      <c r="G4333">
        <v>1700</v>
      </c>
      <c r="H4333">
        <v>98496</v>
      </c>
      <c r="I4333">
        <v>6523672</v>
      </c>
    </row>
    <row r="4334" spans="1:9">
      <c r="A4334" s="2">
        <v>1989</v>
      </c>
      <c r="B4334">
        <v>1</v>
      </c>
      <c r="C4334">
        <v>9.1E-4</v>
      </c>
      <c r="D4334">
        <v>8.9999999999999998E-4</v>
      </c>
      <c r="E4334">
        <v>0.5</v>
      </c>
      <c r="F4334">
        <v>98300</v>
      </c>
      <c r="G4334">
        <v>89</v>
      </c>
      <c r="H4334">
        <v>98256</v>
      </c>
      <c r="I4334">
        <v>6425176</v>
      </c>
    </row>
    <row r="4335" spans="1:9">
      <c r="A4335" s="2">
        <v>1989</v>
      </c>
      <c r="B4335">
        <v>2</v>
      </c>
      <c r="C4335">
        <v>5.9000000000000003E-4</v>
      </c>
      <c r="D4335">
        <v>5.9000000000000003E-4</v>
      </c>
      <c r="E4335">
        <v>0.5</v>
      </c>
      <c r="F4335">
        <v>98211</v>
      </c>
      <c r="G4335">
        <v>57</v>
      </c>
      <c r="H4335">
        <v>98183</v>
      </c>
      <c r="I4335">
        <v>6326920</v>
      </c>
    </row>
    <row r="4336" spans="1:9">
      <c r="A4336" s="2">
        <v>1989</v>
      </c>
      <c r="B4336">
        <v>3</v>
      </c>
      <c r="C4336">
        <v>4.8000000000000001E-4</v>
      </c>
      <c r="D4336">
        <v>4.8000000000000001E-4</v>
      </c>
      <c r="E4336">
        <v>0.5</v>
      </c>
      <c r="F4336">
        <v>98154</v>
      </c>
      <c r="G4336">
        <v>47</v>
      </c>
      <c r="H4336">
        <v>98130</v>
      </c>
      <c r="I4336">
        <v>6228737</v>
      </c>
    </row>
    <row r="4337" spans="1:9">
      <c r="A4337" s="2">
        <v>1989</v>
      </c>
      <c r="B4337">
        <v>4</v>
      </c>
      <c r="C4337">
        <v>4.8999999999999998E-4</v>
      </c>
      <c r="D4337">
        <v>4.8999999999999998E-4</v>
      </c>
      <c r="E4337">
        <v>0.5</v>
      </c>
      <c r="F4337">
        <v>98107</v>
      </c>
      <c r="G4337">
        <v>48</v>
      </c>
      <c r="H4337">
        <v>98083</v>
      </c>
      <c r="I4337">
        <v>6130607</v>
      </c>
    </row>
    <row r="4338" spans="1:9">
      <c r="A4338" s="2">
        <v>1989</v>
      </c>
      <c r="B4338">
        <v>5</v>
      </c>
      <c r="C4338">
        <v>2.9999999999999997E-4</v>
      </c>
      <c r="D4338">
        <v>2.9999999999999997E-4</v>
      </c>
      <c r="E4338">
        <v>0.5</v>
      </c>
      <c r="F4338">
        <v>98059</v>
      </c>
      <c r="G4338">
        <v>30</v>
      </c>
      <c r="H4338">
        <v>98044</v>
      </c>
      <c r="I4338">
        <v>6032524</v>
      </c>
    </row>
    <row r="4339" spans="1:9">
      <c r="A4339" s="2">
        <v>1989</v>
      </c>
      <c r="B4339">
        <v>6</v>
      </c>
      <c r="C4339">
        <v>2.5000000000000001E-4</v>
      </c>
      <c r="D4339">
        <v>2.5000000000000001E-4</v>
      </c>
      <c r="E4339">
        <v>0.5</v>
      </c>
      <c r="F4339">
        <v>98029</v>
      </c>
      <c r="G4339">
        <v>24</v>
      </c>
      <c r="H4339">
        <v>98016</v>
      </c>
      <c r="I4339">
        <v>5934481</v>
      </c>
    </row>
    <row r="4340" spans="1:9">
      <c r="A4340" s="2">
        <v>1989</v>
      </c>
      <c r="B4340">
        <v>7</v>
      </c>
      <c r="C4340">
        <v>3.1E-4</v>
      </c>
      <c r="D4340">
        <v>3.1E-4</v>
      </c>
      <c r="E4340">
        <v>0.5</v>
      </c>
      <c r="F4340">
        <v>98004</v>
      </c>
      <c r="G4340">
        <v>30</v>
      </c>
      <c r="H4340">
        <v>97989</v>
      </c>
      <c r="I4340">
        <v>5836464</v>
      </c>
    </row>
    <row r="4341" spans="1:9">
      <c r="A4341" s="2">
        <v>1989</v>
      </c>
      <c r="B4341">
        <v>8</v>
      </c>
      <c r="C4341">
        <v>4.0000000000000002E-4</v>
      </c>
      <c r="D4341">
        <v>4.0000000000000002E-4</v>
      </c>
      <c r="E4341">
        <v>0.5</v>
      </c>
      <c r="F4341">
        <v>97974</v>
      </c>
      <c r="G4341">
        <v>39</v>
      </c>
      <c r="H4341">
        <v>97955</v>
      </c>
      <c r="I4341">
        <v>5738475</v>
      </c>
    </row>
    <row r="4342" spans="1:9">
      <c r="A4342" s="2">
        <v>1989</v>
      </c>
      <c r="B4342">
        <v>9</v>
      </c>
      <c r="C4342">
        <v>3.5E-4</v>
      </c>
      <c r="D4342">
        <v>3.5E-4</v>
      </c>
      <c r="E4342">
        <v>0.5</v>
      </c>
      <c r="F4342">
        <v>97935</v>
      </c>
      <c r="G4342">
        <v>35</v>
      </c>
      <c r="H4342">
        <v>97918</v>
      </c>
      <c r="I4342">
        <v>5640521</v>
      </c>
    </row>
    <row r="4343" spans="1:9">
      <c r="A4343" s="2">
        <v>1989</v>
      </c>
      <c r="B4343">
        <v>10</v>
      </c>
      <c r="C4343">
        <v>3.6000000000000002E-4</v>
      </c>
      <c r="D4343">
        <v>3.6000000000000002E-4</v>
      </c>
      <c r="E4343">
        <v>0.5</v>
      </c>
      <c r="F4343">
        <v>97900</v>
      </c>
      <c r="G4343">
        <v>35</v>
      </c>
      <c r="H4343">
        <v>97883</v>
      </c>
      <c r="I4343">
        <v>5542603</v>
      </c>
    </row>
    <row r="4344" spans="1:9">
      <c r="A4344" s="2">
        <v>1989</v>
      </c>
      <c r="B4344">
        <v>11</v>
      </c>
      <c r="C4344">
        <v>3.3E-4</v>
      </c>
      <c r="D4344">
        <v>3.3E-4</v>
      </c>
      <c r="E4344">
        <v>0.5</v>
      </c>
      <c r="F4344">
        <v>97865</v>
      </c>
      <c r="G4344">
        <v>32</v>
      </c>
      <c r="H4344">
        <v>97849</v>
      </c>
      <c r="I4344">
        <v>5444720</v>
      </c>
    </row>
    <row r="4345" spans="1:9">
      <c r="A4345" s="2">
        <v>1989</v>
      </c>
      <c r="B4345">
        <v>12</v>
      </c>
      <c r="C4345">
        <v>2.7E-4</v>
      </c>
      <c r="D4345">
        <v>2.7E-4</v>
      </c>
      <c r="E4345">
        <v>0.5</v>
      </c>
      <c r="F4345">
        <v>97833</v>
      </c>
      <c r="G4345">
        <v>26</v>
      </c>
      <c r="H4345">
        <v>97820</v>
      </c>
      <c r="I4345">
        <v>5346871</v>
      </c>
    </row>
    <row r="4346" spans="1:9">
      <c r="A4346" s="2">
        <v>1989</v>
      </c>
      <c r="B4346">
        <v>13</v>
      </c>
      <c r="C4346">
        <v>3.6000000000000002E-4</v>
      </c>
      <c r="D4346">
        <v>3.6000000000000002E-4</v>
      </c>
      <c r="E4346">
        <v>0.5</v>
      </c>
      <c r="F4346">
        <v>97807</v>
      </c>
      <c r="G4346">
        <v>35</v>
      </c>
      <c r="H4346">
        <v>97789</v>
      </c>
      <c r="I4346">
        <v>5249051</v>
      </c>
    </row>
    <row r="4347" spans="1:9">
      <c r="A4347" s="2">
        <v>1989</v>
      </c>
      <c r="B4347">
        <v>14</v>
      </c>
      <c r="C4347">
        <v>3.6000000000000002E-4</v>
      </c>
      <c r="D4347">
        <v>3.6000000000000002E-4</v>
      </c>
      <c r="E4347">
        <v>0.5</v>
      </c>
      <c r="F4347">
        <v>97772</v>
      </c>
      <c r="G4347">
        <v>35</v>
      </c>
      <c r="H4347">
        <v>97754</v>
      </c>
      <c r="I4347">
        <v>5151261</v>
      </c>
    </row>
    <row r="4348" spans="1:9">
      <c r="A4348" s="2">
        <v>1989</v>
      </c>
      <c r="B4348">
        <v>15</v>
      </c>
      <c r="C4348">
        <v>5.8E-4</v>
      </c>
      <c r="D4348">
        <v>5.8E-4</v>
      </c>
      <c r="E4348">
        <v>0.5</v>
      </c>
      <c r="F4348">
        <v>97737</v>
      </c>
      <c r="G4348">
        <v>57</v>
      </c>
      <c r="H4348">
        <v>97708</v>
      </c>
      <c r="I4348">
        <v>5053507</v>
      </c>
    </row>
    <row r="4349" spans="1:9">
      <c r="A4349" s="2">
        <v>1989</v>
      </c>
      <c r="B4349">
        <v>16</v>
      </c>
      <c r="C4349">
        <v>8.5999999999999998E-4</v>
      </c>
      <c r="D4349">
        <v>8.5999999999999998E-4</v>
      </c>
      <c r="E4349">
        <v>0.5</v>
      </c>
      <c r="F4349">
        <v>97680</v>
      </c>
      <c r="G4349">
        <v>84</v>
      </c>
      <c r="H4349">
        <v>97638</v>
      </c>
      <c r="I4349">
        <v>4955799</v>
      </c>
    </row>
    <row r="4350" spans="1:9">
      <c r="A4350" s="2">
        <v>1989</v>
      </c>
      <c r="B4350">
        <v>17</v>
      </c>
      <c r="C4350">
        <v>1.09E-3</v>
      </c>
      <c r="D4350">
        <v>1.09E-3</v>
      </c>
      <c r="E4350">
        <v>0.5</v>
      </c>
      <c r="F4350">
        <v>97596</v>
      </c>
      <c r="G4350">
        <v>107</v>
      </c>
      <c r="H4350">
        <v>97543</v>
      </c>
      <c r="I4350">
        <v>4858161</v>
      </c>
    </row>
    <row r="4351" spans="1:9">
      <c r="A4351" s="2">
        <v>1989</v>
      </c>
      <c r="B4351">
        <v>18</v>
      </c>
      <c r="C4351">
        <v>1.0499999999999999E-3</v>
      </c>
      <c r="D4351">
        <v>1.0399999999999999E-3</v>
      </c>
      <c r="E4351">
        <v>0.5</v>
      </c>
      <c r="F4351">
        <v>97489</v>
      </c>
      <c r="G4351">
        <v>102</v>
      </c>
      <c r="H4351">
        <v>97438</v>
      </c>
      <c r="I4351">
        <v>4760618</v>
      </c>
    </row>
    <row r="4352" spans="1:9">
      <c r="A4352" s="2">
        <v>1989</v>
      </c>
      <c r="B4352">
        <v>19</v>
      </c>
      <c r="C4352">
        <v>1.47E-3</v>
      </c>
      <c r="D4352">
        <v>1.4599999999999999E-3</v>
      </c>
      <c r="E4352">
        <v>0.5</v>
      </c>
      <c r="F4352">
        <v>97387</v>
      </c>
      <c r="G4352">
        <v>143</v>
      </c>
      <c r="H4352">
        <v>97316</v>
      </c>
      <c r="I4352">
        <v>4663180</v>
      </c>
    </row>
    <row r="4353" spans="1:9">
      <c r="A4353" s="2">
        <v>1989</v>
      </c>
      <c r="B4353">
        <v>20</v>
      </c>
      <c r="C4353">
        <v>1.23E-3</v>
      </c>
      <c r="D4353">
        <v>1.23E-3</v>
      </c>
      <c r="E4353">
        <v>0.5</v>
      </c>
      <c r="F4353">
        <v>97245</v>
      </c>
      <c r="G4353">
        <v>119</v>
      </c>
      <c r="H4353">
        <v>97185</v>
      </c>
      <c r="I4353">
        <v>4565864</v>
      </c>
    </row>
    <row r="4354" spans="1:9">
      <c r="A4354" s="2">
        <v>1989</v>
      </c>
      <c r="B4354">
        <v>21</v>
      </c>
      <c r="C4354">
        <v>1.17E-3</v>
      </c>
      <c r="D4354">
        <v>1.17E-3</v>
      </c>
      <c r="E4354">
        <v>0.5</v>
      </c>
      <c r="F4354">
        <v>97125</v>
      </c>
      <c r="G4354">
        <v>114</v>
      </c>
      <c r="H4354">
        <v>97068</v>
      </c>
      <c r="I4354">
        <v>4468679</v>
      </c>
    </row>
    <row r="4355" spans="1:9">
      <c r="A4355" s="2">
        <v>1989</v>
      </c>
      <c r="B4355">
        <v>22</v>
      </c>
      <c r="C4355">
        <v>1.5499999999999999E-3</v>
      </c>
      <c r="D4355">
        <v>1.5499999999999999E-3</v>
      </c>
      <c r="E4355">
        <v>0.5</v>
      </c>
      <c r="F4355">
        <v>97012</v>
      </c>
      <c r="G4355">
        <v>150</v>
      </c>
      <c r="H4355">
        <v>96937</v>
      </c>
      <c r="I4355">
        <v>4371611</v>
      </c>
    </row>
    <row r="4356" spans="1:9">
      <c r="A4356" s="2">
        <v>1989</v>
      </c>
      <c r="B4356">
        <v>23</v>
      </c>
      <c r="C4356">
        <v>1.56E-3</v>
      </c>
      <c r="D4356">
        <v>1.56E-3</v>
      </c>
      <c r="E4356">
        <v>0.5</v>
      </c>
      <c r="F4356">
        <v>96862</v>
      </c>
      <c r="G4356">
        <v>151</v>
      </c>
      <c r="H4356">
        <v>96786</v>
      </c>
      <c r="I4356">
        <v>4274674</v>
      </c>
    </row>
    <row r="4357" spans="1:9">
      <c r="A4357" s="2">
        <v>1989</v>
      </c>
      <c r="B4357">
        <v>24</v>
      </c>
      <c r="C4357">
        <v>1.8E-3</v>
      </c>
      <c r="D4357">
        <v>1.8E-3</v>
      </c>
      <c r="E4357">
        <v>0.5</v>
      </c>
      <c r="F4357">
        <v>96710</v>
      </c>
      <c r="G4357">
        <v>174</v>
      </c>
      <c r="H4357">
        <v>96623</v>
      </c>
      <c r="I4357">
        <v>4177888</v>
      </c>
    </row>
    <row r="4358" spans="1:9">
      <c r="A4358" s="2">
        <v>1989</v>
      </c>
      <c r="B4358">
        <v>25</v>
      </c>
      <c r="C4358">
        <v>1.73E-3</v>
      </c>
      <c r="D4358">
        <v>1.73E-3</v>
      </c>
      <c r="E4358">
        <v>0.5</v>
      </c>
      <c r="F4358">
        <v>96537</v>
      </c>
      <c r="G4358">
        <v>167</v>
      </c>
      <c r="H4358">
        <v>96453</v>
      </c>
      <c r="I4358">
        <v>4081265</v>
      </c>
    </row>
    <row r="4359" spans="1:9">
      <c r="A4359" s="2">
        <v>1989</v>
      </c>
      <c r="B4359">
        <v>26</v>
      </c>
      <c r="C4359">
        <v>1.6900000000000001E-3</v>
      </c>
      <c r="D4359">
        <v>1.6900000000000001E-3</v>
      </c>
      <c r="E4359">
        <v>0.5</v>
      </c>
      <c r="F4359">
        <v>96369</v>
      </c>
      <c r="G4359">
        <v>163</v>
      </c>
      <c r="H4359">
        <v>96288</v>
      </c>
      <c r="I4359">
        <v>3984812</v>
      </c>
    </row>
    <row r="4360" spans="1:9">
      <c r="A4360" s="2">
        <v>1989</v>
      </c>
      <c r="B4360">
        <v>27</v>
      </c>
      <c r="C4360">
        <v>2.0500000000000002E-3</v>
      </c>
      <c r="D4360">
        <v>2.0500000000000002E-3</v>
      </c>
      <c r="E4360">
        <v>0.5</v>
      </c>
      <c r="F4360">
        <v>96206</v>
      </c>
      <c r="G4360">
        <v>197</v>
      </c>
      <c r="H4360">
        <v>96108</v>
      </c>
      <c r="I4360">
        <v>3888524</v>
      </c>
    </row>
    <row r="4361" spans="1:9">
      <c r="A4361" s="2">
        <v>1989</v>
      </c>
      <c r="B4361">
        <v>28</v>
      </c>
      <c r="C4361">
        <v>2.0200000000000001E-3</v>
      </c>
      <c r="D4361">
        <v>2.0200000000000001E-3</v>
      </c>
      <c r="E4361">
        <v>0.5</v>
      </c>
      <c r="F4361">
        <v>96009</v>
      </c>
      <c r="G4361">
        <v>194</v>
      </c>
      <c r="H4361">
        <v>95912</v>
      </c>
      <c r="I4361">
        <v>3792416</v>
      </c>
    </row>
    <row r="4362" spans="1:9">
      <c r="A4362" s="2">
        <v>1989</v>
      </c>
      <c r="B4362">
        <v>29</v>
      </c>
      <c r="C4362">
        <v>2.1900000000000001E-3</v>
      </c>
      <c r="D4362">
        <v>2.1900000000000001E-3</v>
      </c>
      <c r="E4362">
        <v>0.5</v>
      </c>
      <c r="F4362">
        <v>95816</v>
      </c>
      <c r="G4362">
        <v>210</v>
      </c>
      <c r="H4362">
        <v>95711</v>
      </c>
      <c r="I4362">
        <v>3696504</v>
      </c>
    </row>
    <row r="4363" spans="1:9">
      <c r="A4363" s="2">
        <v>1989</v>
      </c>
      <c r="B4363">
        <v>30</v>
      </c>
      <c r="C4363">
        <v>2.64E-3</v>
      </c>
      <c r="D4363">
        <v>2.63E-3</v>
      </c>
      <c r="E4363">
        <v>0.5</v>
      </c>
      <c r="F4363">
        <v>95606</v>
      </c>
      <c r="G4363">
        <v>252</v>
      </c>
      <c r="H4363">
        <v>95480</v>
      </c>
      <c r="I4363">
        <v>3600793</v>
      </c>
    </row>
    <row r="4364" spans="1:9">
      <c r="A4364" s="2">
        <v>1989</v>
      </c>
      <c r="B4364">
        <v>31</v>
      </c>
      <c r="C4364">
        <v>3.0200000000000001E-3</v>
      </c>
      <c r="D4364">
        <v>3.0200000000000001E-3</v>
      </c>
      <c r="E4364">
        <v>0.5</v>
      </c>
      <c r="F4364">
        <v>95354</v>
      </c>
      <c r="G4364">
        <v>288</v>
      </c>
      <c r="H4364">
        <v>95210</v>
      </c>
      <c r="I4364">
        <v>3505313</v>
      </c>
    </row>
    <row r="4365" spans="1:9">
      <c r="A4365" s="2">
        <v>1989</v>
      </c>
      <c r="B4365">
        <v>32</v>
      </c>
      <c r="C4365">
        <v>3.15E-3</v>
      </c>
      <c r="D4365">
        <v>3.14E-3</v>
      </c>
      <c r="E4365">
        <v>0.5</v>
      </c>
      <c r="F4365">
        <v>95066</v>
      </c>
      <c r="G4365">
        <v>299</v>
      </c>
      <c r="H4365">
        <v>94917</v>
      </c>
      <c r="I4365">
        <v>3410103</v>
      </c>
    </row>
    <row r="4366" spans="1:9">
      <c r="A4366" s="2">
        <v>1989</v>
      </c>
      <c r="B4366">
        <v>33</v>
      </c>
      <c r="C4366">
        <v>3.3800000000000002E-3</v>
      </c>
      <c r="D4366">
        <v>3.3700000000000002E-3</v>
      </c>
      <c r="E4366">
        <v>0.5</v>
      </c>
      <c r="F4366">
        <v>94768</v>
      </c>
      <c r="G4366">
        <v>320</v>
      </c>
      <c r="H4366">
        <v>94608</v>
      </c>
      <c r="I4366">
        <v>3315186</v>
      </c>
    </row>
    <row r="4367" spans="1:9">
      <c r="A4367" s="2">
        <v>1989</v>
      </c>
      <c r="B4367">
        <v>34</v>
      </c>
      <c r="C4367">
        <v>3.47E-3</v>
      </c>
      <c r="D4367">
        <v>3.46E-3</v>
      </c>
      <c r="E4367">
        <v>0.5</v>
      </c>
      <c r="F4367">
        <v>94448</v>
      </c>
      <c r="G4367">
        <v>327</v>
      </c>
      <c r="H4367">
        <v>94285</v>
      </c>
      <c r="I4367">
        <v>3220578</v>
      </c>
    </row>
    <row r="4368" spans="1:9">
      <c r="A4368" s="2">
        <v>1989</v>
      </c>
      <c r="B4368">
        <v>35</v>
      </c>
      <c r="C4368">
        <v>4.2199999999999998E-3</v>
      </c>
      <c r="D4368">
        <v>4.2100000000000002E-3</v>
      </c>
      <c r="E4368">
        <v>0.5</v>
      </c>
      <c r="F4368">
        <v>94121</v>
      </c>
      <c r="G4368">
        <v>396</v>
      </c>
      <c r="H4368">
        <v>93923</v>
      </c>
      <c r="I4368">
        <v>3126294</v>
      </c>
    </row>
    <row r="4369" spans="1:9">
      <c r="A4369" s="2">
        <v>1989</v>
      </c>
      <c r="B4369">
        <v>36</v>
      </c>
      <c r="C4369">
        <v>4.2199999999999998E-3</v>
      </c>
      <c r="D4369">
        <v>4.2100000000000002E-3</v>
      </c>
      <c r="E4369">
        <v>0.5</v>
      </c>
      <c r="F4369">
        <v>93725</v>
      </c>
      <c r="G4369">
        <v>395</v>
      </c>
      <c r="H4369">
        <v>93528</v>
      </c>
      <c r="I4369">
        <v>3032370</v>
      </c>
    </row>
    <row r="4370" spans="1:9">
      <c r="A4370" s="2">
        <v>1989</v>
      </c>
      <c r="B4370">
        <v>37</v>
      </c>
      <c r="C4370">
        <v>4.64E-3</v>
      </c>
      <c r="D4370">
        <v>4.6299999999999996E-3</v>
      </c>
      <c r="E4370">
        <v>0.5</v>
      </c>
      <c r="F4370">
        <v>93330</v>
      </c>
      <c r="G4370">
        <v>432</v>
      </c>
      <c r="H4370">
        <v>93114</v>
      </c>
      <c r="I4370">
        <v>2938843</v>
      </c>
    </row>
    <row r="4371" spans="1:9">
      <c r="A4371" s="2">
        <v>1989</v>
      </c>
      <c r="B4371">
        <v>38</v>
      </c>
      <c r="C4371">
        <v>4.8500000000000001E-3</v>
      </c>
      <c r="D4371">
        <v>4.8399999999999997E-3</v>
      </c>
      <c r="E4371">
        <v>0.5</v>
      </c>
      <c r="F4371">
        <v>92898</v>
      </c>
      <c r="G4371">
        <v>450</v>
      </c>
      <c r="H4371">
        <v>92673</v>
      </c>
      <c r="I4371">
        <v>2845728</v>
      </c>
    </row>
    <row r="4372" spans="1:9">
      <c r="A4372" s="2">
        <v>1989</v>
      </c>
      <c r="B4372">
        <v>39</v>
      </c>
      <c r="C4372">
        <v>5.8399999999999997E-3</v>
      </c>
      <c r="D4372">
        <v>5.8199999999999997E-3</v>
      </c>
      <c r="E4372">
        <v>0.5</v>
      </c>
      <c r="F4372">
        <v>92448</v>
      </c>
      <c r="G4372">
        <v>538</v>
      </c>
      <c r="H4372">
        <v>92179</v>
      </c>
      <c r="I4372">
        <v>2753055</v>
      </c>
    </row>
    <row r="4373" spans="1:9">
      <c r="A4373" s="2">
        <v>1989</v>
      </c>
      <c r="B4373">
        <v>40</v>
      </c>
      <c r="C4373">
        <v>5.4900000000000001E-3</v>
      </c>
      <c r="D4373">
        <v>5.47E-3</v>
      </c>
      <c r="E4373">
        <v>0.5</v>
      </c>
      <c r="F4373">
        <v>91910</v>
      </c>
      <c r="G4373">
        <v>503</v>
      </c>
      <c r="H4373">
        <v>91659</v>
      </c>
      <c r="I4373">
        <v>2660876</v>
      </c>
    </row>
    <row r="4374" spans="1:9">
      <c r="A4374" s="2">
        <v>1989</v>
      </c>
      <c r="B4374">
        <v>41</v>
      </c>
      <c r="C4374">
        <v>6.5100000000000002E-3</v>
      </c>
      <c r="D4374">
        <v>6.4900000000000001E-3</v>
      </c>
      <c r="E4374">
        <v>0.5</v>
      </c>
      <c r="F4374">
        <v>91407</v>
      </c>
      <c r="G4374">
        <v>593</v>
      </c>
      <c r="H4374">
        <v>91110</v>
      </c>
      <c r="I4374">
        <v>2569218</v>
      </c>
    </row>
    <row r="4375" spans="1:9">
      <c r="A4375" s="2">
        <v>1989</v>
      </c>
      <c r="B4375">
        <v>42</v>
      </c>
      <c r="C4375">
        <v>7.1700000000000002E-3</v>
      </c>
      <c r="D4375">
        <v>7.1399999999999996E-3</v>
      </c>
      <c r="E4375">
        <v>0.5</v>
      </c>
      <c r="F4375">
        <v>90814</v>
      </c>
      <c r="G4375">
        <v>649</v>
      </c>
      <c r="H4375">
        <v>90489</v>
      </c>
      <c r="I4375">
        <v>2478107</v>
      </c>
    </row>
    <row r="4376" spans="1:9">
      <c r="A4376" s="2">
        <v>1989</v>
      </c>
      <c r="B4376">
        <v>43</v>
      </c>
      <c r="C4376">
        <v>7.7400000000000004E-3</v>
      </c>
      <c r="D4376">
        <v>7.7099999999999998E-3</v>
      </c>
      <c r="E4376">
        <v>0.5</v>
      </c>
      <c r="F4376">
        <v>90165</v>
      </c>
      <c r="G4376">
        <v>695</v>
      </c>
      <c r="H4376">
        <v>89817</v>
      </c>
      <c r="I4376">
        <v>2387618</v>
      </c>
    </row>
    <row r="4377" spans="1:9">
      <c r="A4377" s="2">
        <v>1989</v>
      </c>
      <c r="B4377">
        <v>44</v>
      </c>
      <c r="C4377">
        <v>8.3599999999999994E-3</v>
      </c>
      <c r="D4377">
        <v>8.3300000000000006E-3</v>
      </c>
      <c r="E4377">
        <v>0.5</v>
      </c>
      <c r="F4377">
        <v>89470</v>
      </c>
      <c r="G4377">
        <v>745</v>
      </c>
      <c r="H4377">
        <v>89097</v>
      </c>
      <c r="I4377">
        <v>2297801</v>
      </c>
    </row>
    <row r="4378" spans="1:9">
      <c r="A4378" s="2">
        <v>1989</v>
      </c>
      <c r="B4378">
        <v>45</v>
      </c>
      <c r="C4378">
        <v>9.5899999999999996E-3</v>
      </c>
      <c r="D4378">
        <v>9.5399999999999999E-3</v>
      </c>
      <c r="E4378">
        <v>0.5</v>
      </c>
      <c r="F4378">
        <v>88725</v>
      </c>
      <c r="G4378">
        <v>846</v>
      </c>
      <c r="H4378">
        <v>88302</v>
      </c>
      <c r="I4378">
        <v>2208703</v>
      </c>
    </row>
    <row r="4379" spans="1:9">
      <c r="A4379" s="2">
        <v>1989</v>
      </c>
      <c r="B4379">
        <v>46</v>
      </c>
      <c r="C4379">
        <v>1.021E-2</v>
      </c>
      <c r="D4379">
        <v>1.0160000000000001E-2</v>
      </c>
      <c r="E4379">
        <v>0.5</v>
      </c>
      <c r="F4379">
        <v>87879</v>
      </c>
      <c r="G4379">
        <v>893</v>
      </c>
      <c r="H4379">
        <v>87432</v>
      </c>
      <c r="I4379">
        <v>2120402</v>
      </c>
    </row>
    <row r="4380" spans="1:9">
      <c r="A4380" s="2">
        <v>1989</v>
      </c>
      <c r="B4380">
        <v>47</v>
      </c>
      <c r="C4380">
        <v>1.1379999999999999E-2</v>
      </c>
      <c r="D4380">
        <v>1.1310000000000001E-2</v>
      </c>
      <c r="E4380">
        <v>0.5</v>
      </c>
      <c r="F4380">
        <v>86986</v>
      </c>
      <c r="G4380">
        <v>984</v>
      </c>
      <c r="H4380">
        <v>86494</v>
      </c>
      <c r="I4380">
        <v>2032969</v>
      </c>
    </row>
    <row r="4381" spans="1:9">
      <c r="A4381" s="2">
        <v>1989</v>
      </c>
      <c r="B4381">
        <v>48</v>
      </c>
      <c r="C4381">
        <v>1.213E-2</v>
      </c>
      <c r="D4381">
        <v>1.206E-2</v>
      </c>
      <c r="E4381">
        <v>0.5</v>
      </c>
      <c r="F4381">
        <v>86002</v>
      </c>
      <c r="G4381">
        <v>1037</v>
      </c>
      <c r="H4381">
        <v>85483</v>
      </c>
      <c r="I4381">
        <v>1946476</v>
      </c>
    </row>
    <row r="4382" spans="1:9">
      <c r="A4382" s="2">
        <v>1989</v>
      </c>
      <c r="B4382">
        <v>49</v>
      </c>
      <c r="C4382">
        <v>1.324E-2</v>
      </c>
      <c r="D4382">
        <v>1.316E-2</v>
      </c>
      <c r="E4382">
        <v>0.5</v>
      </c>
      <c r="F4382">
        <v>84964</v>
      </c>
      <c r="G4382">
        <v>1118</v>
      </c>
      <c r="H4382">
        <v>84406</v>
      </c>
      <c r="I4382">
        <v>1860992</v>
      </c>
    </row>
    <row r="4383" spans="1:9">
      <c r="A4383" s="2">
        <v>1989</v>
      </c>
      <c r="B4383">
        <v>50</v>
      </c>
      <c r="C4383">
        <v>1.4409999999999999E-2</v>
      </c>
      <c r="D4383">
        <v>1.43E-2</v>
      </c>
      <c r="E4383">
        <v>0.5</v>
      </c>
      <c r="F4383">
        <v>83847</v>
      </c>
      <c r="G4383">
        <v>1199</v>
      </c>
      <c r="H4383">
        <v>83247</v>
      </c>
      <c r="I4383">
        <v>1776587</v>
      </c>
    </row>
    <row r="4384" spans="1:9">
      <c r="A4384" s="2">
        <v>1989</v>
      </c>
      <c r="B4384">
        <v>51</v>
      </c>
      <c r="C4384">
        <v>1.5740000000000001E-2</v>
      </c>
      <c r="D4384">
        <v>1.562E-2</v>
      </c>
      <c r="E4384">
        <v>0.5</v>
      </c>
      <c r="F4384">
        <v>82647</v>
      </c>
      <c r="G4384">
        <v>1291</v>
      </c>
      <c r="H4384">
        <v>82002</v>
      </c>
      <c r="I4384">
        <v>1693340</v>
      </c>
    </row>
    <row r="4385" spans="1:9">
      <c r="A4385" s="2">
        <v>1989</v>
      </c>
      <c r="B4385">
        <v>52</v>
      </c>
      <c r="C4385">
        <v>1.7260000000000001E-2</v>
      </c>
      <c r="D4385">
        <v>1.711E-2</v>
      </c>
      <c r="E4385">
        <v>0.5</v>
      </c>
      <c r="F4385">
        <v>81357</v>
      </c>
      <c r="G4385">
        <v>1392</v>
      </c>
      <c r="H4385">
        <v>80661</v>
      </c>
      <c r="I4385">
        <v>1611338</v>
      </c>
    </row>
    <row r="4386" spans="1:9">
      <c r="A4386" s="2">
        <v>1989</v>
      </c>
      <c r="B4386">
        <v>53</v>
      </c>
      <c r="C4386">
        <v>1.7170000000000001E-2</v>
      </c>
      <c r="D4386">
        <v>1.703E-2</v>
      </c>
      <c r="E4386">
        <v>0.5</v>
      </c>
      <c r="F4386">
        <v>79965</v>
      </c>
      <c r="G4386">
        <v>1362</v>
      </c>
      <c r="H4386">
        <v>79284</v>
      </c>
      <c r="I4386">
        <v>1530678</v>
      </c>
    </row>
    <row r="4387" spans="1:9">
      <c r="A4387" s="2">
        <v>1989</v>
      </c>
      <c r="B4387">
        <v>54</v>
      </c>
      <c r="C4387">
        <v>1.951E-2</v>
      </c>
      <c r="D4387">
        <v>1.932E-2</v>
      </c>
      <c r="E4387">
        <v>0.5</v>
      </c>
      <c r="F4387">
        <v>78603</v>
      </c>
      <c r="G4387">
        <v>1519</v>
      </c>
      <c r="H4387">
        <v>77844</v>
      </c>
      <c r="I4387">
        <v>1451394</v>
      </c>
    </row>
    <row r="4388" spans="1:9">
      <c r="A4388" s="2">
        <v>1989</v>
      </c>
      <c r="B4388">
        <v>55</v>
      </c>
      <c r="C4388">
        <v>1.9939999999999999E-2</v>
      </c>
      <c r="D4388">
        <v>1.975E-2</v>
      </c>
      <c r="E4388">
        <v>0.5</v>
      </c>
      <c r="F4388">
        <v>77084</v>
      </c>
      <c r="G4388">
        <v>1522</v>
      </c>
      <c r="H4388">
        <v>76323</v>
      </c>
      <c r="I4388">
        <v>1373550</v>
      </c>
    </row>
    <row r="4389" spans="1:9">
      <c r="A4389" s="2">
        <v>1989</v>
      </c>
      <c r="B4389">
        <v>56</v>
      </c>
      <c r="C4389">
        <v>2.0570000000000001E-2</v>
      </c>
      <c r="D4389">
        <v>2.036E-2</v>
      </c>
      <c r="E4389">
        <v>0.5</v>
      </c>
      <c r="F4389">
        <v>75562</v>
      </c>
      <c r="G4389">
        <v>1539</v>
      </c>
      <c r="H4389">
        <v>74793</v>
      </c>
      <c r="I4389">
        <v>1297227</v>
      </c>
    </row>
    <row r="4390" spans="1:9">
      <c r="A4390" s="2">
        <v>1989</v>
      </c>
      <c r="B4390">
        <v>57</v>
      </c>
      <c r="C4390">
        <v>2.35E-2</v>
      </c>
      <c r="D4390">
        <v>2.3230000000000001E-2</v>
      </c>
      <c r="E4390">
        <v>0.5</v>
      </c>
      <c r="F4390">
        <v>74024</v>
      </c>
      <c r="G4390">
        <v>1719</v>
      </c>
      <c r="H4390">
        <v>73164</v>
      </c>
      <c r="I4390">
        <v>1222434</v>
      </c>
    </row>
    <row r="4391" spans="1:9">
      <c r="A4391" s="2">
        <v>1989</v>
      </c>
      <c r="B4391">
        <v>58</v>
      </c>
      <c r="C4391">
        <v>2.6169999999999999E-2</v>
      </c>
      <c r="D4391">
        <v>2.5839999999999998E-2</v>
      </c>
      <c r="E4391">
        <v>0.5</v>
      </c>
      <c r="F4391">
        <v>72304</v>
      </c>
      <c r="G4391">
        <v>1868</v>
      </c>
      <c r="H4391">
        <v>71370</v>
      </c>
      <c r="I4391">
        <v>1149270</v>
      </c>
    </row>
    <row r="4392" spans="1:9">
      <c r="A4392" s="2">
        <v>1989</v>
      </c>
      <c r="B4392">
        <v>59</v>
      </c>
      <c r="C4392">
        <v>2.742E-2</v>
      </c>
      <c r="D4392">
        <v>2.7050000000000001E-2</v>
      </c>
      <c r="E4392">
        <v>0.5</v>
      </c>
      <c r="F4392">
        <v>70436</v>
      </c>
      <c r="G4392">
        <v>1905</v>
      </c>
      <c r="H4392">
        <v>69484</v>
      </c>
      <c r="I4392">
        <v>1077900</v>
      </c>
    </row>
    <row r="4393" spans="1:9">
      <c r="A4393" s="2">
        <v>1989</v>
      </c>
      <c r="B4393">
        <v>60</v>
      </c>
      <c r="C4393">
        <v>2.971E-2</v>
      </c>
      <c r="D4393">
        <v>2.928E-2</v>
      </c>
      <c r="E4393">
        <v>0.5</v>
      </c>
      <c r="F4393">
        <v>68531</v>
      </c>
      <c r="G4393">
        <v>2007</v>
      </c>
      <c r="H4393">
        <v>67528</v>
      </c>
      <c r="I4393">
        <v>1008416</v>
      </c>
    </row>
    <row r="4394" spans="1:9">
      <c r="A4394" s="2">
        <v>1989</v>
      </c>
      <c r="B4394">
        <v>61</v>
      </c>
      <c r="C4394">
        <v>3.2820000000000002E-2</v>
      </c>
      <c r="D4394">
        <v>3.2289999999999999E-2</v>
      </c>
      <c r="E4394">
        <v>0.5</v>
      </c>
      <c r="F4394">
        <v>66525</v>
      </c>
      <c r="G4394">
        <v>2148</v>
      </c>
      <c r="H4394">
        <v>65451</v>
      </c>
      <c r="I4394">
        <v>940888</v>
      </c>
    </row>
    <row r="4395" spans="1:9">
      <c r="A4395" s="2">
        <v>1989</v>
      </c>
      <c r="B4395">
        <v>62</v>
      </c>
      <c r="C4395">
        <v>3.4610000000000002E-2</v>
      </c>
      <c r="D4395">
        <v>3.4020000000000002E-2</v>
      </c>
      <c r="E4395">
        <v>0.5</v>
      </c>
      <c r="F4395">
        <v>64376</v>
      </c>
      <c r="G4395">
        <v>2190</v>
      </c>
      <c r="H4395">
        <v>63281</v>
      </c>
      <c r="I4395">
        <v>875438</v>
      </c>
    </row>
    <row r="4396" spans="1:9">
      <c r="A4396" s="2">
        <v>1989</v>
      </c>
      <c r="B4396">
        <v>63</v>
      </c>
      <c r="C4396">
        <v>3.7249999999999998E-2</v>
      </c>
      <c r="D4396">
        <v>3.6569999999999998E-2</v>
      </c>
      <c r="E4396">
        <v>0.5</v>
      </c>
      <c r="F4396">
        <v>62186</v>
      </c>
      <c r="G4396">
        <v>2274</v>
      </c>
      <c r="H4396">
        <v>61049</v>
      </c>
      <c r="I4396">
        <v>812157</v>
      </c>
    </row>
    <row r="4397" spans="1:9">
      <c r="A4397" s="2">
        <v>1989</v>
      </c>
      <c r="B4397">
        <v>64</v>
      </c>
      <c r="C4397">
        <v>3.7679999999999998E-2</v>
      </c>
      <c r="D4397">
        <v>3.6979999999999999E-2</v>
      </c>
      <c r="E4397">
        <v>0.5</v>
      </c>
      <c r="F4397">
        <v>59912</v>
      </c>
      <c r="G4397">
        <v>2216</v>
      </c>
      <c r="H4397">
        <v>58804</v>
      </c>
      <c r="I4397">
        <v>751108</v>
      </c>
    </row>
    <row r="4398" spans="1:9">
      <c r="A4398" s="2">
        <v>1989</v>
      </c>
      <c r="B4398">
        <v>65</v>
      </c>
      <c r="C4398">
        <v>4.2270000000000002E-2</v>
      </c>
      <c r="D4398">
        <v>4.1390000000000003E-2</v>
      </c>
      <c r="E4398">
        <v>0.5</v>
      </c>
      <c r="F4398">
        <v>57696</v>
      </c>
      <c r="G4398">
        <v>2388</v>
      </c>
      <c r="H4398">
        <v>56502</v>
      </c>
      <c r="I4398">
        <v>692304</v>
      </c>
    </row>
    <row r="4399" spans="1:9">
      <c r="A4399" s="2">
        <v>1989</v>
      </c>
      <c r="B4399">
        <v>66</v>
      </c>
      <c r="C4399">
        <v>4.4049999999999999E-2</v>
      </c>
      <c r="D4399">
        <v>4.3099999999999999E-2</v>
      </c>
      <c r="E4399">
        <v>0.5</v>
      </c>
      <c r="F4399">
        <v>55308</v>
      </c>
      <c r="G4399">
        <v>2384</v>
      </c>
      <c r="H4399">
        <v>54116</v>
      </c>
      <c r="I4399">
        <v>635802</v>
      </c>
    </row>
    <row r="4400" spans="1:9">
      <c r="A4400" s="2">
        <v>1989</v>
      </c>
      <c r="B4400">
        <v>67</v>
      </c>
      <c r="C4400">
        <v>4.65E-2</v>
      </c>
      <c r="D4400">
        <v>4.5449999999999997E-2</v>
      </c>
      <c r="E4400">
        <v>0.5</v>
      </c>
      <c r="F4400">
        <v>52924</v>
      </c>
      <c r="G4400">
        <v>2405</v>
      </c>
      <c r="H4400">
        <v>51722</v>
      </c>
      <c r="I4400">
        <v>581685</v>
      </c>
    </row>
    <row r="4401" spans="1:9">
      <c r="A4401" s="2">
        <v>1989</v>
      </c>
      <c r="B4401">
        <v>68</v>
      </c>
      <c r="C4401">
        <v>4.8779999999999997E-2</v>
      </c>
      <c r="D4401">
        <v>4.7620000000000003E-2</v>
      </c>
      <c r="E4401">
        <v>0.5</v>
      </c>
      <c r="F4401">
        <v>50519</v>
      </c>
      <c r="G4401">
        <v>2406</v>
      </c>
      <c r="H4401">
        <v>49316</v>
      </c>
      <c r="I4401">
        <v>529964</v>
      </c>
    </row>
    <row r="4402" spans="1:9">
      <c r="A4402" s="2">
        <v>1989</v>
      </c>
      <c r="B4402">
        <v>69</v>
      </c>
      <c r="C4402">
        <v>5.6919999999999998E-2</v>
      </c>
      <c r="D4402">
        <v>5.534E-2</v>
      </c>
      <c r="E4402">
        <v>0.5</v>
      </c>
      <c r="F4402">
        <v>48114</v>
      </c>
      <c r="G4402">
        <v>2663</v>
      </c>
      <c r="H4402">
        <v>46782</v>
      </c>
      <c r="I4402">
        <v>480647</v>
      </c>
    </row>
    <row r="4403" spans="1:9">
      <c r="A4403" s="2">
        <v>1989</v>
      </c>
      <c r="B4403">
        <v>70</v>
      </c>
      <c r="C4403">
        <v>5.0090000000000003E-2</v>
      </c>
      <c r="D4403">
        <v>4.8860000000000001E-2</v>
      </c>
      <c r="E4403">
        <v>0.5</v>
      </c>
      <c r="F4403">
        <v>45451</v>
      </c>
      <c r="G4403">
        <v>2221</v>
      </c>
      <c r="H4403">
        <v>44340</v>
      </c>
      <c r="I4403">
        <v>433865</v>
      </c>
    </row>
    <row r="4404" spans="1:9">
      <c r="A4404" s="2">
        <v>1989</v>
      </c>
      <c r="B4404">
        <v>71</v>
      </c>
      <c r="C4404">
        <v>6.3310000000000005E-2</v>
      </c>
      <c r="D4404">
        <v>6.1359999999999998E-2</v>
      </c>
      <c r="E4404">
        <v>0.5</v>
      </c>
      <c r="F4404">
        <v>43230</v>
      </c>
      <c r="G4404">
        <v>2653</v>
      </c>
      <c r="H4404">
        <v>41904</v>
      </c>
      <c r="I4404">
        <v>389525</v>
      </c>
    </row>
    <row r="4405" spans="1:9">
      <c r="A4405" s="2">
        <v>1989</v>
      </c>
      <c r="B4405">
        <v>72</v>
      </c>
      <c r="C4405">
        <v>6.3670000000000004E-2</v>
      </c>
      <c r="D4405">
        <v>6.1710000000000001E-2</v>
      </c>
      <c r="E4405">
        <v>0.5</v>
      </c>
      <c r="F4405">
        <v>40577</v>
      </c>
      <c r="G4405">
        <v>2504</v>
      </c>
      <c r="H4405">
        <v>39325</v>
      </c>
      <c r="I4405">
        <v>347621</v>
      </c>
    </row>
    <row r="4406" spans="1:9">
      <c r="A4406" s="2">
        <v>1989</v>
      </c>
      <c r="B4406">
        <v>73</v>
      </c>
      <c r="C4406">
        <v>6.6119999999999998E-2</v>
      </c>
      <c r="D4406">
        <v>6.4000000000000001E-2</v>
      </c>
      <c r="E4406">
        <v>0.5</v>
      </c>
      <c r="F4406">
        <v>38073</v>
      </c>
      <c r="G4406">
        <v>2437</v>
      </c>
      <c r="H4406">
        <v>36855</v>
      </c>
      <c r="I4406">
        <v>308296</v>
      </c>
    </row>
    <row r="4407" spans="1:9">
      <c r="A4407" s="2">
        <v>1989</v>
      </c>
      <c r="B4407">
        <v>74</v>
      </c>
      <c r="C4407">
        <v>8.1470000000000001E-2</v>
      </c>
      <c r="D4407">
        <v>7.8280000000000002E-2</v>
      </c>
      <c r="E4407">
        <v>0.5</v>
      </c>
      <c r="F4407">
        <v>35636</v>
      </c>
      <c r="G4407">
        <v>2790</v>
      </c>
      <c r="H4407">
        <v>34242</v>
      </c>
      <c r="I4407">
        <v>271441</v>
      </c>
    </row>
    <row r="4408" spans="1:9">
      <c r="A4408" s="2">
        <v>1989</v>
      </c>
      <c r="B4408">
        <v>75</v>
      </c>
      <c r="C4408">
        <v>8.4180000000000005E-2</v>
      </c>
      <c r="D4408">
        <v>8.0780000000000005E-2</v>
      </c>
      <c r="E4408">
        <v>0.5</v>
      </c>
      <c r="F4408">
        <v>32847</v>
      </c>
      <c r="G4408">
        <v>2653</v>
      </c>
      <c r="H4408">
        <v>31520</v>
      </c>
      <c r="I4408">
        <v>237199</v>
      </c>
    </row>
    <row r="4409" spans="1:9">
      <c r="A4409" s="2">
        <v>1989</v>
      </c>
      <c r="B4409">
        <v>76</v>
      </c>
      <c r="C4409">
        <v>9.2289999999999997E-2</v>
      </c>
      <c r="D4409">
        <v>8.8220000000000007E-2</v>
      </c>
      <c r="E4409">
        <v>0.5</v>
      </c>
      <c r="F4409">
        <v>30193</v>
      </c>
      <c r="G4409">
        <v>2664</v>
      </c>
      <c r="H4409">
        <v>28861</v>
      </c>
      <c r="I4409">
        <v>205679</v>
      </c>
    </row>
    <row r="4410" spans="1:9">
      <c r="A4410" s="2">
        <v>1989</v>
      </c>
      <c r="B4410">
        <v>77</v>
      </c>
      <c r="C4410">
        <v>9.8580000000000001E-2</v>
      </c>
      <c r="D4410">
        <v>9.3950000000000006E-2</v>
      </c>
      <c r="E4410">
        <v>0.5</v>
      </c>
      <c r="F4410">
        <v>27530</v>
      </c>
      <c r="G4410">
        <v>2586</v>
      </c>
      <c r="H4410">
        <v>26236</v>
      </c>
      <c r="I4410">
        <v>176818</v>
      </c>
    </row>
    <row r="4411" spans="1:9">
      <c r="A4411" s="2">
        <v>1989</v>
      </c>
      <c r="B4411">
        <v>78</v>
      </c>
      <c r="C4411">
        <v>0.11067</v>
      </c>
      <c r="D4411">
        <v>0.10485999999999999</v>
      </c>
      <c r="E4411">
        <v>0.5</v>
      </c>
      <c r="F4411">
        <v>24943</v>
      </c>
      <c r="G4411">
        <v>2616</v>
      </c>
      <c r="H4411">
        <v>23635</v>
      </c>
      <c r="I4411">
        <v>150582</v>
      </c>
    </row>
    <row r="4412" spans="1:9">
      <c r="A4412" s="2">
        <v>1989</v>
      </c>
      <c r="B4412">
        <v>79</v>
      </c>
      <c r="C4412">
        <v>0.11969</v>
      </c>
      <c r="D4412">
        <v>0.11294</v>
      </c>
      <c r="E4412">
        <v>0.5</v>
      </c>
      <c r="F4412">
        <v>22328</v>
      </c>
      <c r="G4412">
        <v>2522</v>
      </c>
      <c r="H4412">
        <v>21067</v>
      </c>
      <c r="I4412">
        <v>126946</v>
      </c>
    </row>
    <row r="4413" spans="1:9">
      <c r="A4413" s="2">
        <v>1989</v>
      </c>
      <c r="B4413">
        <v>80</v>
      </c>
      <c r="C4413">
        <v>0.12669</v>
      </c>
      <c r="D4413">
        <v>0.11914</v>
      </c>
      <c r="E4413">
        <v>0.5</v>
      </c>
      <c r="F4413">
        <v>19806</v>
      </c>
      <c r="G4413">
        <v>2360</v>
      </c>
      <c r="H4413">
        <v>18626</v>
      </c>
      <c r="I4413">
        <v>105879</v>
      </c>
    </row>
    <row r="4414" spans="1:9">
      <c r="A4414" s="2">
        <v>1989</v>
      </c>
      <c r="B4414">
        <v>81</v>
      </c>
      <c r="C4414">
        <v>0.14235999999999999</v>
      </c>
      <c r="D4414">
        <v>0.13289999999999999</v>
      </c>
      <c r="E4414">
        <v>0.5</v>
      </c>
      <c r="F4414">
        <v>17446</v>
      </c>
      <c r="G4414">
        <v>2319</v>
      </c>
      <c r="H4414">
        <v>16287</v>
      </c>
      <c r="I4414">
        <v>87253</v>
      </c>
    </row>
    <row r="4415" spans="1:9">
      <c r="A4415" s="2">
        <v>1989</v>
      </c>
      <c r="B4415">
        <v>82</v>
      </c>
      <c r="C4415">
        <v>0.16109999999999999</v>
      </c>
      <c r="D4415">
        <v>0.14909</v>
      </c>
      <c r="E4415">
        <v>0.5</v>
      </c>
      <c r="F4415">
        <v>15128</v>
      </c>
      <c r="G4415">
        <v>2255</v>
      </c>
      <c r="H4415">
        <v>14000</v>
      </c>
      <c r="I4415">
        <v>70966</v>
      </c>
    </row>
    <row r="4416" spans="1:9">
      <c r="A4416" s="2">
        <v>1989</v>
      </c>
      <c r="B4416">
        <v>83</v>
      </c>
      <c r="C4416">
        <v>0.16983999999999999</v>
      </c>
      <c r="D4416">
        <v>0.15654000000000001</v>
      </c>
      <c r="E4416">
        <v>0.5</v>
      </c>
      <c r="F4416">
        <v>12872</v>
      </c>
      <c r="G4416">
        <v>2015</v>
      </c>
      <c r="H4416">
        <v>11865</v>
      </c>
      <c r="I4416">
        <v>56966</v>
      </c>
    </row>
    <row r="4417" spans="1:9">
      <c r="A4417" s="2">
        <v>1989</v>
      </c>
      <c r="B4417">
        <v>84</v>
      </c>
      <c r="C4417">
        <v>0.18478</v>
      </c>
      <c r="D4417">
        <v>0.16914999999999999</v>
      </c>
      <c r="E4417">
        <v>0.5</v>
      </c>
      <c r="F4417">
        <v>10857</v>
      </c>
      <c r="G4417">
        <v>1837</v>
      </c>
      <c r="H4417">
        <v>9939</v>
      </c>
      <c r="I4417">
        <v>45101</v>
      </c>
    </row>
    <row r="4418" spans="1:9">
      <c r="A4418" s="2">
        <v>1989</v>
      </c>
      <c r="B4418">
        <v>85</v>
      </c>
      <c r="C4418">
        <v>0.19716</v>
      </c>
      <c r="D4418">
        <v>0.17946999999999999</v>
      </c>
      <c r="E4418">
        <v>0.5</v>
      </c>
      <c r="F4418">
        <v>9021</v>
      </c>
      <c r="G4418">
        <v>1619</v>
      </c>
      <c r="H4418">
        <v>8211</v>
      </c>
      <c r="I4418">
        <v>35162</v>
      </c>
    </row>
    <row r="4419" spans="1:9">
      <c r="A4419" s="2">
        <v>1989</v>
      </c>
      <c r="B4419">
        <v>86</v>
      </c>
      <c r="C4419">
        <v>0.22766</v>
      </c>
      <c r="D4419">
        <v>0.20438999999999999</v>
      </c>
      <c r="E4419">
        <v>0.5</v>
      </c>
      <c r="F4419">
        <v>7402</v>
      </c>
      <c r="G4419">
        <v>1513</v>
      </c>
      <c r="H4419">
        <v>6645</v>
      </c>
      <c r="I4419">
        <v>26951</v>
      </c>
    </row>
    <row r="4420" spans="1:9">
      <c r="A4420" s="2">
        <v>1989</v>
      </c>
      <c r="B4420">
        <v>87</v>
      </c>
      <c r="C4420">
        <v>0.24318999999999999</v>
      </c>
      <c r="D4420">
        <v>0.21682999999999999</v>
      </c>
      <c r="E4420">
        <v>0.5</v>
      </c>
      <c r="F4420">
        <v>5889</v>
      </c>
      <c r="G4420">
        <v>1277</v>
      </c>
      <c r="H4420">
        <v>5250</v>
      </c>
      <c r="I4420">
        <v>20306</v>
      </c>
    </row>
    <row r="4421" spans="1:9">
      <c r="A4421" s="2">
        <v>1989</v>
      </c>
      <c r="B4421">
        <v>88</v>
      </c>
      <c r="C4421">
        <v>0.24829999999999999</v>
      </c>
      <c r="D4421">
        <v>0.22087999999999999</v>
      </c>
      <c r="E4421">
        <v>0.5</v>
      </c>
      <c r="F4421">
        <v>4612</v>
      </c>
      <c r="G4421">
        <v>1019</v>
      </c>
      <c r="H4421">
        <v>4103</v>
      </c>
      <c r="I4421">
        <v>15056</v>
      </c>
    </row>
    <row r="4422" spans="1:9">
      <c r="A4422" s="2">
        <v>1989</v>
      </c>
      <c r="B4422">
        <v>89</v>
      </c>
      <c r="C4422">
        <v>0.27013999999999999</v>
      </c>
      <c r="D4422">
        <v>0.23799000000000001</v>
      </c>
      <c r="E4422">
        <v>0.5</v>
      </c>
      <c r="F4422">
        <v>3593</v>
      </c>
      <c r="G4422">
        <v>855</v>
      </c>
      <c r="H4422">
        <v>3166</v>
      </c>
      <c r="I4422">
        <v>10953</v>
      </c>
    </row>
    <row r="4423" spans="1:9">
      <c r="A4423" s="2">
        <v>1989</v>
      </c>
      <c r="B4423">
        <v>90</v>
      </c>
      <c r="C4423">
        <v>0.30442000000000002</v>
      </c>
      <c r="D4423">
        <v>0.26421</v>
      </c>
      <c r="E4423">
        <v>0.5</v>
      </c>
      <c r="F4423">
        <v>2738</v>
      </c>
      <c r="G4423">
        <v>723</v>
      </c>
      <c r="H4423">
        <v>2376</v>
      </c>
      <c r="I4423">
        <v>7787</v>
      </c>
    </row>
    <row r="4424" spans="1:9">
      <c r="A4424" s="2">
        <v>1989</v>
      </c>
      <c r="B4424">
        <v>91</v>
      </c>
      <c r="C4424">
        <v>0.33237</v>
      </c>
      <c r="D4424">
        <v>0.28499999999999998</v>
      </c>
      <c r="E4424">
        <v>0.5</v>
      </c>
      <c r="F4424">
        <v>2015</v>
      </c>
      <c r="G4424">
        <v>574</v>
      </c>
      <c r="H4424">
        <v>1728</v>
      </c>
      <c r="I4424">
        <v>5411</v>
      </c>
    </row>
    <row r="4425" spans="1:9">
      <c r="A4425" s="2">
        <v>1989</v>
      </c>
      <c r="B4425">
        <v>92</v>
      </c>
      <c r="C4425">
        <v>0.34669</v>
      </c>
      <c r="D4425">
        <v>0.29547000000000001</v>
      </c>
      <c r="E4425">
        <v>0.5</v>
      </c>
      <c r="F4425">
        <v>1441</v>
      </c>
      <c r="G4425">
        <v>426</v>
      </c>
      <c r="H4425">
        <v>1228</v>
      </c>
      <c r="I4425">
        <v>3683</v>
      </c>
    </row>
    <row r="4426" spans="1:9">
      <c r="A4426" s="2">
        <v>1989</v>
      </c>
      <c r="B4426">
        <v>93</v>
      </c>
      <c r="C4426">
        <v>0.36019000000000001</v>
      </c>
      <c r="D4426">
        <v>0.30521999999999999</v>
      </c>
      <c r="E4426">
        <v>0.5</v>
      </c>
      <c r="F4426">
        <v>1015</v>
      </c>
      <c r="G4426">
        <v>310</v>
      </c>
      <c r="H4426">
        <v>860</v>
      </c>
      <c r="I4426">
        <v>2455</v>
      </c>
    </row>
    <row r="4427" spans="1:9">
      <c r="A4427" s="2">
        <v>1989</v>
      </c>
      <c r="B4427">
        <v>94</v>
      </c>
      <c r="C4427">
        <v>0.40411000000000002</v>
      </c>
      <c r="D4427">
        <v>0.33618999999999999</v>
      </c>
      <c r="E4427">
        <v>0.5</v>
      </c>
      <c r="F4427">
        <v>705</v>
      </c>
      <c r="G4427">
        <v>237</v>
      </c>
      <c r="H4427">
        <v>587</v>
      </c>
      <c r="I4427">
        <v>1595</v>
      </c>
    </row>
    <row r="4428" spans="1:9">
      <c r="A4428" s="2">
        <v>1989</v>
      </c>
      <c r="B4428">
        <v>95</v>
      </c>
      <c r="C4428">
        <v>0.42487000000000003</v>
      </c>
      <c r="D4428">
        <v>0.35042000000000001</v>
      </c>
      <c r="E4428">
        <v>0.5</v>
      </c>
      <c r="F4428">
        <v>468</v>
      </c>
      <c r="G4428">
        <v>164</v>
      </c>
      <c r="H4428">
        <v>386</v>
      </c>
      <c r="I4428">
        <v>1009</v>
      </c>
    </row>
    <row r="4429" spans="1:9">
      <c r="A4429" s="2">
        <v>1989</v>
      </c>
      <c r="B4429">
        <v>96</v>
      </c>
      <c r="C4429">
        <v>0.45118000000000003</v>
      </c>
      <c r="D4429">
        <v>0.36813000000000001</v>
      </c>
      <c r="E4429">
        <v>0.5</v>
      </c>
      <c r="F4429">
        <v>304</v>
      </c>
      <c r="G4429">
        <v>112</v>
      </c>
      <c r="H4429">
        <v>248</v>
      </c>
      <c r="I4429">
        <v>623</v>
      </c>
    </row>
    <row r="4430" spans="1:9">
      <c r="A4430" s="2">
        <v>1989</v>
      </c>
      <c r="B4430">
        <v>97</v>
      </c>
      <c r="C4430">
        <v>0.47776000000000002</v>
      </c>
      <c r="D4430">
        <v>0.38563999999999998</v>
      </c>
      <c r="E4430">
        <v>0.5</v>
      </c>
      <c r="F4430">
        <v>192</v>
      </c>
      <c r="G4430">
        <v>74</v>
      </c>
      <c r="H4430">
        <v>155</v>
      </c>
      <c r="I4430">
        <v>375</v>
      </c>
    </row>
    <row r="4431" spans="1:9">
      <c r="A4431" s="2">
        <v>1989</v>
      </c>
      <c r="B4431">
        <v>98</v>
      </c>
      <c r="C4431">
        <v>0.50446999999999997</v>
      </c>
      <c r="D4431">
        <v>0.40286</v>
      </c>
      <c r="E4431">
        <v>0.5</v>
      </c>
      <c r="F4431">
        <v>118</v>
      </c>
      <c r="G4431">
        <v>48</v>
      </c>
      <c r="H4431">
        <v>94</v>
      </c>
      <c r="I4431">
        <v>220</v>
      </c>
    </row>
    <row r="4432" spans="1:9">
      <c r="A4432" s="2">
        <v>1989</v>
      </c>
      <c r="B4432">
        <v>99</v>
      </c>
      <c r="C4432">
        <v>0.53115999999999997</v>
      </c>
      <c r="D4432">
        <v>0.41970000000000002</v>
      </c>
      <c r="E4432">
        <v>0.5</v>
      </c>
      <c r="F4432">
        <v>70</v>
      </c>
      <c r="G4432">
        <v>30</v>
      </c>
      <c r="H4432">
        <v>56</v>
      </c>
      <c r="I4432">
        <v>125</v>
      </c>
    </row>
    <row r="4433" spans="1:9">
      <c r="A4433" s="2">
        <v>1989</v>
      </c>
      <c r="B4433">
        <v>100</v>
      </c>
      <c r="C4433">
        <v>0.55767</v>
      </c>
      <c r="D4433">
        <v>0.43608000000000002</v>
      </c>
      <c r="E4433">
        <v>0.5</v>
      </c>
      <c r="F4433">
        <v>41</v>
      </c>
      <c r="G4433">
        <v>18</v>
      </c>
      <c r="H4433">
        <v>32</v>
      </c>
      <c r="I4433">
        <v>70</v>
      </c>
    </row>
    <row r="4434" spans="1:9">
      <c r="A4434" s="2">
        <v>1989</v>
      </c>
      <c r="B4434">
        <v>101</v>
      </c>
      <c r="C4434">
        <v>0.58386000000000005</v>
      </c>
      <c r="D4434">
        <v>0.45193</v>
      </c>
      <c r="E4434">
        <v>0.5</v>
      </c>
      <c r="F4434">
        <v>23</v>
      </c>
      <c r="G4434">
        <v>10</v>
      </c>
      <c r="H4434">
        <v>18</v>
      </c>
      <c r="I4434">
        <v>38</v>
      </c>
    </row>
    <row r="4435" spans="1:9">
      <c r="A4435" s="2">
        <v>1989</v>
      </c>
      <c r="B4435">
        <v>102</v>
      </c>
      <c r="C4435">
        <v>0.60958000000000001</v>
      </c>
      <c r="D4435">
        <v>0.46717999999999998</v>
      </c>
      <c r="E4435">
        <v>0.5</v>
      </c>
      <c r="F4435">
        <v>13</v>
      </c>
      <c r="G4435">
        <v>6</v>
      </c>
      <c r="H4435">
        <v>10</v>
      </c>
      <c r="I4435">
        <v>20</v>
      </c>
    </row>
    <row r="4436" spans="1:9">
      <c r="A4436" s="2">
        <v>1989</v>
      </c>
      <c r="B4436">
        <v>103</v>
      </c>
      <c r="C4436">
        <v>0.63470000000000004</v>
      </c>
      <c r="D4436">
        <v>0.48180000000000001</v>
      </c>
      <c r="E4436">
        <v>0.5</v>
      </c>
      <c r="F4436">
        <v>7</v>
      </c>
      <c r="G4436">
        <v>3</v>
      </c>
      <c r="H4436">
        <v>5</v>
      </c>
      <c r="I4436">
        <v>10</v>
      </c>
    </row>
    <row r="4437" spans="1:9">
      <c r="A4437" s="2">
        <v>1989</v>
      </c>
      <c r="B4437">
        <v>104</v>
      </c>
      <c r="C4437">
        <v>0.65910999999999997</v>
      </c>
      <c r="D4437">
        <v>0.49574000000000001</v>
      </c>
      <c r="E4437">
        <v>0.5</v>
      </c>
      <c r="F4437">
        <v>3</v>
      </c>
      <c r="G4437">
        <v>2</v>
      </c>
      <c r="H4437">
        <v>3</v>
      </c>
      <c r="I4437">
        <v>5</v>
      </c>
    </row>
    <row r="4438" spans="1:9">
      <c r="A4438" s="2">
        <v>1989</v>
      </c>
      <c r="B4438">
        <v>105</v>
      </c>
      <c r="C4438">
        <v>0.68271000000000004</v>
      </c>
      <c r="D4438">
        <v>0.50897000000000003</v>
      </c>
      <c r="E4438">
        <v>0.5</v>
      </c>
      <c r="F4438">
        <v>2</v>
      </c>
      <c r="G4438">
        <v>1</v>
      </c>
      <c r="H4438">
        <v>1</v>
      </c>
      <c r="I4438">
        <v>3</v>
      </c>
    </row>
    <row r="4439" spans="1:9">
      <c r="A4439" s="2">
        <v>1989</v>
      </c>
      <c r="B4439">
        <v>106</v>
      </c>
      <c r="C4439">
        <v>0.70540999999999998</v>
      </c>
      <c r="D4439">
        <v>0.52148000000000005</v>
      </c>
      <c r="E4439">
        <v>0.5</v>
      </c>
      <c r="F4439">
        <v>1</v>
      </c>
      <c r="G4439">
        <v>0</v>
      </c>
      <c r="H4439">
        <v>1</v>
      </c>
      <c r="I4439">
        <v>1</v>
      </c>
    </row>
    <row r="4440" spans="1:9">
      <c r="A4440" s="2">
        <v>1989</v>
      </c>
      <c r="B4440">
        <v>107</v>
      </c>
      <c r="C4440">
        <v>0.72711999999999999</v>
      </c>
      <c r="D4440">
        <v>0.53325</v>
      </c>
      <c r="E4440">
        <v>0.5</v>
      </c>
      <c r="F4440">
        <v>0</v>
      </c>
      <c r="G4440">
        <v>0</v>
      </c>
      <c r="H4440">
        <v>0</v>
      </c>
      <c r="I4440">
        <v>1</v>
      </c>
    </row>
    <row r="4441" spans="1:9">
      <c r="A4441" s="2">
        <v>1989</v>
      </c>
      <c r="B4441">
        <v>108</v>
      </c>
      <c r="C4441">
        <v>0.74780999999999997</v>
      </c>
      <c r="D4441">
        <v>0.54430000000000001</v>
      </c>
      <c r="E4441">
        <v>0.5</v>
      </c>
      <c r="F4441">
        <v>0</v>
      </c>
      <c r="G4441">
        <v>0</v>
      </c>
      <c r="H4441">
        <v>0</v>
      </c>
      <c r="I4441">
        <v>0</v>
      </c>
    </row>
    <row r="4442" spans="1:9">
      <c r="A4442" s="2">
        <v>1989</v>
      </c>
      <c r="B4442">
        <v>109</v>
      </c>
      <c r="C4442">
        <v>0.76744000000000001</v>
      </c>
      <c r="D4442">
        <v>0.55462</v>
      </c>
      <c r="E4442">
        <v>0.5</v>
      </c>
      <c r="F4442">
        <v>0</v>
      </c>
      <c r="G4442">
        <v>0</v>
      </c>
      <c r="H4442">
        <v>0</v>
      </c>
      <c r="I4442">
        <v>0</v>
      </c>
    </row>
    <row r="4443" spans="1:9">
      <c r="A4443" s="2">
        <v>1989</v>
      </c>
      <c r="B4443" t="s">
        <v>26</v>
      </c>
      <c r="C4443">
        <v>0.78596999999999995</v>
      </c>
      <c r="D4443">
        <v>1</v>
      </c>
      <c r="E4443" s="3" t="s">
        <v>37</v>
      </c>
      <c r="F4443">
        <v>0</v>
      </c>
      <c r="G4443">
        <v>0</v>
      </c>
      <c r="H4443">
        <v>0</v>
      </c>
      <c r="I4443">
        <v>0</v>
      </c>
    </row>
    <row r="4444" spans="1:9">
      <c r="A4444" s="2">
        <v>1990</v>
      </c>
      <c r="B4444">
        <v>0</v>
      </c>
      <c r="C4444">
        <v>1.6889999999999999E-2</v>
      </c>
      <c r="D4444">
        <v>1.6639999999999999E-2</v>
      </c>
      <c r="E4444">
        <v>0.12</v>
      </c>
      <c r="F4444">
        <v>100000</v>
      </c>
      <c r="G4444">
        <v>1664</v>
      </c>
      <c r="H4444">
        <v>98528</v>
      </c>
      <c r="I4444">
        <v>6514522</v>
      </c>
    </row>
    <row r="4445" spans="1:9">
      <c r="A4445" s="2">
        <v>1990</v>
      </c>
      <c r="B4445">
        <v>1</v>
      </c>
      <c r="C4445">
        <v>7.3999999999999999E-4</v>
      </c>
      <c r="D4445">
        <v>7.3999999999999999E-4</v>
      </c>
      <c r="E4445">
        <v>0.5</v>
      </c>
      <c r="F4445">
        <v>98336</v>
      </c>
      <c r="G4445">
        <v>73</v>
      </c>
      <c r="H4445">
        <v>98300</v>
      </c>
      <c r="I4445">
        <v>6415994</v>
      </c>
    </row>
    <row r="4446" spans="1:9">
      <c r="A4446" s="2">
        <v>1990</v>
      </c>
      <c r="B4446">
        <v>2</v>
      </c>
      <c r="C4446">
        <v>5.1000000000000004E-4</v>
      </c>
      <c r="D4446">
        <v>5.1000000000000004E-4</v>
      </c>
      <c r="E4446">
        <v>0.5</v>
      </c>
      <c r="F4446">
        <v>98263</v>
      </c>
      <c r="G4446">
        <v>50</v>
      </c>
      <c r="H4446">
        <v>98238</v>
      </c>
      <c r="I4446">
        <v>6317695</v>
      </c>
    </row>
    <row r="4447" spans="1:9">
      <c r="A4447" s="2">
        <v>1990</v>
      </c>
      <c r="B4447">
        <v>3</v>
      </c>
      <c r="C4447">
        <v>5.9999999999999995E-4</v>
      </c>
      <c r="D4447">
        <v>5.9999999999999995E-4</v>
      </c>
      <c r="E4447">
        <v>0.5</v>
      </c>
      <c r="F4447">
        <v>98213</v>
      </c>
      <c r="G4447">
        <v>59</v>
      </c>
      <c r="H4447">
        <v>98184</v>
      </c>
      <c r="I4447">
        <v>6219456</v>
      </c>
    </row>
    <row r="4448" spans="1:9">
      <c r="A4448" s="2">
        <v>1990</v>
      </c>
      <c r="B4448">
        <v>4</v>
      </c>
      <c r="C4448">
        <v>3.8999999999999999E-4</v>
      </c>
      <c r="D4448">
        <v>3.8999999999999999E-4</v>
      </c>
      <c r="E4448">
        <v>0.5</v>
      </c>
      <c r="F4448">
        <v>98154</v>
      </c>
      <c r="G4448">
        <v>38</v>
      </c>
      <c r="H4448">
        <v>98135</v>
      </c>
      <c r="I4448">
        <v>6121272</v>
      </c>
    </row>
    <row r="4449" spans="1:9">
      <c r="A4449" s="2">
        <v>1990</v>
      </c>
      <c r="B4449">
        <v>5</v>
      </c>
      <c r="C4449">
        <v>2.2000000000000001E-4</v>
      </c>
      <c r="D4449">
        <v>2.2000000000000001E-4</v>
      </c>
      <c r="E4449">
        <v>0.5</v>
      </c>
      <c r="F4449">
        <v>98116</v>
      </c>
      <c r="G4449">
        <v>22</v>
      </c>
      <c r="H4449">
        <v>98105</v>
      </c>
      <c r="I4449">
        <v>6023137</v>
      </c>
    </row>
    <row r="4450" spans="1:9">
      <c r="A4450" s="2">
        <v>1990</v>
      </c>
      <c r="B4450">
        <v>6</v>
      </c>
      <c r="C4450">
        <v>2.9E-4</v>
      </c>
      <c r="D4450">
        <v>2.9E-4</v>
      </c>
      <c r="E4450">
        <v>0.5</v>
      </c>
      <c r="F4450">
        <v>98095</v>
      </c>
      <c r="G4450">
        <v>28</v>
      </c>
      <c r="H4450">
        <v>98080</v>
      </c>
      <c r="I4450">
        <v>5925032</v>
      </c>
    </row>
    <row r="4451" spans="1:9">
      <c r="A4451" s="2">
        <v>1990</v>
      </c>
      <c r="B4451">
        <v>7</v>
      </c>
      <c r="C4451">
        <v>3.4000000000000002E-4</v>
      </c>
      <c r="D4451">
        <v>3.4000000000000002E-4</v>
      </c>
      <c r="E4451">
        <v>0.5</v>
      </c>
      <c r="F4451">
        <v>98066</v>
      </c>
      <c r="G4451">
        <v>33</v>
      </c>
      <c r="H4451">
        <v>98050</v>
      </c>
      <c r="I4451">
        <v>5826951</v>
      </c>
    </row>
    <row r="4452" spans="1:9">
      <c r="A4452" s="2">
        <v>1990</v>
      </c>
      <c r="B4452">
        <v>8</v>
      </c>
      <c r="C4452">
        <v>5.0000000000000001E-4</v>
      </c>
      <c r="D4452">
        <v>5.0000000000000001E-4</v>
      </c>
      <c r="E4452">
        <v>0.5</v>
      </c>
      <c r="F4452">
        <v>98033</v>
      </c>
      <c r="G4452">
        <v>49</v>
      </c>
      <c r="H4452">
        <v>98009</v>
      </c>
      <c r="I4452">
        <v>5728902</v>
      </c>
    </row>
    <row r="4453" spans="1:9">
      <c r="A4453" s="2">
        <v>1990</v>
      </c>
      <c r="B4453">
        <v>9</v>
      </c>
      <c r="C4453">
        <v>2.1000000000000001E-4</v>
      </c>
      <c r="D4453">
        <v>2.1000000000000001E-4</v>
      </c>
      <c r="E4453">
        <v>0.5</v>
      </c>
      <c r="F4453">
        <v>97984</v>
      </c>
      <c r="G4453">
        <v>20</v>
      </c>
      <c r="H4453">
        <v>97974</v>
      </c>
      <c r="I4453">
        <v>5630893</v>
      </c>
    </row>
    <row r="4454" spans="1:9">
      <c r="A4454" s="2">
        <v>1990</v>
      </c>
      <c r="B4454">
        <v>10</v>
      </c>
      <c r="C4454">
        <v>2.9999999999999997E-4</v>
      </c>
      <c r="D4454">
        <v>2.9999999999999997E-4</v>
      </c>
      <c r="E4454">
        <v>0.5</v>
      </c>
      <c r="F4454">
        <v>97964</v>
      </c>
      <c r="G4454">
        <v>29</v>
      </c>
      <c r="H4454">
        <v>97949</v>
      </c>
      <c r="I4454">
        <v>5532919</v>
      </c>
    </row>
    <row r="4455" spans="1:9">
      <c r="A4455" s="2">
        <v>1990</v>
      </c>
      <c r="B4455">
        <v>11</v>
      </c>
      <c r="C4455">
        <v>1.7000000000000001E-4</v>
      </c>
      <c r="D4455">
        <v>1.7000000000000001E-4</v>
      </c>
      <c r="E4455">
        <v>0.5</v>
      </c>
      <c r="F4455">
        <v>97934</v>
      </c>
      <c r="G4455">
        <v>17</v>
      </c>
      <c r="H4455">
        <v>97926</v>
      </c>
      <c r="I4455">
        <v>5434970</v>
      </c>
    </row>
    <row r="4456" spans="1:9">
      <c r="A4456" s="2">
        <v>1990</v>
      </c>
      <c r="B4456">
        <v>12</v>
      </c>
      <c r="C4456">
        <v>2.3000000000000001E-4</v>
      </c>
      <c r="D4456">
        <v>2.3000000000000001E-4</v>
      </c>
      <c r="E4456">
        <v>0.5</v>
      </c>
      <c r="F4456">
        <v>97917</v>
      </c>
      <c r="G4456">
        <v>23</v>
      </c>
      <c r="H4456">
        <v>97906</v>
      </c>
      <c r="I4456">
        <v>5337044</v>
      </c>
    </row>
    <row r="4457" spans="1:9">
      <c r="A4457" s="2">
        <v>1990</v>
      </c>
      <c r="B4457">
        <v>13</v>
      </c>
      <c r="C4457">
        <v>4.0000000000000002E-4</v>
      </c>
      <c r="D4457">
        <v>4.0000000000000002E-4</v>
      </c>
      <c r="E4457">
        <v>0.5</v>
      </c>
      <c r="F4457">
        <v>97895</v>
      </c>
      <c r="G4457">
        <v>39</v>
      </c>
      <c r="H4457">
        <v>97875</v>
      </c>
      <c r="I4457">
        <v>5239138</v>
      </c>
    </row>
    <row r="4458" spans="1:9">
      <c r="A4458" s="2">
        <v>1990</v>
      </c>
      <c r="B4458">
        <v>14</v>
      </c>
      <c r="C4458">
        <v>5.1000000000000004E-4</v>
      </c>
      <c r="D4458">
        <v>5.1000000000000004E-4</v>
      </c>
      <c r="E4458">
        <v>0.5</v>
      </c>
      <c r="F4458">
        <v>97855</v>
      </c>
      <c r="G4458">
        <v>50</v>
      </c>
      <c r="H4458">
        <v>97830</v>
      </c>
      <c r="I4458">
        <v>5141263</v>
      </c>
    </row>
    <row r="4459" spans="1:9">
      <c r="A4459" s="2">
        <v>1990</v>
      </c>
      <c r="B4459">
        <v>15</v>
      </c>
      <c r="C4459">
        <v>7.2000000000000005E-4</v>
      </c>
      <c r="D4459">
        <v>7.2000000000000005E-4</v>
      </c>
      <c r="E4459">
        <v>0.5</v>
      </c>
      <c r="F4459">
        <v>97805</v>
      </c>
      <c r="G4459">
        <v>70</v>
      </c>
      <c r="H4459">
        <v>97770</v>
      </c>
      <c r="I4459">
        <v>5043433</v>
      </c>
    </row>
    <row r="4460" spans="1:9">
      <c r="A4460" s="2">
        <v>1990</v>
      </c>
      <c r="B4460">
        <v>16</v>
      </c>
      <c r="C4460">
        <v>6.8000000000000005E-4</v>
      </c>
      <c r="D4460">
        <v>6.8000000000000005E-4</v>
      </c>
      <c r="E4460">
        <v>0.5</v>
      </c>
      <c r="F4460">
        <v>97735</v>
      </c>
      <c r="G4460">
        <v>66</v>
      </c>
      <c r="H4460">
        <v>97702</v>
      </c>
      <c r="I4460">
        <v>4945662</v>
      </c>
    </row>
    <row r="4461" spans="1:9">
      <c r="A4461" s="2">
        <v>1990</v>
      </c>
      <c r="B4461">
        <v>17</v>
      </c>
      <c r="C4461">
        <v>1.15E-3</v>
      </c>
      <c r="D4461">
        <v>1.15E-3</v>
      </c>
      <c r="E4461">
        <v>0.5</v>
      </c>
      <c r="F4461">
        <v>97669</v>
      </c>
      <c r="G4461">
        <v>112</v>
      </c>
      <c r="H4461">
        <v>97613</v>
      </c>
      <c r="I4461">
        <v>4847960</v>
      </c>
    </row>
    <row r="4462" spans="1:9">
      <c r="A4462" s="2">
        <v>1990</v>
      </c>
      <c r="B4462">
        <v>18</v>
      </c>
      <c r="C4462">
        <v>1.2999999999999999E-3</v>
      </c>
      <c r="D4462">
        <v>1.2999999999999999E-3</v>
      </c>
      <c r="E4462">
        <v>0.5</v>
      </c>
      <c r="F4462">
        <v>97557</v>
      </c>
      <c r="G4462">
        <v>127</v>
      </c>
      <c r="H4462">
        <v>97493</v>
      </c>
      <c r="I4462">
        <v>4750347</v>
      </c>
    </row>
    <row r="4463" spans="1:9">
      <c r="A4463" s="2">
        <v>1990</v>
      </c>
      <c r="B4463">
        <v>19</v>
      </c>
      <c r="C4463">
        <v>1.3699999999999999E-3</v>
      </c>
      <c r="D4463">
        <v>1.3600000000000001E-3</v>
      </c>
      <c r="E4463">
        <v>0.5</v>
      </c>
      <c r="F4463">
        <v>97430</v>
      </c>
      <c r="G4463">
        <v>133</v>
      </c>
      <c r="H4463">
        <v>97363</v>
      </c>
      <c r="I4463">
        <v>4652854</v>
      </c>
    </row>
    <row r="4464" spans="1:9">
      <c r="A4464" s="2">
        <v>1990</v>
      </c>
      <c r="B4464">
        <v>20</v>
      </c>
      <c r="C4464">
        <v>1.5499999999999999E-3</v>
      </c>
      <c r="D4464">
        <v>1.5499999999999999E-3</v>
      </c>
      <c r="E4464">
        <v>0.5</v>
      </c>
      <c r="F4464">
        <v>97297</v>
      </c>
      <c r="G4464">
        <v>151</v>
      </c>
      <c r="H4464">
        <v>97222</v>
      </c>
      <c r="I4464">
        <v>4555491</v>
      </c>
    </row>
    <row r="4465" spans="1:9">
      <c r="A4465" s="2">
        <v>1990</v>
      </c>
      <c r="B4465">
        <v>21</v>
      </c>
      <c r="C4465">
        <v>1.48E-3</v>
      </c>
      <c r="D4465">
        <v>1.48E-3</v>
      </c>
      <c r="E4465">
        <v>0.5</v>
      </c>
      <c r="F4465">
        <v>97146</v>
      </c>
      <c r="G4465">
        <v>143</v>
      </c>
      <c r="H4465">
        <v>97075</v>
      </c>
      <c r="I4465">
        <v>4458269</v>
      </c>
    </row>
    <row r="4466" spans="1:9">
      <c r="A4466" s="2">
        <v>1990</v>
      </c>
      <c r="B4466">
        <v>22</v>
      </c>
      <c r="C4466">
        <v>1.6299999999999999E-3</v>
      </c>
      <c r="D4466">
        <v>1.6199999999999999E-3</v>
      </c>
      <c r="E4466">
        <v>0.5</v>
      </c>
      <c r="F4466">
        <v>97003</v>
      </c>
      <c r="G4466">
        <v>158</v>
      </c>
      <c r="H4466">
        <v>96924</v>
      </c>
      <c r="I4466">
        <v>4361194</v>
      </c>
    </row>
    <row r="4467" spans="1:9">
      <c r="A4467" s="2">
        <v>1990</v>
      </c>
      <c r="B4467">
        <v>23</v>
      </c>
      <c r="C4467">
        <v>1.5200000000000001E-3</v>
      </c>
      <c r="D4467">
        <v>1.5200000000000001E-3</v>
      </c>
      <c r="E4467">
        <v>0.5</v>
      </c>
      <c r="F4467">
        <v>96845</v>
      </c>
      <c r="G4467">
        <v>147</v>
      </c>
      <c r="H4467">
        <v>96772</v>
      </c>
      <c r="I4467">
        <v>4264270</v>
      </c>
    </row>
    <row r="4468" spans="1:9">
      <c r="A4468" s="2">
        <v>1990</v>
      </c>
      <c r="B4468">
        <v>24</v>
      </c>
      <c r="C4468">
        <v>1.57E-3</v>
      </c>
      <c r="D4468">
        <v>1.57E-3</v>
      </c>
      <c r="E4468">
        <v>0.5</v>
      </c>
      <c r="F4468">
        <v>96698</v>
      </c>
      <c r="G4468">
        <v>151</v>
      </c>
      <c r="H4468">
        <v>96622</v>
      </c>
      <c r="I4468">
        <v>4167498</v>
      </c>
    </row>
    <row r="4469" spans="1:9">
      <c r="A4469" s="2">
        <v>1990</v>
      </c>
      <c r="B4469">
        <v>25</v>
      </c>
      <c r="C4469">
        <v>1.6000000000000001E-3</v>
      </c>
      <c r="D4469">
        <v>1.6000000000000001E-3</v>
      </c>
      <c r="E4469">
        <v>0.5</v>
      </c>
      <c r="F4469">
        <v>96547</v>
      </c>
      <c r="G4469">
        <v>154</v>
      </c>
      <c r="H4469">
        <v>96470</v>
      </c>
      <c r="I4469">
        <v>4070876</v>
      </c>
    </row>
    <row r="4470" spans="1:9">
      <c r="A4470" s="2">
        <v>1990</v>
      </c>
      <c r="B4470">
        <v>26</v>
      </c>
      <c r="C4470">
        <v>1.89E-3</v>
      </c>
      <c r="D4470">
        <v>1.89E-3</v>
      </c>
      <c r="E4470">
        <v>0.5</v>
      </c>
      <c r="F4470">
        <v>96393</v>
      </c>
      <c r="G4470">
        <v>182</v>
      </c>
      <c r="H4470">
        <v>96302</v>
      </c>
      <c r="I4470">
        <v>3974406</v>
      </c>
    </row>
    <row r="4471" spans="1:9">
      <c r="A4471" s="2">
        <v>1990</v>
      </c>
      <c r="B4471">
        <v>27</v>
      </c>
      <c r="C4471">
        <v>2.0999999999999999E-3</v>
      </c>
      <c r="D4471">
        <v>2.0999999999999999E-3</v>
      </c>
      <c r="E4471">
        <v>0.5</v>
      </c>
      <c r="F4471">
        <v>96211</v>
      </c>
      <c r="G4471">
        <v>202</v>
      </c>
      <c r="H4471">
        <v>96110</v>
      </c>
      <c r="I4471">
        <v>3878104</v>
      </c>
    </row>
    <row r="4472" spans="1:9">
      <c r="A4472" s="2">
        <v>1990</v>
      </c>
      <c r="B4472">
        <v>28</v>
      </c>
      <c r="C4472">
        <v>2.3500000000000001E-3</v>
      </c>
      <c r="D4472">
        <v>2.3400000000000001E-3</v>
      </c>
      <c r="E4472">
        <v>0.5</v>
      </c>
      <c r="F4472">
        <v>96009</v>
      </c>
      <c r="G4472">
        <v>225</v>
      </c>
      <c r="H4472">
        <v>95897</v>
      </c>
      <c r="I4472">
        <v>3781994</v>
      </c>
    </row>
    <row r="4473" spans="1:9">
      <c r="A4473" s="2">
        <v>1990</v>
      </c>
      <c r="B4473">
        <v>29</v>
      </c>
      <c r="C4473">
        <v>2.2300000000000002E-3</v>
      </c>
      <c r="D4473">
        <v>2.2300000000000002E-3</v>
      </c>
      <c r="E4473">
        <v>0.5</v>
      </c>
      <c r="F4473">
        <v>95784</v>
      </c>
      <c r="G4473">
        <v>213</v>
      </c>
      <c r="H4473">
        <v>95678</v>
      </c>
      <c r="I4473">
        <v>3686098</v>
      </c>
    </row>
    <row r="4474" spans="1:9">
      <c r="A4474" s="2">
        <v>1990</v>
      </c>
      <c r="B4474">
        <v>30</v>
      </c>
      <c r="C4474">
        <v>2.5400000000000002E-3</v>
      </c>
      <c r="D4474">
        <v>2.5400000000000002E-3</v>
      </c>
      <c r="E4474">
        <v>0.5</v>
      </c>
      <c r="F4474">
        <v>95571</v>
      </c>
      <c r="G4474">
        <v>243</v>
      </c>
      <c r="H4474">
        <v>95450</v>
      </c>
      <c r="I4474">
        <v>3590420</v>
      </c>
    </row>
    <row r="4475" spans="1:9">
      <c r="A4475" s="2">
        <v>1990</v>
      </c>
      <c r="B4475">
        <v>31</v>
      </c>
      <c r="C4475">
        <v>3.0200000000000001E-3</v>
      </c>
      <c r="D4475">
        <v>3.0200000000000001E-3</v>
      </c>
      <c r="E4475">
        <v>0.5</v>
      </c>
      <c r="F4475">
        <v>95328</v>
      </c>
      <c r="G4475">
        <v>288</v>
      </c>
      <c r="H4475">
        <v>95185</v>
      </c>
      <c r="I4475">
        <v>3494970</v>
      </c>
    </row>
    <row r="4476" spans="1:9">
      <c r="A4476" s="2">
        <v>1990</v>
      </c>
      <c r="B4476">
        <v>32</v>
      </c>
      <c r="C4476">
        <v>3.3500000000000001E-3</v>
      </c>
      <c r="D4476">
        <v>3.3400000000000001E-3</v>
      </c>
      <c r="E4476">
        <v>0.5</v>
      </c>
      <c r="F4476">
        <v>95041</v>
      </c>
      <c r="G4476">
        <v>318</v>
      </c>
      <c r="H4476">
        <v>94882</v>
      </c>
      <c r="I4476">
        <v>3399786</v>
      </c>
    </row>
    <row r="4477" spans="1:9">
      <c r="A4477" s="2">
        <v>1990</v>
      </c>
      <c r="B4477">
        <v>33</v>
      </c>
      <c r="C4477">
        <v>3.2100000000000002E-3</v>
      </c>
      <c r="D4477">
        <v>3.2100000000000002E-3</v>
      </c>
      <c r="E4477">
        <v>0.5</v>
      </c>
      <c r="F4477">
        <v>94723</v>
      </c>
      <c r="G4477">
        <v>304</v>
      </c>
      <c r="H4477">
        <v>94571</v>
      </c>
      <c r="I4477">
        <v>3304904</v>
      </c>
    </row>
    <row r="4478" spans="1:9">
      <c r="A4478" s="2">
        <v>1990</v>
      </c>
      <c r="B4478">
        <v>34</v>
      </c>
      <c r="C4478">
        <v>3.8400000000000001E-3</v>
      </c>
      <c r="D4478">
        <v>3.8400000000000001E-3</v>
      </c>
      <c r="E4478">
        <v>0.5</v>
      </c>
      <c r="F4478">
        <v>94419</v>
      </c>
      <c r="G4478">
        <v>362</v>
      </c>
      <c r="H4478">
        <v>94238</v>
      </c>
      <c r="I4478">
        <v>3210333</v>
      </c>
    </row>
    <row r="4479" spans="1:9">
      <c r="A4479" s="2">
        <v>1990</v>
      </c>
      <c r="B4479">
        <v>35</v>
      </c>
      <c r="C4479">
        <v>4.0899999999999999E-3</v>
      </c>
      <c r="D4479">
        <v>4.0800000000000003E-3</v>
      </c>
      <c r="E4479">
        <v>0.5</v>
      </c>
      <c r="F4479">
        <v>94057</v>
      </c>
      <c r="G4479">
        <v>384</v>
      </c>
      <c r="H4479">
        <v>93865</v>
      </c>
      <c r="I4479">
        <v>3116095</v>
      </c>
    </row>
    <row r="4480" spans="1:9">
      <c r="A4480" s="2">
        <v>1990</v>
      </c>
      <c r="B4480">
        <v>36</v>
      </c>
      <c r="C4480">
        <v>4.4000000000000003E-3</v>
      </c>
      <c r="D4480">
        <v>4.3899999999999998E-3</v>
      </c>
      <c r="E4480">
        <v>0.5</v>
      </c>
      <c r="F4480">
        <v>93673</v>
      </c>
      <c r="G4480">
        <v>411</v>
      </c>
      <c r="H4480">
        <v>93468</v>
      </c>
      <c r="I4480">
        <v>3022230</v>
      </c>
    </row>
    <row r="4481" spans="1:9">
      <c r="A4481" s="2">
        <v>1990</v>
      </c>
      <c r="B4481">
        <v>37</v>
      </c>
      <c r="C4481">
        <v>4.8500000000000001E-3</v>
      </c>
      <c r="D4481">
        <v>4.8300000000000001E-3</v>
      </c>
      <c r="E4481">
        <v>0.5</v>
      </c>
      <c r="F4481">
        <v>93262</v>
      </c>
      <c r="G4481">
        <v>451</v>
      </c>
      <c r="H4481">
        <v>93037</v>
      </c>
      <c r="I4481">
        <v>2928762</v>
      </c>
    </row>
    <row r="4482" spans="1:9">
      <c r="A4482" s="2">
        <v>1990</v>
      </c>
      <c r="B4482">
        <v>38</v>
      </c>
      <c r="C4482">
        <v>6.0099999999999997E-3</v>
      </c>
      <c r="D4482">
        <v>5.9899999999999997E-3</v>
      </c>
      <c r="E4482">
        <v>0.5</v>
      </c>
      <c r="F4482">
        <v>92811</v>
      </c>
      <c r="G4482">
        <v>556</v>
      </c>
      <c r="H4482">
        <v>92533</v>
      </c>
      <c r="I4482">
        <v>2835726</v>
      </c>
    </row>
    <row r="4483" spans="1:9">
      <c r="A4483" s="2">
        <v>1990</v>
      </c>
      <c r="B4483">
        <v>39</v>
      </c>
      <c r="C4483">
        <v>5.3800000000000002E-3</v>
      </c>
      <c r="D4483">
        <v>5.3600000000000002E-3</v>
      </c>
      <c r="E4483">
        <v>0.5</v>
      </c>
      <c r="F4483">
        <v>92256</v>
      </c>
      <c r="G4483">
        <v>495</v>
      </c>
      <c r="H4483">
        <v>92008</v>
      </c>
      <c r="I4483">
        <v>2743192</v>
      </c>
    </row>
    <row r="4484" spans="1:9">
      <c r="A4484" s="2">
        <v>1990</v>
      </c>
      <c r="B4484">
        <v>40</v>
      </c>
      <c r="C4484">
        <v>5.7600000000000004E-3</v>
      </c>
      <c r="D4484">
        <v>5.7499999999999999E-3</v>
      </c>
      <c r="E4484">
        <v>0.5</v>
      </c>
      <c r="F4484">
        <v>91761</v>
      </c>
      <c r="G4484">
        <v>527</v>
      </c>
      <c r="H4484">
        <v>91497</v>
      </c>
      <c r="I4484">
        <v>2651184</v>
      </c>
    </row>
    <row r="4485" spans="1:9">
      <c r="A4485" s="2">
        <v>1990</v>
      </c>
      <c r="B4485">
        <v>41</v>
      </c>
      <c r="C4485">
        <v>6.5700000000000003E-3</v>
      </c>
      <c r="D4485">
        <v>6.5399999999999998E-3</v>
      </c>
      <c r="E4485">
        <v>0.5</v>
      </c>
      <c r="F4485">
        <v>91234</v>
      </c>
      <c r="G4485">
        <v>597</v>
      </c>
      <c r="H4485">
        <v>90935</v>
      </c>
      <c r="I4485">
        <v>2559686</v>
      </c>
    </row>
    <row r="4486" spans="1:9">
      <c r="A4486" s="2">
        <v>1990</v>
      </c>
      <c r="B4486">
        <v>42</v>
      </c>
      <c r="C4486">
        <v>7.2399999999999999E-3</v>
      </c>
      <c r="D4486">
        <v>7.2199999999999999E-3</v>
      </c>
      <c r="E4486">
        <v>0.5</v>
      </c>
      <c r="F4486">
        <v>90637</v>
      </c>
      <c r="G4486">
        <v>654</v>
      </c>
      <c r="H4486">
        <v>90310</v>
      </c>
      <c r="I4486">
        <v>2468751</v>
      </c>
    </row>
    <row r="4487" spans="1:9">
      <c r="A4487" s="2">
        <v>1990</v>
      </c>
      <c r="B4487">
        <v>43</v>
      </c>
      <c r="C4487">
        <v>7.7400000000000004E-3</v>
      </c>
      <c r="D4487">
        <v>7.7099999999999998E-3</v>
      </c>
      <c r="E4487">
        <v>0.5</v>
      </c>
      <c r="F4487">
        <v>89983</v>
      </c>
      <c r="G4487">
        <v>694</v>
      </c>
      <c r="H4487">
        <v>89636</v>
      </c>
      <c r="I4487">
        <v>2378442</v>
      </c>
    </row>
    <row r="4488" spans="1:9">
      <c r="A4488" s="2">
        <v>1990</v>
      </c>
      <c r="B4488">
        <v>44</v>
      </c>
      <c r="C4488">
        <v>8.4600000000000005E-3</v>
      </c>
      <c r="D4488">
        <v>8.43E-3</v>
      </c>
      <c r="E4488">
        <v>0.5</v>
      </c>
      <c r="F4488">
        <v>89289</v>
      </c>
      <c r="G4488">
        <v>752</v>
      </c>
      <c r="H4488">
        <v>88913</v>
      </c>
      <c r="I4488">
        <v>2288806</v>
      </c>
    </row>
    <row r="4489" spans="1:9">
      <c r="A4489" s="2">
        <v>1990</v>
      </c>
      <c r="B4489">
        <v>45</v>
      </c>
      <c r="C4489">
        <v>9.5200000000000007E-3</v>
      </c>
      <c r="D4489">
        <v>9.4699999999999993E-3</v>
      </c>
      <c r="E4489">
        <v>0.5</v>
      </c>
      <c r="F4489">
        <v>88536</v>
      </c>
      <c r="G4489">
        <v>838</v>
      </c>
      <c r="H4489">
        <v>88117</v>
      </c>
      <c r="I4489">
        <v>2199893</v>
      </c>
    </row>
    <row r="4490" spans="1:9">
      <c r="A4490" s="2">
        <v>1990</v>
      </c>
      <c r="B4490">
        <v>46</v>
      </c>
      <c r="C4490">
        <v>1.1299999999999999E-2</v>
      </c>
      <c r="D4490">
        <v>1.124E-2</v>
      </c>
      <c r="E4490">
        <v>0.5</v>
      </c>
      <c r="F4490">
        <v>87698</v>
      </c>
      <c r="G4490">
        <v>985</v>
      </c>
      <c r="H4490">
        <v>87205</v>
      </c>
      <c r="I4490">
        <v>2111776</v>
      </c>
    </row>
    <row r="4491" spans="1:9">
      <c r="A4491" s="2">
        <v>1990</v>
      </c>
      <c r="B4491">
        <v>47</v>
      </c>
      <c r="C4491">
        <v>1.112E-2</v>
      </c>
      <c r="D4491">
        <v>1.106E-2</v>
      </c>
      <c r="E4491">
        <v>0.5</v>
      </c>
      <c r="F4491">
        <v>86713</v>
      </c>
      <c r="G4491">
        <v>959</v>
      </c>
      <c r="H4491">
        <v>86233</v>
      </c>
      <c r="I4491">
        <v>2024571</v>
      </c>
    </row>
    <row r="4492" spans="1:9">
      <c r="A4492" s="2">
        <v>1990</v>
      </c>
      <c r="B4492">
        <v>48</v>
      </c>
      <c r="C4492">
        <v>1.2630000000000001E-2</v>
      </c>
      <c r="D4492">
        <v>1.255E-2</v>
      </c>
      <c r="E4492">
        <v>0.5</v>
      </c>
      <c r="F4492">
        <v>85753</v>
      </c>
      <c r="G4492">
        <v>1076</v>
      </c>
      <c r="H4492">
        <v>85215</v>
      </c>
      <c r="I4492">
        <v>1938338</v>
      </c>
    </row>
    <row r="4493" spans="1:9">
      <c r="A4493" s="2">
        <v>1990</v>
      </c>
      <c r="B4493">
        <v>49</v>
      </c>
      <c r="C4493">
        <v>1.312E-2</v>
      </c>
      <c r="D4493">
        <v>1.304E-2</v>
      </c>
      <c r="E4493">
        <v>0.5</v>
      </c>
      <c r="F4493">
        <v>84677</v>
      </c>
      <c r="G4493">
        <v>1104</v>
      </c>
      <c r="H4493">
        <v>84125</v>
      </c>
      <c r="I4493">
        <v>1853123</v>
      </c>
    </row>
    <row r="4494" spans="1:9">
      <c r="A4494" s="2">
        <v>1990</v>
      </c>
      <c r="B4494">
        <v>50</v>
      </c>
      <c r="C4494">
        <v>1.4579999999999999E-2</v>
      </c>
      <c r="D4494">
        <v>1.447E-2</v>
      </c>
      <c r="E4494">
        <v>0.5</v>
      </c>
      <c r="F4494">
        <v>83573</v>
      </c>
      <c r="G4494">
        <v>1209</v>
      </c>
      <c r="H4494">
        <v>82969</v>
      </c>
      <c r="I4494">
        <v>1768998</v>
      </c>
    </row>
    <row r="4495" spans="1:9">
      <c r="A4495" s="2">
        <v>1990</v>
      </c>
      <c r="B4495">
        <v>51</v>
      </c>
      <c r="C4495">
        <v>1.4659999999999999E-2</v>
      </c>
      <c r="D4495">
        <v>1.456E-2</v>
      </c>
      <c r="E4495">
        <v>0.5</v>
      </c>
      <c r="F4495">
        <v>82364</v>
      </c>
      <c r="G4495">
        <v>1199</v>
      </c>
      <c r="H4495">
        <v>81764</v>
      </c>
      <c r="I4495">
        <v>1686029</v>
      </c>
    </row>
    <row r="4496" spans="1:9">
      <c r="A4496" s="2">
        <v>1990</v>
      </c>
      <c r="B4496">
        <v>52</v>
      </c>
      <c r="C4496">
        <v>1.6719999999999999E-2</v>
      </c>
      <c r="D4496">
        <v>1.6580000000000001E-2</v>
      </c>
      <c r="E4496">
        <v>0.5</v>
      </c>
      <c r="F4496">
        <v>81165</v>
      </c>
      <c r="G4496">
        <v>1345</v>
      </c>
      <c r="H4496">
        <v>80492</v>
      </c>
      <c r="I4496">
        <v>1604264</v>
      </c>
    </row>
    <row r="4497" spans="1:9">
      <c r="A4497" s="2">
        <v>1990</v>
      </c>
      <c r="B4497">
        <v>53</v>
      </c>
      <c r="C4497">
        <v>1.8280000000000001E-2</v>
      </c>
      <c r="D4497">
        <v>1.8120000000000001E-2</v>
      </c>
      <c r="E4497">
        <v>0.5</v>
      </c>
      <c r="F4497">
        <v>79820</v>
      </c>
      <c r="G4497">
        <v>1446</v>
      </c>
      <c r="H4497">
        <v>79096</v>
      </c>
      <c r="I4497">
        <v>1523772</v>
      </c>
    </row>
    <row r="4498" spans="1:9">
      <c r="A4498" s="2">
        <v>1990</v>
      </c>
      <c r="B4498">
        <v>54</v>
      </c>
      <c r="C4498">
        <v>1.9689999999999999E-2</v>
      </c>
      <c r="D4498">
        <v>1.95E-2</v>
      </c>
      <c r="E4498">
        <v>0.5</v>
      </c>
      <c r="F4498">
        <v>78373</v>
      </c>
      <c r="G4498">
        <v>1528</v>
      </c>
      <c r="H4498">
        <v>77609</v>
      </c>
      <c r="I4498">
        <v>1444676</v>
      </c>
    </row>
    <row r="4499" spans="1:9">
      <c r="A4499" s="2">
        <v>1990</v>
      </c>
      <c r="B4499">
        <v>55</v>
      </c>
      <c r="C4499">
        <v>2.061E-2</v>
      </c>
      <c r="D4499">
        <v>2.0400000000000001E-2</v>
      </c>
      <c r="E4499">
        <v>0.5</v>
      </c>
      <c r="F4499">
        <v>76845</v>
      </c>
      <c r="G4499">
        <v>1568</v>
      </c>
      <c r="H4499">
        <v>76062</v>
      </c>
      <c r="I4499">
        <v>1367066</v>
      </c>
    </row>
    <row r="4500" spans="1:9">
      <c r="A4500" s="2">
        <v>1990</v>
      </c>
      <c r="B4500">
        <v>56</v>
      </c>
      <c r="C4500">
        <v>2.2890000000000001E-2</v>
      </c>
      <c r="D4500">
        <v>2.2630000000000001E-2</v>
      </c>
      <c r="E4500">
        <v>0.5</v>
      </c>
      <c r="F4500">
        <v>75278</v>
      </c>
      <c r="G4500">
        <v>1703</v>
      </c>
      <c r="H4500">
        <v>74426</v>
      </c>
      <c r="I4500">
        <v>1291005</v>
      </c>
    </row>
    <row r="4501" spans="1:9">
      <c r="A4501" s="2">
        <v>1990</v>
      </c>
      <c r="B4501">
        <v>57</v>
      </c>
      <c r="C4501">
        <v>2.4340000000000001E-2</v>
      </c>
      <c r="D4501">
        <v>2.4049999999999998E-2</v>
      </c>
      <c r="E4501">
        <v>0.5</v>
      </c>
      <c r="F4501">
        <v>73574</v>
      </c>
      <c r="G4501">
        <v>1770</v>
      </c>
      <c r="H4501">
        <v>72690</v>
      </c>
      <c r="I4501">
        <v>1216579</v>
      </c>
    </row>
    <row r="4502" spans="1:9">
      <c r="A4502" s="2">
        <v>1990</v>
      </c>
      <c r="B4502">
        <v>58</v>
      </c>
      <c r="C4502">
        <v>2.5870000000000001E-2</v>
      </c>
      <c r="D4502">
        <v>2.554E-2</v>
      </c>
      <c r="E4502">
        <v>0.5</v>
      </c>
      <c r="F4502">
        <v>71805</v>
      </c>
      <c r="G4502">
        <v>1834</v>
      </c>
      <c r="H4502">
        <v>70888</v>
      </c>
      <c r="I4502">
        <v>1143889</v>
      </c>
    </row>
    <row r="4503" spans="1:9">
      <c r="A4503" s="2">
        <v>1990</v>
      </c>
      <c r="B4503">
        <v>59</v>
      </c>
      <c r="C4503">
        <v>2.9069999999999999E-2</v>
      </c>
      <c r="D4503">
        <v>2.8660000000000001E-2</v>
      </c>
      <c r="E4503">
        <v>0.5</v>
      </c>
      <c r="F4503">
        <v>69971</v>
      </c>
      <c r="G4503">
        <v>2005</v>
      </c>
      <c r="H4503">
        <v>68968</v>
      </c>
      <c r="I4503">
        <v>1073001</v>
      </c>
    </row>
    <row r="4504" spans="1:9">
      <c r="A4504" s="2">
        <v>1990</v>
      </c>
      <c r="B4504">
        <v>60</v>
      </c>
      <c r="C4504">
        <v>2.9059999999999999E-2</v>
      </c>
      <c r="D4504">
        <v>2.8649999999999998E-2</v>
      </c>
      <c r="E4504">
        <v>0.5</v>
      </c>
      <c r="F4504">
        <v>67966</v>
      </c>
      <c r="G4504">
        <v>1947</v>
      </c>
      <c r="H4504">
        <v>66992</v>
      </c>
      <c r="I4504">
        <v>1004033</v>
      </c>
    </row>
    <row r="4505" spans="1:9">
      <c r="A4505" s="2">
        <v>1990</v>
      </c>
      <c r="B4505">
        <v>61</v>
      </c>
      <c r="C4505">
        <v>3.2000000000000001E-2</v>
      </c>
      <c r="D4505">
        <v>3.15E-2</v>
      </c>
      <c r="E4505">
        <v>0.5</v>
      </c>
      <c r="F4505">
        <v>66019</v>
      </c>
      <c r="G4505">
        <v>2080</v>
      </c>
      <c r="H4505">
        <v>64979</v>
      </c>
      <c r="I4505">
        <v>937041</v>
      </c>
    </row>
    <row r="4506" spans="1:9">
      <c r="A4506" s="2">
        <v>1990</v>
      </c>
      <c r="B4506">
        <v>62</v>
      </c>
      <c r="C4506">
        <v>3.4110000000000001E-2</v>
      </c>
      <c r="D4506">
        <v>3.354E-2</v>
      </c>
      <c r="E4506">
        <v>0.5</v>
      </c>
      <c r="F4506">
        <v>63939</v>
      </c>
      <c r="G4506">
        <v>2145</v>
      </c>
      <c r="H4506">
        <v>62867</v>
      </c>
      <c r="I4506">
        <v>872062</v>
      </c>
    </row>
    <row r="4507" spans="1:9">
      <c r="A4507" s="2">
        <v>1990</v>
      </c>
      <c r="B4507">
        <v>63</v>
      </c>
      <c r="C4507">
        <v>3.721E-2</v>
      </c>
      <c r="D4507">
        <v>3.653E-2</v>
      </c>
      <c r="E4507">
        <v>0.5</v>
      </c>
      <c r="F4507">
        <v>61795</v>
      </c>
      <c r="G4507">
        <v>2257</v>
      </c>
      <c r="H4507">
        <v>60666</v>
      </c>
      <c r="I4507">
        <v>809195</v>
      </c>
    </row>
    <row r="4508" spans="1:9">
      <c r="A4508" s="2">
        <v>1990</v>
      </c>
      <c r="B4508">
        <v>64</v>
      </c>
      <c r="C4508">
        <v>3.884E-2</v>
      </c>
      <c r="D4508">
        <v>3.8100000000000002E-2</v>
      </c>
      <c r="E4508">
        <v>0.5</v>
      </c>
      <c r="F4508">
        <v>59537</v>
      </c>
      <c r="G4508">
        <v>2269</v>
      </c>
      <c r="H4508">
        <v>58403</v>
      </c>
      <c r="I4508">
        <v>748529</v>
      </c>
    </row>
    <row r="4509" spans="1:9">
      <c r="A4509" s="2">
        <v>1990</v>
      </c>
      <c r="B4509">
        <v>65</v>
      </c>
      <c r="C4509">
        <v>4.0340000000000001E-2</v>
      </c>
      <c r="D4509">
        <v>3.9539999999999999E-2</v>
      </c>
      <c r="E4509">
        <v>0.5</v>
      </c>
      <c r="F4509">
        <v>57269</v>
      </c>
      <c r="G4509">
        <v>2265</v>
      </c>
      <c r="H4509">
        <v>56137</v>
      </c>
      <c r="I4509">
        <v>690125</v>
      </c>
    </row>
    <row r="4510" spans="1:9">
      <c r="A4510" s="2">
        <v>1990</v>
      </c>
      <c r="B4510">
        <v>66</v>
      </c>
      <c r="C4510">
        <v>4.2790000000000002E-2</v>
      </c>
      <c r="D4510">
        <v>4.1889999999999997E-2</v>
      </c>
      <c r="E4510">
        <v>0.5</v>
      </c>
      <c r="F4510">
        <v>55004</v>
      </c>
      <c r="G4510">
        <v>2304</v>
      </c>
      <c r="H4510">
        <v>53852</v>
      </c>
      <c r="I4510">
        <v>633989</v>
      </c>
    </row>
    <row r="4511" spans="1:9">
      <c r="A4511" s="2">
        <v>1990</v>
      </c>
      <c r="B4511">
        <v>67</v>
      </c>
      <c r="C4511">
        <v>4.7820000000000001E-2</v>
      </c>
      <c r="D4511">
        <v>4.6710000000000002E-2</v>
      </c>
      <c r="E4511">
        <v>0.5</v>
      </c>
      <c r="F4511">
        <v>52700</v>
      </c>
      <c r="G4511">
        <v>2461</v>
      </c>
      <c r="H4511">
        <v>51469</v>
      </c>
      <c r="I4511">
        <v>580137</v>
      </c>
    </row>
    <row r="4512" spans="1:9">
      <c r="A4512" s="2">
        <v>1990</v>
      </c>
      <c r="B4512">
        <v>68</v>
      </c>
      <c r="C4512">
        <v>4.9419999999999999E-2</v>
      </c>
      <c r="D4512">
        <v>4.8230000000000002E-2</v>
      </c>
      <c r="E4512">
        <v>0.5</v>
      </c>
      <c r="F4512">
        <v>50239</v>
      </c>
      <c r="G4512">
        <v>2423</v>
      </c>
      <c r="H4512">
        <v>49027</v>
      </c>
      <c r="I4512">
        <v>528667</v>
      </c>
    </row>
    <row r="4513" spans="1:9">
      <c r="A4513" s="2">
        <v>1990</v>
      </c>
      <c r="B4513">
        <v>69</v>
      </c>
      <c r="C4513">
        <v>5.1769999999999997E-2</v>
      </c>
      <c r="D4513">
        <v>5.0459999999999998E-2</v>
      </c>
      <c r="E4513">
        <v>0.5</v>
      </c>
      <c r="F4513">
        <v>47816</v>
      </c>
      <c r="G4513">
        <v>2413</v>
      </c>
      <c r="H4513">
        <v>46609</v>
      </c>
      <c r="I4513">
        <v>479640</v>
      </c>
    </row>
    <row r="4514" spans="1:9">
      <c r="A4514" s="2">
        <v>1990</v>
      </c>
      <c r="B4514">
        <v>70</v>
      </c>
      <c r="C4514">
        <v>6.2390000000000001E-2</v>
      </c>
      <c r="D4514">
        <v>6.0499999999999998E-2</v>
      </c>
      <c r="E4514">
        <v>0.5</v>
      </c>
      <c r="F4514">
        <v>45403</v>
      </c>
      <c r="G4514">
        <v>2747</v>
      </c>
      <c r="H4514">
        <v>44029</v>
      </c>
      <c r="I4514">
        <v>433031</v>
      </c>
    </row>
    <row r="4515" spans="1:9">
      <c r="A4515" s="2">
        <v>1990</v>
      </c>
      <c r="B4515">
        <v>71</v>
      </c>
      <c r="C4515">
        <v>5.5050000000000002E-2</v>
      </c>
      <c r="D4515">
        <v>5.357E-2</v>
      </c>
      <c r="E4515">
        <v>0.5</v>
      </c>
      <c r="F4515">
        <v>42656</v>
      </c>
      <c r="G4515">
        <v>2285</v>
      </c>
      <c r="H4515">
        <v>41513</v>
      </c>
      <c r="I4515">
        <v>389001</v>
      </c>
    </row>
    <row r="4516" spans="1:9">
      <c r="A4516" s="2">
        <v>1990</v>
      </c>
      <c r="B4516">
        <v>72</v>
      </c>
      <c r="C4516">
        <v>6.2630000000000005E-2</v>
      </c>
      <c r="D4516">
        <v>6.0720000000000003E-2</v>
      </c>
      <c r="E4516">
        <v>0.5</v>
      </c>
      <c r="F4516">
        <v>40371</v>
      </c>
      <c r="G4516">
        <v>2451</v>
      </c>
      <c r="H4516">
        <v>39145</v>
      </c>
      <c r="I4516">
        <v>347488</v>
      </c>
    </row>
    <row r="4517" spans="1:9">
      <c r="A4517" s="2">
        <v>1990</v>
      </c>
      <c r="B4517">
        <v>73</v>
      </c>
      <c r="C4517">
        <v>6.7199999999999996E-2</v>
      </c>
      <c r="D4517">
        <v>6.5009999999999998E-2</v>
      </c>
      <c r="E4517">
        <v>0.5</v>
      </c>
      <c r="F4517">
        <v>37919</v>
      </c>
      <c r="G4517">
        <v>2465</v>
      </c>
      <c r="H4517">
        <v>36687</v>
      </c>
      <c r="I4517">
        <v>308343</v>
      </c>
    </row>
    <row r="4518" spans="1:9">
      <c r="A4518" s="2">
        <v>1990</v>
      </c>
      <c r="B4518">
        <v>74</v>
      </c>
      <c r="C4518">
        <v>7.3010000000000005E-2</v>
      </c>
      <c r="D4518">
        <v>7.0440000000000003E-2</v>
      </c>
      <c r="E4518">
        <v>0.5</v>
      </c>
      <c r="F4518">
        <v>35454</v>
      </c>
      <c r="G4518">
        <v>2497</v>
      </c>
      <c r="H4518">
        <v>34205</v>
      </c>
      <c r="I4518">
        <v>271657</v>
      </c>
    </row>
    <row r="4519" spans="1:9">
      <c r="A4519" s="2">
        <v>1990</v>
      </c>
      <c r="B4519">
        <v>75</v>
      </c>
      <c r="C4519">
        <v>8.9149999999999993E-2</v>
      </c>
      <c r="D4519">
        <v>8.5339999999999999E-2</v>
      </c>
      <c r="E4519">
        <v>0.5</v>
      </c>
      <c r="F4519">
        <v>32957</v>
      </c>
      <c r="G4519">
        <v>2813</v>
      </c>
      <c r="H4519">
        <v>31550</v>
      </c>
      <c r="I4519">
        <v>237451</v>
      </c>
    </row>
    <row r="4520" spans="1:9">
      <c r="A4520" s="2">
        <v>1990</v>
      </c>
      <c r="B4520">
        <v>76</v>
      </c>
      <c r="C4520">
        <v>8.7980000000000003E-2</v>
      </c>
      <c r="D4520">
        <v>8.4269999999999998E-2</v>
      </c>
      <c r="E4520">
        <v>0.5</v>
      </c>
      <c r="F4520">
        <v>30144</v>
      </c>
      <c r="G4520">
        <v>2540</v>
      </c>
      <c r="H4520">
        <v>28874</v>
      </c>
      <c r="I4520">
        <v>205901</v>
      </c>
    </row>
    <row r="4521" spans="1:9">
      <c r="A4521" s="2">
        <v>1990</v>
      </c>
      <c r="B4521">
        <v>77</v>
      </c>
      <c r="C4521">
        <v>9.8949999999999996E-2</v>
      </c>
      <c r="D4521">
        <v>9.4280000000000003E-2</v>
      </c>
      <c r="E4521">
        <v>0.5</v>
      </c>
      <c r="F4521">
        <v>27604</v>
      </c>
      <c r="G4521">
        <v>2603</v>
      </c>
      <c r="H4521">
        <v>26303</v>
      </c>
      <c r="I4521">
        <v>177027</v>
      </c>
    </row>
    <row r="4522" spans="1:9">
      <c r="A4522" s="2">
        <v>1990</v>
      </c>
      <c r="B4522">
        <v>78</v>
      </c>
      <c r="C4522">
        <v>0.11226</v>
      </c>
      <c r="D4522">
        <v>0.10629</v>
      </c>
      <c r="E4522">
        <v>0.5</v>
      </c>
      <c r="F4522">
        <v>25001</v>
      </c>
      <c r="G4522">
        <v>2657</v>
      </c>
      <c r="H4522">
        <v>23673</v>
      </c>
      <c r="I4522">
        <v>150724</v>
      </c>
    </row>
    <row r="4523" spans="1:9">
      <c r="A4523" s="2">
        <v>1990</v>
      </c>
      <c r="B4523">
        <v>79</v>
      </c>
      <c r="C4523">
        <v>0.12025</v>
      </c>
      <c r="D4523">
        <v>0.11343</v>
      </c>
      <c r="E4523">
        <v>0.5</v>
      </c>
      <c r="F4523">
        <v>22344</v>
      </c>
      <c r="G4523">
        <v>2535</v>
      </c>
      <c r="H4523">
        <v>21077</v>
      </c>
      <c r="I4523">
        <v>127052</v>
      </c>
    </row>
    <row r="4524" spans="1:9">
      <c r="A4524" s="2">
        <v>1990</v>
      </c>
      <c r="B4524">
        <v>80</v>
      </c>
      <c r="C4524">
        <v>0.13386000000000001</v>
      </c>
      <c r="D4524">
        <v>0.12547</v>
      </c>
      <c r="E4524">
        <v>0.5</v>
      </c>
      <c r="F4524">
        <v>19809</v>
      </c>
      <c r="G4524">
        <v>2485</v>
      </c>
      <c r="H4524">
        <v>18567</v>
      </c>
      <c r="I4524">
        <v>105975</v>
      </c>
    </row>
    <row r="4525" spans="1:9">
      <c r="A4525" s="2">
        <v>1990</v>
      </c>
      <c r="B4525">
        <v>81</v>
      </c>
      <c r="C4525">
        <v>0.13897999999999999</v>
      </c>
      <c r="D4525">
        <v>0.12995000000000001</v>
      </c>
      <c r="E4525">
        <v>0.5</v>
      </c>
      <c r="F4525">
        <v>17324</v>
      </c>
      <c r="G4525">
        <v>2251</v>
      </c>
      <c r="H4525">
        <v>16198</v>
      </c>
      <c r="I4525">
        <v>87409</v>
      </c>
    </row>
    <row r="4526" spans="1:9">
      <c r="A4526" s="2">
        <v>1990</v>
      </c>
      <c r="B4526">
        <v>82</v>
      </c>
      <c r="C4526">
        <v>0.15426000000000001</v>
      </c>
      <c r="D4526">
        <v>0.14321</v>
      </c>
      <c r="E4526">
        <v>0.5</v>
      </c>
      <c r="F4526">
        <v>15073</v>
      </c>
      <c r="G4526">
        <v>2159</v>
      </c>
      <c r="H4526">
        <v>13993</v>
      </c>
      <c r="I4526">
        <v>71210</v>
      </c>
    </row>
    <row r="4527" spans="1:9">
      <c r="A4527" s="2">
        <v>1990</v>
      </c>
      <c r="B4527">
        <v>83</v>
      </c>
      <c r="C4527">
        <v>0.17171</v>
      </c>
      <c r="D4527">
        <v>0.15812999999999999</v>
      </c>
      <c r="E4527">
        <v>0.5</v>
      </c>
      <c r="F4527">
        <v>12914</v>
      </c>
      <c r="G4527">
        <v>2042</v>
      </c>
      <c r="H4527">
        <v>11893</v>
      </c>
      <c r="I4527">
        <v>57217</v>
      </c>
    </row>
    <row r="4528" spans="1:9">
      <c r="A4528" s="2">
        <v>1990</v>
      </c>
      <c r="B4528">
        <v>84</v>
      </c>
      <c r="C4528">
        <v>0.18384</v>
      </c>
      <c r="D4528">
        <v>0.16836999999999999</v>
      </c>
      <c r="E4528">
        <v>0.5</v>
      </c>
      <c r="F4528">
        <v>10872</v>
      </c>
      <c r="G4528">
        <v>1830</v>
      </c>
      <c r="H4528">
        <v>9957</v>
      </c>
      <c r="I4528">
        <v>45324</v>
      </c>
    </row>
    <row r="4529" spans="1:9">
      <c r="A4529" s="2">
        <v>1990</v>
      </c>
      <c r="B4529">
        <v>85</v>
      </c>
      <c r="C4529">
        <v>0.20529</v>
      </c>
      <c r="D4529">
        <v>0.18618000000000001</v>
      </c>
      <c r="E4529">
        <v>0.5</v>
      </c>
      <c r="F4529">
        <v>9041</v>
      </c>
      <c r="G4529">
        <v>1683</v>
      </c>
      <c r="H4529">
        <v>8200</v>
      </c>
      <c r="I4529">
        <v>35368</v>
      </c>
    </row>
    <row r="4530" spans="1:9">
      <c r="A4530" s="2">
        <v>1990</v>
      </c>
      <c r="B4530">
        <v>86</v>
      </c>
      <c r="C4530">
        <v>0.20236999999999999</v>
      </c>
      <c r="D4530">
        <v>0.18376999999999999</v>
      </c>
      <c r="E4530">
        <v>0.5</v>
      </c>
      <c r="F4530">
        <v>7358</v>
      </c>
      <c r="G4530">
        <v>1352</v>
      </c>
      <c r="H4530">
        <v>6682</v>
      </c>
      <c r="I4530">
        <v>27168</v>
      </c>
    </row>
    <row r="4531" spans="1:9">
      <c r="A4531" s="2">
        <v>1990</v>
      </c>
      <c r="B4531">
        <v>87</v>
      </c>
      <c r="C4531">
        <v>0.22982</v>
      </c>
      <c r="D4531">
        <v>0.20613000000000001</v>
      </c>
      <c r="E4531">
        <v>0.5</v>
      </c>
      <c r="F4531">
        <v>6006</v>
      </c>
      <c r="G4531">
        <v>1238</v>
      </c>
      <c r="H4531">
        <v>5387</v>
      </c>
      <c r="I4531">
        <v>20486</v>
      </c>
    </row>
    <row r="4532" spans="1:9">
      <c r="A4532" s="2">
        <v>1990</v>
      </c>
      <c r="B4532">
        <v>88</v>
      </c>
      <c r="C4532">
        <v>0.27562999999999999</v>
      </c>
      <c r="D4532">
        <v>0.24224000000000001</v>
      </c>
      <c r="E4532">
        <v>0.5</v>
      </c>
      <c r="F4532">
        <v>4768</v>
      </c>
      <c r="G4532">
        <v>1155</v>
      </c>
      <c r="H4532">
        <v>4190</v>
      </c>
      <c r="I4532">
        <v>15099</v>
      </c>
    </row>
    <row r="4533" spans="1:9">
      <c r="A4533" s="2">
        <v>1990</v>
      </c>
      <c r="B4533">
        <v>89</v>
      </c>
      <c r="C4533">
        <v>0.28777000000000003</v>
      </c>
      <c r="D4533">
        <v>0.25158000000000003</v>
      </c>
      <c r="E4533">
        <v>0.5</v>
      </c>
      <c r="F4533">
        <v>3613</v>
      </c>
      <c r="G4533">
        <v>909</v>
      </c>
      <c r="H4533">
        <v>3158</v>
      </c>
      <c r="I4533">
        <v>10909</v>
      </c>
    </row>
    <row r="4534" spans="1:9">
      <c r="A4534" s="2">
        <v>1990</v>
      </c>
      <c r="B4534">
        <v>90</v>
      </c>
      <c r="C4534">
        <v>0.29655999999999999</v>
      </c>
      <c r="D4534">
        <v>0.25825999999999999</v>
      </c>
      <c r="E4534">
        <v>0.5</v>
      </c>
      <c r="F4534">
        <v>2704</v>
      </c>
      <c r="G4534">
        <v>698</v>
      </c>
      <c r="H4534">
        <v>2355</v>
      </c>
      <c r="I4534">
        <v>7750</v>
      </c>
    </row>
    <row r="4535" spans="1:9">
      <c r="A4535" s="2">
        <v>1990</v>
      </c>
      <c r="B4535">
        <v>91</v>
      </c>
      <c r="C4535">
        <v>0.33439999999999998</v>
      </c>
      <c r="D4535">
        <v>0.28649999999999998</v>
      </c>
      <c r="E4535">
        <v>0.5</v>
      </c>
      <c r="F4535">
        <v>2006</v>
      </c>
      <c r="G4535">
        <v>575</v>
      </c>
      <c r="H4535">
        <v>1718</v>
      </c>
      <c r="I4535">
        <v>5395</v>
      </c>
    </row>
    <row r="4536" spans="1:9">
      <c r="A4536" s="2">
        <v>1990</v>
      </c>
      <c r="B4536">
        <v>92</v>
      </c>
      <c r="C4536">
        <v>0.34916999999999998</v>
      </c>
      <c r="D4536">
        <v>0.29726999999999998</v>
      </c>
      <c r="E4536">
        <v>0.5</v>
      </c>
      <c r="F4536">
        <v>1431</v>
      </c>
      <c r="G4536">
        <v>425</v>
      </c>
      <c r="H4536">
        <v>1218</v>
      </c>
      <c r="I4536">
        <v>3677</v>
      </c>
    </row>
    <row r="4537" spans="1:9">
      <c r="A4537" s="2">
        <v>1990</v>
      </c>
      <c r="B4537">
        <v>93</v>
      </c>
      <c r="C4537">
        <v>0.34622000000000003</v>
      </c>
      <c r="D4537">
        <v>0.29513</v>
      </c>
      <c r="E4537">
        <v>0.5</v>
      </c>
      <c r="F4537">
        <v>1006</v>
      </c>
      <c r="G4537">
        <v>297</v>
      </c>
      <c r="H4537">
        <v>857</v>
      </c>
      <c r="I4537">
        <v>2459</v>
      </c>
    </row>
    <row r="4538" spans="1:9">
      <c r="A4538" s="2">
        <v>1990</v>
      </c>
      <c r="B4538">
        <v>94</v>
      </c>
      <c r="C4538">
        <v>0.41231000000000001</v>
      </c>
      <c r="D4538">
        <v>0.34183999999999998</v>
      </c>
      <c r="E4538">
        <v>0.5</v>
      </c>
      <c r="F4538">
        <v>709</v>
      </c>
      <c r="G4538">
        <v>242</v>
      </c>
      <c r="H4538">
        <v>588</v>
      </c>
      <c r="I4538">
        <v>1602</v>
      </c>
    </row>
    <row r="4539" spans="1:9">
      <c r="A4539" s="2">
        <v>1990</v>
      </c>
      <c r="B4539">
        <v>95</v>
      </c>
      <c r="C4539">
        <v>0.42115999999999998</v>
      </c>
      <c r="D4539">
        <v>0.34789999999999999</v>
      </c>
      <c r="E4539">
        <v>0.5</v>
      </c>
      <c r="F4539">
        <v>467</v>
      </c>
      <c r="G4539">
        <v>162</v>
      </c>
      <c r="H4539">
        <v>385</v>
      </c>
      <c r="I4539">
        <v>1014</v>
      </c>
    </row>
    <row r="4540" spans="1:9">
      <c r="A4540" s="2">
        <v>1990</v>
      </c>
      <c r="B4540">
        <v>96</v>
      </c>
      <c r="C4540">
        <v>0.44711000000000001</v>
      </c>
      <c r="D4540">
        <v>0.36542000000000002</v>
      </c>
      <c r="E4540">
        <v>0.5</v>
      </c>
      <c r="F4540">
        <v>304</v>
      </c>
      <c r="G4540">
        <v>111</v>
      </c>
      <c r="H4540">
        <v>249</v>
      </c>
      <c r="I4540">
        <v>629</v>
      </c>
    </row>
    <row r="4541" spans="1:9">
      <c r="A4541" s="2">
        <v>1990</v>
      </c>
      <c r="B4541">
        <v>97</v>
      </c>
      <c r="C4541">
        <v>0.47334999999999999</v>
      </c>
      <c r="D4541">
        <v>0.38275999999999999</v>
      </c>
      <c r="E4541">
        <v>0.5</v>
      </c>
      <c r="F4541">
        <v>193</v>
      </c>
      <c r="G4541">
        <v>74</v>
      </c>
      <c r="H4541">
        <v>156</v>
      </c>
      <c r="I4541">
        <v>380</v>
      </c>
    </row>
    <row r="4542" spans="1:9">
      <c r="A4542" s="2">
        <v>1990</v>
      </c>
      <c r="B4542">
        <v>98</v>
      </c>
      <c r="C4542">
        <v>0.49975000000000003</v>
      </c>
      <c r="D4542">
        <v>0.39983999999999997</v>
      </c>
      <c r="E4542">
        <v>0.5</v>
      </c>
      <c r="F4542">
        <v>119</v>
      </c>
      <c r="G4542">
        <v>48</v>
      </c>
      <c r="H4542">
        <v>95</v>
      </c>
      <c r="I4542">
        <v>224</v>
      </c>
    </row>
    <row r="4543" spans="1:9">
      <c r="A4543" s="2">
        <v>1990</v>
      </c>
      <c r="B4543">
        <v>99</v>
      </c>
      <c r="C4543">
        <v>0.52614000000000005</v>
      </c>
      <c r="D4543">
        <v>0.41655999999999999</v>
      </c>
      <c r="E4543">
        <v>0.5</v>
      </c>
      <c r="F4543">
        <v>72</v>
      </c>
      <c r="G4543">
        <v>30</v>
      </c>
      <c r="H4543">
        <v>57</v>
      </c>
      <c r="I4543">
        <v>128</v>
      </c>
    </row>
    <row r="4544" spans="1:9">
      <c r="A4544" s="2">
        <v>1990</v>
      </c>
      <c r="B4544">
        <v>100</v>
      </c>
      <c r="C4544">
        <v>0.55237999999999998</v>
      </c>
      <c r="D4544">
        <v>0.43284</v>
      </c>
      <c r="E4544">
        <v>0.5</v>
      </c>
      <c r="F4544">
        <v>42</v>
      </c>
      <c r="G4544">
        <v>18</v>
      </c>
      <c r="H4544">
        <v>33</v>
      </c>
      <c r="I4544">
        <v>72</v>
      </c>
    </row>
    <row r="4545" spans="1:9">
      <c r="A4545" s="2">
        <v>1990</v>
      </c>
      <c r="B4545">
        <v>101</v>
      </c>
      <c r="C4545">
        <v>0.57833999999999997</v>
      </c>
      <c r="D4545">
        <v>0.44862000000000002</v>
      </c>
      <c r="E4545">
        <v>0.5</v>
      </c>
      <c r="F4545">
        <v>24</v>
      </c>
      <c r="G4545">
        <v>11</v>
      </c>
      <c r="H4545">
        <v>18</v>
      </c>
      <c r="I4545">
        <v>39</v>
      </c>
    </row>
    <row r="4546" spans="1:9">
      <c r="A4546" s="2">
        <v>1990</v>
      </c>
      <c r="B4546">
        <v>102</v>
      </c>
      <c r="C4546">
        <v>0.60387999999999997</v>
      </c>
      <c r="D4546">
        <v>0.46383000000000002</v>
      </c>
      <c r="E4546">
        <v>0.5</v>
      </c>
      <c r="F4546">
        <v>13</v>
      </c>
      <c r="G4546">
        <v>6</v>
      </c>
      <c r="H4546">
        <v>10</v>
      </c>
      <c r="I4546">
        <v>21</v>
      </c>
    </row>
    <row r="4547" spans="1:9">
      <c r="A4547" s="2">
        <v>1990</v>
      </c>
      <c r="B4547">
        <v>103</v>
      </c>
      <c r="C4547">
        <v>0.62885000000000002</v>
      </c>
      <c r="D4547">
        <v>0.47842000000000001</v>
      </c>
      <c r="E4547">
        <v>0.5</v>
      </c>
      <c r="F4547">
        <v>7</v>
      </c>
      <c r="G4547">
        <v>3</v>
      </c>
      <c r="H4547">
        <v>5</v>
      </c>
      <c r="I4547">
        <v>11</v>
      </c>
    </row>
    <row r="4548" spans="1:9">
      <c r="A4548" s="2">
        <v>1990</v>
      </c>
      <c r="B4548">
        <v>104</v>
      </c>
      <c r="C4548">
        <v>0.65315999999999996</v>
      </c>
      <c r="D4548">
        <v>0.49236999999999997</v>
      </c>
      <c r="E4548">
        <v>0.5</v>
      </c>
      <c r="F4548">
        <v>4</v>
      </c>
      <c r="G4548">
        <v>2</v>
      </c>
      <c r="H4548">
        <v>3</v>
      </c>
      <c r="I4548">
        <v>5</v>
      </c>
    </row>
    <row r="4549" spans="1:9">
      <c r="A4549" s="2">
        <v>1990</v>
      </c>
      <c r="B4549">
        <v>105</v>
      </c>
      <c r="C4549">
        <v>0.67669999999999997</v>
      </c>
      <c r="D4549">
        <v>0.50561999999999996</v>
      </c>
      <c r="E4549">
        <v>0.5</v>
      </c>
      <c r="F4549">
        <v>2</v>
      </c>
      <c r="G4549">
        <v>1</v>
      </c>
      <c r="H4549">
        <v>1</v>
      </c>
      <c r="I4549">
        <v>3</v>
      </c>
    </row>
    <row r="4550" spans="1:9">
      <c r="A4550" s="2">
        <v>1990</v>
      </c>
      <c r="B4550">
        <v>106</v>
      </c>
      <c r="C4550">
        <v>0.69937000000000005</v>
      </c>
      <c r="D4550">
        <v>0.51817000000000002</v>
      </c>
      <c r="E4550">
        <v>0.5</v>
      </c>
      <c r="F4550">
        <v>1</v>
      </c>
      <c r="G4550">
        <v>0</v>
      </c>
      <c r="H4550">
        <v>1</v>
      </c>
      <c r="I4550">
        <v>1</v>
      </c>
    </row>
    <row r="4551" spans="1:9">
      <c r="A4551" s="2">
        <v>1990</v>
      </c>
      <c r="B4551">
        <v>107</v>
      </c>
      <c r="C4551">
        <v>0.72111000000000003</v>
      </c>
      <c r="D4551">
        <v>0.53000999999999998</v>
      </c>
      <c r="E4551">
        <v>0.5</v>
      </c>
      <c r="F4551">
        <v>0</v>
      </c>
      <c r="G4551">
        <v>0</v>
      </c>
      <c r="H4551">
        <v>0</v>
      </c>
      <c r="I4551">
        <v>1</v>
      </c>
    </row>
    <row r="4552" spans="1:9">
      <c r="A4552" s="2">
        <v>1990</v>
      </c>
      <c r="B4552">
        <v>108</v>
      </c>
      <c r="C4552">
        <v>0.74185000000000001</v>
      </c>
      <c r="D4552">
        <v>0.54113</v>
      </c>
      <c r="E4552">
        <v>0.5</v>
      </c>
      <c r="F4552">
        <v>0</v>
      </c>
      <c r="G4552">
        <v>0</v>
      </c>
      <c r="H4552">
        <v>0</v>
      </c>
      <c r="I4552">
        <v>0</v>
      </c>
    </row>
    <row r="4553" spans="1:9">
      <c r="A4553" s="2">
        <v>1990</v>
      </c>
      <c r="B4553">
        <v>109</v>
      </c>
      <c r="C4553">
        <v>0.76156999999999997</v>
      </c>
      <c r="D4553">
        <v>0.55154999999999998</v>
      </c>
      <c r="E4553">
        <v>0.5</v>
      </c>
      <c r="F4553">
        <v>0</v>
      </c>
      <c r="G4553">
        <v>0</v>
      </c>
      <c r="H4553">
        <v>0</v>
      </c>
      <c r="I4553">
        <v>0</v>
      </c>
    </row>
    <row r="4554" spans="1:9">
      <c r="A4554" s="2">
        <v>1990</v>
      </c>
      <c r="B4554" t="s">
        <v>26</v>
      </c>
      <c r="C4554">
        <v>0.78022000000000002</v>
      </c>
      <c r="D4554">
        <v>1</v>
      </c>
      <c r="E4554" s="3" t="s">
        <v>41</v>
      </c>
      <c r="F4554">
        <v>0</v>
      </c>
      <c r="G4554">
        <v>0</v>
      </c>
      <c r="H4554">
        <v>0</v>
      </c>
      <c r="I4554">
        <v>0</v>
      </c>
    </row>
    <row r="4555" spans="1:9">
      <c r="A4555" s="2">
        <v>1991</v>
      </c>
      <c r="B4555">
        <v>0</v>
      </c>
      <c r="C4555">
        <v>1.7569999999999999E-2</v>
      </c>
      <c r="D4555">
        <v>1.7299999999999999E-2</v>
      </c>
      <c r="E4555">
        <v>0.11</v>
      </c>
      <c r="F4555">
        <v>100000</v>
      </c>
      <c r="G4555">
        <v>1730</v>
      </c>
      <c r="H4555">
        <v>98467</v>
      </c>
      <c r="I4555">
        <v>6510782</v>
      </c>
    </row>
    <row r="4556" spans="1:9">
      <c r="A4556" s="2">
        <v>1991</v>
      </c>
      <c r="B4556">
        <v>1</v>
      </c>
      <c r="C4556">
        <v>1.09E-3</v>
      </c>
      <c r="D4556">
        <v>1.09E-3</v>
      </c>
      <c r="E4556">
        <v>0.5</v>
      </c>
      <c r="F4556">
        <v>98270</v>
      </c>
      <c r="G4556">
        <v>107</v>
      </c>
      <c r="H4556">
        <v>98216</v>
      </c>
      <c r="I4556">
        <v>6412315</v>
      </c>
    </row>
    <row r="4557" spans="1:9">
      <c r="A4557" s="2">
        <v>1991</v>
      </c>
      <c r="B4557">
        <v>2</v>
      </c>
      <c r="C4557">
        <v>4.4999999999999999E-4</v>
      </c>
      <c r="D4557">
        <v>4.4999999999999999E-4</v>
      </c>
      <c r="E4557">
        <v>0.5</v>
      </c>
      <c r="F4557">
        <v>98162</v>
      </c>
      <c r="G4557">
        <v>44</v>
      </c>
      <c r="H4557">
        <v>98140</v>
      </c>
      <c r="I4557">
        <v>6314099</v>
      </c>
    </row>
    <row r="4558" spans="1:9">
      <c r="A4558" s="2">
        <v>1991</v>
      </c>
      <c r="B4558">
        <v>3</v>
      </c>
      <c r="C4558">
        <v>4.0000000000000002E-4</v>
      </c>
      <c r="D4558">
        <v>4.0000000000000002E-4</v>
      </c>
      <c r="E4558">
        <v>0.5</v>
      </c>
      <c r="F4558">
        <v>98118</v>
      </c>
      <c r="G4558">
        <v>39</v>
      </c>
      <c r="H4558">
        <v>98099</v>
      </c>
      <c r="I4558">
        <v>6215958</v>
      </c>
    </row>
    <row r="4559" spans="1:9">
      <c r="A4559" s="2">
        <v>1991</v>
      </c>
      <c r="B4559">
        <v>4</v>
      </c>
      <c r="C4559">
        <v>4.2999999999999999E-4</v>
      </c>
      <c r="D4559">
        <v>4.2999999999999999E-4</v>
      </c>
      <c r="E4559">
        <v>0.5</v>
      </c>
      <c r="F4559">
        <v>98079</v>
      </c>
      <c r="G4559">
        <v>42</v>
      </c>
      <c r="H4559">
        <v>98058</v>
      </c>
      <c r="I4559">
        <v>6117859</v>
      </c>
    </row>
    <row r="4560" spans="1:9">
      <c r="A4560" s="2">
        <v>1991</v>
      </c>
      <c r="B4560">
        <v>5</v>
      </c>
      <c r="C4560">
        <v>4.6000000000000001E-4</v>
      </c>
      <c r="D4560">
        <v>4.6000000000000001E-4</v>
      </c>
      <c r="E4560">
        <v>0.5</v>
      </c>
      <c r="F4560">
        <v>98038</v>
      </c>
      <c r="G4560">
        <v>45</v>
      </c>
      <c r="H4560">
        <v>98015</v>
      </c>
      <c r="I4560">
        <v>6019801</v>
      </c>
    </row>
    <row r="4561" spans="1:9">
      <c r="A4561" s="2">
        <v>1991</v>
      </c>
      <c r="B4561">
        <v>6</v>
      </c>
      <c r="C4561">
        <v>2.7999999999999998E-4</v>
      </c>
      <c r="D4561">
        <v>2.7999999999999998E-4</v>
      </c>
      <c r="E4561">
        <v>0.5</v>
      </c>
      <c r="F4561">
        <v>97992</v>
      </c>
      <c r="G4561">
        <v>28</v>
      </c>
      <c r="H4561">
        <v>97978</v>
      </c>
      <c r="I4561">
        <v>5921786</v>
      </c>
    </row>
    <row r="4562" spans="1:9">
      <c r="A4562" s="2">
        <v>1991</v>
      </c>
      <c r="B4562">
        <v>7</v>
      </c>
      <c r="C4562">
        <v>3.6999999999999999E-4</v>
      </c>
      <c r="D4562">
        <v>3.6999999999999999E-4</v>
      </c>
      <c r="E4562">
        <v>0.5</v>
      </c>
      <c r="F4562">
        <v>97964</v>
      </c>
      <c r="G4562">
        <v>36</v>
      </c>
      <c r="H4562">
        <v>97946</v>
      </c>
      <c r="I4562">
        <v>5823808</v>
      </c>
    </row>
    <row r="4563" spans="1:9">
      <c r="A4563" s="2">
        <v>1991</v>
      </c>
      <c r="B4563">
        <v>8</v>
      </c>
      <c r="C4563">
        <v>3.1E-4</v>
      </c>
      <c r="D4563">
        <v>3.1E-4</v>
      </c>
      <c r="E4563">
        <v>0.5</v>
      </c>
      <c r="F4563">
        <v>97928</v>
      </c>
      <c r="G4563">
        <v>30</v>
      </c>
      <c r="H4563">
        <v>97913</v>
      </c>
      <c r="I4563">
        <v>5725861</v>
      </c>
    </row>
    <row r="4564" spans="1:9">
      <c r="A4564" s="2">
        <v>1991</v>
      </c>
      <c r="B4564">
        <v>9</v>
      </c>
      <c r="C4564">
        <v>3.4000000000000002E-4</v>
      </c>
      <c r="D4564">
        <v>3.4000000000000002E-4</v>
      </c>
      <c r="E4564">
        <v>0.5</v>
      </c>
      <c r="F4564">
        <v>97898</v>
      </c>
      <c r="G4564">
        <v>33</v>
      </c>
      <c r="H4564">
        <v>97882</v>
      </c>
      <c r="I4564">
        <v>5627948</v>
      </c>
    </row>
    <row r="4565" spans="1:9">
      <c r="A4565" s="2">
        <v>1991</v>
      </c>
      <c r="B4565">
        <v>10</v>
      </c>
      <c r="C4565">
        <v>2.9E-4</v>
      </c>
      <c r="D4565">
        <v>2.9E-4</v>
      </c>
      <c r="E4565">
        <v>0.5</v>
      </c>
      <c r="F4565">
        <v>97865</v>
      </c>
      <c r="G4565">
        <v>28</v>
      </c>
      <c r="H4565">
        <v>97851</v>
      </c>
      <c r="I4565">
        <v>5530066</v>
      </c>
    </row>
    <row r="4566" spans="1:9">
      <c r="A4566" s="2">
        <v>1991</v>
      </c>
      <c r="B4566">
        <v>11</v>
      </c>
      <c r="C4566">
        <v>2.3000000000000001E-4</v>
      </c>
      <c r="D4566">
        <v>2.3000000000000001E-4</v>
      </c>
      <c r="E4566">
        <v>0.5</v>
      </c>
      <c r="F4566">
        <v>97837</v>
      </c>
      <c r="G4566">
        <v>23</v>
      </c>
      <c r="H4566">
        <v>97826</v>
      </c>
      <c r="I4566">
        <v>5432215</v>
      </c>
    </row>
    <row r="4567" spans="1:9">
      <c r="A4567" s="2">
        <v>1991</v>
      </c>
      <c r="B4567">
        <v>12</v>
      </c>
      <c r="C4567">
        <v>2.4000000000000001E-4</v>
      </c>
      <c r="D4567">
        <v>2.4000000000000001E-4</v>
      </c>
      <c r="E4567">
        <v>0.5</v>
      </c>
      <c r="F4567">
        <v>97814</v>
      </c>
      <c r="G4567">
        <v>23</v>
      </c>
      <c r="H4567">
        <v>97803</v>
      </c>
      <c r="I4567">
        <v>5334389</v>
      </c>
    </row>
    <row r="4568" spans="1:9">
      <c r="A4568" s="2">
        <v>1991</v>
      </c>
      <c r="B4568">
        <v>13</v>
      </c>
      <c r="C4568">
        <v>3.5E-4</v>
      </c>
      <c r="D4568">
        <v>3.5E-4</v>
      </c>
      <c r="E4568">
        <v>0.5</v>
      </c>
      <c r="F4568">
        <v>97791</v>
      </c>
      <c r="G4568">
        <v>34</v>
      </c>
      <c r="H4568">
        <v>97774</v>
      </c>
      <c r="I4568">
        <v>5236586</v>
      </c>
    </row>
    <row r="4569" spans="1:9">
      <c r="A4569" s="2">
        <v>1991</v>
      </c>
      <c r="B4569">
        <v>14</v>
      </c>
      <c r="C4569">
        <v>2.7999999999999998E-4</v>
      </c>
      <c r="D4569">
        <v>2.7999999999999998E-4</v>
      </c>
      <c r="E4569">
        <v>0.5</v>
      </c>
      <c r="F4569">
        <v>97757</v>
      </c>
      <c r="G4569">
        <v>27</v>
      </c>
      <c r="H4569">
        <v>97743</v>
      </c>
      <c r="I4569">
        <v>5138812</v>
      </c>
    </row>
    <row r="4570" spans="1:9">
      <c r="A4570" s="2">
        <v>1991</v>
      </c>
      <c r="B4570">
        <v>15</v>
      </c>
      <c r="C4570">
        <v>5.9000000000000003E-4</v>
      </c>
      <c r="D4570">
        <v>5.9000000000000003E-4</v>
      </c>
      <c r="E4570">
        <v>0.5</v>
      </c>
      <c r="F4570">
        <v>97730</v>
      </c>
      <c r="G4570">
        <v>57</v>
      </c>
      <c r="H4570">
        <v>97701</v>
      </c>
      <c r="I4570">
        <v>5041069</v>
      </c>
    </row>
    <row r="4571" spans="1:9">
      <c r="A4571" s="2">
        <v>1991</v>
      </c>
      <c r="B4571">
        <v>16</v>
      </c>
      <c r="C4571">
        <v>5.6999999999999998E-4</v>
      </c>
      <c r="D4571">
        <v>5.6999999999999998E-4</v>
      </c>
      <c r="E4571">
        <v>0.5</v>
      </c>
      <c r="F4571">
        <v>97672</v>
      </c>
      <c r="G4571">
        <v>55</v>
      </c>
      <c r="H4571">
        <v>97645</v>
      </c>
      <c r="I4571">
        <v>4943368</v>
      </c>
    </row>
    <row r="4572" spans="1:9">
      <c r="A4572" s="2">
        <v>1991</v>
      </c>
      <c r="B4572">
        <v>17</v>
      </c>
      <c r="C4572">
        <v>8.0000000000000004E-4</v>
      </c>
      <c r="D4572">
        <v>8.0000000000000004E-4</v>
      </c>
      <c r="E4572">
        <v>0.5</v>
      </c>
      <c r="F4572">
        <v>97617</v>
      </c>
      <c r="G4572">
        <v>78</v>
      </c>
      <c r="H4572">
        <v>97578</v>
      </c>
      <c r="I4572">
        <v>4845723</v>
      </c>
    </row>
    <row r="4573" spans="1:9">
      <c r="A4573" s="2">
        <v>1991</v>
      </c>
      <c r="B4573">
        <v>18</v>
      </c>
      <c r="C4573">
        <v>1.1800000000000001E-3</v>
      </c>
      <c r="D4573">
        <v>1.1800000000000001E-3</v>
      </c>
      <c r="E4573">
        <v>0.5</v>
      </c>
      <c r="F4573">
        <v>97539</v>
      </c>
      <c r="G4573">
        <v>115</v>
      </c>
      <c r="H4573">
        <v>97481</v>
      </c>
      <c r="I4573">
        <v>4748145</v>
      </c>
    </row>
    <row r="4574" spans="1:9">
      <c r="A4574" s="2">
        <v>1991</v>
      </c>
      <c r="B4574">
        <v>19</v>
      </c>
      <c r="C4574">
        <v>1.2600000000000001E-3</v>
      </c>
      <c r="D4574">
        <v>1.2600000000000001E-3</v>
      </c>
      <c r="E4574">
        <v>0.5</v>
      </c>
      <c r="F4574">
        <v>97424</v>
      </c>
      <c r="G4574">
        <v>123</v>
      </c>
      <c r="H4574">
        <v>97362</v>
      </c>
      <c r="I4574">
        <v>4650664</v>
      </c>
    </row>
    <row r="4575" spans="1:9">
      <c r="A4575" s="2">
        <v>1991</v>
      </c>
      <c r="B4575">
        <v>20</v>
      </c>
      <c r="C4575">
        <v>1.4599999999999999E-3</v>
      </c>
      <c r="D4575">
        <v>1.4599999999999999E-3</v>
      </c>
      <c r="E4575">
        <v>0.5</v>
      </c>
      <c r="F4575">
        <v>97301</v>
      </c>
      <c r="G4575">
        <v>142</v>
      </c>
      <c r="H4575">
        <v>97230</v>
      </c>
      <c r="I4575">
        <v>4553302</v>
      </c>
    </row>
    <row r="4576" spans="1:9">
      <c r="A4576" s="2">
        <v>1991</v>
      </c>
      <c r="B4576">
        <v>21</v>
      </c>
      <c r="C4576">
        <v>1.56E-3</v>
      </c>
      <c r="D4576">
        <v>1.56E-3</v>
      </c>
      <c r="E4576">
        <v>0.5</v>
      </c>
      <c r="F4576">
        <v>97159</v>
      </c>
      <c r="G4576">
        <v>152</v>
      </c>
      <c r="H4576">
        <v>97083</v>
      </c>
      <c r="I4576">
        <v>4456072</v>
      </c>
    </row>
    <row r="4577" spans="1:9">
      <c r="A4577" s="2">
        <v>1991</v>
      </c>
      <c r="B4577">
        <v>22</v>
      </c>
      <c r="C4577">
        <v>1.33E-3</v>
      </c>
      <c r="D4577">
        <v>1.33E-3</v>
      </c>
      <c r="E4577">
        <v>0.5</v>
      </c>
      <c r="F4577">
        <v>97007</v>
      </c>
      <c r="G4577">
        <v>129</v>
      </c>
      <c r="H4577">
        <v>96942</v>
      </c>
      <c r="I4577">
        <v>4358989</v>
      </c>
    </row>
    <row r="4578" spans="1:9">
      <c r="A4578" s="2">
        <v>1991</v>
      </c>
      <c r="B4578">
        <v>23</v>
      </c>
      <c r="C4578">
        <v>1.39E-3</v>
      </c>
      <c r="D4578">
        <v>1.39E-3</v>
      </c>
      <c r="E4578">
        <v>0.5</v>
      </c>
      <c r="F4578">
        <v>96878</v>
      </c>
      <c r="G4578">
        <v>135</v>
      </c>
      <c r="H4578">
        <v>96810</v>
      </c>
      <c r="I4578">
        <v>4262047</v>
      </c>
    </row>
    <row r="4579" spans="1:9">
      <c r="A4579" s="2">
        <v>1991</v>
      </c>
      <c r="B4579">
        <v>24</v>
      </c>
      <c r="C4579">
        <v>1.32E-3</v>
      </c>
      <c r="D4579">
        <v>1.32E-3</v>
      </c>
      <c r="E4579">
        <v>0.5</v>
      </c>
      <c r="F4579">
        <v>96743</v>
      </c>
      <c r="G4579">
        <v>127</v>
      </c>
      <c r="H4579">
        <v>96679</v>
      </c>
      <c r="I4579">
        <v>4165237</v>
      </c>
    </row>
    <row r="4580" spans="1:9">
      <c r="A4580" s="2">
        <v>1991</v>
      </c>
      <c r="B4580">
        <v>25</v>
      </c>
      <c r="C4580">
        <v>1.74E-3</v>
      </c>
      <c r="D4580">
        <v>1.74E-3</v>
      </c>
      <c r="E4580">
        <v>0.5</v>
      </c>
      <c r="F4580">
        <v>96616</v>
      </c>
      <c r="G4580">
        <v>168</v>
      </c>
      <c r="H4580">
        <v>96532</v>
      </c>
      <c r="I4580">
        <v>4068558</v>
      </c>
    </row>
    <row r="4581" spans="1:9">
      <c r="A4581" s="2">
        <v>1991</v>
      </c>
      <c r="B4581">
        <v>26</v>
      </c>
      <c r="C4581">
        <v>1.92E-3</v>
      </c>
      <c r="D4581">
        <v>1.92E-3</v>
      </c>
      <c r="E4581">
        <v>0.5</v>
      </c>
      <c r="F4581">
        <v>96447</v>
      </c>
      <c r="G4581">
        <v>185</v>
      </c>
      <c r="H4581">
        <v>96355</v>
      </c>
      <c r="I4581">
        <v>3972026</v>
      </c>
    </row>
    <row r="4582" spans="1:9">
      <c r="A4582" s="2">
        <v>1991</v>
      </c>
      <c r="B4582">
        <v>27</v>
      </c>
      <c r="C4582">
        <v>2.1299999999999999E-3</v>
      </c>
      <c r="D4582">
        <v>2.1299999999999999E-3</v>
      </c>
      <c r="E4582">
        <v>0.5</v>
      </c>
      <c r="F4582">
        <v>96262</v>
      </c>
      <c r="G4582">
        <v>205</v>
      </c>
      <c r="H4582">
        <v>96160</v>
      </c>
      <c r="I4582">
        <v>3875671</v>
      </c>
    </row>
    <row r="4583" spans="1:9">
      <c r="A4583" s="2">
        <v>1991</v>
      </c>
      <c r="B4583">
        <v>28</v>
      </c>
      <c r="C4583">
        <v>2.3999999999999998E-3</v>
      </c>
      <c r="D4583">
        <v>2.3999999999999998E-3</v>
      </c>
      <c r="E4583">
        <v>0.5</v>
      </c>
      <c r="F4583">
        <v>96057</v>
      </c>
      <c r="G4583">
        <v>230</v>
      </c>
      <c r="H4583">
        <v>95942</v>
      </c>
      <c r="I4583">
        <v>3779511</v>
      </c>
    </row>
    <row r="4584" spans="1:9">
      <c r="A4584" s="2">
        <v>1991</v>
      </c>
      <c r="B4584">
        <v>29</v>
      </c>
      <c r="C4584">
        <v>2.33E-3</v>
      </c>
      <c r="D4584">
        <v>2.33E-3</v>
      </c>
      <c r="E4584">
        <v>0.5</v>
      </c>
      <c r="F4584">
        <v>95827</v>
      </c>
      <c r="G4584">
        <v>223</v>
      </c>
      <c r="H4584">
        <v>95715</v>
      </c>
      <c r="I4584">
        <v>3683569</v>
      </c>
    </row>
    <row r="4585" spans="1:9">
      <c r="A4585" s="2">
        <v>1991</v>
      </c>
      <c r="B4585">
        <v>30</v>
      </c>
      <c r="C4585">
        <v>2.14E-3</v>
      </c>
      <c r="D4585">
        <v>2.14E-3</v>
      </c>
      <c r="E4585">
        <v>0.5</v>
      </c>
      <c r="F4585">
        <v>95604</v>
      </c>
      <c r="G4585">
        <v>204</v>
      </c>
      <c r="H4585">
        <v>95502</v>
      </c>
      <c r="I4585">
        <v>3587854</v>
      </c>
    </row>
    <row r="4586" spans="1:9">
      <c r="A4586" s="2">
        <v>1991</v>
      </c>
      <c r="B4586">
        <v>31</v>
      </c>
      <c r="C4586">
        <v>2.66E-3</v>
      </c>
      <c r="D4586">
        <v>2.66E-3</v>
      </c>
      <c r="E4586">
        <v>0.5</v>
      </c>
      <c r="F4586">
        <v>95400</v>
      </c>
      <c r="G4586">
        <v>254</v>
      </c>
      <c r="H4586">
        <v>95273</v>
      </c>
      <c r="I4586">
        <v>3492352</v>
      </c>
    </row>
    <row r="4587" spans="1:9">
      <c r="A4587" s="2">
        <v>1991</v>
      </c>
      <c r="B4587">
        <v>32</v>
      </c>
      <c r="C4587">
        <v>3.4199999999999999E-3</v>
      </c>
      <c r="D4587">
        <v>3.4099999999999998E-3</v>
      </c>
      <c r="E4587">
        <v>0.5</v>
      </c>
      <c r="F4587">
        <v>95146</v>
      </c>
      <c r="G4587">
        <v>325</v>
      </c>
      <c r="H4587">
        <v>94983</v>
      </c>
      <c r="I4587">
        <v>3397080</v>
      </c>
    </row>
    <row r="4588" spans="1:9">
      <c r="A4588" s="2">
        <v>1991</v>
      </c>
      <c r="B4588">
        <v>33</v>
      </c>
      <c r="C4588">
        <v>3.0999999999999999E-3</v>
      </c>
      <c r="D4588">
        <v>3.0899999999999999E-3</v>
      </c>
      <c r="E4588">
        <v>0.5</v>
      </c>
      <c r="F4588">
        <v>94821</v>
      </c>
      <c r="G4588">
        <v>293</v>
      </c>
      <c r="H4588">
        <v>94674</v>
      </c>
      <c r="I4588">
        <v>3302096</v>
      </c>
    </row>
    <row r="4589" spans="1:9">
      <c r="A4589" s="2">
        <v>1991</v>
      </c>
      <c r="B4589">
        <v>34</v>
      </c>
      <c r="C4589">
        <v>3.81E-3</v>
      </c>
      <c r="D4589">
        <v>3.8E-3</v>
      </c>
      <c r="E4589">
        <v>0.5</v>
      </c>
      <c r="F4589">
        <v>94528</v>
      </c>
      <c r="G4589">
        <v>359</v>
      </c>
      <c r="H4589">
        <v>94348</v>
      </c>
      <c r="I4589">
        <v>3207422</v>
      </c>
    </row>
    <row r="4590" spans="1:9">
      <c r="A4590" s="2">
        <v>1991</v>
      </c>
      <c r="B4590">
        <v>35</v>
      </c>
      <c r="C4590">
        <v>3.8999999999999998E-3</v>
      </c>
      <c r="D4590">
        <v>3.8999999999999998E-3</v>
      </c>
      <c r="E4590">
        <v>0.5</v>
      </c>
      <c r="F4590">
        <v>94168</v>
      </c>
      <c r="G4590">
        <v>367</v>
      </c>
      <c r="H4590">
        <v>93985</v>
      </c>
      <c r="I4590">
        <v>3113074</v>
      </c>
    </row>
    <row r="4591" spans="1:9">
      <c r="A4591" s="2">
        <v>1991</v>
      </c>
      <c r="B4591">
        <v>36</v>
      </c>
      <c r="C4591">
        <v>4.3499999999999997E-3</v>
      </c>
      <c r="D4591">
        <v>4.3400000000000001E-3</v>
      </c>
      <c r="E4591">
        <v>0.5</v>
      </c>
      <c r="F4591">
        <v>93802</v>
      </c>
      <c r="G4591">
        <v>407</v>
      </c>
      <c r="H4591">
        <v>93598</v>
      </c>
      <c r="I4591">
        <v>3019089</v>
      </c>
    </row>
    <row r="4592" spans="1:9">
      <c r="A4592" s="2">
        <v>1991</v>
      </c>
      <c r="B4592">
        <v>37</v>
      </c>
      <c r="C4592">
        <v>5.0400000000000002E-3</v>
      </c>
      <c r="D4592">
        <v>5.0200000000000002E-3</v>
      </c>
      <c r="E4592">
        <v>0.5</v>
      </c>
      <c r="F4592">
        <v>93395</v>
      </c>
      <c r="G4592">
        <v>469</v>
      </c>
      <c r="H4592">
        <v>93160</v>
      </c>
      <c r="I4592">
        <v>2925490</v>
      </c>
    </row>
    <row r="4593" spans="1:9">
      <c r="A4593" s="2">
        <v>1991</v>
      </c>
      <c r="B4593">
        <v>38</v>
      </c>
      <c r="C4593">
        <v>5.0200000000000002E-3</v>
      </c>
      <c r="D4593">
        <v>5.0099999999999997E-3</v>
      </c>
      <c r="E4593">
        <v>0.5</v>
      </c>
      <c r="F4593">
        <v>92925</v>
      </c>
      <c r="G4593">
        <v>466</v>
      </c>
      <c r="H4593">
        <v>92693</v>
      </c>
      <c r="I4593">
        <v>2832330</v>
      </c>
    </row>
    <row r="4594" spans="1:9">
      <c r="A4594" s="2">
        <v>1991</v>
      </c>
      <c r="B4594">
        <v>39</v>
      </c>
      <c r="C4594">
        <v>6.4099999999999999E-3</v>
      </c>
      <c r="D4594">
        <v>6.3899999999999998E-3</v>
      </c>
      <c r="E4594">
        <v>0.5</v>
      </c>
      <c r="F4594">
        <v>92460</v>
      </c>
      <c r="G4594">
        <v>591</v>
      </c>
      <c r="H4594">
        <v>92164</v>
      </c>
      <c r="I4594">
        <v>2739638</v>
      </c>
    </row>
    <row r="4595" spans="1:9">
      <c r="A4595" s="2">
        <v>1991</v>
      </c>
      <c r="B4595">
        <v>40</v>
      </c>
      <c r="C4595">
        <v>6.3299999999999997E-3</v>
      </c>
      <c r="D4595">
        <v>6.3099999999999996E-3</v>
      </c>
      <c r="E4595">
        <v>0.5</v>
      </c>
      <c r="F4595">
        <v>91869</v>
      </c>
      <c r="G4595">
        <v>580</v>
      </c>
      <c r="H4595">
        <v>91579</v>
      </c>
      <c r="I4595">
        <v>2647473</v>
      </c>
    </row>
    <row r="4596" spans="1:9">
      <c r="A4596" s="2">
        <v>1991</v>
      </c>
      <c r="B4596">
        <v>41</v>
      </c>
      <c r="C4596">
        <v>7.0099999999999997E-3</v>
      </c>
      <c r="D4596">
        <v>6.9899999999999997E-3</v>
      </c>
      <c r="E4596">
        <v>0.5</v>
      </c>
      <c r="F4596">
        <v>91289</v>
      </c>
      <c r="G4596">
        <v>638</v>
      </c>
      <c r="H4596">
        <v>90970</v>
      </c>
      <c r="I4596">
        <v>2555894</v>
      </c>
    </row>
    <row r="4597" spans="1:9">
      <c r="A4597" s="2">
        <v>1991</v>
      </c>
      <c r="B4597">
        <v>42</v>
      </c>
      <c r="C4597">
        <v>7.79E-3</v>
      </c>
      <c r="D4597">
        <v>7.7600000000000004E-3</v>
      </c>
      <c r="E4597">
        <v>0.5</v>
      </c>
      <c r="F4597">
        <v>90651</v>
      </c>
      <c r="G4597">
        <v>704</v>
      </c>
      <c r="H4597">
        <v>90300</v>
      </c>
      <c r="I4597">
        <v>2464924</v>
      </c>
    </row>
    <row r="4598" spans="1:9">
      <c r="A4598" s="2">
        <v>1991</v>
      </c>
      <c r="B4598">
        <v>43</v>
      </c>
      <c r="C4598">
        <v>8.4799999999999997E-3</v>
      </c>
      <c r="D4598">
        <v>8.4499999999999992E-3</v>
      </c>
      <c r="E4598">
        <v>0.5</v>
      </c>
      <c r="F4598">
        <v>89948</v>
      </c>
      <c r="G4598">
        <v>760</v>
      </c>
      <c r="H4598">
        <v>89568</v>
      </c>
      <c r="I4598">
        <v>2374624</v>
      </c>
    </row>
    <row r="4599" spans="1:9">
      <c r="A4599" s="2">
        <v>1991</v>
      </c>
      <c r="B4599">
        <v>44</v>
      </c>
      <c r="C4599">
        <v>9.3299999999999998E-3</v>
      </c>
      <c r="D4599">
        <v>9.2899999999999996E-3</v>
      </c>
      <c r="E4599">
        <v>0.5</v>
      </c>
      <c r="F4599">
        <v>89188</v>
      </c>
      <c r="G4599">
        <v>829</v>
      </c>
      <c r="H4599">
        <v>88774</v>
      </c>
      <c r="I4599">
        <v>2285056</v>
      </c>
    </row>
    <row r="4600" spans="1:9">
      <c r="A4600" s="2">
        <v>1991</v>
      </c>
      <c r="B4600">
        <v>45</v>
      </c>
      <c r="C4600">
        <v>9.1699999999999993E-3</v>
      </c>
      <c r="D4600">
        <v>9.1299999999999992E-3</v>
      </c>
      <c r="E4600">
        <v>0.5</v>
      </c>
      <c r="F4600">
        <v>88360</v>
      </c>
      <c r="G4600">
        <v>807</v>
      </c>
      <c r="H4600">
        <v>87956</v>
      </c>
      <c r="I4600">
        <v>2196282</v>
      </c>
    </row>
    <row r="4601" spans="1:9">
      <c r="A4601" s="2">
        <v>1991</v>
      </c>
      <c r="B4601">
        <v>46</v>
      </c>
      <c r="C4601">
        <v>1.102E-2</v>
      </c>
      <c r="D4601">
        <v>1.0959999999999999E-2</v>
      </c>
      <c r="E4601">
        <v>0.5</v>
      </c>
      <c r="F4601">
        <v>87553</v>
      </c>
      <c r="G4601">
        <v>959</v>
      </c>
      <c r="H4601">
        <v>87073</v>
      </c>
      <c r="I4601">
        <v>2108326</v>
      </c>
    </row>
    <row r="4602" spans="1:9">
      <c r="A4602" s="2">
        <v>1991</v>
      </c>
      <c r="B4602">
        <v>47</v>
      </c>
      <c r="C4602">
        <v>1.188E-2</v>
      </c>
      <c r="D4602">
        <v>1.1809999999999999E-2</v>
      </c>
      <c r="E4602">
        <v>0.5</v>
      </c>
      <c r="F4602">
        <v>86594</v>
      </c>
      <c r="G4602">
        <v>1022</v>
      </c>
      <c r="H4602">
        <v>86082</v>
      </c>
      <c r="I4602">
        <v>2021252</v>
      </c>
    </row>
    <row r="4603" spans="1:9">
      <c r="A4603" s="2">
        <v>1991</v>
      </c>
      <c r="B4603">
        <v>48</v>
      </c>
      <c r="C4603">
        <v>1.29E-2</v>
      </c>
      <c r="D4603">
        <v>1.282E-2</v>
      </c>
      <c r="E4603">
        <v>0.5</v>
      </c>
      <c r="F4603">
        <v>85571</v>
      </c>
      <c r="G4603">
        <v>1097</v>
      </c>
      <c r="H4603">
        <v>85023</v>
      </c>
      <c r="I4603">
        <v>1935170</v>
      </c>
    </row>
    <row r="4604" spans="1:9">
      <c r="A4604" s="2">
        <v>1991</v>
      </c>
      <c r="B4604">
        <v>49</v>
      </c>
      <c r="C4604">
        <v>1.3310000000000001E-2</v>
      </c>
      <c r="D4604">
        <v>1.323E-2</v>
      </c>
      <c r="E4604">
        <v>0.5</v>
      </c>
      <c r="F4604">
        <v>84474</v>
      </c>
      <c r="G4604">
        <v>1117</v>
      </c>
      <c r="H4604">
        <v>83916</v>
      </c>
      <c r="I4604">
        <v>1850147</v>
      </c>
    </row>
    <row r="4605" spans="1:9">
      <c r="A4605" s="2">
        <v>1991</v>
      </c>
      <c r="B4605">
        <v>50</v>
      </c>
      <c r="C4605">
        <v>1.5509999999999999E-2</v>
      </c>
      <c r="D4605">
        <v>1.5389999999999999E-2</v>
      </c>
      <c r="E4605">
        <v>0.5</v>
      </c>
      <c r="F4605">
        <v>83357</v>
      </c>
      <c r="G4605">
        <v>1283</v>
      </c>
      <c r="H4605">
        <v>82716</v>
      </c>
      <c r="I4605">
        <v>1766232</v>
      </c>
    </row>
    <row r="4606" spans="1:9">
      <c r="A4606" s="2">
        <v>1991</v>
      </c>
      <c r="B4606">
        <v>51</v>
      </c>
      <c r="C4606">
        <v>1.6E-2</v>
      </c>
      <c r="D4606">
        <v>1.5869999999999999E-2</v>
      </c>
      <c r="E4606">
        <v>0.5</v>
      </c>
      <c r="F4606">
        <v>82074</v>
      </c>
      <c r="G4606">
        <v>1303</v>
      </c>
      <c r="H4606">
        <v>81423</v>
      </c>
      <c r="I4606">
        <v>1683516</v>
      </c>
    </row>
    <row r="4607" spans="1:9">
      <c r="A4607" s="2">
        <v>1991</v>
      </c>
      <c r="B4607">
        <v>52</v>
      </c>
      <c r="C4607">
        <v>1.6820000000000002E-2</v>
      </c>
      <c r="D4607">
        <v>1.668E-2</v>
      </c>
      <c r="E4607">
        <v>0.5</v>
      </c>
      <c r="F4607">
        <v>80771</v>
      </c>
      <c r="G4607">
        <v>1347</v>
      </c>
      <c r="H4607">
        <v>80098</v>
      </c>
      <c r="I4607">
        <v>1602093</v>
      </c>
    </row>
    <row r="4608" spans="1:9">
      <c r="A4608" s="2">
        <v>1991</v>
      </c>
      <c r="B4608">
        <v>53</v>
      </c>
      <c r="C4608">
        <v>1.9060000000000001E-2</v>
      </c>
      <c r="D4608">
        <v>1.8880000000000001E-2</v>
      </c>
      <c r="E4608">
        <v>0.5</v>
      </c>
      <c r="F4608">
        <v>79424</v>
      </c>
      <c r="G4608">
        <v>1500</v>
      </c>
      <c r="H4608">
        <v>78675</v>
      </c>
      <c r="I4608">
        <v>1521995</v>
      </c>
    </row>
    <row r="4609" spans="1:9">
      <c r="A4609" s="2">
        <v>1991</v>
      </c>
      <c r="B4609">
        <v>54</v>
      </c>
      <c r="C4609">
        <v>1.9550000000000001E-2</v>
      </c>
      <c r="D4609">
        <v>1.9359999999999999E-2</v>
      </c>
      <c r="E4609">
        <v>0.5</v>
      </c>
      <c r="F4609">
        <v>77925</v>
      </c>
      <c r="G4609">
        <v>1508</v>
      </c>
      <c r="H4609">
        <v>77171</v>
      </c>
      <c r="I4609">
        <v>1443321</v>
      </c>
    </row>
    <row r="4610" spans="1:9">
      <c r="A4610" s="2">
        <v>1991</v>
      </c>
      <c r="B4610">
        <v>55</v>
      </c>
      <c r="C4610">
        <v>2.1069999999999998E-2</v>
      </c>
      <c r="D4610">
        <v>2.085E-2</v>
      </c>
      <c r="E4610">
        <v>0.5</v>
      </c>
      <c r="F4610">
        <v>76416</v>
      </c>
      <c r="G4610">
        <v>1593</v>
      </c>
      <c r="H4610">
        <v>75620</v>
      </c>
      <c r="I4610">
        <v>1366150</v>
      </c>
    </row>
    <row r="4611" spans="1:9">
      <c r="A4611" s="2">
        <v>1991</v>
      </c>
      <c r="B4611">
        <v>56</v>
      </c>
      <c r="C4611">
        <v>2.2780000000000002E-2</v>
      </c>
      <c r="D4611">
        <v>2.2519999999999998E-2</v>
      </c>
      <c r="E4611">
        <v>0.5</v>
      </c>
      <c r="F4611">
        <v>74823</v>
      </c>
      <c r="G4611">
        <v>1685</v>
      </c>
      <c r="H4611">
        <v>73981</v>
      </c>
      <c r="I4611">
        <v>1290530</v>
      </c>
    </row>
    <row r="4612" spans="1:9">
      <c r="A4612" s="2">
        <v>1991</v>
      </c>
      <c r="B4612">
        <v>57</v>
      </c>
      <c r="C4612">
        <v>2.4140000000000002E-2</v>
      </c>
      <c r="D4612">
        <v>2.385E-2</v>
      </c>
      <c r="E4612">
        <v>0.5</v>
      </c>
      <c r="F4612">
        <v>73138</v>
      </c>
      <c r="G4612">
        <v>1744</v>
      </c>
      <c r="H4612">
        <v>72266</v>
      </c>
      <c r="I4612">
        <v>1216550</v>
      </c>
    </row>
    <row r="4613" spans="1:9">
      <c r="A4613" s="2">
        <v>1991</v>
      </c>
      <c r="B4613">
        <v>58</v>
      </c>
      <c r="C4613">
        <v>2.5870000000000001E-2</v>
      </c>
      <c r="D4613">
        <v>2.5530000000000001E-2</v>
      </c>
      <c r="E4613">
        <v>0.5</v>
      </c>
      <c r="F4613">
        <v>71394</v>
      </c>
      <c r="G4613">
        <v>1823</v>
      </c>
      <c r="H4613">
        <v>70482</v>
      </c>
      <c r="I4613">
        <v>1144284</v>
      </c>
    </row>
    <row r="4614" spans="1:9">
      <c r="A4614" s="2">
        <v>1991</v>
      </c>
      <c r="B4614">
        <v>59</v>
      </c>
      <c r="C4614">
        <v>2.6179999999999998E-2</v>
      </c>
      <c r="D4614">
        <v>2.5850000000000001E-2</v>
      </c>
      <c r="E4614">
        <v>0.5</v>
      </c>
      <c r="F4614">
        <v>69571</v>
      </c>
      <c r="G4614">
        <v>1798</v>
      </c>
      <c r="H4614">
        <v>68672</v>
      </c>
      <c r="I4614">
        <v>1073802</v>
      </c>
    </row>
    <row r="4615" spans="1:9">
      <c r="A4615" s="2">
        <v>1991</v>
      </c>
      <c r="B4615">
        <v>60</v>
      </c>
      <c r="C4615">
        <v>2.8969999999999999E-2</v>
      </c>
      <c r="D4615">
        <v>2.8549999999999999E-2</v>
      </c>
      <c r="E4615">
        <v>0.5</v>
      </c>
      <c r="F4615">
        <v>67773</v>
      </c>
      <c r="G4615">
        <v>1935</v>
      </c>
      <c r="H4615">
        <v>66805</v>
      </c>
      <c r="I4615">
        <v>1005130</v>
      </c>
    </row>
    <row r="4616" spans="1:9">
      <c r="A4616" s="2">
        <v>1991</v>
      </c>
      <c r="B4616">
        <v>61</v>
      </c>
      <c r="C4616">
        <v>3.0370000000000001E-2</v>
      </c>
      <c r="D4616">
        <v>2.9909999999999999E-2</v>
      </c>
      <c r="E4616">
        <v>0.5</v>
      </c>
      <c r="F4616">
        <v>65838</v>
      </c>
      <c r="G4616">
        <v>1969</v>
      </c>
      <c r="H4616">
        <v>64853</v>
      </c>
      <c r="I4616">
        <v>938325</v>
      </c>
    </row>
    <row r="4617" spans="1:9">
      <c r="A4617" s="2">
        <v>1991</v>
      </c>
      <c r="B4617">
        <v>62</v>
      </c>
      <c r="C4617">
        <v>3.4459999999999998E-2</v>
      </c>
      <c r="D4617">
        <v>3.3869999999999997E-2</v>
      </c>
      <c r="E4617">
        <v>0.5</v>
      </c>
      <c r="F4617">
        <v>63868</v>
      </c>
      <c r="G4617">
        <v>2163</v>
      </c>
      <c r="H4617">
        <v>62787</v>
      </c>
      <c r="I4617">
        <v>873472</v>
      </c>
    </row>
    <row r="4618" spans="1:9">
      <c r="A4618" s="2">
        <v>1991</v>
      </c>
      <c r="B4618">
        <v>63</v>
      </c>
      <c r="C4618">
        <v>3.7310000000000003E-2</v>
      </c>
      <c r="D4618">
        <v>3.662E-2</v>
      </c>
      <c r="E4618">
        <v>0.5</v>
      </c>
      <c r="F4618">
        <v>61705</v>
      </c>
      <c r="G4618">
        <v>2260</v>
      </c>
      <c r="H4618">
        <v>60575</v>
      </c>
      <c r="I4618">
        <v>810685</v>
      </c>
    </row>
    <row r="4619" spans="1:9">
      <c r="A4619" s="2">
        <v>1991</v>
      </c>
      <c r="B4619">
        <v>64</v>
      </c>
      <c r="C4619">
        <v>3.9359999999999999E-2</v>
      </c>
      <c r="D4619">
        <v>3.8600000000000002E-2</v>
      </c>
      <c r="E4619">
        <v>0.5</v>
      </c>
      <c r="F4619">
        <v>59445</v>
      </c>
      <c r="G4619">
        <v>2295</v>
      </c>
      <c r="H4619">
        <v>58298</v>
      </c>
      <c r="I4619">
        <v>750110</v>
      </c>
    </row>
    <row r="4620" spans="1:9">
      <c r="A4620" s="2">
        <v>1991</v>
      </c>
      <c r="B4620">
        <v>65</v>
      </c>
      <c r="C4620">
        <v>4.2459999999999998E-2</v>
      </c>
      <c r="D4620">
        <v>4.1579999999999999E-2</v>
      </c>
      <c r="E4620">
        <v>0.5</v>
      </c>
      <c r="F4620">
        <v>57151</v>
      </c>
      <c r="G4620">
        <v>2376</v>
      </c>
      <c r="H4620">
        <v>55962</v>
      </c>
      <c r="I4620">
        <v>691812</v>
      </c>
    </row>
    <row r="4621" spans="1:9">
      <c r="A4621" s="2">
        <v>1991</v>
      </c>
      <c r="B4621">
        <v>66</v>
      </c>
      <c r="C4621">
        <v>4.1840000000000002E-2</v>
      </c>
      <c r="D4621">
        <v>4.0980000000000003E-2</v>
      </c>
      <c r="E4621">
        <v>0.5</v>
      </c>
      <c r="F4621">
        <v>54774</v>
      </c>
      <c r="G4621">
        <v>2245</v>
      </c>
      <c r="H4621">
        <v>53652</v>
      </c>
      <c r="I4621">
        <v>635850</v>
      </c>
    </row>
    <row r="4622" spans="1:9">
      <c r="A4622" s="2">
        <v>1991</v>
      </c>
      <c r="B4622">
        <v>67</v>
      </c>
      <c r="C4622">
        <v>4.6969999999999998E-2</v>
      </c>
      <c r="D4622">
        <v>4.589E-2</v>
      </c>
      <c r="E4622">
        <v>0.5</v>
      </c>
      <c r="F4622">
        <v>52530</v>
      </c>
      <c r="G4622">
        <v>2410</v>
      </c>
      <c r="H4622">
        <v>51324</v>
      </c>
      <c r="I4622">
        <v>582198</v>
      </c>
    </row>
    <row r="4623" spans="1:9">
      <c r="A4623" s="2">
        <v>1991</v>
      </c>
      <c r="B4623">
        <v>68</v>
      </c>
      <c r="C4623">
        <v>4.8829999999999998E-2</v>
      </c>
      <c r="D4623">
        <v>4.7669999999999997E-2</v>
      </c>
      <c r="E4623">
        <v>0.5</v>
      </c>
      <c r="F4623">
        <v>50119</v>
      </c>
      <c r="G4623">
        <v>2389</v>
      </c>
      <c r="H4623">
        <v>48925</v>
      </c>
      <c r="I4623">
        <v>530873</v>
      </c>
    </row>
    <row r="4624" spans="1:9">
      <c r="A4624" s="2">
        <v>1991</v>
      </c>
      <c r="B4624">
        <v>69</v>
      </c>
      <c r="C4624">
        <v>5.3129999999999997E-2</v>
      </c>
      <c r="D4624">
        <v>5.176E-2</v>
      </c>
      <c r="E4624">
        <v>0.5</v>
      </c>
      <c r="F4624">
        <v>47730</v>
      </c>
      <c r="G4624">
        <v>2470</v>
      </c>
      <c r="H4624">
        <v>46495</v>
      </c>
      <c r="I4624">
        <v>481949</v>
      </c>
    </row>
    <row r="4625" spans="1:9">
      <c r="A4625" s="2">
        <v>1991</v>
      </c>
      <c r="B4625">
        <v>70</v>
      </c>
      <c r="C4625">
        <v>5.3749999999999999E-2</v>
      </c>
      <c r="D4625">
        <v>5.2339999999999998E-2</v>
      </c>
      <c r="E4625">
        <v>0.5</v>
      </c>
      <c r="F4625">
        <v>45260</v>
      </c>
      <c r="G4625">
        <v>2369</v>
      </c>
      <c r="H4625">
        <v>44075</v>
      </c>
      <c r="I4625">
        <v>435454</v>
      </c>
    </row>
    <row r="4626" spans="1:9">
      <c r="A4626" s="2">
        <v>1991</v>
      </c>
      <c r="B4626">
        <v>71</v>
      </c>
      <c r="C4626">
        <v>6.8580000000000002E-2</v>
      </c>
      <c r="D4626">
        <v>6.6309999999999994E-2</v>
      </c>
      <c r="E4626">
        <v>0.5</v>
      </c>
      <c r="F4626">
        <v>42891</v>
      </c>
      <c r="G4626">
        <v>2844</v>
      </c>
      <c r="H4626">
        <v>41469</v>
      </c>
      <c r="I4626">
        <v>391378</v>
      </c>
    </row>
    <row r="4627" spans="1:9">
      <c r="A4627" s="2">
        <v>1991</v>
      </c>
      <c r="B4627">
        <v>72</v>
      </c>
      <c r="C4627">
        <v>5.7910000000000003E-2</v>
      </c>
      <c r="D4627">
        <v>5.6279999999999997E-2</v>
      </c>
      <c r="E4627">
        <v>0.5</v>
      </c>
      <c r="F4627">
        <v>40047</v>
      </c>
      <c r="G4627">
        <v>2254</v>
      </c>
      <c r="H4627">
        <v>38920</v>
      </c>
      <c r="I4627">
        <v>349909</v>
      </c>
    </row>
    <row r="4628" spans="1:9">
      <c r="A4628" s="2">
        <v>1991</v>
      </c>
      <c r="B4628">
        <v>73</v>
      </c>
      <c r="C4628">
        <v>6.8390000000000006E-2</v>
      </c>
      <c r="D4628">
        <v>6.6129999999999994E-2</v>
      </c>
      <c r="E4628">
        <v>0.5</v>
      </c>
      <c r="F4628">
        <v>37793</v>
      </c>
      <c r="G4628">
        <v>2499</v>
      </c>
      <c r="H4628">
        <v>36543</v>
      </c>
      <c r="I4628">
        <v>310989</v>
      </c>
    </row>
    <row r="4629" spans="1:9">
      <c r="A4629" s="2">
        <v>1991</v>
      </c>
      <c r="B4629">
        <v>74</v>
      </c>
      <c r="C4629">
        <v>7.4410000000000004E-2</v>
      </c>
      <c r="D4629">
        <v>7.1739999999999998E-2</v>
      </c>
      <c r="E4629">
        <v>0.5</v>
      </c>
      <c r="F4629">
        <v>35294</v>
      </c>
      <c r="G4629">
        <v>2532</v>
      </c>
      <c r="H4629">
        <v>34028</v>
      </c>
      <c r="I4629">
        <v>274446</v>
      </c>
    </row>
    <row r="4630" spans="1:9">
      <c r="A4630" s="2">
        <v>1991</v>
      </c>
      <c r="B4630">
        <v>75</v>
      </c>
      <c r="C4630">
        <v>7.775E-2</v>
      </c>
      <c r="D4630">
        <v>7.4840000000000004E-2</v>
      </c>
      <c r="E4630">
        <v>0.5</v>
      </c>
      <c r="F4630">
        <v>32762</v>
      </c>
      <c r="G4630">
        <v>2452</v>
      </c>
      <c r="H4630">
        <v>31536</v>
      </c>
      <c r="I4630">
        <v>240418</v>
      </c>
    </row>
    <row r="4631" spans="1:9">
      <c r="A4631" s="2">
        <v>1991</v>
      </c>
      <c r="B4631">
        <v>76</v>
      </c>
      <c r="C4631">
        <v>9.8949999999999996E-2</v>
      </c>
      <c r="D4631">
        <v>9.4289999999999999E-2</v>
      </c>
      <c r="E4631">
        <v>0.5</v>
      </c>
      <c r="F4631">
        <v>30310</v>
      </c>
      <c r="G4631">
        <v>2858</v>
      </c>
      <c r="H4631">
        <v>28881</v>
      </c>
      <c r="I4631">
        <v>208882</v>
      </c>
    </row>
    <row r="4632" spans="1:9">
      <c r="A4632" s="2">
        <v>1991</v>
      </c>
      <c r="B4632">
        <v>77</v>
      </c>
      <c r="C4632">
        <v>9.9779999999999994E-2</v>
      </c>
      <c r="D4632">
        <v>9.5039999999999999E-2</v>
      </c>
      <c r="E4632">
        <v>0.5</v>
      </c>
      <c r="F4632">
        <v>27452</v>
      </c>
      <c r="G4632">
        <v>2609</v>
      </c>
      <c r="H4632">
        <v>26148</v>
      </c>
      <c r="I4632">
        <v>180001</v>
      </c>
    </row>
    <row r="4633" spans="1:9">
      <c r="A4633" s="2">
        <v>1991</v>
      </c>
      <c r="B4633">
        <v>78</v>
      </c>
      <c r="C4633">
        <v>0.10816000000000001</v>
      </c>
      <c r="D4633">
        <v>0.10261000000000001</v>
      </c>
      <c r="E4633">
        <v>0.5</v>
      </c>
      <c r="F4633">
        <v>24843</v>
      </c>
      <c r="G4633">
        <v>2549</v>
      </c>
      <c r="H4633">
        <v>23568</v>
      </c>
      <c r="I4633">
        <v>153854</v>
      </c>
    </row>
    <row r="4634" spans="1:9">
      <c r="A4634" s="2">
        <v>1991</v>
      </c>
      <c r="B4634">
        <v>79</v>
      </c>
      <c r="C4634">
        <v>0.11072</v>
      </c>
      <c r="D4634">
        <v>0.10491</v>
      </c>
      <c r="E4634">
        <v>0.5</v>
      </c>
      <c r="F4634">
        <v>22294</v>
      </c>
      <c r="G4634">
        <v>2339</v>
      </c>
      <c r="H4634">
        <v>21124</v>
      </c>
      <c r="I4634">
        <v>130285</v>
      </c>
    </row>
    <row r="4635" spans="1:9">
      <c r="A4635" s="2">
        <v>1991</v>
      </c>
      <c r="B4635">
        <v>80</v>
      </c>
      <c r="C4635">
        <v>0.12544</v>
      </c>
      <c r="D4635">
        <v>0.11803</v>
      </c>
      <c r="E4635">
        <v>0.5</v>
      </c>
      <c r="F4635">
        <v>19955</v>
      </c>
      <c r="G4635">
        <v>2355</v>
      </c>
      <c r="H4635">
        <v>18777</v>
      </c>
      <c r="I4635">
        <v>109161</v>
      </c>
    </row>
    <row r="4636" spans="1:9">
      <c r="A4636" s="2">
        <v>1991</v>
      </c>
      <c r="B4636">
        <v>81</v>
      </c>
      <c r="C4636">
        <v>0.13730999999999999</v>
      </c>
      <c r="D4636">
        <v>0.12848999999999999</v>
      </c>
      <c r="E4636">
        <v>0.5</v>
      </c>
      <c r="F4636">
        <v>17600</v>
      </c>
      <c r="G4636">
        <v>2261</v>
      </c>
      <c r="H4636">
        <v>16469</v>
      </c>
      <c r="I4636">
        <v>90384</v>
      </c>
    </row>
    <row r="4637" spans="1:9">
      <c r="A4637" s="2">
        <v>1991</v>
      </c>
      <c r="B4637">
        <v>82</v>
      </c>
      <c r="C4637">
        <v>0.15359999999999999</v>
      </c>
      <c r="D4637">
        <v>0.14265</v>
      </c>
      <c r="E4637">
        <v>0.5</v>
      </c>
      <c r="F4637">
        <v>15338</v>
      </c>
      <c r="G4637">
        <v>2188</v>
      </c>
      <c r="H4637">
        <v>14244</v>
      </c>
      <c r="I4637">
        <v>73915</v>
      </c>
    </row>
    <row r="4638" spans="1:9">
      <c r="A4638" s="2">
        <v>1991</v>
      </c>
      <c r="B4638">
        <v>83</v>
      </c>
      <c r="C4638">
        <v>0.16145000000000001</v>
      </c>
      <c r="D4638">
        <v>0.14939</v>
      </c>
      <c r="E4638">
        <v>0.5</v>
      </c>
      <c r="F4638">
        <v>13150</v>
      </c>
      <c r="G4638">
        <v>1965</v>
      </c>
      <c r="H4638">
        <v>12168</v>
      </c>
      <c r="I4638">
        <v>59670</v>
      </c>
    </row>
    <row r="4639" spans="1:9">
      <c r="A4639" s="2">
        <v>1991</v>
      </c>
      <c r="B4639">
        <v>84</v>
      </c>
      <c r="C4639">
        <v>0.18113000000000001</v>
      </c>
      <c r="D4639">
        <v>0.16608999999999999</v>
      </c>
      <c r="E4639">
        <v>0.5</v>
      </c>
      <c r="F4639">
        <v>11186</v>
      </c>
      <c r="G4639">
        <v>1858</v>
      </c>
      <c r="H4639">
        <v>10257</v>
      </c>
      <c r="I4639">
        <v>47502</v>
      </c>
    </row>
    <row r="4640" spans="1:9">
      <c r="A4640" s="2">
        <v>1991</v>
      </c>
      <c r="B4640">
        <v>85</v>
      </c>
      <c r="C4640">
        <v>0.19572000000000001</v>
      </c>
      <c r="D4640">
        <v>0.17827000000000001</v>
      </c>
      <c r="E4640">
        <v>0.5</v>
      </c>
      <c r="F4640">
        <v>9328</v>
      </c>
      <c r="G4640">
        <v>1663</v>
      </c>
      <c r="H4640">
        <v>8496</v>
      </c>
      <c r="I4640">
        <v>37245</v>
      </c>
    </row>
    <row r="4641" spans="1:9">
      <c r="A4641" s="2">
        <v>1991</v>
      </c>
      <c r="B4641">
        <v>86</v>
      </c>
      <c r="C4641">
        <v>0.21493999999999999</v>
      </c>
      <c r="D4641">
        <v>0.19408</v>
      </c>
      <c r="E4641">
        <v>0.5</v>
      </c>
      <c r="F4641">
        <v>7665</v>
      </c>
      <c r="G4641">
        <v>1488</v>
      </c>
      <c r="H4641">
        <v>6921</v>
      </c>
      <c r="I4641">
        <v>28749</v>
      </c>
    </row>
    <row r="4642" spans="1:9">
      <c r="A4642" s="2">
        <v>1991</v>
      </c>
      <c r="B4642">
        <v>87</v>
      </c>
      <c r="C4642">
        <v>0.23391999999999999</v>
      </c>
      <c r="D4642">
        <v>0.20943000000000001</v>
      </c>
      <c r="E4642">
        <v>0.5</v>
      </c>
      <c r="F4642">
        <v>6177</v>
      </c>
      <c r="G4642">
        <v>1294</v>
      </c>
      <c r="H4642">
        <v>5531</v>
      </c>
      <c r="I4642">
        <v>21828</v>
      </c>
    </row>
    <row r="4643" spans="1:9">
      <c r="A4643" s="2">
        <v>1991</v>
      </c>
      <c r="B4643">
        <v>88</v>
      </c>
      <c r="C4643">
        <v>0.25019000000000002</v>
      </c>
      <c r="D4643">
        <v>0.22237000000000001</v>
      </c>
      <c r="E4643">
        <v>0.5</v>
      </c>
      <c r="F4643">
        <v>4884</v>
      </c>
      <c r="G4643">
        <v>1086</v>
      </c>
      <c r="H4643">
        <v>4341</v>
      </c>
      <c r="I4643">
        <v>16297</v>
      </c>
    </row>
    <row r="4644" spans="1:9">
      <c r="A4644" s="2">
        <v>1991</v>
      </c>
      <c r="B4644">
        <v>89</v>
      </c>
      <c r="C4644">
        <v>0.27395000000000003</v>
      </c>
      <c r="D4644">
        <v>0.24095</v>
      </c>
      <c r="E4644">
        <v>0.5</v>
      </c>
      <c r="F4644">
        <v>3798</v>
      </c>
      <c r="G4644">
        <v>915</v>
      </c>
      <c r="H4644">
        <v>3340</v>
      </c>
      <c r="I4644">
        <v>11956</v>
      </c>
    </row>
    <row r="4645" spans="1:9">
      <c r="A4645" s="2">
        <v>1991</v>
      </c>
      <c r="B4645">
        <v>90</v>
      </c>
      <c r="C4645">
        <v>0.28150999999999998</v>
      </c>
      <c r="D4645">
        <v>0.24678</v>
      </c>
      <c r="E4645">
        <v>0.5</v>
      </c>
      <c r="F4645">
        <v>2883</v>
      </c>
      <c r="G4645">
        <v>711</v>
      </c>
      <c r="H4645">
        <v>2527</v>
      </c>
      <c r="I4645">
        <v>8616</v>
      </c>
    </row>
    <row r="4646" spans="1:9">
      <c r="A4646" s="2">
        <v>1991</v>
      </c>
      <c r="B4646">
        <v>91</v>
      </c>
      <c r="C4646">
        <v>0.29570000000000002</v>
      </c>
      <c r="D4646">
        <v>0.25761000000000001</v>
      </c>
      <c r="E4646">
        <v>0.5</v>
      </c>
      <c r="F4646">
        <v>2171</v>
      </c>
      <c r="G4646">
        <v>559</v>
      </c>
      <c r="H4646">
        <v>1892</v>
      </c>
      <c r="I4646">
        <v>6089</v>
      </c>
    </row>
    <row r="4647" spans="1:9">
      <c r="A4647" s="2">
        <v>1991</v>
      </c>
      <c r="B4647">
        <v>92</v>
      </c>
      <c r="C4647">
        <v>0.33901999999999999</v>
      </c>
      <c r="D4647">
        <v>0.28988000000000003</v>
      </c>
      <c r="E4647">
        <v>0.5</v>
      </c>
      <c r="F4647">
        <v>1612</v>
      </c>
      <c r="G4647">
        <v>467</v>
      </c>
      <c r="H4647">
        <v>1378</v>
      </c>
      <c r="I4647">
        <v>4198</v>
      </c>
    </row>
    <row r="4648" spans="1:9">
      <c r="A4648" s="2">
        <v>1991</v>
      </c>
      <c r="B4648">
        <v>93</v>
      </c>
      <c r="C4648">
        <v>0.34584999999999999</v>
      </c>
      <c r="D4648">
        <v>0.29486000000000001</v>
      </c>
      <c r="E4648">
        <v>0.5</v>
      </c>
      <c r="F4648">
        <v>1145</v>
      </c>
      <c r="G4648">
        <v>338</v>
      </c>
      <c r="H4648">
        <v>976</v>
      </c>
      <c r="I4648">
        <v>2819</v>
      </c>
    </row>
    <row r="4649" spans="1:9">
      <c r="A4649" s="2">
        <v>1991</v>
      </c>
      <c r="B4649">
        <v>94</v>
      </c>
      <c r="C4649">
        <v>0.41371000000000002</v>
      </c>
      <c r="D4649">
        <v>0.34279999999999999</v>
      </c>
      <c r="E4649">
        <v>0.5</v>
      </c>
      <c r="F4649">
        <v>807</v>
      </c>
      <c r="G4649">
        <v>277</v>
      </c>
      <c r="H4649">
        <v>669</v>
      </c>
      <c r="I4649">
        <v>1844</v>
      </c>
    </row>
    <row r="4650" spans="1:9">
      <c r="A4650" s="2">
        <v>1991</v>
      </c>
      <c r="B4650">
        <v>95</v>
      </c>
      <c r="C4650">
        <v>0.41188000000000002</v>
      </c>
      <c r="D4650">
        <v>0.34154000000000001</v>
      </c>
      <c r="E4650">
        <v>0.5</v>
      </c>
      <c r="F4650">
        <v>530</v>
      </c>
      <c r="G4650">
        <v>181</v>
      </c>
      <c r="H4650">
        <v>440</v>
      </c>
      <c r="I4650">
        <v>1175</v>
      </c>
    </row>
    <row r="4651" spans="1:9">
      <c r="A4651" s="2">
        <v>1991</v>
      </c>
      <c r="B4651">
        <v>96</v>
      </c>
      <c r="C4651">
        <v>0.43767</v>
      </c>
      <c r="D4651">
        <v>0.35909000000000002</v>
      </c>
      <c r="E4651">
        <v>0.5</v>
      </c>
      <c r="F4651">
        <v>349</v>
      </c>
      <c r="G4651">
        <v>125</v>
      </c>
      <c r="H4651">
        <v>287</v>
      </c>
      <c r="I4651">
        <v>735</v>
      </c>
    </row>
    <row r="4652" spans="1:9">
      <c r="A4652" s="2">
        <v>1991</v>
      </c>
      <c r="B4652">
        <v>97</v>
      </c>
      <c r="C4652">
        <v>0.46379999999999999</v>
      </c>
      <c r="D4652">
        <v>0.37648999999999999</v>
      </c>
      <c r="E4652">
        <v>0.5</v>
      </c>
      <c r="F4652">
        <v>224</v>
      </c>
      <c r="G4652">
        <v>84</v>
      </c>
      <c r="H4652">
        <v>182</v>
      </c>
      <c r="I4652">
        <v>448</v>
      </c>
    </row>
    <row r="4653" spans="1:9">
      <c r="A4653" s="2">
        <v>1991</v>
      </c>
      <c r="B4653">
        <v>98</v>
      </c>
      <c r="C4653">
        <v>0.49013000000000001</v>
      </c>
      <c r="D4653">
        <v>0.39366000000000001</v>
      </c>
      <c r="E4653">
        <v>0.5</v>
      </c>
      <c r="F4653">
        <v>140</v>
      </c>
      <c r="G4653">
        <v>55</v>
      </c>
      <c r="H4653">
        <v>112</v>
      </c>
      <c r="I4653">
        <v>267</v>
      </c>
    </row>
    <row r="4654" spans="1:9">
      <c r="A4654" s="2">
        <v>1991</v>
      </c>
      <c r="B4654">
        <v>99</v>
      </c>
      <c r="C4654">
        <v>0.51651999999999998</v>
      </c>
      <c r="D4654">
        <v>0.41049999999999998</v>
      </c>
      <c r="E4654">
        <v>0.5</v>
      </c>
      <c r="F4654">
        <v>85</v>
      </c>
      <c r="G4654">
        <v>35</v>
      </c>
      <c r="H4654">
        <v>67</v>
      </c>
      <c r="I4654">
        <v>154</v>
      </c>
    </row>
    <row r="4655" spans="1:9">
      <c r="A4655" s="2">
        <v>1991</v>
      </c>
      <c r="B4655">
        <v>100</v>
      </c>
      <c r="C4655">
        <v>0.54281000000000001</v>
      </c>
      <c r="D4655">
        <v>0.42693999999999999</v>
      </c>
      <c r="E4655">
        <v>0.5</v>
      </c>
      <c r="F4655">
        <v>50</v>
      </c>
      <c r="G4655">
        <v>21</v>
      </c>
      <c r="H4655">
        <v>39</v>
      </c>
      <c r="I4655">
        <v>87</v>
      </c>
    </row>
    <row r="4656" spans="1:9">
      <c r="A4656" s="2">
        <v>1991</v>
      </c>
      <c r="B4656">
        <v>101</v>
      </c>
      <c r="C4656">
        <v>0.56886000000000003</v>
      </c>
      <c r="D4656">
        <v>0.44289000000000001</v>
      </c>
      <c r="E4656">
        <v>0.5</v>
      </c>
      <c r="F4656">
        <v>29</v>
      </c>
      <c r="G4656">
        <v>13</v>
      </c>
      <c r="H4656">
        <v>22</v>
      </c>
      <c r="I4656">
        <v>48</v>
      </c>
    </row>
    <row r="4657" spans="1:9">
      <c r="A4657" s="2">
        <v>1991</v>
      </c>
      <c r="B4657">
        <v>102</v>
      </c>
      <c r="C4657">
        <v>0.59455000000000002</v>
      </c>
      <c r="D4657">
        <v>0.45829999999999999</v>
      </c>
      <c r="E4657">
        <v>0.5</v>
      </c>
      <c r="F4657">
        <v>16</v>
      </c>
      <c r="G4657">
        <v>7</v>
      </c>
      <c r="H4657">
        <v>12</v>
      </c>
      <c r="I4657">
        <v>26</v>
      </c>
    </row>
    <row r="4658" spans="1:9">
      <c r="A4658" s="2">
        <v>1991</v>
      </c>
      <c r="B4658">
        <v>103</v>
      </c>
      <c r="C4658">
        <v>0.61972000000000005</v>
      </c>
      <c r="D4658">
        <v>0.47311999999999999</v>
      </c>
      <c r="E4658">
        <v>0.5</v>
      </c>
      <c r="F4658">
        <v>9</v>
      </c>
      <c r="G4658">
        <v>4</v>
      </c>
      <c r="H4658">
        <v>7</v>
      </c>
      <c r="I4658">
        <v>13</v>
      </c>
    </row>
    <row r="4659" spans="1:9">
      <c r="A4659" s="2">
        <v>1991</v>
      </c>
      <c r="B4659">
        <v>104</v>
      </c>
      <c r="C4659">
        <v>0.64427000000000001</v>
      </c>
      <c r="D4659">
        <v>0.48729</v>
      </c>
      <c r="E4659">
        <v>0.5</v>
      </c>
      <c r="F4659">
        <v>5</v>
      </c>
      <c r="G4659">
        <v>2</v>
      </c>
      <c r="H4659">
        <v>3</v>
      </c>
      <c r="I4659">
        <v>7</v>
      </c>
    </row>
    <row r="4660" spans="1:9">
      <c r="A4660" s="2">
        <v>1991</v>
      </c>
      <c r="B4660">
        <v>105</v>
      </c>
      <c r="C4660">
        <v>0.66808000000000001</v>
      </c>
      <c r="D4660">
        <v>0.50078999999999996</v>
      </c>
      <c r="E4660">
        <v>0.5</v>
      </c>
      <c r="F4660">
        <v>2</v>
      </c>
      <c r="G4660">
        <v>1</v>
      </c>
      <c r="H4660">
        <v>2</v>
      </c>
      <c r="I4660">
        <v>3</v>
      </c>
    </row>
    <row r="4661" spans="1:9">
      <c r="A4661" s="2">
        <v>1991</v>
      </c>
      <c r="B4661">
        <v>106</v>
      </c>
      <c r="C4661">
        <v>0.69106000000000001</v>
      </c>
      <c r="D4661">
        <v>0.51358999999999999</v>
      </c>
      <c r="E4661">
        <v>0.5</v>
      </c>
      <c r="F4661">
        <v>1</v>
      </c>
      <c r="G4661">
        <v>1</v>
      </c>
      <c r="H4661">
        <v>1</v>
      </c>
      <c r="I4661">
        <v>2</v>
      </c>
    </row>
    <row r="4662" spans="1:9">
      <c r="A4662" s="2">
        <v>1991</v>
      </c>
      <c r="B4662">
        <v>107</v>
      </c>
      <c r="C4662">
        <v>0.71313000000000004</v>
      </c>
      <c r="D4662">
        <v>0.52568999999999999</v>
      </c>
      <c r="E4662">
        <v>0.5</v>
      </c>
      <c r="F4662">
        <v>1</v>
      </c>
      <c r="G4662">
        <v>0</v>
      </c>
      <c r="H4662">
        <v>0</v>
      </c>
      <c r="I4662">
        <v>1</v>
      </c>
    </row>
    <row r="4663" spans="1:9">
      <c r="A4663" s="2">
        <v>1991</v>
      </c>
      <c r="B4663">
        <v>108</v>
      </c>
      <c r="C4663">
        <v>0.73423000000000005</v>
      </c>
      <c r="D4663">
        <v>0.53707000000000005</v>
      </c>
      <c r="E4663">
        <v>0.5</v>
      </c>
      <c r="F4663">
        <v>0</v>
      </c>
      <c r="G4663">
        <v>0</v>
      </c>
      <c r="H4663">
        <v>0</v>
      </c>
      <c r="I4663">
        <v>0</v>
      </c>
    </row>
    <row r="4664" spans="1:9">
      <c r="A4664" s="2">
        <v>1991</v>
      </c>
      <c r="B4664">
        <v>109</v>
      </c>
      <c r="C4664">
        <v>0.75431999999999999</v>
      </c>
      <c r="D4664">
        <v>0.54773000000000005</v>
      </c>
      <c r="E4664">
        <v>0.5</v>
      </c>
      <c r="F4664">
        <v>0</v>
      </c>
      <c r="G4664">
        <v>0</v>
      </c>
      <c r="H4664">
        <v>0</v>
      </c>
      <c r="I4664">
        <v>0</v>
      </c>
    </row>
    <row r="4665" spans="1:9">
      <c r="A4665" s="2">
        <v>1991</v>
      </c>
      <c r="B4665" t="s">
        <v>26</v>
      </c>
      <c r="C4665">
        <v>0.77334999999999998</v>
      </c>
      <c r="D4665">
        <v>1</v>
      </c>
      <c r="E4665" s="3" t="s">
        <v>43</v>
      </c>
      <c r="F4665">
        <v>0</v>
      </c>
      <c r="G4665">
        <v>0</v>
      </c>
      <c r="H4665">
        <v>0</v>
      </c>
      <c r="I4665">
        <v>0</v>
      </c>
    </row>
    <row r="4666" spans="1:9">
      <c r="A4666" s="2">
        <v>1992</v>
      </c>
      <c r="B4666">
        <v>0</v>
      </c>
      <c r="C4666">
        <v>1.538E-2</v>
      </c>
      <c r="D4666">
        <v>1.5169999999999999E-2</v>
      </c>
      <c r="E4666">
        <v>0.12</v>
      </c>
      <c r="F4666">
        <v>100000</v>
      </c>
      <c r="G4666">
        <v>1517</v>
      </c>
      <c r="H4666">
        <v>98663</v>
      </c>
      <c r="I4666">
        <v>6465984</v>
      </c>
    </row>
    <row r="4667" spans="1:9">
      <c r="A4667" s="2">
        <v>1992</v>
      </c>
      <c r="B4667">
        <v>1</v>
      </c>
      <c r="C4667">
        <v>7.6999999999999996E-4</v>
      </c>
      <c r="D4667">
        <v>7.6999999999999996E-4</v>
      </c>
      <c r="E4667">
        <v>0.5</v>
      </c>
      <c r="F4667">
        <v>98483</v>
      </c>
      <c r="G4667">
        <v>75</v>
      </c>
      <c r="H4667">
        <v>98445</v>
      </c>
      <c r="I4667">
        <v>6367322</v>
      </c>
    </row>
    <row r="4668" spans="1:9">
      <c r="A4668" s="2">
        <v>1992</v>
      </c>
      <c r="B4668">
        <v>2</v>
      </c>
      <c r="C4668">
        <v>6.7000000000000002E-4</v>
      </c>
      <c r="D4668">
        <v>6.7000000000000002E-4</v>
      </c>
      <c r="E4668">
        <v>0.5</v>
      </c>
      <c r="F4668">
        <v>98407</v>
      </c>
      <c r="G4668">
        <v>66</v>
      </c>
      <c r="H4668">
        <v>98374</v>
      </c>
      <c r="I4668">
        <v>6268877</v>
      </c>
    </row>
    <row r="4669" spans="1:9">
      <c r="A4669" s="2">
        <v>1992</v>
      </c>
      <c r="B4669">
        <v>3</v>
      </c>
      <c r="C4669">
        <v>2.5999999999999998E-4</v>
      </c>
      <c r="D4669">
        <v>2.5999999999999998E-4</v>
      </c>
      <c r="E4669">
        <v>0.5</v>
      </c>
      <c r="F4669">
        <v>98341</v>
      </c>
      <c r="G4669">
        <v>25</v>
      </c>
      <c r="H4669">
        <v>98328</v>
      </c>
      <c r="I4669">
        <v>6170503</v>
      </c>
    </row>
    <row r="4670" spans="1:9">
      <c r="A4670" s="2">
        <v>1992</v>
      </c>
      <c r="B4670">
        <v>4</v>
      </c>
      <c r="C4670">
        <v>3.2000000000000003E-4</v>
      </c>
      <c r="D4670">
        <v>3.2000000000000003E-4</v>
      </c>
      <c r="E4670">
        <v>0.5</v>
      </c>
      <c r="F4670">
        <v>98316</v>
      </c>
      <c r="G4670">
        <v>31</v>
      </c>
      <c r="H4670">
        <v>98300</v>
      </c>
      <c r="I4670">
        <v>6072175</v>
      </c>
    </row>
    <row r="4671" spans="1:9">
      <c r="A4671" s="2">
        <v>1992</v>
      </c>
      <c r="B4671">
        <v>5</v>
      </c>
      <c r="C4671">
        <v>2.7999999999999998E-4</v>
      </c>
      <c r="D4671">
        <v>2.7999999999999998E-4</v>
      </c>
      <c r="E4671">
        <v>0.5</v>
      </c>
      <c r="F4671">
        <v>98285</v>
      </c>
      <c r="G4671">
        <v>28</v>
      </c>
      <c r="H4671">
        <v>98271</v>
      </c>
      <c r="I4671">
        <v>5973874</v>
      </c>
    </row>
    <row r="4672" spans="1:9">
      <c r="A4672" s="2">
        <v>1992</v>
      </c>
      <c r="B4672">
        <v>6</v>
      </c>
      <c r="C4672">
        <v>1.7000000000000001E-4</v>
      </c>
      <c r="D4672">
        <v>1.7000000000000001E-4</v>
      </c>
      <c r="E4672">
        <v>0.5</v>
      </c>
      <c r="F4672">
        <v>98257</v>
      </c>
      <c r="G4672">
        <v>17</v>
      </c>
      <c r="H4672">
        <v>98248</v>
      </c>
      <c r="I4672">
        <v>5875604</v>
      </c>
    </row>
    <row r="4673" spans="1:9">
      <c r="A4673" s="2">
        <v>1992</v>
      </c>
      <c r="B4673">
        <v>7</v>
      </c>
      <c r="C4673">
        <v>2.5000000000000001E-4</v>
      </c>
      <c r="D4673">
        <v>2.5000000000000001E-4</v>
      </c>
      <c r="E4673">
        <v>0.5</v>
      </c>
      <c r="F4673">
        <v>98240</v>
      </c>
      <c r="G4673">
        <v>25</v>
      </c>
      <c r="H4673">
        <v>98228</v>
      </c>
      <c r="I4673">
        <v>5777356</v>
      </c>
    </row>
    <row r="4674" spans="1:9">
      <c r="A4674" s="2">
        <v>1992</v>
      </c>
      <c r="B4674">
        <v>8</v>
      </c>
      <c r="C4674">
        <v>3.6999999999999999E-4</v>
      </c>
      <c r="D4674">
        <v>3.6999999999999999E-4</v>
      </c>
      <c r="E4674">
        <v>0.5</v>
      </c>
      <c r="F4674">
        <v>98215</v>
      </c>
      <c r="G4674">
        <v>36</v>
      </c>
      <c r="H4674">
        <v>98197</v>
      </c>
      <c r="I4674">
        <v>5679128</v>
      </c>
    </row>
    <row r="4675" spans="1:9">
      <c r="A4675" s="2">
        <v>1992</v>
      </c>
      <c r="B4675">
        <v>9</v>
      </c>
      <c r="C4675">
        <v>2.3000000000000001E-4</v>
      </c>
      <c r="D4675">
        <v>2.3000000000000001E-4</v>
      </c>
      <c r="E4675">
        <v>0.5</v>
      </c>
      <c r="F4675">
        <v>98179</v>
      </c>
      <c r="G4675">
        <v>23</v>
      </c>
      <c r="H4675">
        <v>98168</v>
      </c>
      <c r="I4675">
        <v>5580930</v>
      </c>
    </row>
    <row r="4676" spans="1:9">
      <c r="A4676" s="2">
        <v>1992</v>
      </c>
      <c r="B4676">
        <v>10</v>
      </c>
      <c r="C4676">
        <v>3.2000000000000003E-4</v>
      </c>
      <c r="D4676">
        <v>3.2000000000000003E-4</v>
      </c>
      <c r="E4676">
        <v>0.5</v>
      </c>
      <c r="F4676">
        <v>98157</v>
      </c>
      <c r="G4676">
        <v>31</v>
      </c>
      <c r="H4676">
        <v>98141</v>
      </c>
      <c r="I4676">
        <v>5482762</v>
      </c>
    </row>
    <row r="4677" spans="1:9">
      <c r="A4677" s="2">
        <v>1992</v>
      </c>
      <c r="B4677">
        <v>11</v>
      </c>
      <c r="C4677">
        <v>2.2000000000000001E-4</v>
      </c>
      <c r="D4677">
        <v>2.2000000000000001E-4</v>
      </c>
      <c r="E4677">
        <v>0.5</v>
      </c>
      <c r="F4677">
        <v>98126</v>
      </c>
      <c r="G4677">
        <v>22</v>
      </c>
      <c r="H4677">
        <v>98115</v>
      </c>
      <c r="I4677">
        <v>5384621</v>
      </c>
    </row>
    <row r="4678" spans="1:9">
      <c r="A4678" s="2">
        <v>1992</v>
      </c>
      <c r="B4678">
        <v>12</v>
      </c>
      <c r="C4678">
        <v>1.9000000000000001E-4</v>
      </c>
      <c r="D4678">
        <v>1.9000000000000001E-4</v>
      </c>
      <c r="E4678">
        <v>0.5</v>
      </c>
      <c r="F4678">
        <v>98104</v>
      </c>
      <c r="G4678">
        <v>19</v>
      </c>
      <c r="H4678">
        <v>98094</v>
      </c>
      <c r="I4678">
        <v>5286506</v>
      </c>
    </row>
    <row r="4679" spans="1:9">
      <c r="A4679" s="2">
        <v>1992</v>
      </c>
      <c r="B4679">
        <v>13</v>
      </c>
      <c r="C4679">
        <v>3.2000000000000003E-4</v>
      </c>
      <c r="D4679">
        <v>3.2000000000000003E-4</v>
      </c>
      <c r="E4679">
        <v>0.5</v>
      </c>
      <c r="F4679">
        <v>98085</v>
      </c>
      <c r="G4679">
        <v>32</v>
      </c>
      <c r="H4679">
        <v>98069</v>
      </c>
      <c r="I4679">
        <v>5188412</v>
      </c>
    </row>
    <row r="4680" spans="1:9">
      <c r="A4680" s="2">
        <v>1992</v>
      </c>
      <c r="B4680">
        <v>14</v>
      </c>
      <c r="C4680">
        <v>2.9999999999999997E-4</v>
      </c>
      <c r="D4680">
        <v>2.9999999999999997E-4</v>
      </c>
      <c r="E4680">
        <v>0.5</v>
      </c>
      <c r="F4680">
        <v>98053</v>
      </c>
      <c r="G4680">
        <v>30</v>
      </c>
      <c r="H4680">
        <v>98038</v>
      </c>
      <c r="I4680">
        <v>5090343</v>
      </c>
    </row>
    <row r="4681" spans="1:9">
      <c r="A4681" s="2">
        <v>1992</v>
      </c>
      <c r="B4681">
        <v>15</v>
      </c>
      <c r="C4681">
        <v>4.8000000000000001E-4</v>
      </c>
      <c r="D4681">
        <v>4.8000000000000001E-4</v>
      </c>
      <c r="E4681">
        <v>0.5</v>
      </c>
      <c r="F4681">
        <v>98024</v>
      </c>
      <c r="G4681">
        <v>47</v>
      </c>
      <c r="H4681">
        <v>98000</v>
      </c>
      <c r="I4681">
        <v>4992304</v>
      </c>
    </row>
    <row r="4682" spans="1:9">
      <c r="A4682" s="2">
        <v>1992</v>
      </c>
      <c r="B4682">
        <v>16</v>
      </c>
      <c r="C4682">
        <v>7.2000000000000005E-4</v>
      </c>
      <c r="D4682">
        <v>7.2000000000000005E-4</v>
      </c>
      <c r="E4682">
        <v>0.5</v>
      </c>
      <c r="F4682">
        <v>97976</v>
      </c>
      <c r="G4682">
        <v>70</v>
      </c>
      <c r="H4682">
        <v>97941</v>
      </c>
      <c r="I4682">
        <v>4894304</v>
      </c>
    </row>
    <row r="4683" spans="1:9">
      <c r="A4683" s="2">
        <v>1992</v>
      </c>
      <c r="B4683">
        <v>17</v>
      </c>
      <c r="C4683">
        <v>1E-3</v>
      </c>
      <c r="D4683">
        <v>1E-3</v>
      </c>
      <c r="E4683">
        <v>0.5</v>
      </c>
      <c r="F4683">
        <v>97906</v>
      </c>
      <c r="G4683">
        <v>98</v>
      </c>
      <c r="H4683">
        <v>97857</v>
      </c>
      <c r="I4683">
        <v>4796363</v>
      </c>
    </row>
    <row r="4684" spans="1:9">
      <c r="A4684" s="2">
        <v>1992</v>
      </c>
      <c r="B4684">
        <v>18</v>
      </c>
      <c r="C4684">
        <v>1.0399999999999999E-3</v>
      </c>
      <c r="D4684">
        <v>1.0399999999999999E-3</v>
      </c>
      <c r="E4684">
        <v>0.5</v>
      </c>
      <c r="F4684">
        <v>97808</v>
      </c>
      <c r="G4684">
        <v>101</v>
      </c>
      <c r="H4684">
        <v>97757</v>
      </c>
      <c r="I4684">
        <v>4698505</v>
      </c>
    </row>
    <row r="4685" spans="1:9">
      <c r="A4685" s="2">
        <v>1992</v>
      </c>
      <c r="B4685">
        <v>19</v>
      </c>
      <c r="C4685">
        <v>1.5E-3</v>
      </c>
      <c r="D4685">
        <v>1.5E-3</v>
      </c>
      <c r="E4685">
        <v>0.5</v>
      </c>
      <c r="F4685">
        <v>97707</v>
      </c>
      <c r="G4685">
        <v>146</v>
      </c>
      <c r="H4685">
        <v>97634</v>
      </c>
      <c r="I4685">
        <v>4600748</v>
      </c>
    </row>
    <row r="4686" spans="1:9">
      <c r="A4686" s="2">
        <v>1992</v>
      </c>
      <c r="B4686">
        <v>20</v>
      </c>
      <c r="C4686">
        <v>1.33E-3</v>
      </c>
      <c r="D4686">
        <v>1.33E-3</v>
      </c>
      <c r="E4686">
        <v>0.5</v>
      </c>
      <c r="F4686">
        <v>97561</v>
      </c>
      <c r="G4686">
        <v>130</v>
      </c>
      <c r="H4686">
        <v>97496</v>
      </c>
      <c r="I4686">
        <v>4503114</v>
      </c>
    </row>
    <row r="4687" spans="1:9">
      <c r="A4687" s="2">
        <v>1992</v>
      </c>
      <c r="B4687">
        <v>21</v>
      </c>
      <c r="C4687">
        <v>1.24E-3</v>
      </c>
      <c r="D4687">
        <v>1.24E-3</v>
      </c>
      <c r="E4687">
        <v>0.5</v>
      </c>
      <c r="F4687">
        <v>97430</v>
      </c>
      <c r="G4687">
        <v>121</v>
      </c>
      <c r="H4687">
        <v>97370</v>
      </c>
      <c r="I4687">
        <v>4405619</v>
      </c>
    </row>
    <row r="4688" spans="1:9">
      <c r="A4688" s="2">
        <v>1992</v>
      </c>
      <c r="B4688">
        <v>22</v>
      </c>
      <c r="C4688">
        <v>1.5100000000000001E-3</v>
      </c>
      <c r="D4688">
        <v>1.5100000000000001E-3</v>
      </c>
      <c r="E4688">
        <v>0.5</v>
      </c>
      <c r="F4688">
        <v>97309</v>
      </c>
      <c r="G4688">
        <v>147</v>
      </c>
      <c r="H4688">
        <v>97236</v>
      </c>
      <c r="I4688">
        <v>4308249</v>
      </c>
    </row>
    <row r="4689" spans="1:9">
      <c r="A4689" s="2">
        <v>1992</v>
      </c>
      <c r="B4689">
        <v>23</v>
      </c>
      <c r="C4689">
        <v>1.72E-3</v>
      </c>
      <c r="D4689">
        <v>1.72E-3</v>
      </c>
      <c r="E4689">
        <v>0.5</v>
      </c>
      <c r="F4689">
        <v>97162</v>
      </c>
      <c r="G4689">
        <v>167</v>
      </c>
      <c r="H4689">
        <v>97079</v>
      </c>
      <c r="I4689">
        <v>4211013</v>
      </c>
    </row>
    <row r="4690" spans="1:9">
      <c r="A4690" s="2">
        <v>1992</v>
      </c>
      <c r="B4690">
        <v>24</v>
      </c>
      <c r="C4690">
        <v>1.66E-3</v>
      </c>
      <c r="D4690">
        <v>1.65E-3</v>
      </c>
      <c r="E4690">
        <v>0.5</v>
      </c>
      <c r="F4690">
        <v>96995</v>
      </c>
      <c r="G4690">
        <v>160</v>
      </c>
      <c r="H4690">
        <v>96915</v>
      </c>
      <c r="I4690">
        <v>4113934</v>
      </c>
    </row>
    <row r="4691" spans="1:9">
      <c r="A4691" s="2">
        <v>1992</v>
      </c>
      <c r="B4691">
        <v>25</v>
      </c>
      <c r="C4691">
        <v>1.4400000000000001E-3</v>
      </c>
      <c r="D4691">
        <v>1.4300000000000001E-3</v>
      </c>
      <c r="E4691">
        <v>0.5</v>
      </c>
      <c r="F4691">
        <v>96835</v>
      </c>
      <c r="G4691">
        <v>139</v>
      </c>
      <c r="H4691">
        <v>96765</v>
      </c>
      <c r="I4691">
        <v>4017019</v>
      </c>
    </row>
    <row r="4692" spans="1:9">
      <c r="A4692" s="2">
        <v>1992</v>
      </c>
      <c r="B4692">
        <v>26</v>
      </c>
      <c r="C4692">
        <v>1.66E-3</v>
      </c>
      <c r="D4692">
        <v>1.66E-3</v>
      </c>
      <c r="E4692">
        <v>0.5</v>
      </c>
      <c r="F4692">
        <v>96696</v>
      </c>
      <c r="G4692">
        <v>161</v>
      </c>
      <c r="H4692">
        <v>96615</v>
      </c>
      <c r="I4692">
        <v>3920254</v>
      </c>
    </row>
    <row r="4693" spans="1:9">
      <c r="A4693" s="2">
        <v>1992</v>
      </c>
      <c r="B4693">
        <v>27</v>
      </c>
      <c r="C4693">
        <v>2.0500000000000002E-3</v>
      </c>
      <c r="D4693">
        <v>2.0500000000000002E-3</v>
      </c>
      <c r="E4693">
        <v>0.5</v>
      </c>
      <c r="F4693">
        <v>96535</v>
      </c>
      <c r="G4693">
        <v>198</v>
      </c>
      <c r="H4693">
        <v>96436</v>
      </c>
      <c r="I4693">
        <v>3823639</v>
      </c>
    </row>
    <row r="4694" spans="1:9">
      <c r="A4694" s="2">
        <v>1992</v>
      </c>
      <c r="B4694">
        <v>28</v>
      </c>
      <c r="C4694">
        <v>1.7799999999999999E-3</v>
      </c>
      <c r="D4694">
        <v>1.7799999999999999E-3</v>
      </c>
      <c r="E4694">
        <v>0.5</v>
      </c>
      <c r="F4694">
        <v>96337</v>
      </c>
      <c r="G4694">
        <v>171</v>
      </c>
      <c r="H4694">
        <v>96252</v>
      </c>
      <c r="I4694">
        <v>3727203</v>
      </c>
    </row>
    <row r="4695" spans="1:9">
      <c r="A4695" s="2">
        <v>1992</v>
      </c>
      <c r="B4695">
        <v>29</v>
      </c>
      <c r="C4695">
        <v>2.5699999999999998E-3</v>
      </c>
      <c r="D4695">
        <v>2.5600000000000002E-3</v>
      </c>
      <c r="E4695">
        <v>0.5</v>
      </c>
      <c r="F4695">
        <v>96166</v>
      </c>
      <c r="G4695">
        <v>246</v>
      </c>
      <c r="H4695">
        <v>96043</v>
      </c>
      <c r="I4695">
        <v>3630951</v>
      </c>
    </row>
    <row r="4696" spans="1:9">
      <c r="A4696" s="2">
        <v>1992</v>
      </c>
      <c r="B4696">
        <v>30</v>
      </c>
      <c r="C4696">
        <v>2.7100000000000002E-3</v>
      </c>
      <c r="D4696">
        <v>2.7000000000000001E-3</v>
      </c>
      <c r="E4696">
        <v>0.5</v>
      </c>
      <c r="F4696">
        <v>95920</v>
      </c>
      <c r="G4696">
        <v>259</v>
      </c>
      <c r="H4696">
        <v>95790</v>
      </c>
      <c r="I4696">
        <v>3534908</v>
      </c>
    </row>
    <row r="4697" spans="1:9">
      <c r="A4697" s="2">
        <v>1992</v>
      </c>
      <c r="B4697">
        <v>31</v>
      </c>
      <c r="C4697">
        <v>2.8400000000000001E-3</v>
      </c>
      <c r="D4697">
        <v>2.8400000000000001E-3</v>
      </c>
      <c r="E4697">
        <v>0.5</v>
      </c>
      <c r="F4697">
        <v>95660</v>
      </c>
      <c r="G4697">
        <v>272</v>
      </c>
      <c r="H4697">
        <v>95524</v>
      </c>
      <c r="I4697">
        <v>3439118</v>
      </c>
    </row>
    <row r="4698" spans="1:9">
      <c r="A4698" s="2">
        <v>1992</v>
      </c>
      <c r="B4698">
        <v>32</v>
      </c>
      <c r="C4698">
        <v>3.3999999999999998E-3</v>
      </c>
      <c r="D4698">
        <v>3.3899999999999998E-3</v>
      </c>
      <c r="E4698">
        <v>0.5</v>
      </c>
      <c r="F4698">
        <v>95389</v>
      </c>
      <c r="G4698">
        <v>324</v>
      </c>
      <c r="H4698">
        <v>95227</v>
      </c>
      <c r="I4698">
        <v>3343594</v>
      </c>
    </row>
    <row r="4699" spans="1:9">
      <c r="A4699" s="2">
        <v>1992</v>
      </c>
      <c r="B4699">
        <v>33</v>
      </c>
      <c r="C4699">
        <v>3.65E-3</v>
      </c>
      <c r="D4699">
        <v>3.64E-3</v>
      </c>
      <c r="E4699">
        <v>0.5</v>
      </c>
      <c r="F4699">
        <v>95065</v>
      </c>
      <c r="G4699">
        <v>346</v>
      </c>
      <c r="H4699">
        <v>94892</v>
      </c>
      <c r="I4699">
        <v>3248367</v>
      </c>
    </row>
    <row r="4700" spans="1:9">
      <c r="A4700" s="2">
        <v>1992</v>
      </c>
      <c r="B4700">
        <v>34</v>
      </c>
      <c r="C4700">
        <v>4.13E-3</v>
      </c>
      <c r="D4700">
        <v>4.1200000000000004E-3</v>
      </c>
      <c r="E4700">
        <v>0.5</v>
      </c>
      <c r="F4700">
        <v>94719</v>
      </c>
      <c r="G4700">
        <v>390</v>
      </c>
      <c r="H4700">
        <v>94524</v>
      </c>
      <c r="I4700">
        <v>3153475</v>
      </c>
    </row>
    <row r="4701" spans="1:9">
      <c r="A4701" s="2">
        <v>1992</v>
      </c>
      <c r="B4701">
        <v>35</v>
      </c>
      <c r="C4701">
        <v>4.4200000000000003E-3</v>
      </c>
      <c r="D4701">
        <v>4.4099999999999999E-3</v>
      </c>
      <c r="E4701">
        <v>0.5</v>
      </c>
      <c r="F4701">
        <v>94329</v>
      </c>
      <c r="G4701">
        <v>416</v>
      </c>
      <c r="H4701">
        <v>94121</v>
      </c>
      <c r="I4701">
        <v>3058951</v>
      </c>
    </row>
    <row r="4702" spans="1:9">
      <c r="A4702" s="2">
        <v>1992</v>
      </c>
      <c r="B4702">
        <v>36</v>
      </c>
      <c r="C4702">
        <v>4.9899999999999996E-3</v>
      </c>
      <c r="D4702">
        <v>4.9800000000000001E-3</v>
      </c>
      <c r="E4702">
        <v>0.5</v>
      </c>
      <c r="F4702">
        <v>93913</v>
      </c>
      <c r="G4702">
        <v>468</v>
      </c>
      <c r="H4702">
        <v>93679</v>
      </c>
      <c r="I4702">
        <v>2964830</v>
      </c>
    </row>
    <row r="4703" spans="1:9">
      <c r="A4703" s="2">
        <v>1992</v>
      </c>
      <c r="B4703">
        <v>37</v>
      </c>
      <c r="C4703">
        <v>5.6100000000000004E-3</v>
      </c>
      <c r="D4703">
        <v>5.5999999999999999E-3</v>
      </c>
      <c r="E4703">
        <v>0.5</v>
      </c>
      <c r="F4703">
        <v>93445</v>
      </c>
      <c r="G4703">
        <v>523</v>
      </c>
      <c r="H4703">
        <v>93184</v>
      </c>
      <c r="I4703">
        <v>2871151</v>
      </c>
    </row>
    <row r="4704" spans="1:9">
      <c r="A4704" s="2">
        <v>1992</v>
      </c>
      <c r="B4704">
        <v>38</v>
      </c>
      <c r="C4704">
        <v>5.4299999999999999E-3</v>
      </c>
      <c r="D4704">
        <v>5.4200000000000003E-3</v>
      </c>
      <c r="E4704">
        <v>0.5</v>
      </c>
      <c r="F4704">
        <v>92922</v>
      </c>
      <c r="G4704">
        <v>503</v>
      </c>
      <c r="H4704">
        <v>92670</v>
      </c>
      <c r="I4704">
        <v>2777968</v>
      </c>
    </row>
    <row r="4705" spans="1:9">
      <c r="A4705" s="2">
        <v>1992</v>
      </c>
      <c r="B4705">
        <v>39</v>
      </c>
      <c r="C4705">
        <v>6.7099999999999998E-3</v>
      </c>
      <c r="D4705">
        <v>6.6899999999999998E-3</v>
      </c>
      <c r="E4705">
        <v>0.5</v>
      </c>
      <c r="F4705">
        <v>92419</v>
      </c>
      <c r="G4705">
        <v>618</v>
      </c>
      <c r="H4705">
        <v>92110</v>
      </c>
      <c r="I4705">
        <v>2685297</v>
      </c>
    </row>
    <row r="4706" spans="1:9">
      <c r="A4706" s="2">
        <v>1992</v>
      </c>
      <c r="B4706">
        <v>40</v>
      </c>
      <c r="C4706">
        <v>7.3000000000000001E-3</v>
      </c>
      <c r="D4706">
        <v>7.2700000000000004E-3</v>
      </c>
      <c r="E4706">
        <v>0.5</v>
      </c>
      <c r="F4706">
        <v>91801</v>
      </c>
      <c r="G4706">
        <v>667</v>
      </c>
      <c r="H4706">
        <v>91467</v>
      </c>
      <c r="I4706">
        <v>2593188</v>
      </c>
    </row>
    <row r="4707" spans="1:9">
      <c r="A4707" s="2">
        <v>1992</v>
      </c>
      <c r="B4707">
        <v>41</v>
      </c>
      <c r="C4707">
        <v>8.2400000000000008E-3</v>
      </c>
      <c r="D4707">
        <v>8.2100000000000003E-3</v>
      </c>
      <c r="E4707">
        <v>0.5</v>
      </c>
      <c r="F4707">
        <v>91133</v>
      </c>
      <c r="G4707">
        <v>748</v>
      </c>
      <c r="H4707">
        <v>90759</v>
      </c>
      <c r="I4707">
        <v>2501721</v>
      </c>
    </row>
    <row r="4708" spans="1:9">
      <c r="A4708" s="2">
        <v>1992</v>
      </c>
      <c r="B4708">
        <v>42</v>
      </c>
      <c r="C4708">
        <v>8.7500000000000008E-3</v>
      </c>
      <c r="D4708">
        <v>8.7100000000000007E-3</v>
      </c>
      <c r="E4708">
        <v>0.5</v>
      </c>
      <c r="F4708">
        <v>90385</v>
      </c>
      <c r="G4708">
        <v>788</v>
      </c>
      <c r="H4708">
        <v>89991</v>
      </c>
      <c r="I4708">
        <v>2410962</v>
      </c>
    </row>
    <row r="4709" spans="1:9">
      <c r="A4709" s="2">
        <v>1992</v>
      </c>
      <c r="B4709">
        <v>43</v>
      </c>
      <c r="C4709">
        <v>9.0200000000000002E-3</v>
      </c>
      <c r="D4709">
        <v>8.9700000000000005E-3</v>
      </c>
      <c r="E4709">
        <v>0.5</v>
      </c>
      <c r="F4709">
        <v>89597</v>
      </c>
      <c r="G4709">
        <v>804</v>
      </c>
      <c r="H4709">
        <v>89195</v>
      </c>
      <c r="I4709">
        <v>2320971</v>
      </c>
    </row>
    <row r="4710" spans="1:9">
      <c r="A4710" s="2">
        <v>1992</v>
      </c>
      <c r="B4710">
        <v>44</v>
      </c>
      <c r="C4710">
        <v>9.7900000000000001E-3</v>
      </c>
      <c r="D4710">
        <v>9.7400000000000004E-3</v>
      </c>
      <c r="E4710">
        <v>0.5</v>
      </c>
      <c r="F4710">
        <v>88793</v>
      </c>
      <c r="G4710">
        <v>865</v>
      </c>
      <c r="H4710">
        <v>88361</v>
      </c>
      <c r="I4710">
        <v>2231775</v>
      </c>
    </row>
    <row r="4711" spans="1:9">
      <c r="A4711" s="2">
        <v>1992</v>
      </c>
      <c r="B4711">
        <v>45</v>
      </c>
      <c r="C4711">
        <v>1.132E-2</v>
      </c>
      <c r="D4711">
        <v>1.125E-2</v>
      </c>
      <c r="E4711">
        <v>0.5</v>
      </c>
      <c r="F4711">
        <v>87928</v>
      </c>
      <c r="G4711">
        <v>989</v>
      </c>
      <c r="H4711">
        <v>87434</v>
      </c>
      <c r="I4711">
        <v>2143415</v>
      </c>
    </row>
    <row r="4712" spans="1:9">
      <c r="A4712" s="2">
        <v>1992</v>
      </c>
      <c r="B4712">
        <v>46</v>
      </c>
      <c r="C4712">
        <v>1.111E-2</v>
      </c>
      <c r="D4712">
        <v>1.1039999999999999E-2</v>
      </c>
      <c r="E4712">
        <v>0.5</v>
      </c>
      <c r="F4712">
        <v>86939</v>
      </c>
      <c r="G4712">
        <v>960</v>
      </c>
      <c r="H4712">
        <v>86459</v>
      </c>
      <c r="I4712">
        <v>2055981</v>
      </c>
    </row>
    <row r="4713" spans="1:9">
      <c r="A4713" s="2">
        <v>1992</v>
      </c>
      <c r="B4713">
        <v>47</v>
      </c>
      <c r="C4713">
        <v>1.2290000000000001E-2</v>
      </c>
      <c r="D4713">
        <v>1.222E-2</v>
      </c>
      <c r="E4713">
        <v>0.5</v>
      </c>
      <c r="F4713">
        <v>85979</v>
      </c>
      <c r="G4713">
        <v>1050</v>
      </c>
      <c r="H4713">
        <v>85454</v>
      </c>
      <c r="I4713">
        <v>1969522</v>
      </c>
    </row>
    <row r="4714" spans="1:9">
      <c r="A4714" s="2">
        <v>1992</v>
      </c>
      <c r="B4714">
        <v>48</v>
      </c>
      <c r="C4714">
        <v>1.383E-2</v>
      </c>
      <c r="D4714">
        <v>1.3729999999999999E-2</v>
      </c>
      <c r="E4714">
        <v>0.5</v>
      </c>
      <c r="F4714">
        <v>84928</v>
      </c>
      <c r="G4714">
        <v>1166</v>
      </c>
      <c r="H4714">
        <v>84345</v>
      </c>
      <c r="I4714">
        <v>1884068</v>
      </c>
    </row>
    <row r="4715" spans="1:9">
      <c r="A4715" s="2">
        <v>1992</v>
      </c>
      <c r="B4715">
        <v>49</v>
      </c>
      <c r="C4715">
        <v>1.478E-2</v>
      </c>
      <c r="D4715">
        <v>1.4670000000000001E-2</v>
      </c>
      <c r="E4715">
        <v>0.5</v>
      </c>
      <c r="F4715">
        <v>83762</v>
      </c>
      <c r="G4715">
        <v>1229</v>
      </c>
      <c r="H4715">
        <v>83148</v>
      </c>
      <c r="I4715">
        <v>1799723</v>
      </c>
    </row>
    <row r="4716" spans="1:9">
      <c r="A4716" s="2">
        <v>1992</v>
      </c>
      <c r="B4716">
        <v>50</v>
      </c>
      <c r="C4716">
        <v>1.502E-2</v>
      </c>
      <c r="D4716">
        <v>1.491E-2</v>
      </c>
      <c r="E4716">
        <v>0.5</v>
      </c>
      <c r="F4716">
        <v>82533</v>
      </c>
      <c r="G4716">
        <v>1230</v>
      </c>
      <c r="H4716">
        <v>81918</v>
      </c>
      <c r="I4716">
        <v>1716575</v>
      </c>
    </row>
    <row r="4717" spans="1:9">
      <c r="A4717" s="2">
        <v>1992</v>
      </c>
      <c r="B4717">
        <v>51</v>
      </c>
      <c r="C4717">
        <v>1.8110000000000001E-2</v>
      </c>
      <c r="D4717">
        <v>1.7950000000000001E-2</v>
      </c>
      <c r="E4717">
        <v>0.5</v>
      </c>
      <c r="F4717">
        <v>81303</v>
      </c>
      <c r="G4717">
        <v>1459</v>
      </c>
      <c r="H4717">
        <v>80573</v>
      </c>
      <c r="I4717">
        <v>1634657</v>
      </c>
    </row>
    <row r="4718" spans="1:9">
      <c r="A4718" s="2">
        <v>1992</v>
      </c>
      <c r="B4718">
        <v>52</v>
      </c>
      <c r="C4718">
        <v>1.9599999999999999E-2</v>
      </c>
      <c r="D4718">
        <v>1.941E-2</v>
      </c>
      <c r="E4718">
        <v>0.5</v>
      </c>
      <c r="F4718">
        <v>79844</v>
      </c>
      <c r="G4718">
        <v>1550</v>
      </c>
      <c r="H4718">
        <v>79069</v>
      </c>
      <c r="I4718">
        <v>1554083</v>
      </c>
    </row>
    <row r="4719" spans="1:9">
      <c r="A4719" s="2">
        <v>1992</v>
      </c>
      <c r="B4719">
        <v>53</v>
      </c>
      <c r="C4719">
        <v>1.9630000000000002E-2</v>
      </c>
      <c r="D4719">
        <v>1.9439999999999999E-2</v>
      </c>
      <c r="E4719">
        <v>0.5</v>
      </c>
      <c r="F4719">
        <v>78294</v>
      </c>
      <c r="G4719">
        <v>1522</v>
      </c>
      <c r="H4719">
        <v>77533</v>
      </c>
      <c r="I4719">
        <v>1475014</v>
      </c>
    </row>
    <row r="4720" spans="1:9">
      <c r="A4720" s="2">
        <v>1992</v>
      </c>
      <c r="B4720">
        <v>54</v>
      </c>
      <c r="C4720">
        <v>2.1229999999999999E-2</v>
      </c>
      <c r="D4720">
        <v>2.1010000000000001E-2</v>
      </c>
      <c r="E4720">
        <v>0.5</v>
      </c>
      <c r="F4720">
        <v>76772</v>
      </c>
      <c r="G4720">
        <v>1613</v>
      </c>
      <c r="H4720">
        <v>75965</v>
      </c>
      <c r="I4720">
        <v>1397481</v>
      </c>
    </row>
    <row r="4721" spans="1:9">
      <c r="A4721" s="2">
        <v>1992</v>
      </c>
      <c r="B4721">
        <v>55</v>
      </c>
      <c r="C4721">
        <v>2.2839999999999999E-2</v>
      </c>
      <c r="D4721">
        <v>2.2579999999999999E-2</v>
      </c>
      <c r="E4721">
        <v>0.5</v>
      </c>
      <c r="F4721">
        <v>75159</v>
      </c>
      <c r="G4721">
        <v>1697</v>
      </c>
      <c r="H4721">
        <v>74311</v>
      </c>
      <c r="I4721">
        <v>1321516</v>
      </c>
    </row>
    <row r="4722" spans="1:9">
      <c r="A4722" s="2">
        <v>1992</v>
      </c>
      <c r="B4722">
        <v>56</v>
      </c>
      <c r="C4722">
        <v>2.435E-2</v>
      </c>
      <c r="D4722">
        <v>2.4060000000000002E-2</v>
      </c>
      <c r="E4722">
        <v>0.5</v>
      </c>
      <c r="F4722">
        <v>73462</v>
      </c>
      <c r="G4722">
        <v>1767</v>
      </c>
      <c r="H4722">
        <v>72579</v>
      </c>
      <c r="I4722">
        <v>1247205</v>
      </c>
    </row>
    <row r="4723" spans="1:9">
      <c r="A4723" s="2">
        <v>1992</v>
      </c>
      <c r="B4723">
        <v>57</v>
      </c>
      <c r="C4723">
        <v>2.5010000000000001E-2</v>
      </c>
      <c r="D4723">
        <v>2.47E-2</v>
      </c>
      <c r="E4723">
        <v>0.5</v>
      </c>
      <c r="F4723">
        <v>71695</v>
      </c>
      <c r="G4723">
        <v>1771</v>
      </c>
      <c r="H4723">
        <v>70809</v>
      </c>
      <c r="I4723">
        <v>1174627</v>
      </c>
    </row>
    <row r="4724" spans="1:9">
      <c r="A4724" s="2">
        <v>1992</v>
      </c>
      <c r="B4724">
        <v>58</v>
      </c>
      <c r="C4724">
        <v>2.7869999999999999E-2</v>
      </c>
      <c r="D4724">
        <v>2.7490000000000001E-2</v>
      </c>
      <c r="E4724">
        <v>0.5</v>
      </c>
      <c r="F4724">
        <v>69924</v>
      </c>
      <c r="G4724">
        <v>1922</v>
      </c>
      <c r="H4724">
        <v>68963</v>
      </c>
      <c r="I4724">
        <v>1103817</v>
      </c>
    </row>
    <row r="4725" spans="1:9">
      <c r="A4725" s="2">
        <v>1992</v>
      </c>
      <c r="B4725">
        <v>59</v>
      </c>
      <c r="C4725">
        <v>2.7470000000000001E-2</v>
      </c>
      <c r="D4725">
        <v>2.7099999999999999E-2</v>
      </c>
      <c r="E4725">
        <v>0.5</v>
      </c>
      <c r="F4725">
        <v>68002</v>
      </c>
      <c r="G4725">
        <v>1843</v>
      </c>
      <c r="H4725">
        <v>67080</v>
      </c>
      <c r="I4725">
        <v>1034855</v>
      </c>
    </row>
    <row r="4726" spans="1:9">
      <c r="A4726" s="2">
        <v>1992</v>
      </c>
      <c r="B4726">
        <v>60</v>
      </c>
      <c r="C4726">
        <v>3.031E-2</v>
      </c>
      <c r="D4726">
        <v>2.9860000000000001E-2</v>
      </c>
      <c r="E4726">
        <v>0.5</v>
      </c>
      <c r="F4726">
        <v>66159</v>
      </c>
      <c r="G4726">
        <v>1975</v>
      </c>
      <c r="H4726">
        <v>65171</v>
      </c>
      <c r="I4726">
        <v>967774</v>
      </c>
    </row>
    <row r="4727" spans="1:9">
      <c r="A4727" s="2">
        <v>1992</v>
      </c>
      <c r="B4727">
        <v>61</v>
      </c>
      <c r="C4727">
        <v>3.3309999999999999E-2</v>
      </c>
      <c r="D4727">
        <v>3.2759999999999997E-2</v>
      </c>
      <c r="E4727">
        <v>0.5</v>
      </c>
      <c r="F4727">
        <v>64184</v>
      </c>
      <c r="G4727">
        <v>2103</v>
      </c>
      <c r="H4727">
        <v>63132</v>
      </c>
      <c r="I4727">
        <v>902603</v>
      </c>
    </row>
    <row r="4728" spans="1:9">
      <c r="A4728" s="2">
        <v>1992</v>
      </c>
      <c r="B4728">
        <v>62</v>
      </c>
      <c r="C4728">
        <v>3.3360000000000001E-2</v>
      </c>
      <c r="D4728">
        <v>3.2820000000000002E-2</v>
      </c>
      <c r="E4728">
        <v>0.5</v>
      </c>
      <c r="F4728">
        <v>62081</v>
      </c>
      <c r="G4728">
        <v>2037</v>
      </c>
      <c r="H4728">
        <v>61062</v>
      </c>
      <c r="I4728">
        <v>839471</v>
      </c>
    </row>
    <row r="4729" spans="1:9">
      <c r="A4729" s="2">
        <v>1992</v>
      </c>
      <c r="B4729">
        <v>63</v>
      </c>
      <c r="C4729">
        <v>3.7229999999999999E-2</v>
      </c>
      <c r="D4729">
        <v>3.6549999999999999E-2</v>
      </c>
      <c r="E4729">
        <v>0.5</v>
      </c>
      <c r="F4729">
        <v>60043</v>
      </c>
      <c r="G4729">
        <v>2195</v>
      </c>
      <c r="H4729">
        <v>58946</v>
      </c>
      <c r="I4729">
        <v>778409</v>
      </c>
    </row>
    <row r="4730" spans="1:9">
      <c r="A4730" s="2">
        <v>1992</v>
      </c>
      <c r="B4730">
        <v>64</v>
      </c>
      <c r="C4730">
        <v>3.9120000000000002E-2</v>
      </c>
      <c r="D4730">
        <v>3.8370000000000001E-2</v>
      </c>
      <c r="E4730">
        <v>0.5</v>
      </c>
      <c r="F4730">
        <v>57849</v>
      </c>
      <c r="G4730">
        <v>2219</v>
      </c>
      <c r="H4730">
        <v>56739</v>
      </c>
      <c r="I4730">
        <v>719463</v>
      </c>
    </row>
    <row r="4731" spans="1:9">
      <c r="A4731" s="2">
        <v>1992</v>
      </c>
      <c r="B4731">
        <v>65</v>
      </c>
      <c r="C4731">
        <v>4.4540000000000003E-2</v>
      </c>
      <c r="D4731">
        <v>4.3569999999999998E-2</v>
      </c>
      <c r="E4731">
        <v>0.5</v>
      </c>
      <c r="F4731">
        <v>55629</v>
      </c>
      <c r="G4731">
        <v>2424</v>
      </c>
      <c r="H4731">
        <v>54418</v>
      </c>
      <c r="I4731">
        <v>662724</v>
      </c>
    </row>
    <row r="4732" spans="1:9">
      <c r="A4732" s="2">
        <v>1992</v>
      </c>
      <c r="B4732">
        <v>66</v>
      </c>
      <c r="C4732">
        <v>4.7579999999999997E-2</v>
      </c>
      <c r="D4732">
        <v>4.6469999999999997E-2</v>
      </c>
      <c r="E4732">
        <v>0.5</v>
      </c>
      <c r="F4732">
        <v>53206</v>
      </c>
      <c r="G4732">
        <v>2472</v>
      </c>
      <c r="H4732">
        <v>51970</v>
      </c>
      <c r="I4732">
        <v>608306</v>
      </c>
    </row>
    <row r="4733" spans="1:9">
      <c r="A4733" s="2">
        <v>1992</v>
      </c>
      <c r="B4733">
        <v>67</v>
      </c>
      <c r="C4733">
        <v>4.9090000000000002E-2</v>
      </c>
      <c r="D4733">
        <v>4.7910000000000001E-2</v>
      </c>
      <c r="E4733">
        <v>0.5</v>
      </c>
      <c r="F4733">
        <v>50733</v>
      </c>
      <c r="G4733">
        <v>2431</v>
      </c>
      <c r="H4733">
        <v>49518</v>
      </c>
      <c r="I4733">
        <v>556337</v>
      </c>
    </row>
    <row r="4734" spans="1:9">
      <c r="A4734" s="2">
        <v>1992</v>
      </c>
      <c r="B4734">
        <v>68</v>
      </c>
      <c r="C4734">
        <v>5.3240000000000003E-2</v>
      </c>
      <c r="D4734">
        <v>5.1860000000000003E-2</v>
      </c>
      <c r="E4734">
        <v>0.5</v>
      </c>
      <c r="F4734">
        <v>48302</v>
      </c>
      <c r="G4734">
        <v>2505</v>
      </c>
      <c r="H4734">
        <v>47050</v>
      </c>
      <c r="I4734">
        <v>506819</v>
      </c>
    </row>
    <row r="4735" spans="1:9">
      <c r="A4735" s="2">
        <v>1992</v>
      </c>
      <c r="B4735">
        <v>69</v>
      </c>
      <c r="C4735">
        <v>5.5239999999999997E-2</v>
      </c>
      <c r="D4735">
        <v>5.3760000000000002E-2</v>
      </c>
      <c r="E4735">
        <v>0.5</v>
      </c>
      <c r="F4735">
        <v>45797</v>
      </c>
      <c r="G4735">
        <v>2462</v>
      </c>
      <c r="H4735">
        <v>44566</v>
      </c>
      <c r="I4735">
        <v>459769</v>
      </c>
    </row>
    <row r="4736" spans="1:9">
      <c r="A4736" s="2">
        <v>1992</v>
      </c>
      <c r="B4736">
        <v>70</v>
      </c>
      <c r="C4736">
        <v>6.003E-2</v>
      </c>
      <c r="D4736">
        <v>5.8279999999999998E-2</v>
      </c>
      <c r="E4736">
        <v>0.5</v>
      </c>
      <c r="F4736">
        <v>43335</v>
      </c>
      <c r="G4736">
        <v>2525</v>
      </c>
      <c r="H4736">
        <v>42073</v>
      </c>
      <c r="I4736">
        <v>415203</v>
      </c>
    </row>
    <row r="4737" spans="1:9">
      <c r="A4737" s="2">
        <v>1992</v>
      </c>
      <c r="B4737">
        <v>71</v>
      </c>
      <c r="C4737">
        <v>6.0789999999999997E-2</v>
      </c>
      <c r="D4737">
        <v>5.8990000000000001E-2</v>
      </c>
      <c r="E4737">
        <v>0.5</v>
      </c>
      <c r="F4737">
        <v>40810</v>
      </c>
      <c r="G4737">
        <v>2407</v>
      </c>
      <c r="H4737">
        <v>39606</v>
      </c>
      <c r="I4737">
        <v>373130</v>
      </c>
    </row>
    <row r="4738" spans="1:9">
      <c r="A4738" s="2">
        <v>1992</v>
      </c>
      <c r="B4738">
        <v>72</v>
      </c>
      <c r="C4738">
        <v>7.2069999999999995E-2</v>
      </c>
      <c r="D4738">
        <v>6.9559999999999997E-2</v>
      </c>
      <c r="E4738">
        <v>0.5</v>
      </c>
      <c r="F4738">
        <v>38402</v>
      </c>
      <c r="G4738">
        <v>2671</v>
      </c>
      <c r="H4738">
        <v>37067</v>
      </c>
      <c r="I4738">
        <v>333524</v>
      </c>
    </row>
    <row r="4739" spans="1:9">
      <c r="A4739" s="2">
        <v>1992</v>
      </c>
      <c r="B4739">
        <v>73</v>
      </c>
      <c r="C4739">
        <v>6.5799999999999997E-2</v>
      </c>
      <c r="D4739">
        <v>6.3710000000000003E-2</v>
      </c>
      <c r="E4739">
        <v>0.5</v>
      </c>
      <c r="F4739">
        <v>35731</v>
      </c>
      <c r="G4739">
        <v>2276</v>
      </c>
      <c r="H4739">
        <v>34593</v>
      </c>
      <c r="I4739">
        <v>296457</v>
      </c>
    </row>
    <row r="4740" spans="1:9">
      <c r="A4740" s="2">
        <v>1992</v>
      </c>
      <c r="B4740">
        <v>74</v>
      </c>
      <c r="C4740">
        <v>7.5719999999999996E-2</v>
      </c>
      <c r="D4740">
        <v>7.2959999999999997E-2</v>
      </c>
      <c r="E4740">
        <v>0.5</v>
      </c>
      <c r="F4740">
        <v>33455</v>
      </c>
      <c r="G4740">
        <v>2441</v>
      </c>
      <c r="H4740">
        <v>32234</v>
      </c>
      <c r="I4740">
        <v>261864</v>
      </c>
    </row>
    <row r="4741" spans="1:9">
      <c r="A4741" s="2">
        <v>1992</v>
      </c>
      <c r="B4741">
        <v>75</v>
      </c>
      <c r="C4741">
        <v>7.8189999999999996E-2</v>
      </c>
      <c r="D4741">
        <v>7.5249999999999997E-2</v>
      </c>
      <c r="E4741">
        <v>0.5</v>
      </c>
      <c r="F4741">
        <v>31014</v>
      </c>
      <c r="G4741">
        <v>2334</v>
      </c>
      <c r="H4741">
        <v>29847</v>
      </c>
      <c r="I4741">
        <v>229630</v>
      </c>
    </row>
    <row r="4742" spans="1:9">
      <c r="A4742" s="2">
        <v>1992</v>
      </c>
      <c r="B4742">
        <v>76</v>
      </c>
      <c r="C4742">
        <v>8.0949999999999994E-2</v>
      </c>
      <c r="D4742">
        <v>7.7799999999999994E-2</v>
      </c>
      <c r="E4742">
        <v>0.5</v>
      </c>
      <c r="F4742">
        <v>28680</v>
      </c>
      <c r="G4742">
        <v>2231</v>
      </c>
      <c r="H4742">
        <v>27564</v>
      </c>
      <c r="I4742">
        <v>199783</v>
      </c>
    </row>
    <row r="4743" spans="1:9">
      <c r="A4743" s="2">
        <v>1992</v>
      </c>
      <c r="B4743">
        <v>77</v>
      </c>
      <c r="C4743">
        <v>0.10191</v>
      </c>
      <c r="D4743">
        <v>9.6960000000000005E-2</v>
      </c>
      <c r="E4743">
        <v>0.5</v>
      </c>
      <c r="F4743">
        <v>26449</v>
      </c>
      <c r="G4743">
        <v>2565</v>
      </c>
      <c r="H4743">
        <v>25166</v>
      </c>
      <c r="I4743">
        <v>172219</v>
      </c>
    </row>
    <row r="4744" spans="1:9">
      <c r="A4744" s="2">
        <v>1992</v>
      </c>
      <c r="B4744">
        <v>78</v>
      </c>
      <c r="C4744">
        <v>0.10580000000000001</v>
      </c>
      <c r="D4744">
        <v>0.10049</v>
      </c>
      <c r="E4744">
        <v>0.5</v>
      </c>
      <c r="F4744">
        <v>23884</v>
      </c>
      <c r="G4744">
        <v>2400</v>
      </c>
      <c r="H4744">
        <v>22684</v>
      </c>
      <c r="I4744">
        <v>147052</v>
      </c>
    </row>
    <row r="4745" spans="1:9">
      <c r="A4745" s="2">
        <v>1992</v>
      </c>
      <c r="B4745">
        <v>79</v>
      </c>
      <c r="C4745">
        <v>0.11479</v>
      </c>
      <c r="D4745">
        <v>0.10856</v>
      </c>
      <c r="E4745">
        <v>0.5</v>
      </c>
      <c r="F4745">
        <v>21484</v>
      </c>
      <c r="G4745">
        <v>2332</v>
      </c>
      <c r="H4745">
        <v>20318</v>
      </c>
      <c r="I4745">
        <v>124368</v>
      </c>
    </row>
    <row r="4746" spans="1:9">
      <c r="A4746" s="2">
        <v>1992</v>
      </c>
      <c r="B4746">
        <v>80</v>
      </c>
      <c r="C4746">
        <v>0.12992000000000001</v>
      </c>
      <c r="D4746">
        <v>0.12199</v>
      </c>
      <c r="E4746">
        <v>0.5</v>
      </c>
      <c r="F4746">
        <v>19152</v>
      </c>
      <c r="G4746">
        <v>2336</v>
      </c>
      <c r="H4746">
        <v>17984</v>
      </c>
      <c r="I4746">
        <v>104050</v>
      </c>
    </row>
    <row r="4747" spans="1:9">
      <c r="A4747" s="2">
        <v>1992</v>
      </c>
      <c r="B4747">
        <v>81</v>
      </c>
      <c r="C4747">
        <v>0.14177999999999999</v>
      </c>
      <c r="D4747">
        <v>0.13239999999999999</v>
      </c>
      <c r="E4747">
        <v>0.5</v>
      </c>
      <c r="F4747">
        <v>16816</v>
      </c>
      <c r="G4747">
        <v>2226</v>
      </c>
      <c r="H4747">
        <v>15702</v>
      </c>
      <c r="I4747">
        <v>86066</v>
      </c>
    </row>
    <row r="4748" spans="1:9">
      <c r="A4748" s="2">
        <v>1992</v>
      </c>
      <c r="B4748">
        <v>82</v>
      </c>
      <c r="C4748">
        <v>0.15357999999999999</v>
      </c>
      <c r="D4748">
        <v>0.14263000000000001</v>
      </c>
      <c r="E4748">
        <v>0.5</v>
      </c>
      <c r="F4748">
        <v>14589</v>
      </c>
      <c r="G4748">
        <v>2081</v>
      </c>
      <c r="H4748">
        <v>13549</v>
      </c>
      <c r="I4748">
        <v>70364</v>
      </c>
    </row>
    <row r="4749" spans="1:9">
      <c r="A4749" s="2">
        <v>1992</v>
      </c>
      <c r="B4749">
        <v>83</v>
      </c>
      <c r="C4749">
        <v>0.16994000000000001</v>
      </c>
      <c r="D4749">
        <v>0.15662999999999999</v>
      </c>
      <c r="E4749">
        <v>0.5</v>
      </c>
      <c r="F4749">
        <v>12508</v>
      </c>
      <c r="G4749">
        <v>1959</v>
      </c>
      <c r="H4749">
        <v>11529</v>
      </c>
      <c r="I4749">
        <v>56815</v>
      </c>
    </row>
    <row r="4750" spans="1:9">
      <c r="A4750" s="2">
        <v>1992</v>
      </c>
      <c r="B4750">
        <v>84</v>
      </c>
      <c r="C4750">
        <v>0.17143</v>
      </c>
      <c r="D4750">
        <v>0.15790000000000001</v>
      </c>
      <c r="E4750">
        <v>0.5</v>
      </c>
      <c r="F4750">
        <v>10549</v>
      </c>
      <c r="G4750">
        <v>1666</v>
      </c>
      <c r="H4750">
        <v>9716</v>
      </c>
      <c r="I4750">
        <v>45286</v>
      </c>
    </row>
    <row r="4751" spans="1:9">
      <c r="A4751" s="2">
        <v>1992</v>
      </c>
      <c r="B4751">
        <v>85</v>
      </c>
      <c r="C4751">
        <v>0.19363</v>
      </c>
      <c r="D4751">
        <v>0.17654</v>
      </c>
      <c r="E4751">
        <v>0.5</v>
      </c>
      <c r="F4751">
        <v>8884</v>
      </c>
      <c r="G4751">
        <v>1568</v>
      </c>
      <c r="H4751">
        <v>8099</v>
      </c>
      <c r="I4751">
        <v>35570</v>
      </c>
    </row>
    <row r="4752" spans="1:9">
      <c r="A4752" s="2">
        <v>1992</v>
      </c>
      <c r="B4752">
        <v>86</v>
      </c>
      <c r="C4752">
        <v>0.21071000000000001</v>
      </c>
      <c r="D4752">
        <v>0.19062999999999999</v>
      </c>
      <c r="E4752">
        <v>0.5</v>
      </c>
      <c r="F4752">
        <v>7315</v>
      </c>
      <c r="G4752">
        <v>1395</v>
      </c>
      <c r="H4752">
        <v>6618</v>
      </c>
      <c r="I4752">
        <v>27470</v>
      </c>
    </row>
    <row r="4753" spans="1:9">
      <c r="A4753" s="2">
        <v>1992</v>
      </c>
      <c r="B4753">
        <v>87</v>
      </c>
      <c r="C4753">
        <v>0.22699</v>
      </c>
      <c r="D4753">
        <v>0.20386000000000001</v>
      </c>
      <c r="E4753">
        <v>0.5</v>
      </c>
      <c r="F4753">
        <v>5921</v>
      </c>
      <c r="G4753">
        <v>1207</v>
      </c>
      <c r="H4753">
        <v>5317</v>
      </c>
      <c r="I4753">
        <v>20852</v>
      </c>
    </row>
    <row r="4754" spans="1:9">
      <c r="A4754" s="2">
        <v>1992</v>
      </c>
      <c r="B4754">
        <v>88</v>
      </c>
      <c r="C4754">
        <v>0.24979999999999999</v>
      </c>
      <c r="D4754">
        <v>0.22206000000000001</v>
      </c>
      <c r="E4754">
        <v>0.5</v>
      </c>
      <c r="F4754">
        <v>4714</v>
      </c>
      <c r="G4754">
        <v>1047</v>
      </c>
      <c r="H4754">
        <v>4190</v>
      </c>
      <c r="I4754">
        <v>15535</v>
      </c>
    </row>
    <row r="4755" spans="1:9">
      <c r="A4755" s="2">
        <v>1992</v>
      </c>
      <c r="B4755">
        <v>89</v>
      </c>
      <c r="C4755">
        <v>0.27981</v>
      </c>
      <c r="D4755">
        <v>0.24546999999999999</v>
      </c>
      <c r="E4755">
        <v>0.5</v>
      </c>
      <c r="F4755">
        <v>3667</v>
      </c>
      <c r="G4755">
        <v>900</v>
      </c>
      <c r="H4755">
        <v>3217</v>
      </c>
      <c r="I4755">
        <v>11345</v>
      </c>
    </row>
    <row r="4756" spans="1:9">
      <c r="A4756" s="2">
        <v>1992</v>
      </c>
      <c r="B4756">
        <v>90</v>
      </c>
      <c r="C4756">
        <v>0.2964</v>
      </c>
      <c r="D4756">
        <v>0.25813999999999998</v>
      </c>
      <c r="E4756">
        <v>0.5</v>
      </c>
      <c r="F4756">
        <v>2767</v>
      </c>
      <c r="G4756">
        <v>714</v>
      </c>
      <c r="H4756">
        <v>2410</v>
      </c>
      <c r="I4756">
        <v>8128</v>
      </c>
    </row>
    <row r="4757" spans="1:9">
      <c r="A4757" s="2">
        <v>1992</v>
      </c>
      <c r="B4757">
        <v>91</v>
      </c>
      <c r="C4757">
        <v>0.29819000000000001</v>
      </c>
      <c r="D4757">
        <v>0.25950000000000001</v>
      </c>
      <c r="E4757">
        <v>0.5</v>
      </c>
      <c r="F4757">
        <v>2053</v>
      </c>
      <c r="G4757">
        <v>533</v>
      </c>
      <c r="H4757">
        <v>1786</v>
      </c>
      <c r="I4757">
        <v>5718</v>
      </c>
    </row>
    <row r="4758" spans="1:9">
      <c r="A4758" s="2">
        <v>1992</v>
      </c>
      <c r="B4758">
        <v>92</v>
      </c>
      <c r="C4758">
        <v>0.35489999999999999</v>
      </c>
      <c r="D4758">
        <v>0.30141000000000001</v>
      </c>
      <c r="E4758">
        <v>0.5</v>
      </c>
      <c r="F4758">
        <v>1520</v>
      </c>
      <c r="G4758">
        <v>458</v>
      </c>
      <c r="H4758">
        <v>1291</v>
      </c>
      <c r="I4758">
        <v>3932</v>
      </c>
    </row>
    <row r="4759" spans="1:9">
      <c r="A4759" s="2">
        <v>1992</v>
      </c>
      <c r="B4759">
        <v>93</v>
      </c>
      <c r="C4759">
        <v>0.34399999999999997</v>
      </c>
      <c r="D4759">
        <v>0.29352</v>
      </c>
      <c r="E4759">
        <v>0.5</v>
      </c>
      <c r="F4759">
        <v>1062</v>
      </c>
      <c r="G4759">
        <v>312</v>
      </c>
      <c r="H4759">
        <v>906</v>
      </c>
      <c r="I4759">
        <v>2641</v>
      </c>
    </row>
    <row r="4760" spans="1:9">
      <c r="A4760" s="2">
        <v>1992</v>
      </c>
      <c r="B4760">
        <v>94</v>
      </c>
      <c r="C4760">
        <v>0.41392000000000001</v>
      </c>
      <c r="D4760">
        <v>0.34294000000000002</v>
      </c>
      <c r="E4760">
        <v>0.5</v>
      </c>
      <c r="F4760">
        <v>750</v>
      </c>
      <c r="G4760">
        <v>257</v>
      </c>
      <c r="H4760">
        <v>622</v>
      </c>
      <c r="I4760">
        <v>1735</v>
      </c>
    </row>
    <row r="4761" spans="1:9">
      <c r="A4761" s="2">
        <v>1992</v>
      </c>
      <c r="B4761">
        <v>95</v>
      </c>
      <c r="C4761">
        <v>0.40376000000000001</v>
      </c>
      <c r="D4761">
        <v>0.33594000000000002</v>
      </c>
      <c r="E4761">
        <v>0.5</v>
      </c>
      <c r="F4761">
        <v>493</v>
      </c>
      <c r="G4761">
        <v>166</v>
      </c>
      <c r="H4761">
        <v>410</v>
      </c>
      <c r="I4761">
        <v>1113</v>
      </c>
    </row>
    <row r="4762" spans="1:9">
      <c r="A4762" s="2">
        <v>1992</v>
      </c>
      <c r="B4762">
        <v>96</v>
      </c>
      <c r="C4762">
        <v>0.42843999999999999</v>
      </c>
      <c r="D4762">
        <v>0.35285</v>
      </c>
      <c r="E4762">
        <v>0.5</v>
      </c>
      <c r="F4762">
        <v>327</v>
      </c>
      <c r="G4762">
        <v>115</v>
      </c>
      <c r="H4762">
        <v>270</v>
      </c>
      <c r="I4762">
        <v>703</v>
      </c>
    </row>
    <row r="4763" spans="1:9">
      <c r="A4763" s="2">
        <v>1992</v>
      </c>
      <c r="B4763">
        <v>97</v>
      </c>
      <c r="C4763">
        <v>0.45347999999999999</v>
      </c>
      <c r="D4763">
        <v>0.36965999999999999</v>
      </c>
      <c r="E4763">
        <v>0.5</v>
      </c>
      <c r="F4763">
        <v>212</v>
      </c>
      <c r="G4763">
        <v>78</v>
      </c>
      <c r="H4763">
        <v>173</v>
      </c>
      <c r="I4763">
        <v>433</v>
      </c>
    </row>
    <row r="4764" spans="1:9">
      <c r="A4764" s="2">
        <v>1992</v>
      </c>
      <c r="B4764">
        <v>98</v>
      </c>
      <c r="C4764">
        <v>0.47875000000000001</v>
      </c>
      <c r="D4764">
        <v>0.38629000000000002</v>
      </c>
      <c r="E4764">
        <v>0.5</v>
      </c>
      <c r="F4764">
        <v>134</v>
      </c>
      <c r="G4764">
        <v>52</v>
      </c>
      <c r="H4764">
        <v>108</v>
      </c>
      <c r="I4764">
        <v>261</v>
      </c>
    </row>
    <row r="4765" spans="1:9">
      <c r="A4765" s="2">
        <v>1992</v>
      </c>
      <c r="B4765">
        <v>99</v>
      </c>
      <c r="C4765">
        <v>0.50414000000000003</v>
      </c>
      <c r="D4765">
        <v>0.40265000000000001</v>
      </c>
      <c r="E4765">
        <v>0.5</v>
      </c>
      <c r="F4765">
        <v>82</v>
      </c>
      <c r="G4765">
        <v>33</v>
      </c>
      <c r="H4765">
        <v>65</v>
      </c>
      <c r="I4765">
        <v>153</v>
      </c>
    </row>
    <row r="4766" spans="1:9">
      <c r="A4766" s="2">
        <v>1992</v>
      </c>
      <c r="B4766">
        <v>100</v>
      </c>
      <c r="C4766">
        <v>0.52951000000000004</v>
      </c>
      <c r="D4766">
        <v>0.41865999999999998</v>
      </c>
      <c r="E4766">
        <v>0.5</v>
      </c>
      <c r="F4766">
        <v>49</v>
      </c>
      <c r="G4766">
        <v>20</v>
      </c>
      <c r="H4766">
        <v>39</v>
      </c>
      <c r="I4766">
        <v>88</v>
      </c>
    </row>
    <row r="4767" spans="1:9">
      <c r="A4767" s="2">
        <v>1992</v>
      </c>
      <c r="B4767">
        <v>101</v>
      </c>
      <c r="C4767">
        <v>0.55471999999999999</v>
      </c>
      <c r="D4767">
        <v>0.43426999999999999</v>
      </c>
      <c r="E4767">
        <v>0.5</v>
      </c>
      <c r="F4767">
        <v>28</v>
      </c>
      <c r="G4767">
        <v>12</v>
      </c>
      <c r="H4767">
        <v>22</v>
      </c>
      <c r="I4767">
        <v>49</v>
      </c>
    </row>
    <row r="4768" spans="1:9">
      <c r="A4768" s="2">
        <v>1992</v>
      </c>
      <c r="B4768">
        <v>102</v>
      </c>
      <c r="C4768">
        <v>0.57965999999999995</v>
      </c>
      <c r="D4768">
        <v>0.44940999999999998</v>
      </c>
      <c r="E4768">
        <v>0.5</v>
      </c>
      <c r="F4768">
        <v>16</v>
      </c>
      <c r="G4768">
        <v>7</v>
      </c>
      <c r="H4768">
        <v>12</v>
      </c>
      <c r="I4768">
        <v>27</v>
      </c>
    </row>
    <row r="4769" spans="1:9">
      <c r="A4769" s="2">
        <v>1992</v>
      </c>
      <c r="B4769">
        <v>103</v>
      </c>
      <c r="C4769">
        <v>0.60419</v>
      </c>
      <c r="D4769">
        <v>0.46401999999999999</v>
      </c>
      <c r="E4769">
        <v>0.5</v>
      </c>
      <c r="F4769">
        <v>9</v>
      </c>
      <c r="G4769">
        <v>4</v>
      </c>
      <c r="H4769">
        <v>7</v>
      </c>
      <c r="I4769">
        <v>14</v>
      </c>
    </row>
    <row r="4770" spans="1:9">
      <c r="A4770" s="2">
        <v>1992</v>
      </c>
      <c r="B4770">
        <v>104</v>
      </c>
      <c r="C4770">
        <v>0.62822</v>
      </c>
      <c r="D4770">
        <v>0.47804999999999997</v>
      </c>
      <c r="E4770">
        <v>0.5</v>
      </c>
      <c r="F4770">
        <v>5</v>
      </c>
      <c r="G4770">
        <v>2</v>
      </c>
      <c r="H4770">
        <v>4</v>
      </c>
      <c r="I4770">
        <v>7</v>
      </c>
    </row>
    <row r="4771" spans="1:9">
      <c r="A4771" s="2">
        <v>1992</v>
      </c>
      <c r="B4771">
        <v>105</v>
      </c>
      <c r="C4771">
        <v>0.65161999999999998</v>
      </c>
      <c r="D4771">
        <v>0.49148999999999998</v>
      </c>
      <c r="E4771">
        <v>0.5</v>
      </c>
      <c r="F4771">
        <v>2</v>
      </c>
      <c r="G4771">
        <v>1</v>
      </c>
      <c r="H4771">
        <v>2</v>
      </c>
      <c r="I4771">
        <v>4</v>
      </c>
    </row>
    <row r="4772" spans="1:9">
      <c r="A4772" s="2">
        <v>1992</v>
      </c>
      <c r="B4772">
        <v>106</v>
      </c>
      <c r="C4772">
        <v>0.67432000000000003</v>
      </c>
      <c r="D4772">
        <v>0.50429000000000002</v>
      </c>
      <c r="E4772">
        <v>0.5</v>
      </c>
      <c r="F4772">
        <v>1</v>
      </c>
      <c r="G4772">
        <v>1</v>
      </c>
      <c r="H4772">
        <v>1</v>
      </c>
      <c r="I4772">
        <v>2</v>
      </c>
    </row>
    <row r="4773" spans="1:9">
      <c r="A4773" s="2">
        <v>1992</v>
      </c>
      <c r="B4773">
        <v>107</v>
      </c>
      <c r="C4773">
        <v>0.69621999999999995</v>
      </c>
      <c r="D4773">
        <v>0.51644000000000001</v>
      </c>
      <c r="E4773">
        <v>0.5</v>
      </c>
      <c r="F4773">
        <v>1</v>
      </c>
      <c r="G4773">
        <v>0</v>
      </c>
      <c r="H4773">
        <v>0</v>
      </c>
      <c r="I4773">
        <v>1</v>
      </c>
    </row>
    <row r="4774" spans="1:9">
      <c r="A4774" s="2">
        <v>1992</v>
      </c>
      <c r="B4774">
        <v>108</v>
      </c>
      <c r="C4774">
        <v>0.71726999999999996</v>
      </c>
      <c r="D4774">
        <v>0.52793999999999996</v>
      </c>
      <c r="E4774">
        <v>0.5</v>
      </c>
      <c r="F4774">
        <v>0</v>
      </c>
      <c r="G4774">
        <v>0</v>
      </c>
      <c r="H4774">
        <v>0</v>
      </c>
      <c r="I4774">
        <v>0</v>
      </c>
    </row>
    <row r="4775" spans="1:9">
      <c r="A4775" s="2">
        <v>1992</v>
      </c>
      <c r="B4775">
        <v>109</v>
      </c>
      <c r="C4775">
        <v>0.73741000000000001</v>
      </c>
      <c r="D4775">
        <v>0.53876999999999997</v>
      </c>
      <c r="E4775">
        <v>0.5</v>
      </c>
      <c r="F4775">
        <v>0</v>
      </c>
      <c r="G4775">
        <v>0</v>
      </c>
      <c r="H4775">
        <v>0</v>
      </c>
      <c r="I4775">
        <v>0</v>
      </c>
    </row>
    <row r="4776" spans="1:9">
      <c r="A4776" s="2">
        <v>1992</v>
      </c>
      <c r="B4776" t="s">
        <v>26</v>
      </c>
      <c r="C4776">
        <v>0.75661</v>
      </c>
      <c r="D4776">
        <v>1</v>
      </c>
      <c r="E4776">
        <v>1.32</v>
      </c>
      <c r="F4776">
        <v>0</v>
      </c>
      <c r="G4776">
        <v>0</v>
      </c>
      <c r="H4776">
        <v>0</v>
      </c>
      <c r="I4776">
        <v>0</v>
      </c>
    </row>
    <row r="4777" spans="1:9">
      <c r="A4777" s="2">
        <v>1993</v>
      </c>
      <c r="B4777">
        <v>0</v>
      </c>
      <c r="C4777">
        <v>1.367E-2</v>
      </c>
      <c r="D4777">
        <v>1.3509999999999999E-2</v>
      </c>
      <c r="E4777">
        <v>0.12</v>
      </c>
      <c r="F4777">
        <v>100000</v>
      </c>
      <c r="G4777">
        <v>1351</v>
      </c>
      <c r="H4777">
        <v>98814</v>
      </c>
      <c r="I4777">
        <v>6465289</v>
      </c>
    </row>
    <row r="4778" spans="1:9">
      <c r="A4778" s="2">
        <v>1993</v>
      </c>
      <c r="B4778">
        <v>1</v>
      </c>
      <c r="C4778">
        <v>8.0999999999999996E-4</v>
      </c>
      <c r="D4778">
        <v>8.0999999999999996E-4</v>
      </c>
      <c r="E4778">
        <v>0.5</v>
      </c>
      <c r="F4778">
        <v>98649</v>
      </c>
      <c r="G4778">
        <v>80</v>
      </c>
      <c r="H4778">
        <v>98609</v>
      </c>
      <c r="I4778">
        <v>6366475</v>
      </c>
    </row>
    <row r="4779" spans="1:9">
      <c r="A4779" s="2">
        <v>1993</v>
      </c>
      <c r="B4779">
        <v>2</v>
      </c>
      <c r="C4779">
        <v>5.5999999999999995E-4</v>
      </c>
      <c r="D4779">
        <v>5.5999999999999995E-4</v>
      </c>
      <c r="E4779">
        <v>0.5</v>
      </c>
      <c r="F4779">
        <v>98569</v>
      </c>
      <c r="G4779">
        <v>55</v>
      </c>
      <c r="H4779">
        <v>98541</v>
      </c>
      <c r="I4779">
        <v>6267866</v>
      </c>
    </row>
    <row r="4780" spans="1:9">
      <c r="A4780" s="2">
        <v>1993</v>
      </c>
      <c r="B4780">
        <v>3</v>
      </c>
      <c r="C4780">
        <v>5.0000000000000001E-4</v>
      </c>
      <c r="D4780">
        <v>5.0000000000000001E-4</v>
      </c>
      <c r="E4780">
        <v>0.5</v>
      </c>
      <c r="F4780">
        <v>98513</v>
      </c>
      <c r="G4780">
        <v>49</v>
      </c>
      <c r="H4780">
        <v>98489</v>
      </c>
      <c r="I4780">
        <v>6169325</v>
      </c>
    </row>
    <row r="4781" spans="1:9">
      <c r="A4781" s="2">
        <v>1993</v>
      </c>
      <c r="B4781">
        <v>4</v>
      </c>
      <c r="C4781">
        <v>3.4000000000000002E-4</v>
      </c>
      <c r="D4781">
        <v>3.4000000000000002E-4</v>
      </c>
      <c r="E4781">
        <v>0.5</v>
      </c>
      <c r="F4781">
        <v>98464</v>
      </c>
      <c r="G4781">
        <v>33</v>
      </c>
      <c r="H4781">
        <v>98448</v>
      </c>
      <c r="I4781">
        <v>6070836</v>
      </c>
    </row>
    <row r="4782" spans="1:9">
      <c r="A4782" s="2">
        <v>1993</v>
      </c>
      <c r="B4782">
        <v>5</v>
      </c>
      <c r="C4782">
        <v>1.3999999999999999E-4</v>
      </c>
      <c r="D4782">
        <v>1.3999999999999999E-4</v>
      </c>
      <c r="E4782">
        <v>0.5</v>
      </c>
      <c r="F4782">
        <v>98431</v>
      </c>
      <c r="G4782">
        <v>14</v>
      </c>
      <c r="H4782">
        <v>98424</v>
      </c>
      <c r="I4782">
        <v>5972388</v>
      </c>
    </row>
    <row r="4783" spans="1:9">
      <c r="A4783" s="2">
        <v>1993</v>
      </c>
      <c r="B4783">
        <v>6</v>
      </c>
      <c r="C4783">
        <v>2.5000000000000001E-4</v>
      </c>
      <c r="D4783">
        <v>2.5000000000000001E-4</v>
      </c>
      <c r="E4783">
        <v>0.5</v>
      </c>
      <c r="F4783">
        <v>98417</v>
      </c>
      <c r="G4783">
        <v>25</v>
      </c>
      <c r="H4783">
        <v>98405</v>
      </c>
      <c r="I4783">
        <v>5873964</v>
      </c>
    </row>
    <row r="4784" spans="1:9">
      <c r="A4784" s="2">
        <v>1993</v>
      </c>
      <c r="B4784">
        <v>7</v>
      </c>
      <c r="C4784">
        <v>3.5E-4</v>
      </c>
      <c r="D4784">
        <v>3.5E-4</v>
      </c>
      <c r="E4784">
        <v>0.5</v>
      </c>
      <c r="F4784">
        <v>98393</v>
      </c>
      <c r="G4784">
        <v>35</v>
      </c>
      <c r="H4784">
        <v>98375</v>
      </c>
      <c r="I4784">
        <v>5775559</v>
      </c>
    </row>
    <row r="4785" spans="1:9">
      <c r="A4785" s="2">
        <v>1993</v>
      </c>
      <c r="B4785">
        <v>8</v>
      </c>
      <c r="C4785">
        <v>3.1E-4</v>
      </c>
      <c r="D4785">
        <v>3.1E-4</v>
      </c>
      <c r="E4785">
        <v>0.5</v>
      </c>
      <c r="F4785">
        <v>98358</v>
      </c>
      <c r="G4785">
        <v>31</v>
      </c>
      <c r="H4785">
        <v>98343</v>
      </c>
      <c r="I4785">
        <v>5677184</v>
      </c>
    </row>
    <row r="4786" spans="1:9">
      <c r="A4786" s="2">
        <v>1993</v>
      </c>
      <c r="B4786">
        <v>9</v>
      </c>
      <c r="C4786">
        <v>2.7E-4</v>
      </c>
      <c r="D4786">
        <v>2.7E-4</v>
      </c>
      <c r="E4786">
        <v>0.5</v>
      </c>
      <c r="F4786">
        <v>98327</v>
      </c>
      <c r="G4786">
        <v>26</v>
      </c>
      <c r="H4786">
        <v>98314</v>
      </c>
      <c r="I4786">
        <v>5578841</v>
      </c>
    </row>
    <row r="4787" spans="1:9">
      <c r="A4787" s="2">
        <v>1993</v>
      </c>
      <c r="B4787">
        <v>10</v>
      </c>
      <c r="C4787">
        <v>3.4000000000000002E-4</v>
      </c>
      <c r="D4787">
        <v>3.4000000000000002E-4</v>
      </c>
      <c r="E4787">
        <v>0.5</v>
      </c>
      <c r="F4787">
        <v>98301</v>
      </c>
      <c r="G4787">
        <v>33</v>
      </c>
      <c r="H4787">
        <v>98284</v>
      </c>
      <c r="I4787">
        <v>5480527</v>
      </c>
    </row>
    <row r="4788" spans="1:9">
      <c r="A4788" s="2">
        <v>1993</v>
      </c>
      <c r="B4788">
        <v>11</v>
      </c>
      <c r="C4788">
        <v>1.9000000000000001E-4</v>
      </c>
      <c r="D4788">
        <v>1.9000000000000001E-4</v>
      </c>
      <c r="E4788">
        <v>0.5</v>
      </c>
      <c r="F4788">
        <v>98268</v>
      </c>
      <c r="G4788">
        <v>18</v>
      </c>
      <c r="H4788">
        <v>98258</v>
      </c>
      <c r="I4788">
        <v>5382243</v>
      </c>
    </row>
    <row r="4789" spans="1:9">
      <c r="A4789" s="2">
        <v>1993</v>
      </c>
      <c r="B4789">
        <v>12</v>
      </c>
      <c r="C4789">
        <v>1.8000000000000001E-4</v>
      </c>
      <c r="D4789">
        <v>1.8000000000000001E-4</v>
      </c>
      <c r="E4789">
        <v>0.5</v>
      </c>
      <c r="F4789">
        <v>98249</v>
      </c>
      <c r="G4789">
        <v>17</v>
      </c>
      <c r="H4789">
        <v>98241</v>
      </c>
      <c r="I4789">
        <v>5283985</v>
      </c>
    </row>
    <row r="4790" spans="1:9">
      <c r="A4790" s="2">
        <v>1993</v>
      </c>
      <c r="B4790">
        <v>13</v>
      </c>
      <c r="C4790">
        <v>2.7999999999999998E-4</v>
      </c>
      <c r="D4790">
        <v>2.7999999999999998E-4</v>
      </c>
      <c r="E4790">
        <v>0.5</v>
      </c>
      <c r="F4790">
        <v>98232</v>
      </c>
      <c r="G4790">
        <v>28</v>
      </c>
      <c r="H4790">
        <v>98218</v>
      </c>
      <c r="I4790">
        <v>5185744</v>
      </c>
    </row>
    <row r="4791" spans="1:9">
      <c r="A4791" s="2">
        <v>1993</v>
      </c>
      <c r="B4791">
        <v>14</v>
      </c>
      <c r="C4791">
        <v>3.6000000000000002E-4</v>
      </c>
      <c r="D4791">
        <v>3.6000000000000002E-4</v>
      </c>
      <c r="E4791">
        <v>0.5</v>
      </c>
      <c r="F4791">
        <v>98204</v>
      </c>
      <c r="G4791">
        <v>35</v>
      </c>
      <c r="H4791">
        <v>98186</v>
      </c>
      <c r="I4791">
        <v>5087526</v>
      </c>
    </row>
    <row r="4792" spans="1:9">
      <c r="A4792" s="2">
        <v>1993</v>
      </c>
      <c r="B4792">
        <v>15</v>
      </c>
      <c r="C4792">
        <v>3.2000000000000003E-4</v>
      </c>
      <c r="D4792">
        <v>3.2000000000000003E-4</v>
      </c>
      <c r="E4792">
        <v>0.5</v>
      </c>
      <c r="F4792">
        <v>98169</v>
      </c>
      <c r="G4792">
        <v>31</v>
      </c>
      <c r="H4792">
        <v>98153</v>
      </c>
      <c r="I4792">
        <v>4989340</v>
      </c>
    </row>
    <row r="4793" spans="1:9">
      <c r="A4793" s="2">
        <v>1993</v>
      </c>
      <c r="B4793">
        <v>16</v>
      </c>
      <c r="C4793">
        <v>6.4999999999999997E-4</v>
      </c>
      <c r="D4793">
        <v>6.4999999999999997E-4</v>
      </c>
      <c r="E4793">
        <v>0.5</v>
      </c>
      <c r="F4793">
        <v>98138</v>
      </c>
      <c r="G4793">
        <v>64</v>
      </c>
      <c r="H4793">
        <v>98106</v>
      </c>
      <c r="I4793">
        <v>4891187</v>
      </c>
    </row>
    <row r="4794" spans="1:9">
      <c r="A4794" s="2">
        <v>1993</v>
      </c>
      <c r="B4794">
        <v>17</v>
      </c>
      <c r="C4794">
        <v>6.8999999999999997E-4</v>
      </c>
      <c r="D4794">
        <v>6.8999999999999997E-4</v>
      </c>
      <c r="E4794">
        <v>0.5</v>
      </c>
      <c r="F4794">
        <v>98074</v>
      </c>
      <c r="G4794">
        <v>67</v>
      </c>
      <c r="H4794">
        <v>98040</v>
      </c>
      <c r="I4794">
        <v>4793081</v>
      </c>
    </row>
    <row r="4795" spans="1:9">
      <c r="A4795" s="2">
        <v>1993</v>
      </c>
      <c r="B4795">
        <v>18</v>
      </c>
      <c r="C4795">
        <v>8.0000000000000004E-4</v>
      </c>
      <c r="D4795">
        <v>8.0000000000000004E-4</v>
      </c>
      <c r="E4795">
        <v>0.5</v>
      </c>
      <c r="F4795">
        <v>98007</v>
      </c>
      <c r="G4795">
        <v>79</v>
      </c>
      <c r="H4795">
        <v>97967</v>
      </c>
      <c r="I4795">
        <v>4695041</v>
      </c>
    </row>
    <row r="4796" spans="1:9">
      <c r="A4796" s="2">
        <v>1993</v>
      </c>
      <c r="B4796">
        <v>19</v>
      </c>
      <c r="C4796">
        <v>1.08E-3</v>
      </c>
      <c r="D4796">
        <v>1.08E-3</v>
      </c>
      <c r="E4796">
        <v>0.5</v>
      </c>
      <c r="F4796">
        <v>97928</v>
      </c>
      <c r="G4796">
        <v>105</v>
      </c>
      <c r="H4796">
        <v>97875</v>
      </c>
      <c r="I4796">
        <v>4597074</v>
      </c>
    </row>
    <row r="4797" spans="1:9">
      <c r="A4797" s="2">
        <v>1993</v>
      </c>
      <c r="B4797">
        <v>20</v>
      </c>
      <c r="C4797">
        <v>1.07E-3</v>
      </c>
      <c r="D4797">
        <v>1.07E-3</v>
      </c>
      <c r="E4797">
        <v>0.5</v>
      </c>
      <c r="F4797">
        <v>97823</v>
      </c>
      <c r="G4797">
        <v>104</v>
      </c>
      <c r="H4797">
        <v>97770</v>
      </c>
      <c r="I4797">
        <v>4499198</v>
      </c>
    </row>
    <row r="4798" spans="1:9">
      <c r="A4798" s="2">
        <v>1993</v>
      </c>
      <c r="B4798">
        <v>21</v>
      </c>
      <c r="C4798">
        <v>1.15E-3</v>
      </c>
      <c r="D4798">
        <v>1.15E-3</v>
      </c>
      <c r="E4798">
        <v>0.5</v>
      </c>
      <c r="F4798">
        <v>97718</v>
      </c>
      <c r="G4798">
        <v>112</v>
      </c>
      <c r="H4798">
        <v>97662</v>
      </c>
      <c r="I4798">
        <v>4401428</v>
      </c>
    </row>
    <row r="4799" spans="1:9">
      <c r="A4799" s="2">
        <v>1993</v>
      </c>
      <c r="B4799">
        <v>22</v>
      </c>
      <c r="C4799">
        <v>1.2899999999999999E-3</v>
      </c>
      <c r="D4799">
        <v>1.2800000000000001E-3</v>
      </c>
      <c r="E4799">
        <v>0.5</v>
      </c>
      <c r="F4799">
        <v>97606</v>
      </c>
      <c r="G4799">
        <v>125</v>
      </c>
      <c r="H4799">
        <v>97544</v>
      </c>
      <c r="I4799">
        <v>4303766</v>
      </c>
    </row>
    <row r="4800" spans="1:9">
      <c r="A4800" s="2">
        <v>1993</v>
      </c>
      <c r="B4800">
        <v>23</v>
      </c>
      <c r="C4800">
        <v>1.6100000000000001E-3</v>
      </c>
      <c r="D4800">
        <v>1.6100000000000001E-3</v>
      </c>
      <c r="E4800">
        <v>0.5</v>
      </c>
      <c r="F4800">
        <v>97481</v>
      </c>
      <c r="G4800">
        <v>157</v>
      </c>
      <c r="H4800">
        <v>97403</v>
      </c>
      <c r="I4800">
        <v>4206222</v>
      </c>
    </row>
    <row r="4801" spans="1:9">
      <c r="A4801" s="2">
        <v>1993</v>
      </c>
      <c r="B4801">
        <v>24</v>
      </c>
      <c r="C4801">
        <v>1.31E-3</v>
      </c>
      <c r="D4801">
        <v>1.2999999999999999E-3</v>
      </c>
      <c r="E4801">
        <v>0.5</v>
      </c>
      <c r="F4801">
        <v>97324</v>
      </c>
      <c r="G4801">
        <v>127</v>
      </c>
      <c r="H4801">
        <v>97261</v>
      </c>
      <c r="I4801">
        <v>4108819</v>
      </c>
    </row>
    <row r="4802" spans="1:9">
      <c r="A4802" s="2">
        <v>1993</v>
      </c>
      <c r="B4802">
        <v>25</v>
      </c>
      <c r="C4802">
        <v>1.4E-3</v>
      </c>
      <c r="D4802">
        <v>1.4E-3</v>
      </c>
      <c r="E4802">
        <v>0.5</v>
      </c>
      <c r="F4802">
        <v>97197</v>
      </c>
      <c r="G4802">
        <v>136</v>
      </c>
      <c r="H4802">
        <v>97130</v>
      </c>
      <c r="I4802">
        <v>4011558</v>
      </c>
    </row>
    <row r="4803" spans="1:9">
      <c r="A4803" s="2">
        <v>1993</v>
      </c>
      <c r="B4803">
        <v>26</v>
      </c>
      <c r="C4803">
        <v>1.6199999999999999E-3</v>
      </c>
      <c r="D4803">
        <v>1.6100000000000001E-3</v>
      </c>
      <c r="E4803">
        <v>0.5</v>
      </c>
      <c r="F4803">
        <v>97062</v>
      </c>
      <c r="G4803">
        <v>157</v>
      </c>
      <c r="H4803">
        <v>96983</v>
      </c>
      <c r="I4803">
        <v>3914429</v>
      </c>
    </row>
    <row r="4804" spans="1:9">
      <c r="A4804" s="2">
        <v>1993</v>
      </c>
      <c r="B4804">
        <v>27</v>
      </c>
      <c r="C4804">
        <v>1.82E-3</v>
      </c>
      <c r="D4804">
        <v>1.82E-3</v>
      </c>
      <c r="E4804">
        <v>0.5</v>
      </c>
      <c r="F4804">
        <v>96905</v>
      </c>
      <c r="G4804">
        <v>176</v>
      </c>
      <c r="H4804">
        <v>96817</v>
      </c>
      <c r="I4804">
        <v>3817446</v>
      </c>
    </row>
    <row r="4805" spans="1:9">
      <c r="A4805" s="2">
        <v>1993</v>
      </c>
      <c r="B4805">
        <v>28</v>
      </c>
      <c r="C4805">
        <v>2.0400000000000001E-3</v>
      </c>
      <c r="D4805">
        <v>2.0300000000000001E-3</v>
      </c>
      <c r="E4805">
        <v>0.5</v>
      </c>
      <c r="F4805">
        <v>96729</v>
      </c>
      <c r="G4805">
        <v>197</v>
      </c>
      <c r="H4805">
        <v>96630</v>
      </c>
      <c r="I4805">
        <v>3720629</v>
      </c>
    </row>
    <row r="4806" spans="1:9">
      <c r="A4806" s="2">
        <v>1993</v>
      </c>
      <c r="B4806">
        <v>29</v>
      </c>
      <c r="C4806">
        <v>2.2499999999999998E-3</v>
      </c>
      <c r="D4806">
        <v>2.2499999999999998E-3</v>
      </c>
      <c r="E4806">
        <v>0.5</v>
      </c>
      <c r="F4806">
        <v>96532</v>
      </c>
      <c r="G4806">
        <v>217</v>
      </c>
      <c r="H4806">
        <v>96423</v>
      </c>
      <c r="I4806">
        <v>3623998</v>
      </c>
    </row>
    <row r="4807" spans="1:9">
      <c r="A4807" s="2">
        <v>1993</v>
      </c>
      <c r="B4807">
        <v>30</v>
      </c>
      <c r="C4807">
        <v>2.65E-3</v>
      </c>
      <c r="D4807">
        <v>2.65E-3</v>
      </c>
      <c r="E4807">
        <v>0.5</v>
      </c>
      <c r="F4807">
        <v>96315</v>
      </c>
      <c r="G4807">
        <v>255</v>
      </c>
      <c r="H4807">
        <v>96187</v>
      </c>
      <c r="I4807">
        <v>3527575</v>
      </c>
    </row>
    <row r="4808" spans="1:9">
      <c r="A4808" s="2">
        <v>1993</v>
      </c>
      <c r="B4808">
        <v>31</v>
      </c>
      <c r="C4808">
        <v>2.96E-3</v>
      </c>
      <c r="D4808">
        <v>2.9499999999999999E-3</v>
      </c>
      <c r="E4808">
        <v>0.5</v>
      </c>
      <c r="F4808">
        <v>96060</v>
      </c>
      <c r="G4808">
        <v>284</v>
      </c>
      <c r="H4808">
        <v>95918</v>
      </c>
      <c r="I4808">
        <v>3431388</v>
      </c>
    </row>
    <row r="4809" spans="1:9">
      <c r="A4809" s="2">
        <v>1993</v>
      </c>
      <c r="B4809">
        <v>32</v>
      </c>
      <c r="C4809">
        <v>2.82E-3</v>
      </c>
      <c r="D4809">
        <v>2.82E-3</v>
      </c>
      <c r="E4809">
        <v>0.5</v>
      </c>
      <c r="F4809">
        <v>95776</v>
      </c>
      <c r="G4809">
        <v>270</v>
      </c>
      <c r="H4809">
        <v>95641</v>
      </c>
      <c r="I4809">
        <v>3335470</v>
      </c>
    </row>
    <row r="4810" spans="1:9">
      <c r="A4810" s="2">
        <v>1993</v>
      </c>
      <c r="B4810">
        <v>33</v>
      </c>
      <c r="C4810">
        <v>3.7499999999999999E-3</v>
      </c>
      <c r="D4810">
        <v>3.7399999999999998E-3</v>
      </c>
      <c r="E4810">
        <v>0.5</v>
      </c>
      <c r="F4810">
        <v>95507</v>
      </c>
      <c r="G4810">
        <v>357</v>
      </c>
      <c r="H4810">
        <v>95328</v>
      </c>
      <c r="I4810">
        <v>3239829</v>
      </c>
    </row>
    <row r="4811" spans="1:9">
      <c r="A4811" s="2">
        <v>1993</v>
      </c>
      <c r="B4811">
        <v>34</v>
      </c>
      <c r="C4811">
        <v>3.6800000000000001E-3</v>
      </c>
      <c r="D4811">
        <v>3.6800000000000001E-3</v>
      </c>
      <c r="E4811">
        <v>0.5</v>
      </c>
      <c r="F4811">
        <v>95149</v>
      </c>
      <c r="G4811">
        <v>350</v>
      </c>
      <c r="H4811">
        <v>94974</v>
      </c>
      <c r="I4811">
        <v>3144501</v>
      </c>
    </row>
    <row r="4812" spans="1:9">
      <c r="A4812" s="2">
        <v>1993</v>
      </c>
      <c r="B4812">
        <v>35</v>
      </c>
      <c r="C4812">
        <v>4.5799999999999999E-3</v>
      </c>
      <c r="D4812">
        <v>4.5700000000000003E-3</v>
      </c>
      <c r="E4812">
        <v>0.5</v>
      </c>
      <c r="F4812">
        <v>94799</v>
      </c>
      <c r="G4812">
        <v>433</v>
      </c>
      <c r="H4812">
        <v>94583</v>
      </c>
      <c r="I4812">
        <v>3049527</v>
      </c>
    </row>
    <row r="4813" spans="1:9">
      <c r="A4813" s="2">
        <v>1993</v>
      </c>
      <c r="B4813">
        <v>36</v>
      </c>
      <c r="C4813">
        <v>5.4900000000000001E-3</v>
      </c>
      <c r="D4813">
        <v>5.4799999999999996E-3</v>
      </c>
      <c r="E4813">
        <v>0.5</v>
      </c>
      <c r="F4813">
        <v>94366</v>
      </c>
      <c r="G4813">
        <v>517</v>
      </c>
      <c r="H4813">
        <v>94108</v>
      </c>
      <c r="I4813">
        <v>2954944</v>
      </c>
    </row>
    <row r="4814" spans="1:9">
      <c r="A4814" s="2">
        <v>1993</v>
      </c>
      <c r="B4814">
        <v>37</v>
      </c>
      <c r="C4814">
        <v>5.5799999999999999E-3</v>
      </c>
      <c r="D4814">
        <v>5.5599999999999998E-3</v>
      </c>
      <c r="E4814">
        <v>0.5</v>
      </c>
      <c r="F4814">
        <v>93849</v>
      </c>
      <c r="G4814">
        <v>522</v>
      </c>
      <c r="H4814">
        <v>93588</v>
      </c>
      <c r="I4814">
        <v>2860836</v>
      </c>
    </row>
    <row r="4815" spans="1:9">
      <c r="A4815" s="2">
        <v>1993</v>
      </c>
      <c r="B4815">
        <v>38</v>
      </c>
      <c r="C4815">
        <v>6.79E-3</v>
      </c>
      <c r="D4815">
        <v>6.7600000000000004E-3</v>
      </c>
      <c r="E4815">
        <v>0.5</v>
      </c>
      <c r="F4815">
        <v>93327</v>
      </c>
      <c r="G4815">
        <v>631</v>
      </c>
      <c r="H4815">
        <v>93012</v>
      </c>
      <c r="I4815">
        <v>2767248</v>
      </c>
    </row>
    <row r="4816" spans="1:9">
      <c r="A4816" s="2">
        <v>1993</v>
      </c>
      <c r="B4816">
        <v>39</v>
      </c>
      <c r="C4816">
        <v>6.8199999999999997E-3</v>
      </c>
      <c r="D4816">
        <v>6.79E-3</v>
      </c>
      <c r="E4816">
        <v>0.5</v>
      </c>
      <c r="F4816">
        <v>92696</v>
      </c>
      <c r="G4816">
        <v>630</v>
      </c>
      <c r="H4816">
        <v>92381</v>
      </c>
      <c r="I4816">
        <v>2674236</v>
      </c>
    </row>
    <row r="4817" spans="1:9">
      <c r="A4817" s="2">
        <v>1993</v>
      </c>
      <c r="B4817">
        <v>40</v>
      </c>
      <c r="C4817">
        <v>7.0299999999999998E-3</v>
      </c>
      <c r="D4817">
        <v>7.0099999999999997E-3</v>
      </c>
      <c r="E4817">
        <v>0.5</v>
      </c>
      <c r="F4817">
        <v>92066</v>
      </c>
      <c r="G4817">
        <v>645</v>
      </c>
      <c r="H4817">
        <v>91744</v>
      </c>
      <c r="I4817">
        <v>2581855</v>
      </c>
    </row>
    <row r="4818" spans="1:9">
      <c r="A4818" s="2">
        <v>1993</v>
      </c>
      <c r="B4818">
        <v>41</v>
      </c>
      <c r="C4818">
        <v>8.9300000000000004E-3</v>
      </c>
      <c r="D4818">
        <v>8.8900000000000003E-3</v>
      </c>
      <c r="E4818">
        <v>0.5</v>
      </c>
      <c r="F4818">
        <v>91421</v>
      </c>
      <c r="G4818">
        <v>813</v>
      </c>
      <c r="H4818">
        <v>91015</v>
      </c>
      <c r="I4818">
        <v>2490111</v>
      </c>
    </row>
    <row r="4819" spans="1:9">
      <c r="A4819" s="2">
        <v>1993</v>
      </c>
      <c r="B4819">
        <v>42</v>
      </c>
      <c r="C4819">
        <v>9.4199999999999996E-3</v>
      </c>
      <c r="D4819">
        <v>9.3699999999999999E-3</v>
      </c>
      <c r="E4819">
        <v>0.5</v>
      </c>
      <c r="F4819">
        <v>90609</v>
      </c>
      <c r="G4819">
        <v>849</v>
      </c>
      <c r="H4819">
        <v>90184</v>
      </c>
      <c r="I4819">
        <v>2399096</v>
      </c>
    </row>
    <row r="4820" spans="1:9">
      <c r="A4820" s="2">
        <v>1993</v>
      </c>
      <c r="B4820">
        <v>43</v>
      </c>
      <c r="C4820">
        <v>9.8600000000000007E-3</v>
      </c>
      <c r="D4820">
        <v>9.8099999999999993E-3</v>
      </c>
      <c r="E4820">
        <v>0.5</v>
      </c>
      <c r="F4820">
        <v>89759</v>
      </c>
      <c r="G4820">
        <v>880</v>
      </c>
      <c r="H4820">
        <v>89319</v>
      </c>
      <c r="I4820">
        <v>2308912</v>
      </c>
    </row>
    <row r="4821" spans="1:9">
      <c r="A4821" s="2">
        <v>1993</v>
      </c>
      <c r="B4821">
        <v>44</v>
      </c>
      <c r="C4821">
        <v>1.034E-2</v>
      </c>
      <c r="D4821">
        <v>1.0290000000000001E-2</v>
      </c>
      <c r="E4821">
        <v>0.5</v>
      </c>
      <c r="F4821">
        <v>88879</v>
      </c>
      <c r="G4821">
        <v>914</v>
      </c>
      <c r="H4821">
        <v>88422</v>
      </c>
      <c r="I4821">
        <v>2219593</v>
      </c>
    </row>
    <row r="4822" spans="1:9">
      <c r="A4822" s="2">
        <v>1993</v>
      </c>
      <c r="B4822">
        <v>45</v>
      </c>
      <c r="C4822">
        <v>1.0869999999999999E-2</v>
      </c>
      <c r="D4822">
        <v>1.081E-2</v>
      </c>
      <c r="E4822">
        <v>0.5</v>
      </c>
      <c r="F4822">
        <v>87965</v>
      </c>
      <c r="G4822">
        <v>951</v>
      </c>
      <c r="H4822">
        <v>87489</v>
      </c>
      <c r="I4822">
        <v>2131171</v>
      </c>
    </row>
    <row r="4823" spans="1:9">
      <c r="A4823" s="2">
        <v>1993</v>
      </c>
      <c r="B4823">
        <v>46</v>
      </c>
      <c r="C4823">
        <v>1.259E-2</v>
      </c>
      <c r="D4823">
        <v>1.251E-2</v>
      </c>
      <c r="E4823">
        <v>0.5</v>
      </c>
      <c r="F4823">
        <v>87014</v>
      </c>
      <c r="G4823">
        <v>1089</v>
      </c>
      <c r="H4823">
        <v>86469</v>
      </c>
      <c r="I4823">
        <v>2043681</v>
      </c>
    </row>
    <row r="4824" spans="1:9">
      <c r="A4824" s="2">
        <v>1993</v>
      </c>
      <c r="B4824">
        <v>47</v>
      </c>
      <c r="C4824">
        <v>1.222E-2</v>
      </c>
      <c r="D4824">
        <v>1.214E-2</v>
      </c>
      <c r="E4824">
        <v>0.5</v>
      </c>
      <c r="F4824">
        <v>85925</v>
      </c>
      <c r="G4824">
        <v>1043</v>
      </c>
      <c r="H4824">
        <v>85403</v>
      </c>
      <c r="I4824">
        <v>1957212</v>
      </c>
    </row>
    <row r="4825" spans="1:9">
      <c r="A4825" s="2">
        <v>1993</v>
      </c>
      <c r="B4825">
        <v>48</v>
      </c>
      <c r="C4825">
        <v>1.4120000000000001E-2</v>
      </c>
      <c r="D4825">
        <v>1.4019999999999999E-2</v>
      </c>
      <c r="E4825">
        <v>0.5</v>
      </c>
      <c r="F4825">
        <v>84882</v>
      </c>
      <c r="G4825">
        <v>1190</v>
      </c>
      <c r="H4825">
        <v>84286</v>
      </c>
      <c r="I4825">
        <v>1871809</v>
      </c>
    </row>
    <row r="4826" spans="1:9">
      <c r="A4826" s="2">
        <v>1993</v>
      </c>
      <c r="B4826">
        <v>49</v>
      </c>
      <c r="C4826">
        <v>1.491E-2</v>
      </c>
      <c r="D4826">
        <v>1.4800000000000001E-2</v>
      </c>
      <c r="E4826">
        <v>0.5</v>
      </c>
      <c r="F4826">
        <v>83691</v>
      </c>
      <c r="G4826">
        <v>1238</v>
      </c>
      <c r="H4826">
        <v>83072</v>
      </c>
      <c r="I4826">
        <v>1787523</v>
      </c>
    </row>
    <row r="4827" spans="1:9">
      <c r="A4827" s="2">
        <v>1993</v>
      </c>
      <c r="B4827">
        <v>50</v>
      </c>
      <c r="C4827">
        <v>1.6840000000000001E-2</v>
      </c>
      <c r="D4827">
        <v>1.67E-2</v>
      </c>
      <c r="E4827">
        <v>0.5</v>
      </c>
      <c r="F4827">
        <v>82453</v>
      </c>
      <c r="G4827">
        <v>1377</v>
      </c>
      <c r="H4827">
        <v>81764</v>
      </c>
      <c r="I4827">
        <v>1704451</v>
      </c>
    </row>
    <row r="4828" spans="1:9">
      <c r="A4828" s="2">
        <v>1993</v>
      </c>
      <c r="B4828">
        <v>51</v>
      </c>
      <c r="C4828">
        <v>1.8120000000000001E-2</v>
      </c>
      <c r="D4828">
        <v>1.796E-2</v>
      </c>
      <c r="E4828">
        <v>0.5</v>
      </c>
      <c r="F4828">
        <v>81076</v>
      </c>
      <c r="G4828">
        <v>1456</v>
      </c>
      <c r="H4828">
        <v>80348</v>
      </c>
      <c r="I4828">
        <v>1622686</v>
      </c>
    </row>
    <row r="4829" spans="1:9">
      <c r="A4829" s="2">
        <v>1993</v>
      </c>
      <c r="B4829">
        <v>52</v>
      </c>
      <c r="C4829">
        <v>1.9279999999999999E-2</v>
      </c>
      <c r="D4829">
        <v>1.9089999999999999E-2</v>
      </c>
      <c r="E4829">
        <v>0.5</v>
      </c>
      <c r="F4829">
        <v>79620</v>
      </c>
      <c r="G4829">
        <v>1520</v>
      </c>
      <c r="H4829">
        <v>78859</v>
      </c>
      <c r="I4829">
        <v>1542339</v>
      </c>
    </row>
    <row r="4830" spans="1:9">
      <c r="A4830" s="2">
        <v>1993</v>
      </c>
      <c r="B4830">
        <v>53</v>
      </c>
      <c r="C4830">
        <v>2.154E-2</v>
      </c>
      <c r="D4830">
        <v>2.1309999999999999E-2</v>
      </c>
      <c r="E4830">
        <v>0.5</v>
      </c>
      <c r="F4830">
        <v>78099</v>
      </c>
      <c r="G4830">
        <v>1664</v>
      </c>
      <c r="H4830">
        <v>77267</v>
      </c>
      <c r="I4830">
        <v>1463479</v>
      </c>
    </row>
    <row r="4831" spans="1:9">
      <c r="A4831" s="2">
        <v>1993</v>
      </c>
      <c r="B4831">
        <v>54</v>
      </c>
      <c r="C4831">
        <v>2.1559999999999999E-2</v>
      </c>
      <c r="D4831">
        <v>2.1329999999999998E-2</v>
      </c>
      <c r="E4831">
        <v>0.5</v>
      </c>
      <c r="F4831">
        <v>76435</v>
      </c>
      <c r="G4831">
        <v>1630</v>
      </c>
      <c r="H4831">
        <v>75620</v>
      </c>
      <c r="I4831">
        <v>1386212</v>
      </c>
    </row>
    <row r="4832" spans="1:9">
      <c r="A4832" s="2">
        <v>1993</v>
      </c>
      <c r="B4832">
        <v>55</v>
      </c>
      <c r="C4832">
        <v>2.2720000000000001E-2</v>
      </c>
      <c r="D4832">
        <v>2.247E-2</v>
      </c>
      <c r="E4832">
        <v>0.5</v>
      </c>
      <c r="F4832">
        <v>74805</v>
      </c>
      <c r="G4832">
        <v>1681</v>
      </c>
      <c r="H4832">
        <v>73964</v>
      </c>
      <c r="I4832">
        <v>1310592</v>
      </c>
    </row>
    <row r="4833" spans="1:9">
      <c r="A4833" s="2">
        <v>1993</v>
      </c>
      <c r="B4833">
        <v>56</v>
      </c>
      <c r="C4833">
        <v>2.2929999999999999E-2</v>
      </c>
      <c r="D4833">
        <v>2.2669999999999999E-2</v>
      </c>
      <c r="E4833">
        <v>0.5</v>
      </c>
      <c r="F4833">
        <v>73124</v>
      </c>
      <c r="G4833">
        <v>1658</v>
      </c>
      <c r="H4833">
        <v>72295</v>
      </c>
      <c r="I4833">
        <v>1236628</v>
      </c>
    </row>
    <row r="4834" spans="1:9">
      <c r="A4834" s="2">
        <v>1993</v>
      </c>
      <c r="B4834">
        <v>57</v>
      </c>
      <c r="C4834">
        <v>2.4580000000000001E-2</v>
      </c>
      <c r="D4834">
        <v>2.4279999999999999E-2</v>
      </c>
      <c r="E4834">
        <v>0.5</v>
      </c>
      <c r="F4834">
        <v>71466</v>
      </c>
      <c r="G4834">
        <v>1735</v>
      </c>
      <c r="H4834">
        <v>70598</v>
      </c>
      <c r="I4834">
        <v>1164333</v>
      </c>
    </row>
    <row r="4835" spans="1:9">
      <c r="A4835" s="2">
        <v>1993</v>
      </c>
      <c r="B4835">
        <v>58</v>
      </c>
      <c r="C4835">
        <v>2.784E-2</v>
      </c>
      <c r="D4835">
        <v>2.7449999999999999E-2</v>
      </c>
      <c r="E4835">
        <v>0.5</v>
      </c>
      <c r="F4835">
        <v>69731</v>
      </c>
      <c r="G4835">
        <v>1914</v>
      </c>
      <c r="H4835">
        <v>68773</v>
      </c>
      <c r="I4835">
        <v>1093735</v>
      </c>
    </row>
    <row r="4836" spans="1:9">
      <c r="A4836" s="2">
        <v>1993</v>
      </c>
      <c r="B4836">
        <v>59</v>
      </c>
      <c r="C4836">
        <v>2.8570000000000002E-2</v>
      </c>
      <c r="D4836">
        <v>2.8170000000000001E-2</v>
      </c>
      <c r="E4836">
        <v>0.5</v>
      </c>
      <c r="F4836">
        <v>67816</v>
      </c>
      <c r="G4836">
        <v>1911</v>
      </c>
      <c r="H4836">
        <v>66861</v>
      </c>
      <c r="I4836">
        <v>1024962</v>
      </c>
    </row>
    <row r="4837" spans="1:9">
      <c r="A4837" s="2">
        <v>1993</v>
      </c>
      <c r="B4837">
        <v>60</v>
      </c>
      <c r="C4837">
        <v>3.1609999999999999E-2</v>
      </c>
      <c r="D4837">
        <v>3.1119999999999998E-2</v>
      </c>
      <c r="E4837">
        <v>0.5</v>
      </c>
      <c r="F4837">
        <v>65906</v>
      </c>
      <c r="G4837">
        <v>2051</v>
      </c>
      <c r="H4837">
        <v>64880</v>
      </c>
      <c r="I4837">
        <v>958101</v>
      </c>
    </row>
    <row r="4838" spans="1:9">
      <c r="A4838" s="2">
        <v>1993</v>
      </c>
      <c r="B4838">
        <v>61</v>
      </c>
      <c r="C4838">
        <v>3.3149999999999999E-2</v>
      </c>
      <c r="D4838">
        <v>3.261E-2</v>
      </c>
      <c r="E4838">
        <v>0.5</v>
      </c>
      <c r="F4838">
        <v>63855</v>
      </c>
      <c r="G4838">
        <v>2082</v>
      </c>
      <c r="H4838">
        <v>62813</v>
      </c>
      <c r="I4838">
        <v>893221</v>
      </c>
    </row>
    <row r="4839" spans="1:9">
      <c r="A4839" s="2">
        <v>1993</v>
      </c>
      <c r="B4839">
        <v>62</v>
      </c>
      <c r="C4839">
        <v>3.594E-2</v>
      </c>
      <c r="D4839">
        <v>3.5310000000000001E-2</v>
      </c>
      <c r="E4839">
        <v>0.5</v>
      </c>
      <c r="F4839">
        <v>61772</v>
      </c>
      <c r="G4839">
        <v>2181</v>
      </c>
      <c r="H4839">
        <v>60682</v>
      </c>
      <c r="I4839">
        <v>830408</v>
      </c>
    </row>
    <row r="4840" spans="1:9">
      <c r="A4840" s="2">
        <v>1993</v>
      </c>
      <c r="B4840">
        <v>63</v>
      </c>
      <c r="C4840">
        <v>3.7260000000000001E-2</v>
      </c>
      <c r="D4840">
        <v>3.6580000000000001E-2</v>
      </c>
      <c r="E4840">
        <v>0.5</v>
      </c>
      <c r="F4840">
        <v>59591</v>
      </c>
      <c r="G4840">
        <v>2180</v>
      </c>
      <c r="H4840">
        <v>58501</v>
      </c>
      <c r="I4840">
        <v>769726</v>
      </c>
    </row>
    <row r="4841" spans="1:9">
      <c r="A4841" s="2">
        <v>1993</v>
      </c>
      <c r="B4841">
        <v>64</v>
      </c>
      <c r="C4841">
        <v>4.1860000000000001E-2</v>
      </c>
      <c r="D4841">
        <v>4.1000000000000002E-2</v>
      </c>
      <c r="E4841">
        <v>0.5</v>
      </c>
      <c r="F4841">
        <v>57411</v>
      </c>
      <c r="G4841">
        <v>2354</v>
      </c>
      <c r="H4841">
        <v>56234</v>
      </c>
      <c r="I4841">
        <v>711225</v>
      </c>
    </row>
    <row r="4842" spans="1:9">
      <c r="A4842" s="2">
        <v>1993</v>
      </c>
      <c r="B4842">
        <v>65</v>
      </c>
      <c r="C4842">
        <v>4.1529999999999997E-2</v>
      </c>
      <c r="D4842">
        <v>4.0689999999999997E-2</v>
      </c>
      <c r="E4842">
        <v>0.5</v>
      </c>
      <c r="F4842">
        <v>55057</v>
      </c>
      <c r="G4842">
        <v>2240</v>
      </c>
      <c r="H4842">
        <v>53937</v>
      </c>
      <c r="I4842">
        <v>654991</v>
      </c>
    </row>
    <row r="4843" spans="1:9">
      <c r="A4843" s="2">
        <v>1993</v>
      </c>
      <c r="B4843">
        <v>66</v>
      </c>
      <c r="C4843">
        <v>4.5530000000000001E-2</v>
      </c>
      <c r="D4843">
        <v>4.4519999999999997E-2</v>
      </c>
      <c r="E4843">
        <v>0.5</v>
      </c>
      <c r="F4843">
        <v>52817</v>
      </c>
      <c r="G4843">
        <v>2351</v>
      </c>
      <c r="H4843">
        <v>51641</v>
      </c>
      <c r="I4843">
        <v>601054</v>
      </c>
    </row>
    <row r="4844" spans="1:9">
      <c r="A4844" s="2">
        <v>1993</v>
      </c>
      <c r="B4844">
        <v>67</v>
      </c>
      <c r="C4844">
        <v>4.9979999999999997E-2</v>
      </c>
      <c r="D4844">
        <v>4.8759999999999998E-2</v>
      </c>
      <c r="E4844">
        <v>0.5</v>
      </c>
      <c r="F4844">
        <v>50465</v>
      </c>
      <c r="G4844">
        <v>2461</v>
      </c>
      <c r="H4844">
        <v>49235</v>
      </c>
      <c r="I4844">
        <v>549413</v>
      </c>
    </row>
    <row r="4845" spans="1:9">
      <c r="A4845" s="2">
        <v>1993</v>
      </c>
      <c r="B4845">
        <v>68</v>
      </c>
      <c r="C4845">
        <v>5.3609999999999998E-2</v>
      </c>
      <c r="D4845">
        <v>5.2209999999999999E-2</v>
      </c>
      <c r="E4845">
        <v>0.5</v>
      </c>
      <c r="F4845">
        <v>48005</v>
      </c>
      <c r="G4845">
        <v>2506</v>
      </c>
      <c r="H4845">
        <v>46752</v>
      </c>
      <c r="I4845">
        <v>500177</v>
      </c>
    </row>
    <row r="4846" spans="1:9">
      <c r="A4846" s="2">
        <v>1993</v>
      </c>
      <c r="B4846">
        <v>69</v>
      </c>
      <c r="C4846">
        <v>5.525E-2</v>
      </c>
      <c r="D4846">
        <v>5.3769999999999998E-2</v>
      </c>
      <c r="E4846">
        <v>0.5</v>
      </c>
      <c r="F4846">
        <v>45498</v>
      </c>
      <c r="G4846">
        <v>2446</v>
      </c>
      <c r="H4846">
        <v>44275</v>
      </c>
      <c r="I4846">
        <v>453426</v>
      </c>
    </row>
    <row r="4847" spans="1:9">
      <c r="A4847" s="2">
        <v>1993</v>
      </c>
      <c r="B4847">
        <v>70</v>
      </c>
      <c r="C4847">
        <v>5.9110000000000003E-2</v>
      </c>
      <c r="D4847">
        <v>5.7419999999999999E-2</v>
      </c>
      <c r="E4847">
        <v>0.5</v>
      </c>
      <c r="F4847">
        <v>43052</v>
      </c>
      <c r="G4847">
        <v>2472</v>
      </c>
      <c r="H4847">
        <v>41816</v>
      </c>
      <c r="I4847">
        <v>409151</v>
      </c>
    </row>
    <row r="4848" spans="1:9">
      <c r="A4848" s="2">
        <v>1993</v>
      </c>
      <c r="B4848">
        <v>71</v>
      </c>
      <c r="C4848">
        <v>6.5299999999999997E-2</v>
      </c>
      <c r="D4848">
        <v>6.3229999999999995E-2</v>
      </c>
      <c r="E4848">
        <v>0.5</v>
      </c>
      <c r="F4848">
        <v>40580</v>
      </c>
      <c r="G4848">
        <v>2566</v>
      </c>
      <c r="H4848">
        <v>39297</v>
      </c>
      <c r="I4848">
        <v>367334</v>
      </c>
    </row>
    <row r="4849" spans="1:9">
      <c r="A4849" s="2">
        <v>1993</v>
      </c>
      <c r="B4849">
        <v>72</v>
      </c>
      <c r="C4849">
        <v>6.6979999999999998E-2</v>
      </c>
      <c r="D4849">
        <v>6.4810000000000006E-2</v>
      </c>
      <c r="E4849">
        <v>0.5</v>
      </c>
      <c r="F4849">
        <v>38014</v>
      </c>
      <c r="G4849">
        <v>2464</v>
      </c>
      <c r="H4849">
        <v>36782</v>
      </c>
      <c r="I4849">
        <v>328037</v>
      </c>
    </row>
    <row r="4850" spans="1:9">
      <c r="A4850" s="2">
        <v>1993</v>
      </c>
      <c r="B4850">
        <v>73</v>
      </c>
      <c r="C4850">
        <v>8.1210000000000004E-2</v>
      </c>
      <c r="D4850">
        <v>7.8049999999999994E-2</v>
      </c>
      <c r="E4850">
        <v>0.5</v>
      </c>
      <c r="F4850">
        <v>35550</v>
      </c>
      <c r="G4850">
        <v>2775</v>
      </c>
      <c r="H4850">
        <v>34163</v>
      </c>
      <c r="I4850">
        <v>291255</v>
      </c>
    </row>
    <row r="4851" spans="1:9">
      <c r="A4851" s="2">
        <v>1993</v>
      </c>
      <c r="B4851">
        <v>74</v>
      </c>
      <c r="C4851">
        <v>6.4570000000000002E-2</v>
      </c>
      <c r="D4851">
        <v>6.2549999999999994E-2</v>
      </c>
      <c r="E4851">
        <v>0.5</v>
      </c>
      <c r="F4851">
        <v>32776</v>
      </c>
      <c r="G4851">
        <v>2050</v>
      </c>
      <c r="H4851">
        <v>31751</v>
      </c>
      <c r="I4851">
        <v>257092</v>
      </c>
    </row>
    <row r="4852" spans="1:9">
      <c r="A4852" s="2">
        <v>1993</v>
      </c>
      <c r="B4852">
        <v>75</v>
      </c>
      <c r="C4852">
        <v>8.2460000000000006E-2</v>
      </c>
      <c r="D4852">
        <v>7.9189999999999997E-2</v>
      </c>
      <c r="E4852">
        <v>0.5</v>
      </c>
      <c r="F4852">
        <v>30726</v>
      </c>
      <c r="G4852">
        <v>2433</v>
      </c>
      <c r="H4852">
        <v>29509</v>
      </c>
      <c r="I4852">
        <v>225341</v>
      </c>
    </row>
    <row r="4853" spans="1:9">
      <c r="A4853" s="2">
        <v>1993</v>
      </c>
      <c r="B4853">
        <v>76</v>
      </c>
      <c r="C4853">
        <v>9.3039999999999998E-2</v>
      </c>
      <c r="D4853">
        <v>8.8900000000000007E-2</v>
      </c>
      <c r="E4853">
        <v>0.5</v>
      </c>
      <c r="F4853">
        <v>28293</v>
      </c>
      <c r="G4853">
        <v>2515</v>
      </c>
      <c r="H4853">
        <v>27035</v>
      </c>
      <c r="I4853">
        <v>195832</v>
      </c>
    </row>
    <row r="4854" spans="1:9">
      <c r="A4854" s="2">
        <v>1993</v>
      </c>
      <c r="B4854">
        <v>77</v>
      </c>
      <c r="C4854">
        <v>9.0709999999999999E-2</v>
      </c>
      <c r="D4854">
        <v>8.677E-2</v>
      </c>
      <c r="E4854">
        <v>0.5</v>
      </c>
      <c r="F4854">
        <v>25777</v>
      </c>
      <c r="G4854">
        <v>2237</v>
      </c>
      <c r="H4854">
        <v>24659</v>
      </c>
      <c r="I4854">
        <v>168797</v>
      </c>
    </row>
    <row r="4855" spans="1:9">
      <c r="A4855" s="2">
        <v>1993</v>
      </c>
      <c r="B4855">
        <v>78</v>
      </c>
      <c r="C4855">
        <v>0.11849</v>
      </c>
      <c r="D4855">
        <v>0.11186</v>
      </c>
      <c r="E4855">
        <v>0.5</v>
      </c>
      <c r="F4855">
        <v>23541</v>
      </c>
      <c r="G4855">
        <v>2633</v>
      </c>
      <c r="H4855">
        <v>22224</v>
      </c>
      <c r="I4855">
        <v>144138</v>
      </c>
    </row>
    <row r="4856" spans="1:9">
      <c r="A4856" s="2">
        <v>1993</v>
      </c>
      <c r="B4856">
        <v>79</v>
      </c>
      <c r="C4856">
        <v>0.11479</v>
      </c>
      <c r="D4856">
        <v>0.10856</v>
      </c>
      <c r="E4856">
        <v>0.5</v>
      </c>
      <c r="F4856">
        <v>20907</v>
      </c>
      <c r="G4856">
        <v>2270</v>
      </c>
      <c r="H4856">
        <v>19772</v>
      </c>
      <c r="I4856">
        <v>121914</v>
      </c>
    </row>
    <row r="4857" spans="1:9">
      <c r="A4857" s="2">
        <v>1993</v>
      </c>
      <c r="B4857">
        <v>80</v>
      </c>
      <c r="C4857">
        <v>0.12265</v>
      </c>
      <c r="D4857">
        <v>0.11556</v>
      </c>
      <c r="E4857">
        <v>0.5</v>
      </c>
      <c r="F4857">
        <v>18637</v>
      </c>
      <c r="G4857">
        <v>2154</v>
      </c>
      <c r="H4857">
        <v>17561</v>
      </c>
      <c r="I4857">
        <v>102142</v>
      </c>
    </row>
    <row r="4858" spans="1:9">
      <c r="A4858" s="2">
        <v>1993</v>
      </c>
      <c r="B4858">
        <v>81</v>
      </c>
      <c r="C4858">
        <v>0.13941000000000001</v>
      </c>
      <c r="D4858">
        <v>0.13031999999999999</v>
      </c>
      <c r="E4858">
        <v>0.5</v>
      </c>
      <c r="F4858">
        <v>16484</v>
      </c>
      <c r="G4858">
        <v>2148</v>
      </c>
      <c r="H4858">
        <v>15410</v>
      </c>
      <c r="I4858">
        <v>84581</v>
      </c>
    </row>
    <row r="4859" spans="1:9">
      <c r="A4859" s="2">
        <v>1993</v>
      </c>
      <c r="B4859">
        <v>82</v>
      </c>
      <c r="C4859">
        <v>0.14807999999999999</v>
      </c>
      <c r="D4859">
        <v>0.13786999999999999</v>
      </c>
      <c r="E4859">
        <v>0.5</v>
      </c>
      <c r="F4859">
        <v>14335</v>
      </c>
      <c r="G4859">
        <v>1976</v>
      </c>
      <c r="H4859">
        <v>13347</v>
      </c>
      <c r="I4859">
        <v>69172</v>
      </c>
    </row>
    <row r="4860" spans="1:9">
      <c r="A4860" s="2">
        <v>1993</v>
      </c>
      <c r="B4860">
        <v>83</v>
      </c>
      <c r="C4860">
        <v>0.16341</v>
      </c>
      <c r="D4860">
        <v>0.15107000000000001</v>
      </c>
      <c r="E4860">
        <v>0.5</v>
      </c>
      <c r="F4860">
        <v>12359</v>
      </c>
      <c r="G4860">
        <v>1867</v>
      </c>
      <c r="H4860">
        <v>11425</v>
      </c>
      <c r="I4860">
        <v>55824</v>
      </c>
    </row>
    <row r="4861" spans="1:9">
      <c r="A4861" s="2">
        <v>1993</v>
      </c>
      <c r="B4861">
        <v>84</v>
      </c>
      <c r="C4861">
        <v>0.18093000000000001</v>
      </c>
      <c r="D4861">
        <v>0.16592000000000001</v>
      </c>
      <c r="E4861">
        <v>0.5</v>
      </c>
      <c r="F4861">
        <v>10492</v>
      </c>
      <c r="G4861">
        <v>1741</v>
      </c>
      <c r="H4861">
        <v>9622</v>
      </c>
      <c r="I4861">
        <v>44399</v>
      </c>
    </row>
    <row r="4862" spans="1:9">
      <c r="A4862" s="2">
        <v>1993</v>
      </c>
      <c r="B4862">
        <v>85</v>
      </c>
      <c r="C4862">
        <v>0.19782</v>
      </c>
      <c r="D4862">
        <v>0.18001</v>
      </c>
      <c r="E4862">
        <v>0.5</v>
      </c>
      <c r="F4862">
        <v>8751</v>
      </c>
      <c r="G4862">
        <v>1575</v>
      </c>
      <c r="H4862">
        <v>7963</v>
      </c>
      <c r="I4862">
        <v>34777</v>
      </c>
    </row>
    <row r="4863" spans="1:9">
      <c r="A4863" s="2">
        <v>1993</v>
      </c>
      <c r="B4863">
        <v>86</v>
      </c>
      <c r="C4863">
        <v>0.21326000000000001</v>
      </c>
      <c r="D4863">
        <v>0.19272</v>
      </c>
      <c r="E4863">
        <v>0.5</v>
      </c>
      <c r="F4863">
        <v>7176</v>
      </c>
      <c r="G4863">
        <v>1383</v>
      </c>
      <c r="H4863">
        <v>6484</v>
      </c>
      <c r="I4863">
        <v>26814</v>
      </c>
    </row>
    <row r="4864" spans="1:9">
      <c r="A4864" s="2">
        <v>1993</v>
      </c>
      <c r="B4864">
        <v>87</v>
      </c>
      <c r="C4864">
        <v>0.22195000000000001</v>
      </c>
      <c r="D4864">
        <v>0.19978000000000001</v>
      </c>
      <c r="E4864">
        <v>0.5</v>
      </c>
      <c r="F4864">
        <v>5793</v>
      </c>
      <c r="G4864">
        <v>1157</v>
      </c>
      <c r="H4864">
        <v>5214</v>
      </c>
      <c r="I4864">
        <v>20330</v>
      </c>
    </row>
    <row r="4865" spans="1:9">
      <c r="A4865" s="2">
        <v>1993</v>
      </c>
      <c r="B4865">
        <v>88</v>
      </c>
      <c r="C4865">
        <v>0.25194</v>
      </c>
      <c r="D4865">
        <v>0.22375</v>
      </c>
      <c r="E4865">
        <v>0.5</v>
      </c>
      <c r="F4865">
        <v>4636</v>
      </c>
      <c r="G4865">
        <v>1037</v>
      </c>
      <c r="H4865">
        <v>4117</v>
      </c>
      <c r="I4865">
        <v>15115</v>
      </c>
    </row>
    <row r="4866" spans="1:9">
      <c r="A4866" s="2">
        <v>1993</v>
      </c>
      <c r="B4866">
        <v>89</v>
      </c>
      <c r="C4866">
        <v>0.26595999999999997</v>
      </c>
      <c r="D4866">
        <v>0.23474</v>
      </c>
      <c r="E4866">
        <v>0.5</v>
      </c>
      <c r="F4866">
        <v>3598</v>
      </c>
      <c r="G4866">
        <v>845</v>
      </c>
      <c r="H4866">
        <v>3176</v>
      </c>
      <c r="I4866">
        <v>10998</v>
      </c>
    </row>
    <row r="4867" spans="1:9">
      <c r="A4867" s="2">
        <v>1993</v>
      </c>
      <c r="B4867">
        <v>90</v>
      </c>
      <c r="C4867">
        <v>0.30679000000000001</v>
      </c>
      <c r="D4867">
        <v>0.26599</v>
      </c>
      <c r="E4867">
        <v>0.5</v>
      </c>
      <c r="F4867">
        <v>2754</v>
      </c>
      <c r="G4867">
        <v>732</v>
      </c>
      <c r="H4867">
        <v>2387</v>
      </c>
      <c r="I4867">
        <v>7822</v>
      </c>
    </row>
    <row r="4868" spans="1:9">
      <c r="A4868" s="2">
        <v>1993</v>
      </c>
      <c r="B4868">
        <v>91</v>
      </c>
      <c r="C4868">
        <v>0.33237</v>
      </c>
      <c r="D4868">
        <v>0.28499999999999998</v>
      </c>
      <c r="E4868">
        <v>0.5</v>
      </c>
      <c r="F4868">
        <v>2021</v>
      </c>
      <c r="G4868">
        <v>576</v>
      </c>
      <c r="H4868">
        <v>1733</v>
      </c>
      <c r="I4868">
        <v>5435</v>
      </c>
    </row>
    <row r="4869" spans="1:9">
      <c r="A4869" s="2">
        <v>1993</v>
      </c>
      <c r="B4869">
        <v>92</v>
      </c>
      <c r="C4869">
        <v>0.35303000000000001</v>
      </c>
      <c r="D4869">
        <v>0.30007</v>
      </c>
      <c r="E4869">
        <v>0.5</v>
      </c>
      <c r="F4869">
        <v>1445</v>
      </c>
      <c r="G4869">
        <v>434</v>
      </c>
      <c r="H4869">
        <v>1228</v>
      </c>
      <c r="I4869">
        <v>3702</v>
      </c>
    </row>
    <row r="4870" spans="1:9">
      <c r="A4870" s="2">
        <v>1993</v>
      </c>
      <c r="B4870">
        <v>93</v>
      </c>
      <c r="C4870">
        <v>0.38288</v>
      </c>
      <c r="D4870">
        <v>0.32135999999999998</v>
      </c>
      <c r="E4870">
        <v>0.5</v>
      </c>
      <c r="F4870">
        <v>1012</v>
      </c>
      <c r="G4870">
        <v>325</v>
      </c>
      <c r="H4870">
        <v>849</v>
      </c>
      <c r="I4870">
        <v>2473</v>
      </c>
    </row>
    <row r="4871" spans="1:9">
      <c r="A4871" s="2">
        <v>1993</v>
      </c>
      <c r="B4871">
        <v>94</v>
      </c>
      <c r="C4871">
        <v>0.35708000000000001</v>
      </c>
      <c r="D4871">
        <v>0.30298999999999998</v>
      </c>
      <c r="E4871">
        <v>0.5</v>
      </c>
      <c r="F4871">
        <v>686</v>
      </c>
      <c r="G4871">
        <v>208</v>
      </c>
      <c r="H4871">
        <v>582</v>
      </c>
      <c r="I4871">
        <v>1624</v>
      </c>
    </row>
    <row r="4872" spans="1:9">
      <c r="A4872" s="2">
        <v>1993</v>
      </c>
      <c r="B4872">
        <v>95</v>
      </c>
      <c r="C4872">
        <v>0.41926000000000002</v>
      </c>
      <c r="D4872">
        <v>0.34660000000000002</v>
      </c>
      <c r="E4872">
        <v>0.5</v>
      </c>
      <c r="F4872">
        <v>478</v>
      </c>
      <c r="G4872">
        <v>166</v>
      </c>
      <c r="H4872">
        <v>396</v>
      </c>
      <c r="I4872">
        <v>1042</v>
      </c>
    </row>
    <row r="4873" spans="1:9">
      <c r="A4873" s="2">
        <v>1993</v>
      </c>
      <c r="B4873">
        <v>96</v>
      </c>
      <c r="C4873">
        <v>0.44590999999999997</v>
      </c>
      <c r="D4873">
        <v>0.36462</v>
      </c>
      <c r="E4873">
        <v>0.5</v>
      </c>
      <c r="F4873">
        <v>313</v>
      </c>
      <c r="G4873">
        <v>114</v>
      </c>
      <c r="H4873">
        <v>256</v>
      </c>
      <c r="I4873">
        <v>646</v>
      </c>
    </row>
    <row r="4874" spans="1:9">
      <c r="A4874" s="2">
        <v>1993</v>
      </c>
      <c r="B4874">
        <v>97</v>
      </c>
      <c r="C4874">
        <v>0.47288000000000002</v>
      </c>
      <c r="D4874">
        <v>0.38245000000000001</v>
      </c>
      <c r="E4874">
        <v>0.5</v>
      </c>
      <c r="F4874">
        <v>199</v>
      </c>
      <c r="G4874">
        <v>76</v>
      </c>
      <c r="H4874">
        <v>161</v>
      </c>
      <c r="I4874">
        <v>391</v>
      </c>
    </row>
    <row r="4875" spans="1:9">
      <c r="A4875" s="2">
        <v>1993</v>
      </c>
      <c r="B4875">
        <v>98</v>
      </c>
      <c r="C4875">
        <v>0.5</v>
      </c>
      <c r="D4875">
        <v>0.4</v>
      </c>
      <c r="E4875">
        <v>0.5</v>
      </c>
      <c r="F4875">
        <v>123</v>
      </c>
      <c r="G4875">
        <v>49</v>
      </c>
      <c r="H4875">
        <v>98</v>
      </c>
      <c r="I4875">
        <v>230</v>
      </c>
    </row>
    <row r="4876" spans="1:9">
      <c r="A4876" s="2">
        <v>1993</v>
      </c>
      <c r="B4876">
        <v>99</v>
      </c>
      <c r="C4876">
        <v>0.52712999999999999</v>
      </c>
      <c r="D4876">
        <v>0.41716999999999999</v>
      </c>
      <c r="E4876">
        <v>0.5</v>
      </c>
      <c r="F4876">
        <v>74</v>
      </c>
      <c r="G4876">
        <v>31</v>
      </c>
      <c r="H4876">
        <v>58</v>
      </c>
      <c r="I4876">
        <v>132</v>
      </c>
    </row>
    <row r="4877" spans="1:9">
      <c r="A4877" s="2">
        <v>1993</v>
      </c>
      <c r="B4877">
        <v>100</v>
      </c>
      <c r="C4877">
        <v>0.55408999999999997</v>
      </c>
      <c r="D4877">
        <v>0.43389</v>
      </c>
      <c r="E4877">
        <v>0.5</v>
      </c>
      <c r="F4877">
        <v>43</v>
      </c>
      <c r="G4877">
        <v>19</v>
      </c>
      <c r="H4877">
        <v>34</v>
      </c>
      <c r="I4877">
        <v>74</v>
      </c>
    </row>
    <row r="4878" spans="1:9">
      <c r="A4878" s="2">
        <v>1993</v>
      </c>
      <c r="B4878">
        <v>101</v>
      </c>
      <c r="C4878">
        <v>0.58074000000000003</v>
      </c>
      <c r="D4878">
        <v>0.45006000000000002</v>
      </c>
      <c r="E4878">
        <v>0.5</v>
      </c>
      <c r="F4878">
        <v>24</v>
      </c>
      <c r="G4878">
        <v>11</v>
      </c>
      <c r="H4878">
        <v>19</v>
      </c>
      <c r="I4878">
        <v>40</v>
      </c>
    </row>
    <row r="4879" spans="1:9">
      <c r="A4879" s="2">
        <v>1993</v>
      </c>
      <c r="B4879">
        <v>102</v>
      </c>
      <c r="C4879">
        <v>0.60692999999999997</v>
      </c>
      <c r="D4879">
        <v>0.46562999999999999</v>
      </c>
      <c r="E4879">
        <v>0.5</v>
      </c>
      <c r="F4879">
        <v>13</v>
      </c>
      <c r="G4879">
        <v>6</v>
      </c>
      <c r="H4879">
        <v>10</v>
      </c>
      <c r="I4879">
        <v>21</v>
      </c>
    </row>
    <row r="4880" spans="1:9">
      <c r="A4880" s="2">
        <v>1993</v>
      </c>
      <c r="B4880">
        <v>103</v>
      </c>
      <c r="C4880">
        <v>0.63251999999999997</v>
      </c>
      <c r="D4880">
        <v>0.48054000000000002</v>
      </c>
      <c r="E4880">
        <v>0.5</v>
      </c>
      <c r="F4880">
        <v>7</v>
      </c>
      <c r="G4880">
        <v>3</v>
      </c>
      <c r="H4880">
        <v>5</v>
      </c>
      <c r="I4880">
        <v>11</v>
      </c>
    </row>
    <row r="4881" spans="1:9">
      <c r="A4881" s="2">
        <v>1993</v>
      </c>
      <c r="B4881">
        <v>104</v>
      </c>
      <c r="C4881">
        <v>0.65737999999999996</v>
      </c>
      <c r="D4881">
        <v>0.49475999999999998</v>
      </c>
      <c r="E4881">
        <v>0.5</v>
      </c>
      <c r="F4881">
        <v>4</v>
      </c>
      <c r="G4881">
        <v>2</v>
      </c>
      <c r="H4881">
        <v>3</v>
      </c>
      <c r="I4881">
        <v>5</v>
      </c>
    </row>
    <row r="4882" spans="1:9">
      <c r="A4882" s="2">
        <v>1993</v>
      </c>
      <c r="B4882">
        <v>105</v>
      </c>
      <c r="C4882">
        <v>0.68140999999999996</v>
      </c>
      <c r="D4882">
        <v>0.50824999999999998</v>
      </c>
      <c r="E4882">
        <v>0.5</v>
      </c>
      <c r="F4882">
        <v>2</v>
      </c>
      <c r="G4882">
        <v>1</v>
      </c>
      <c r="H4882">
        <v>1</v>
      </c>
      <c r="I4882">
        <v>3</v>
      </c>
    </row>
    <row r="4883" spans="1:9">
      <c r="A4883" s="2">
        <v>1993</v>
      </c>
      <c r="B4883">
        <v>106</v>
      </c>
      <c r="C4883">
        <v>0.70450999999999997</v>
      </c>
      <c r="D4883">
        <v>0.52098999999999995</v>
      </c>
      <c r="E4883">
        <v>0.5</v>
      </c>
      <c r="F4883">
        <v>1</v>
      </c>
      <c r="G4883">
        <v>0</v>
      </c>
      <c r="H4883">
        <v>1</v>
      </c>
      <c r="I4883">
        <v>1</v>
      </c>
    </row>
    <row r="4884" spans="1:9">
      <c r="A4884" s="2">
        <v>1993</v>
      </c>
      <c r="B4884">
        <v>107</v>
      </c>
      <c r="C4884">
        <v>0.72660000000000002</v>
      </c>
      <c r="D4884">
        <v>0.53297000000000005</v>
      </c>
      <c r="E4884">
        <v>0.5</v>
      </c>
      <c r="F4884">
        <v>0</v>
      </c>
      <c r="G4884">
        <v>0</v>
      </c>
      <c r="H4884">
        <v>0</v>
      </c>
      <c r="I4884">
        <v>1</v>
      </c>
    </row>
    <row r="4885" spans="1:9">
      <c r="A4885" s="2">
        <v>1993</v>
      </c>
      <c r="B4885">
        <v>108</v>
      </c>
      <c r="C4885">
        <v>0.74763999999999997</v>
      </c>
      <c r="D4885">
        <v>0.54420000000000002</v>
      </c>
      <c r="E4885">
        <v>0.5</v>
      </c>
      <c r="F4885">
        <v>0</v>
      </c>
      <c r="G4885">
        <v>0</v>
      </c>
      <c r="H4885">
        <v>0</v>
      </c>
      <c r="I4885">
        <v>0</v>
      </c>
    </row>
    <row r="4886" spans="1:9">
      <c r="A4886" s="2">
        <v>1993</v>
      </c>
      <c r="B4886">
        <v>109</v>
      </c>
      <c r="C4886">
        <v>0.76756999999999997</v>
      </c>
      <c r="D4886">
        <v>0.55469000000000002</v>
      </c>
      <c r="E4886">
        <v>0.5</v>
      </c>
      <c r="F4886">
        <v>0</v>
      </c>
      <c r="G4886">
        <v>0</v>
      </c>
      <c r="H4886">
        <v>0</v>
      </c>
      <c r="I4886">
        <v>0</v>
      </c>
    </row>
    <row r="4887" spans="1:9">
      <c r="A4887" s="2">
        <v>1993</v>
      </c>
      <c r="B4887" t="s">
        <v>26</v>
      </c>
      <c r="C4887">
        <v>0.78637999999999997</v>
      </c>
      <c r="D4887">
        <v>1</v>
      </c>
      <c r="E4887" s="3" t="s">
        <v>37</v>
      </c>
      <c r="F4887">
        <v>0</v>
      </c>
      <c r="G4887">
        <v>0</v>
      </c>
      <c r="H4887">
        <v>0</v>
      </c>
      <c r="I4887">
        <v>0</v>
      </c>
    </row>
    <row r="4888" spans="1:9">
      <c r="A4888" s="2">
        <v>1994</v>
      </c>
      <c r="B4888">
        <v>0</v>
      </c>
      <c r="C4888">
        <v>1.2760000000000001E-2</v>
      </c>
      <c r="D4888">
        <v>1.2619999999999999E-2</v>
      </c>
      <c r="E4888">
        <v>0.12</v>
      </c>
      <c r="F4888">
        <v>100000</v>
      </c>
      <c r="G4888">
        <v>1262</v>
      </c>
      <c r="H4888">
        <v>98894</v>
      </c>
      <c r="I4888">
        <v>6500397</v>
      </c>
    </row>
    <row r="4889" spans="1:9">
      <c r="A4889" s="2">
        <v>1994</v>
      </c>
      <c r="B4889">
        <v>1</v>
      </c>
      <c r="C4889">
        <v>7.7999999999999999E-4</v>
      </c>
      <c r="D4889">
        <v>7.7999999999999999E-4</v>
      </c>
      <c r="E4889">
        <v>0.5</v>
      </c>
      <c r="F4889">
        <v>98738</v>
      </c>
      <c r="G4889">
        <v>77</v>
      </c>
      <c r="H4889">
        <v>98699</v>
      </c>
      <c r="I4889">
        <v>6401503</v>
      </c>
    </row>
    <row r="4890" spans="1:9">
      <c r="A4890" s="2">
        <v>1994</v>
      </c>
      <c r="B4890">
        <v>2</v>
      </c>
      <c r="C4890">
        <v>6.0999999999999997E-4</v>
      </c>
      <c r="D4890">
        <v>6.0999999999999997E-4</v>
      </c>
      <c r="E4890">
        <v>0.5</v>
      </c>
      <c r="F4890">
        <v>98660</v>
      </c>
      <c r="G4890">
        <v>60</v>
      </c>
      <c r="H4890">
        <v>98631</v>
      </c>
      <c r="I4890">
        <v>6302804</v>
      </c>
    </row>
    <row r="4891" spans="1:9">
      <c r="A4891" s="2">
        <v>1994</v>
      </c>
      <c r="B4891">
        <v>3</v>
      </c>
      <c r="C4891">
        <v>3.8999999999999999E-4</v>
      </c>
      <c r="D4891">
        <v>3.8999999999999999E-4</v>
      </c>
      <c r="E4891">
        <v>0.5</v>
      </c>
      <c r="F4891">
        <v>98601</v>
      </c>
      <c r="G4891">
        <v>38</v>
      </c>
      <c r="H4891">
        <v>98581</v>
      </c>
      <c r="I4891">
        <v>6204174</v>
      </c>
    </row>
    <row r="4892" spans="1:9">
      <c r="A4892" s="2">
        <v>1994</v>
      </c>
      <c r="B4892">
        <v>4</v>
      </c>
      <c r="C4892">
        <v>2.9E-4</v>
      </c>
      <c r="D4892">
        <v>2.9E-4</v>
      </c>
      <c r="E4892">
        <v>0.5</v>
      </c>
      <c r="F4892">
        <v>98562</v>
      </c>
      <c r="G4892">
        <v>28</v>
      </c>
      <c r="H4892">
        <v>98548</v>
      </c>
      <c r="I4892">
        <v>6105592</v>
      </c>
    </row>
    <row r="4893" spans="1:9">
      <c r="A4893" s="2">
        <v>1994</v>
      </c>
      <c r="B4893">
        <v>5</v>
      </c>
      <c r="C4893">
        <v>1.9000000000000001E-4</v>
      </c>
      <c r="D4893">
        <v>1.9000000000000001E-4</v>
      </c>
      <c r="E4893">
        <v>0.5</v>
      </c>
      <c r="F4893">
        <v>98534</v>
      </c>
      <c r="G4893">
        <v>19</v>
      </c>
      <c r="H4893">
        <v>98524</v>
      </c>
      <c r="I4893">
        <v>6007044</v>
      </c>
    </row>
    <row r="4894" spans="1:9">
      <c r="A4894" s="2">
        <v>1994</v>
      </c>
      <c r="B4894">
        <v>6</v>
      </c>
      <c r="C4894">
        <v>2.5000000000000001E-4</v>
      </c>
      <c r="D4894">
        <v>2.5000000000000001E-4</v>
      </c>
      <c r="E4894">
        <v>0.5</v>
      </c>
      <c r="F4894">
        <v>98515</v>
      </c>
      <c r="G4894">
        <v>25</v>
      </c>
      <c r="H4894">
        <v>98502</v>
      </c>
      <c r="I4894">
        <v>5908520</v>
      </c>
    </row>
    <row r="4895" spans="1:9">
      <c r="A4895" s="2">
        <v>1994</v>
      </c>
      <c r="B4895">
        <v>7</v>
      </c>
      <c r="C4895">
        <v>2.5000000000000001E-4</v>
      </c>
      <c r="D4895">
        <v>2.5000000000000001E-4</v>
      </c>
      <c r="E4895">
        <v>0.5</v>
      </c>
      <c r="F4895">
        <v>98490</v>
      </c>
      <c r="G4895">
        <v>25</v>
      </c>
      <c r="H4895">
        <v>98478</v>
      </c>
      <c r="I4895">
        <v>5810017</v>
      </c>
    </row>
    <row r="4896" spans="1:9">
      <c r="A4896" s="2">
        <v>1994</v>
      </c>
      <c r="B4896">
        <v>8</v>
      </c>
      <c r="C4896">
        <v>1.3999999999999999E-4</v>
      </c>
      <c r="D4896">
        <v>1.3999999999999999E-4</v>
      </c>
      <c r="E4896">
        <v>0.5</v>
      </c>
      <c r="F4896">
        <v>98465</v>
      </c>
      <c r="G4896">
        <v>14</v>
      </c>
      <c r="H4896">
        <v>98458</v>
      </c>
      <c r="I4896">
        <v>5711540</v>
      </c>
    </row>
    <row r="4897" spans="1:9">
      <c r="A4897" s="2">
        <v>1994</v>
      </c>
      <c r="B4897">
        <v>9</v>
      </c>
      <c r="C4897">
        <v>1.6000000000000001E-4</v>
      </c>
      <c r="D4897">
        <v>1.6000000000000001E-4</v>
      </c>
      <c r="E4897">
        <v>0.5</v>
      </c>
      <c r="F4897">
        <v>98452</v>
      </c>
      <c r="G4897">
        <v>15</v>
      </c>
      <c r="H4897">
        <v>98444</v>
      </c>
      <c r="I4897">
        <v>5613081</v>
      </c>
    </row>
    <row r="4898" spans="1:9">
      <c r="A4898" s="2">
        <v>1994</v>
      </c>
      <c r="B4898">
        <v>10</v>
      </c>
      <c r="C4898">
        <v>2.7999999999999998E-4</v>
      </c>
      <c r="D4898">
        <v>2.7999999999999998E-4</v>
      </c>
      <c r="E4898">
        <v>0.5</v>
      </c>
      <c r="F4898">
        <v>98436</v>
      </c>
      <c r="G4898">
        <v>28</v>
      </c>
      <c r="H4898">
        <v>98422</v>
      </c>
      <c r="I4898">
        <v>5514637</v>
      </c>
    </row>
    <row r="4899" spans="1:9">
      <c r="A4899" s="2">
        <v>1994</v>
      </c>
      <c r="B4899">
        <v>11</v>
      </c>
      <c r="C4899">
        <v>1.7000000000000001E-4</v>
      </c>
      <c r="D4899">
        <v>1.7000000000000001E-4</v>
      </c>
      <c r="E4899">
        <v>0.5</v>
      </c>
      <c r="F4899">
        <v>98408</v>
      </c>
      <c r="G4899">
        <v>16</v>
      </c>
      <c r="H4899">
        <v>98400</v>
      </c>
      <c r="I4899">
        <v>5416215</v>
      </c>
    </row>
    <row r="4900" spans="1:9">
      <c r="A4900" s="2">
        <v>1994</v>
      </c>
      <c r="B4900">
        <v>12</v>
      </c>
      <c r="C4900">
        <v>1.9000000000000001E-4</v>
      </c>
      <c r="D4900">
        <v>1.9000000000000001E-4</v>
      </c>
      <c r="E4900">
        <v>0.5</v>
      </c>
      <c r="F4900">
        <v>98392</v>
      </c>
      <c r="G4900">
        <v>18</v>
      </c>
      <c r="H4900">
        <v>98383</v>
      </c>
      <c r="I4900">
        <v>5317815</v>
      </c>
    </row>
    <row r="4901" spans="1:9">
      <c r="A4901" s="2">
        <v>1994</v>
      </c>
      <c r="B4901">
        <v>13</v>
      </c>
      <c r="C4901">
        <v>3.3E-4</v>
      </c>
      <c r="D4901">
        <v>3.3E-4</v>
      </c>
      <c r="E4901">
        <v>0.5</v>
      </c>
      <c r="F4901">
        <v>98374</v>
      </c>
      <c r="G4901">
        <v>32</v>
      </c>
      <c r="H4901">
        <v>98358</v>
      </c>
      <c r="I4901">
        <v>5219432</v>
      </c>
    </row>
    <row r="4902" spans="1:9">
      <c r="A4902" s="2">
        <v>1994</v>
      </c>
      <c r="B4902">
        <v>14</v>
      </c>
      <c r="C4902">
        <v>4.6000000000000001E-4</v>
      </c>
      <c r="D4902">
        <v>4.6000000000000001E-4</v>
      </c>
      <c r="E4902">
        <v>0.5</v>
      </c>
      <c r="F4902">
        <v>98342</v>
      </c>
      <c r="G4902">
        <v>46</v>
      </c>
      <c r="H4902">
        <v>98319</v>
      </c>
      <c r="I4902">
        <v>5121074</v>
      </c>
    </row>
    <row r="4903" spans="1:9">
      <c r="A4903" s="2">
        <v>1994</v>
      </c>
      <c r="B4903">
        <v>15</v>
      </c>
      <c r="C4903">
        <v>3.5E-4</v>
      </c>
      <c r="D4903">
        <v>3.5E-4</v>
      </c>
      <c r="E4903">
        <v>0.5</v>
      </c>
      <c r="F4903">
        <v>98296</v>
      </c>
      <c r="G4903">
        <v>34</v>
      </c>
      <c r="H4903">
        <v>98279</v>
      </c>
      <c r="I4903">
        <v>5022756</v>
      </c>
    </row>
    <row r="4904" spans="1:9">
      <c r="A4904" s="2">
        <v>1994</v>
      </c>
      <c r="B4904">
        <v>16</v>
      </c>
      <c r="C4904">
        <v>6.6E-4</v>
      </c>
      <c r="D4904">
        <v>6.6E-4</v>
      </c>
      <c r="E4904">
        <v>0.5</v>
      </c>
      <c r="F4904">
        <v>98262</v>
      </c>
      <c r="G4904">
        <v>65</v>
      </c>
      <c r="H4904">
        <v>98230</v>
      </c>
      <c r="I4904">
        <v>4924477</v>
      </c>
    </row>
    <row r="4905" spans="1:9">
      <c r="A4905" s="2">
        <v>1994</v>
      </c>
      <c r="B4905">
        <v>17</v>
      </c>
      <c r="C4905">
        <v>8.0999999999999996E-4</v>
      </c>
      <c r="D4905">
        <v>8.0999999999999996E-4</v>
      </c>
      <c r="E4905">
        <v>0.5</v>
      </c>
      <c r="F4905">
        <v>98197</v>
      </c>
      <c r="G4905">
        <v>79</v>
      </c>
      <c r="H4905">
        <v>98158</v>
      </c>
      <c r="I4905">
        <v>4826247</v>
      </c>
    </row>
    <row r="4906" spans="1:9">
      <c r="A4906" s="2">
        <v>1994</v>
      </c>
      <c r="B4906">
        <v>18</v>
      </c>
      <c r="C4906">
        <v>8.8999999999999995E-4</v>
      </c>
      <c r="D4906">
        <v>8.8999999999999995E-4</v>
      </c>
      <c r="E4906">
        <v>0.5</v>
      </c>
      <c r="F4906">
        <v>98118</v>
      </c>
      <c r="G4906">
        <v>88</v>
      </c>
      <c r="H4906">
        <v>98074</v>
      </c>
      <c r="I4906">
        <v>4728089</v>
      </c>
    </row>
    <row r="4907" spans="1:9">
      <c r="A4907" s="2">
        <v>1994</v>
      </c>
      <c r="B4907">
        <v>19</v>
      </c>
      <c r="C4907">
        <v>1.16E-3</v>
      </c>
      <c r="D4907">
        <v>1.16E-3</v>
      </c>
      <c r="E4907">
        <v>0.5</v>
      </c>
      <c r="F4907">
        <v>98030</v>
      </c>
      <c r="G4907">
        <v>114</v>
      </c>
      <c r="H4907">
        <v>97973</v>
      </c>
      <c r="I4907">
        <v>4630015</v>
      </c>
    </row>
    <row r="4908" spans="1:9">
      <c r="A4908" s="2">
        <v>1994</v>
      </c>
      <c r="B4908">
        <v>20</v>
      </c>
      <c r="C4908">
        <v>1.1199999999999999E-3</v>
      </c>
      <c r="D4908">
        <v>1.1199999999999999E-3</v>
      </c>
      <c r="E4908">
        <v>0.5</v>
      </c>
      <c r="F4908">
        <v>97916</v>
      </c>
      <c r="G4908">
        <v>110</v>
      </c>
      <c r="H4908">
        <v>97862</v>
      </c>
      <c r="I4908">
        <v>4532042</v>
      </c>
    </row>
    <row r="4909" spans="1:9">
      <c r="A4909" s="2">
        <v>1994</v>
      </c>
      <c r="B4909">
        <v>21</v>
      </c>
      <c r="C4909">
        <v>1.1199999999999999E-3</v>
      </c>
      <c r="D4909">
        <v>1.1199999999999999E-3</v>
      </c>
      <c r="E4909">
        <v>0.5</v>
      </c>
      <c r="F4909">
        <v>97807</v>
      </c>
      <c r="G4909">
        <v>110</v>
      </c>
      <c r="H4909">
        <v>97752</v>
      </c>
      <c r="I4909">
        <v>4434180</v>
      </c>
    </row>
    <row r="4910" spans="1:9">
      <c r="A4910" s="2">
        <v>1994</v>
      </c>
      <c r="B4910">
        <v>22</v>
      </c>
      <c r="C4910">
        <v>1.31E-3</v>
      </c>
      <c r="D4910">
        <v>1.31E-3</v>
      </c>
      <c r="E4910">
        <v>0.5</v>
      </c>
      <c r="F4910">
        <v>97697</v>
      </c>
      <c r="G4910">
        <v>128</v>
      </c>
      <c r="H4910">
        <v>97633</v>
      </c>
      <c r="I4910">
        <v>4336428</v>
      </c>
    </row>
    <row r="4911" spans="1:9">
      <c r="A4911" s="2">
        <v>1994</v>
      </c>
      <c r="B4911">
        <v>23</v>
      </c>
      <c r="C4911">
        <v>1.5499999999999999E-3</v>
      </c>
      <c r="D4911">
        <v>1.5499999999999999E-3</v>
      </c>
      <c r="E4911">
        <v>0.5</v>
      </c>
      <c r="F4911">
        <v>97569</v>
      </c>
      <c r="G4911">
        <v>151</v>
      </c>
      <c r="H4911">
        <v>97493</v>
      </c>
      <c r="I4911">
        <v>4238795</v>
      </c>
    </row>
    <row r="4912" spans="1:9">
      <c r="A4912" s="2">
        <v>1994</v>
      </c>
      <c r="B4912">
        <v>24</v>
      </c>
      <c r="C4912">
        <v>1.14E-3</v>
      </c>
      <c r="D4912">
        <v>1.1299999999999999E-3</v>
      </c>
      <c r="E4912">
        <v>0.5</v>
      </c>
      <c r="F4912">
        <v>97418</v>
      </c>
      <c r="G4912">
        <v>111</v>
      </c>
      <c r="H4912">
        <v>97362</v>
      </c>
      <c r="I4912">
        <v>4141302</v>
      </c>
    </row>
    <row r="4913" spans="1:9">
      <c r="A4913" s="2">
        <v>1994</v>
      </c>
      <c r="B4913">
        <v>25</v>
      </c>
      <c r="C4913">
        <v>1.24E-3</v>
      </c>
      <c r="D4913">
        <v>1.24E-3</v>
      </c>
      <c r="E4913">
        <v>0.5</v>
      </c>
      <c r="F4913">
        <v>97307</v>
      </c>
      <c r="G4913">
        <v>120</v>
      </c>
      <c r="H4913">
        <v>97247</v>
      </c>
      <c r="I4913">
        <v>4043940</v>
      </c>
    </row>
    <row r="4914" spans="1:9">
      <c r="A4914" s="2">
        <v>1994</v>
      </c>
      <c r="B4914">
        <v>26</v>
      </c>
      <c r="C4914">
        <v>1.56E-3</v>
      </c>
      <c r="D4914">
        <v>1.56E-3</v>
      </c>
      <c r="E4914">
        <v>0.5</v>
      </c>
      <c r="F4914">
        <v>97187</v>
      </c>
      <c r="G4914">
        <v>152</v>
      </c>
      <c r="H4914">
        <v>97111</v>
      </c>
      <c r="I4914">
        <v>3946693</v>
      </c>
    </row>
    <row r="4915" spans="1:9">
      <c r="A4915" s="2">
        <v>1994</v>
      </c>
      <c r="B4915">
        <v>27</v>
      </c>
      <c r="C4915">
        <v>1.3799999999999999E-3</v>
      </c>
      <c r="D4915">
        <v>1.3799999999999999E-3</v>
      </c>
      <c r="E4915">
        <v>0.5</v>
      </c>
      <c r="F4915">
        <v>97035</v>
      </c>
      <c r="G4915">
        <v>134</v>
      </c>
      <c r="H4915">
        <v>96968</v>
      </c>
      <c r="I4915">
        <v>3849582</v>
      </c>
    </row>
    <row r="4916" spans="1:9">
      <c r="A4916" s="2">
        <v>1994</v>
      </c>
      <c r="B4916">
        <v>28</v>
      </c>
      <c r="C4916">
        <v>1.6800000000000001E-3</v>
      </c>
      <c r="D4916">
        <v>1.6800000000000001E-3</v>
      </c>
      <c r="E4916">
        <v>0.5</v>
      </c>
      <c r="F4916">
        <v>96901</v>
      </c>
      <c r="G4916">
        <v>163</v>
      </c>
      <c r="H4916">
        <v>96820</v>
      </c>
      <c r="I4916">
        <v>3752614</v>
      </c>
    </row>
    <row r="4917" spans="1:9">
      <c r="A4917" s="2">
        <v>1994</v>
      </c>
      <c r="B4917">
        <v>29</v>
      </c>
      <c r="C4917">
        <v>2.0500000000000002E-3</v>
      </c>
      <c r="D4917">
        <v>2.0500000000000002E-3</v>
      </c>
      <c r="E4917">
        <v>0.5</v>
      </c>
      <c r="F4917">
        <v>96738</v>
      </c>
      <c r="G4917">
        <v>199</v>
      </c>
      <c r="H4917">
        <v>96639</v>
      </c>
      <c r="I4917">
        <v>3655794</v>
      </c>
    </row>
    <row r="4918" spans="1:9">
      <c r="A4918" s="2">
        <v>1994</v>
      </c>
      <c r="B4918">
        <v>30</v>
      </c>
      <c r="C4918">
        <v>2.0899999999999998E-3</v>
      </c>
      <c r="D4918">
        <v>2.0899999999999998E-3</v>
      </c>
      <c r="E4918">
        <v>0.5</v>
      </c>
      <c r="F4918">
        <v>96540</v>
      </c>
      <c r="G4918">
        <v>202</v>
      </c>
      <c r="H4918">
        <v>96439</v>
      </c>
      <c r="I4918">
        <v>3559155</v>
      </c>
    </row>
    <row r="4919" spans="1:9">
      <c r="A4919" s="2">
        <v>1994</v>
      </c>
      <c r="B4919">
        <v>31</v>
      </c>
      <c r="C4919">
        <v>2.8500000000000001E-3</v>
      </c>
      <c r="D4919">
        <v>2.8500000000000001E-3</v>
      </c>
      <c r="E4919">
        <v>0.5</v>
      </c>
      <c r="F4919">
        <v>96338</v>
      </c>
      <c r="G4919">
        <v>275</v>
      </c>
      <c r="H4919">
        <v>96201</v>
      </c>
      <c r="I4919">
        <v>3462717</v>
      </c>
    </row>
    <row r="4920" spans="1:9">
      <c r="A4920" s="2">
        <v>1994</v>
      </c>
      <c r="B4920">
        <v>32</v>
      </c>
      <c r="C4920">
        <v>3.0100000000000001E-3</v>
      </c>
      <c r="D4920">
        <v>3.0100000000000001E-3</v>
      </c>
      <c r="E4920">
        <v>0.5</v>
      </c>
      <c r="F4920">
        <v>96063</v>
      </c>
      <c r="G4920">
        <v>289</v>
      </c>
      <c r="H4920">
        <v>95919</v>
      </c>
      <c r="I4920">
        <v>3366516</v>
      </c>
    </row>
    <row r="4921" spans="1:9">
      <c r="A4921" s="2">
        <v>1994</v>
      </c>
      <c r="B4921">
        <v>33</v>
      </c>
      <c r="C4921">
        <v>3.79E-3</v>
      </c>
      <c r="D4921">
        <v>3.79E-3</v>
      </c>
      <c r="E4921">
        <v>0.5</v>
      </c>
      <c r="F4921">
        <v>95775</v>
      </c>
      <c r="G4921">
        <v>363</v>
      </c>
      <c r="H4921">
        <v>95593</v>
      </c>
      <c r="I4921">
        <v>3270597</v>
      </c>
    </row>
    <row r="4922" spans="1:9">
      <c r="A4922" s="2">
        <v>1994</v>
      </c>
      <c r="B4922">
        <v>34</v>
      </c>
      <c r="C4922">
        <v>3.5799999999999998E-3</v>
      </c>
      <c r="D4922">
        <v>3.5699999999999998E-3</v>
      </c>
      <c r="E4922">
        <v>0.5</v>
      </c>
      <c r="F4922">
        <v>95412</v>
      </c>
      <c r="G4922">
        <v>341</v>
      </c>
      <c r="H4922">
        <v>95242</v>
      </c>
      <c r="I4922">
        <v>3175004</v>
      </c>
    </row>
    <row r="4923" spans="1:9">
      <c r="A4923" s="2">
        <v>1994</v>
      </c>
      <c r="B4923">
        <v>35</v>
      </c>
      <c r="C4923">
        <v>4.64E-3</v>
      </c>
      <c r="D4923">
        <v>4.6299999999999996E-3</v>
      </c>
      <c r="E4923">
        <v>0.5</v>
      </c>
      <c r="F4923">
        <v>95071</v>
      </c>
      <c r="G4923">
        <v>440</v>
      </c>
      <c r="H4923">
        <v>94851</v>
      </c>
      <c r="I4923">
        <v>3079762</v>
      </c>
    </row>
    <row r="4924" spans="1:9">
      <c r="A4924" s="2">
        <v>1994</v>
      </c>
      <c r="B4924">
        <v>36</v>
      </c>
      <c r="C4924">
        <v>4.7800000000000004E-3</v>
      </c>
      <c r="D4924">
        <v>4.7600000000000003E-3</v>
      </c>
      <c r="E4924">
        <v>0.5</v>
      </c>
      <c r="F4924">
        <v>94631</v>
      </c>
      <c r="G4924">
        <v>451</v>
      </c>
      <c r="H4924">
        <v>94405</v>
      </c>
      <c r="I4924">
        <v>2984911</v>
      </c>
    </row>
    <row r="4925" spans="1:9">
      <c r="A4925" s="2">
        <v>1994</v>
      </c>
      <c r="B4925">
        <v>37</v>
      </c>
      <c r="C4925">
        <v>6.0600000000000003E-3</v>
      </c>
      <c r="D4925">
        <v>6.0400000000000002E-3</v>
      </c>
      <c r="E4925">
        <v>0.5</v>
      </c>
      <c r="F4925">
        <v>94180</v>
      </c>
      <c r="G4925">
        <v>569</v>
      </c>
      <c r="H4925">
        <v>93896</v>
      </c>
      <c r="I4925">
        <v>2890505</v>
      </c>
    </row>
    <row r="4926" spans="1:9">
      <c r="A4926" s="2">
        <v>1994</v>
      </c>
      <c r="B4926">
        <v>38</v>
      </c>
      <c r="C4926">
        <v>6.4099999999999999E-3</v>
      </c>
      <c r="D4926">
        <v>6.3899999999999998E-3</v>
      </c>
      <c r="E4926">
        <v>0.5</v>
      </c>
      <c r="F4926">
        <v>93611</v>
      </c>
      <c r="G4926">
        <v>598</v>
      </c>
      <c r="H4926">
        <v>93312</v>
      </c>
      <c r="I4926">
        <v>2796610</v>
      </c>
    </row>
    <row r="4927" spans="1:9">
      <c r="A4927" s="2">
        <v>1994</v>
      </c>
      <c r="B4927">
        <v>39</v>
      </c>
      <c r="C4927">
        <v>6.6899999999999998E-3</v>
      </c>
      <c r="D4927">
        <v>6.6699999999999997E-3</v>
      </c>
      <c r="E4927">
        <v>0.5</v>
      </c>
      <c r="F4927">
        <v>93013</v>
      </c>
      <c r="G4927">
        <v>620</v>
      </c>
      <c r="H4927">
        <v>92703</v>
      </c>
      <c r="I4927">
        <v>2703298</v>
      </c>
    </row>
    <row r="4928" spans="1:9">
      <c r="A4928" s="2">
        <v>1994</v>
      </c>
      <c r="B4928">
        <v>40</v>
      </c>
      <c r="C4928">
        <v>7.3400000000000002E-3</v>
      </c>
      <c r="D4928">
        <v>7.3099999999999997E-3</v>
      </c>
      <c r="E4928">
        <v>0.5</v>
      </c>
      <c r="F4928">
        <v>92393</v>
      </c>
      <c r="G4928">
        <v>676</v>
      </c>
      <c r="H4928">
        <v>92055</v>
      </c>
      <c r="I4928">
        <v>2610595</v>
      </c>
    </row>
    <row r="4929" spans="1:9">
      <c r="A4929" s="2">
        <v>1994</v>
      </c>
      <c r="B4929">
        <v>41</v>
      </c>
      <c r="C4929">
        <v>8.0000000000000002E-3</v>
      </c>
      <c r="D4929">
        <v>7.9699999999999997E-3</v>
      </c>
      <c r="E4929">
        <v>0.5</v>
      </c>
      <c r="F4929">
        <v>91717</v>
      </c>
      <c r="G4929">
        <v>731</v>
      </c>
      <c r="H4929">
        <v>91352</v>
      </c>
      <c r="I4929">
        <v>2518539</v>
      </c>
    </row>
    <row r="4930" spans="1:9">
      <c r="A4930" s="2">
        <v>1994</v>
      </c>
      <c r="B4930">
        <v>42</v>
      </c>
      <c r="C4930">
        <v>9.3100000000000006E-3</v>
      </c>
      <c r="D4930">
        <v>9.2599999999999991E-3</v>
      </c>
      <c r="E4930">
        <v>0.5</v>
      </c>
      <c r="F4930">
        <v>90986</v>
      </c>
      <c r="G4930">
        <v>843</v>
      </c>
      <c r="H4930">
        <v>90565</v>
      </c>
      <c r="I4930">
        <v>2427187</v>
      </c>
    </row>
    <row r="4931" spans="1:9">
      <c r="A4931" s="2">
        <v>1994</v>
      </c>
      <c r="B4931">
        <v>43</v>
      </c>
      <c r="C4931">
        <v>1.013E-2</v>
      </c>
      <c r="D4931">
        <v>1.008E-2</v>
      </c>
      <c r="E4931">
        <v>0.5</v>
      </c>
      <c r="F4931">
        <v>90144</v>
      </c>
      <c r="G4931">
        <v>908</v>
      </c>
      <c r="H4931">
        <v>89690</v>
      </c>
      <c r="I4931">
        <v>2336622</v>
      </c>
    </row>
    <row r="4932" spans="1:9">
      <c r="A4932" s="2">
        <v>1994</v>
      </c>
      <c r="B4932">
        <v>44</v>
      </c>
      <c r="C4932">
        <v>1.0699999999999999E-2</v>
      </c>
      <c r="D4932">
        <v>1.064E-2</v>
      </c>
      <c r="E4932">
        <v>0.5</v>
      </c>
      <c r="F4932">
        <v>89235</v>
      </c>
      <c r="G4932">
        <v>949</v>
      </c>
      <c r="H4932">
        <v>88761</v>
      </c>
      <c r="I4932">
        <v>2246933</v>
      </c>
    </row>
    <row r="4933" spans="1:9">
      <c r="A4933" s="2">
        <v>1994</v>
      </c>
      <c r="B4933">
        <v>45</v>
      </c>
      <c r="C4933">
        <v>1.1939999999999999E-2</v>
      </c>
      <c r="D4933">
        <v>1.187E-2</v>
      </c>
      <c r="E4933">
        <v>0.5</v>
      </c>
      <c r="F4933">
        <v>88286</v>
      </c>
      <c r="G4933">
        <v>1048</v>
      </c>
      <c r="H4933">
        <v>87762</v>
      </c>
      <c r="I4933">
        <v>2158172</v>
      </c>
    </row>
    <row r="4934" spans="1:9">
      <c r="A4934" s="2">
        <v>1994</v>
      </c>
      <c r="B4934">
        <v>46</v>
      </c>
      <c r="C4934">
        <v>1.18E-2</v>
      </c>
      <c r="D4934">
        <v>1.1730000000000001E-2</v>
      </c>
      <c r="E4934">
        <v>0.5</v>
      </c>
      <c r="F4934">
        <v>87238</v>
      </c>
      <c r="G4934">
        <v>1023</v>
      </c>
      <c r="H4934">
        <v>86727</v>
      </c>
      <c r="I4934">
        <v>2070410</v>
      </c>
    </row>
    <row r="4935" spans="1:9">
      <c r="A4935" s="2">
        <v>1994</v>
      </c>
      <c r="B4935">
        <v>47</v>
      </c>
      <c r="C4935">
        <v>1.3729999999999999E-2</v>
      </c>
      <c r="D4935">
        <v>1.363E-2</v>
      </c>
      <c r="E4935">
        <v>0.5</v>
      </c>
      <c r="F4935">
        <v>86215</v>
      </c>
      <c r="G4935">
        <v>1175</v>
      </c>
      <c r="H4935">
        <v>85627</v>
      </c>
      <c r="I4935">
        <v>1983683</v>
      </c>
    </row>
    <row r="4936" spans="1:9">
      <c r="A4936" s="2">
        <v>1994</v>
      </c>
      <c r="B4936">
        <v>48</v>
      </c>
      <c r="C4936">
        <v>1.304E-2</v>
      </c>
      <c r="D4936">
        <v>1.295E-2</v>
      </c>
      <c r="E4936">
        <v>0.5</v>
      </c>
      <c r="F4936">
        <v>85040</v>
      </c>
      <c r="G4936">
        <v>1101</v>
      </c>
      <c r="H4936">
        <v>84489</v>
      </c>
      <c r="I4936">
        <v>1898056</v>
      </c>
    </row>
    <row r="4937" spans="1:9">
      <c r="A4937" s="2">
        <v>1994</v>
      </c>
      <c r="B4937">
        <v>49</v>
      </c>
      <c r="C4937">
        <v>1.498E-2</v>
      </c>
      <c r="D4937">
        <v>1.487E-2</v>
      </c>
      <c r="E4937">
        <v>0.5</v>
      </c>
      <c r="F4937">
        <v>83938</v>
      </c>
      <c r="G4937">
        <v>1248</v>
      </c>
      <c r="H4937">
        <v>83314</v>
      </c>
      <c r="I4937">
        <v>1813567</v>
      </c>
    </row>
    <row r="4938" spans="1:9">
      <c r="A4938" s="2">
        <v>1994</v>
      </c>
      <c r="B4938">
        <v>50</v>
      </c>
      <c r="C4938">
        <v>1.6709999999999999E-2</v>
      </c>
      <c r="D4938">
        <v>1.6570000000000001E-2</v>
      </c>
      <c r="E4938">
        <v>0.5</v>
      </c>
      <c r="F4938">
        <v>82690</v>
      </c>
      <c r="G4938">
        <v>1370</v>
      </c>
      <c r="H4938">
        <v>82005</v>
      </c>
      <c r="I4938">
        <v>1730253</v>
      </c>
    </row>
    <row r="4939" spans="1:9">
      <c r="A4939" s="2">
        <v>1994</v>
      </c>
      <c r="B4939">
        <v>51</v>
      </c>
      <c r="C4939">
        <v>1.6709999999999999E-2</v>
      </c>
      <c r="D4939">
        <v>1.6570000000000001E-2</v>
      </c>
      <c r="E4939">
        <v>0.5</v>
      </c>
      <c r="F4939">
        <v>81320</v>
      </c>
      <c r="G4939">
        <v>1348</v>
      </c>
      <c r="H4939">
        <v>80646</v>
      </c>
      <c r="I4939">
        <v>1648248</v>
      </c>
    </row>
    <row r="4940" spans="1:9">
      <c r="A4940" s="2">
        <v>1994</v>
      </c>
      <c r="B4940">
        <v>52</v>
      </c>
      <c r="C4940">
        <v>1.899E-2</v>
      </c>
      <c r="D4940">
        <v>1.881E-2</v>
      </c>
      <c r="E4940">
        <v>0.5</v>
      </c>
      <c r="F4940">
        <v>79972</v>
      </c>
      <c r="G4940">
        <v>1504</v>
      </c>
      <c r="H4940">
        <v>79220</v>
      </c>
      <c r="I4940">
        <v>1567602</v>
      </c>
    </row>
    <row r="4941" spans="1:9">
      <c r="A4941" s="2">
        <v>1994</v>
      </c>
      <c r="B4941">
        <v>53</v>
      </c>
      <c r="C4941">
        <v>1.993E-2</v>
      </c>
      <c r="D4941">
        <v>1.9740000000000001E-2</v>
      </c>
      <c r="E4941">
        <v>0.5</v>
      </c>
      <c r="F4941">
        <v>78468</v>
      </c>
      <c r="G4941">
        <v>1549</v>
      </c>
      <c r="H4941">
        <v>77694</v>
      </c>
      <c r="I4941">
        <v>1488382</v>
      </c>
    </row>
    <row r="4942" spans="1:9">
      <c r="A4942" s="2">
        <v>1994</v>
      </c>
      <c r="B4942">
        <v>54</v>
      </c>
      <c r="C4942">
        <v>2.102E-2</v>
      </c>
      <c r="D4942">
        <v>2.0799999999999999E-2</v>
      </c>
      <c r="E4942">
        <v>0.5</v>
      </c>
      <c r="F4942">
        <v>76919</v>
      </c>
      <c r="G4942">
        <v>1600</v>
      </c>
      <c r="H4942">
        <v>76119</v>
      </c>
      <c r="I4942">
        <v>1410688</v>
      </c>
    </row>
    <row r="4943" spans="1:9">
      <c r="A4943" s="2">
        <v>1994</v>
      </c>
      <c r="B4943">
        <v>55</v>
      </c>
      <c r="C4943">
        <v>2.2519999999999998E-2</v>
      </c>
      <c r="D4943">
        <v>2.2270000000000002E-2</v>
      </c>
      <c r="E4943">
        <v>0.5</v>
      </c>
      <c r="F4943">
        <v>75319</v>
      </c>
      <c r="G4943">
        <v>1677</v>
      </c>
      <c r="H4943">
        <v>74480</v>
      </c>
      <c r="I4943">
        <v>1334569</v>
      </c>
    </row>
    <row r="4944" spans="1:9">
      <c r="A4944" s="2">
        <v>1994</v>
      </c>
      <c r="B4944">
        <v>56</v>
      </c>
      <c r="C4944">
        <v>2.4330000000000001E-2</v>
      </c>
      <c r="D4944">
        <v>2.4039999999999999E-2</v>
      </c>
      <c r="E4944">
        <v>0.5</v>
      </c>
      <c r="F4944">
        <v>73642</v>
      </c>
      <c r="G4944">
        <v>1770</v>
      </c>
      <c r="H4944">
        <v>72757</v>
      </c>
      <c r="I4944">
        <v>1260089</v>
      </c>
    </row>
    <row r="4945" spans="1:9">
      <c r="A4945" s="2">
        <v>1994</v>
      </c>
      <c r="B4945">
        <v>57</v>
      </c>
      <c r="C4945">
        <v>2.6440000000000002E-2</v>
      </c>
      <c r="D4945">
        <v>2.6100000000000002E-2</v>
      </c>
      <c r="E4945">
        <v>0.5</v>
      </c>
      <c r="F4945">
        <v>71872</v>
      </c>
      <c r="G4945">
        <v>1876</v>
      </c>
      <c r="H4945">
        <v>70934</v>
      </c>
      <c r="I4945">
        <v>1187332</v>
      </c>
    </row>
    <row r="4946" spans="1:9">
      <c r="A4946" s="2">
        <v>1994</v>
      </c>
      <c r="B4946">
        <v>58</v>
      </c>
      <c r="C4946">
        <v>2.6870000000000002E-2</v>
      </c>
      <c r="D4946">
        <v>2.6519999999999998E-2</v>
      </c>
      <c r="E4946">
        <v>0.5</v>
      </c>
      <c r="F4946">
        <v>69996</v>
      </c>
      <c r="G4946">
        <v>1856</v>
      </c>
      <c r="H4946">
        <v>69068</v>
      </c>
      <c r="I4946">
        <v>1116398</v>
      </c>
    </row>
    <row r="4947" spans="1:9">
      <c r="A4947" s="2">
        <v>1994</v>
      </c>
      <c r="B4947">
        <v>59</v>
      </c>
      <c r="C4947">
        <v>2.8819999999999998E-2</v>
      </c>
      <c r="D4947">
        <v>2.8410000000000001E-2</v>
      </c>
      <c r="E4947">
        <v>0.5</v>
      </c>
      <c r="F4947">
        <v>68140</v>
      </c>
      <c r="G4947">
        <v>1936</v>
      </c>
      <c r="H4947">
        <v>67172</v>
      </c>
      <c r="I4947">
        <v>1047330</v>
      </c>
    </row>
    <row r="4948" spans="1:9">
      <c r="A4948" s="2">
        <v>1994</v>
      </c>
      <c r="B4948">
        <v>60</v>
      </c>
      <c r="C4948">
        <v>3.0970000000000001E-2</v>
      </c>
      <c r="D4948">
        <v>3.0499999999999999E-2</v>
      </c>
      <c r="E4948">
        <v>0.5</v>
      </c>
      <c r="F4948">
        <v>66204</v>
      </c>
      <c r="G4948">
        <v>2019</v>
      </c>
      <c r="H4948">
        <v>65195</v>
      </c>
      <c r="I4948">
        <v>980158</v>
      </c>
    </row>
    <row r="4949" spans="1:9">
      <c r="A4949" s="2">
        <v>1994</v>
      </c>
      <c r="B4949">
        <v>61</v>
      </c>
      <c r="C4949">
        <v>3.0800000000000001E-2</v>
      </c>
      <c r="D4949">
        <v>3.0329999999999999E-2</v>
      </c>
      <c r="E4949">
        <v>0.5</v>
      </c>
      <c r="F4949">
        <v>64185</v>
      </c>
      <c r="G4949">
        <v>1947</v>
      </c>
      <c r="H4949">
        <v>63212</v>
      </c>
      <c r="I4949">
        <v>914963</v>
      </c>
    </row>
    <row r="4950" spans="1:9">
      <c r="A4950" s="2">
        <v>1994</v>
      </c>
      <c r="B4950">
        <v>62</v>
      </c>
      <c r="C4950">
        <v>3.4540000000000001E-2</v>
      </c>
      <c r="D4950">
        <v>3.3959999999999997E-2</v>
      </c>
      <c r="E4950">
        <v>0.5</v>
      </c>
      <c r="F4950">
        <v>62238</v>
      </c>
      <c r="G4950">
        <v>2113</v>
      </c>
      <c r="H4950">
        <v>61182</v>
      </c>
      <c r="I4950">
        <v>851751</v>
      </c>
    </row>
    <row r="4951" spans="1:9">
      <c r="A4951" s="2">
        <v>1994</v>
      </c>
      <c r="B4951">
        <v>63</v>
      </c>
      <c r="C4951">
        <v>3.7159999999999999E-2</v>
      </c>
      <c r="D4951">
        <v>3.6479999999999999E-2</v>
      </c>
      <c r="E4951">
        <v>0.5</v>
      </c>
      <c r="F4951">
        <v>60125</v>
      </c>
      <c r="G4951">
        <v>2194</v>
      </c>
      <c r="H4951">
        <v>59028</v>
      </c>
      <c r="I4951">
        <v>790569</v>
      </c>
    </row>
    <row r="4952" spans="1:9">
      <c r="A4952" s="2">
        <v>1994</v>
      </c>
      <c r="B4952">
        <v>64</v>
      </c>
      <c r="C4952">
        <v>3.8210000000000001E-2</v>
      </c>
      <c r="D4952">
        <v>3.7499999999999999E-2</v>
      </c>
      <c r="E4952">
        <v>0.5</v>
      </c>
      <c r="F4952">
        <v>57931</v>
      </c>
      <c r="G4952">
        <v>2172</v>
      </c>
      <c r="H4952">
        <v>56845</v>
      </c>
      <c r="I4952">
        <v>731541</v>
      </c>
    </row>
    <row r="4953" spans="1:9">
      <c r="A4953" s="2">
        <v>1994</v>
      </c>
      <c r="B4953">
        <v>65</v>
      </c>
      <c r="C4953">
        <v>4.1340000000000002E-2</v>
      </c>
      <c r="D4953">
        <v>4.0509999999999997E-2</v>
      </c>
      <c r="E4953">
        <v>0.5</v>
      </c>
      <c r="F4953">
        <v>55759</v>
      </c>
      <c r="G4953">
        <v>2259</v>
      </c>
      <c r="H4953">
        <v>54630</v>
      </c>
      <c r="I4953">
        <v>674696</v>
      </c>
    </row>
    <row r="4954" spans="1:9">
      <c r="A4954" s="2">
        <v>1994</v>
      </c>
      <c r="B4954">
        <v>66</v>
      </c>
      <c r="C4954">
        <v>4.4609999999999997E-2</v>
      </c>
      <c r="D4954">
        <v>4.3639999999999998E-2</v>
      </c>
      <c r="E4954">
        <v>0.5</v>
      </c>
      <c r="F4954">
        <v>53501</v>
      </c>
      <c r="G4954">
        <v>2335</v>
      </c>
      <c r="H4954">
        <v>52333</v>
      </c>
      <c r="I4954">
        <v>620066</v>
      </c>
    </row>
    <row r="4955" spans="1:9">
      <c r="A4955" s="2">
        <v>1994</v>
      </c>
      <c r="B4955">
        <v>67</v>
      </c>
      <c r="C4955">
        <v>4.7359999999999999E-2</v>
      </c>
      <c r="D4955">
        <v>4.6260000000000003E-2</v>
      </c>
      <c r="E4955">
        <v>0.5</v>
      </c>
      <c r="F4955">
        <v>51166</v>
      </c>
      <c r="G4955">
        <v>2367</v>
      </c>
      <c r="H4955">
        <v>49982</v>
      </c>
      <c r="I4955">
        <v>567733</v>
      </c>
    </row>
    <row r="4956" spans="1:9">
      <c r="A4956" s="2">
        <v>1994</v>
      </c>
      <c r="B4956">
        <v>68</v>
      </c>
      <c r="C4956">
        <v>5.1639999999999998E-2</v>
      </c>
      <c r="D4956">
        <v>5.0340000000000003E-2</v>
      </c>
      <c r="E4956">
        <v>0.5</v>
      </c>
      <c r="F4956">
        <v>48799</v>
      </c>
      <c r="G4956">
        <v>2456</v>
      </c>
      <c r="H4956">
        <v>47571</v>
      </c>
      <c r="I4956">
        <v>517750</v>
      </c>
    </row>
    <row r="4957" spans="1:9">
      <c r="A4957" s="2">
        <v>1994</v>
      </c>
      <c r="B4957">
        <v>69</v>
      </c>
      <c r="C4957">
        <v>5.3949999999999998E-2</v>
      </c>
      <c r="D4957">
        <v>5.253E-2</v>
      </c>
      <c r="E4957">
        <v>0.5</v>
      </c>
      <c r="F4957">
        <v>46342</v>
      </c>
      <c r="G4957">
        <v>2434</v>
      </c>
      <c r="H4957">
        <v>45125</v>
      </c>
      <c r="I4957">
        <v>470180</v>
      </c>
    </row>
    <row r="4958" spans="1:9">
      <c r="A4958" s="2">
        <v>1994</v>
      </c>
      <c r="B4958">
        <v>70</v>
      </c>
      <c r="C4958">
        <v>5.9639999999999999E-2</v>
      </c>
      <c r="D4958">
        <v>5.7910000000000003E-2</v>
      </c>
      <c r="E4958">
        <v>0.5</v>
      </c>
      <c r="F4958">
        <v>43908</v>
      </c>
      <c r="G4958">
        <v>2543</v>
      </c>
      <c r="H4958">
        <v>42637</v>
      </c>
      <c r="I4958">
        <v>425054</v>
      </c>
    </row>
    <row r="4959" spans="1:9">
      <c r="A4959" s="2">
        <v>1994</v>
      </c>
      <c r="B4959">
        <v>71</v>
      </c>
      <c r="C4959">
        <v>6.1580000000000003E-2</v>
      </c>
      <c r="D4959">
        <v>5.9749999999999998E-2</v>
      </c>
      <c r="E4959">
        <v>0.5</v>
      </c>
      <c r="F4959">
        <v>41365</v>
      </c>
      <c r="G4959">
        <v>2471</v>
      </c>
      <c r="H4959">
        <v>40130</v>
      </c>
      <c r="I4959">
        <v>382418</v>
      </c>
    </row>
    <row r="4960" spans="1:9">
      <c r="A4960" s="2">
        <v>1994</v>
      </c>
      <c r="B4960">
        <v>72</v>
      </c>
      <c r="C4960">
        <v>6.9360000000000005E-2</v>
      </c>
      <c r="D4960">
        <v>6.7040000000000002E-2</v>
      </c>
      <c r="E4960">
        <v>0.5</v>
      </c>
      <c r="F4960">
        <v>38894</v>
      </c>
      <c r="G4960">
        <v>2607</v>
      </c>
      <c r="H4960">
        <v>37590</v>
      </c>
      <c r="I4960">
        <v>342288</v>
      </c>
    </row>
    <row r="4961" spans="1:9">
      <c r="A4961" s="2">
        <v>1994</v>
      </c>
      <c r="B4961">
        <v>73</v>
      </c>
      <c r="C4961">
        <v>6.762E-2</v>
      </c>
      <c r="D4961">
        <v>6.5409999999999996E-2</v>
      </c>
      <c r="E4961">
        <v>0.5</v>
      </c>
      <c r="F4961">
        <v>36287</v>
      </c>
      <c r="G4961">
        <v>2374</v>
      </c>
      <c r="H4961">
        <v>35100</v>
      </c>
      <c r="I4961">
        <v>304698</v>
      </c>
    </row>
    <row r="4962" spans="1:9">
      <c r="A4962" s="2">
        <v>1994</v>
      </c>
      <c r="B4962">
        <v>74</v>
      </c>
      <c r="C4962">
        <v>8.2129999999999995E-2</v>
      </c>
      <c r="D4962">
        <v>7.8890000000000002E-2</v>
      </c>
      <c r="E4962">
        <v>0.5</v>
      </c>
      <c r="F4962">
        <v>33913</v>
      </c>
      <c r="G4962">
        <v>2675</v>
      </c>
      <c r="H4962">
        <v>32575</v>
      </c>
      <c r="I4962">
        <v>269598</v>
      </c>
    </row>
    <row r="4963" spans="1:9">
      <c r="A4963" s="2">
        <v>1994</v>
      </c>
      <c r="B4963">
        <v>75</v>
      </c>
      <c r="C4963">
        <v>7.5340000000000004E-2</v>
      </c>
      <c r="D4963">
        <v>7.2599999999999998E-2</v>
      </c>
      <c r="E4963">
        <v>0.5</v>
      </c>
      <c r="F4963">
        <v>31238</v>
      </c>
      <c r="G4963">
        <v>2268</v>
      </c>
      <c r="H4963">
        <v>30104</v>
      </c>
      <c r="I4963">
        <v>237023</v>
      </c>
    </row>
    <row r="4964" spans="1:9">
      <c r="A4964" s="2">
        <v>1994</v>
      </c>
      <c r="B4964">
        <v>76</v>
      </c>
      <c r="C4964">
        <v>9.0569999999999998E-2</v>
      </c>
      <c r="D4964">
        <v>8.6650000000000005E-2</v>
      </c>
      <c r="E4964">
        <v>0.5</v>
      </c>
      <c r="F4964">
        <v>28970</v>
      </c>
      <c r="G4964">
        <v>2510</v>
      </c>
      <c r="H4964">
        <v>27715</v>
      </c>
      <c r="I4964">
        <v>206919</v>
      </c>
    </row>
    <row r="4965" spans="1:9">
      <c r="A4965" s="2">
        <v>1994</v>
      </c>
      <c r="B4965">
        <v>77</v>
      </c>
      <c r="C4965">
        <v>9.0459999999999999E-2</v>
      </c>
      <c r="D4965">
        <v>8.6550000000000002E-2</v>
      </c>
      <c r="E4965">
        <v>0.5</v>
      </c>
      <c r="F4965">
        <v>26459</v>
      </c>
      <c r="G4965">
        <v>2290</v>
      </c>
      <c r="H4965">
        <v>25314</v>
      </c>
      <c r="I4965">
        <v>179205</v>
      </c>
    </row>
    <row r="4966" spans="1:9">
      <c r="A4966" s="2">
        <v>1994</v>
      </c>
      <c r="B4966">
        <v>78</v>
      </c>
      <c r="C4966">
        <v>9.3789999999999998E-2</v>
      </c>
      <c r="D4966">
        <v>8.9590000000000003E-2</v>
      </c>
      <c r="E4966">
        <v>0.5</v>
      </c>
      <c r="F4966">
        <v>24169</v>
      </c>
      <c r="G4966">
        <v>2165</v>
      </c>
      <c r="H4966">
        <v>23087</v>
      </c>
      <c r="I4966">
        <v>153890</v>
      </c>
    </row>
    <row r="4967" spans="1:9">
      <c r="A4967" s="2">
        <v>1994</v>
      </c>
      <c r="B4967">
        <v>79</v>
      </c>
      <c r="C4967">
        <v>0.11508</v>
      </c>
      <c r="D4967">
        <v>0.10882</v>
      </c>
      <c r="E4967">
        <v>0.5</v>
      </c>
      <c r="F4967">
        <v>22004</v>
      </c>
      <c r="G4967">
        <v>2394</v>
      </c>
      <c r="H4967">
        <v>20807</v>
      </c>
      <c r="I4967">
        <v>130803</v>
      </c>
    </row>
    <row r="4968" spans="1:9">
      <c r="A4968" s="2">
        <v>1994</v>
      </c>
      <c r="B4968">
        <v>80</v>
      </c>
      <c r="C4968">
        <v>0.12358</v>
      </c>
      <c r="D4968">
        <v>0.11638999999999999</v>
      </c>
      <c r="E4968">
        <v>0.5</v>
      </c>
      <c r="F4968">
        <v>19610</v>
      </c>
      <c r="G4968">
        <v>2282</v>
      </c>
      <c r="H4968">
        <v>18469</v>
      </c>
      <c r="I4968">
        <v>109997</v>
      </c>
    </row>
    <row r="4969" spans="1:9">
      <c r="A4969" s="2">
        <v>1994</v>
      </c>
      <c r="B4969">
        <v>81</v>
      </c>
      <c r="C4969">
        <v>0.13633999999999999</v>
      </c>
      <c r="D4969">
        <v>0.12764</v>
      </c>
      <c r="E4969">
        <v>0.5</v>
      </c>
      <c r="F4969">
        <v>17327</v>
      </c>
      <c r="G4969">
        <v>2212</v>
      </c>
      <c r="H4969">
        <v>16222</v>
      </c>
      <c r="I4969">
        <v>91528</v>
      </c>
    </row>
    <row r="4970" spans="1:9">
      <c r="A4970" s="2">
        <v>1994</v>
      </c>
      <c r="B4970">
        <v>82</v>
      </c>
      <c r="C4970">
        <v>0.14149</v>
      </c>
      <c r="D4970">
        <v>0.13214000000000001</v>
      </c>
      <c r="E4970">
        <v>0.5</v>
      </c>
      <c r="F4970">
        <v>15116</v>
      </c>
      <c r="G4970">
        <v>1997</v>
      </c>
      <c r="H4970">
        <v>14117</v>
      </c>
      <c r="I4970">
        <v>75307</v>
      </c>
    </row>
    <row r="4971" spans="1:9">
      <c r="A4971" s="2">
        <v>1994</v>
      </c>
      <c r="B4971">
        <v>83</v>
      </c>
      <c r="C4971">
        <v>0.15762000000000001</v>
      </c>
      <c r="D4971">
        <v>0.14610999999999999</v>
      </c>
      <c r="E4971">
        <v>0.5</v>
      </c>
      <c r="F4971">
        <v>13118</v>
      </c>
      <c r="G4971">
        <v>1917</v>
      </c>
      <c r="H4971">
        <v>12160</v>
      </c>
      <c r="I4971">
        <v>61190</v>
      </c>
    </row>
    <row r="4972" spans="1:9">
      <c r="A4972" s="2">
        <v>1994</v>
      </c>
      <c r="B4972">
        <v>84</v>
      </c>
      <c r="C4972">
        <v>0.17416000000000001</v>
      </c>
      <c r="D4972">
        <v>0.16020999999999999</v>
      </c>
      <c r="E4972">
        <v>0.5</v>
      </c>
      <c r="F4972">
        <v>11202</v>
      </c>
      <c r="G4972">
        <v>1795</v>
      </c>
      <c r="H4972">
        <v>10304</v>
      </c>
      <c r="I4972">
        <v>49030</v>
      </c>
    </row>
    <row r="4973" spans="1:9">
      <c r="A4973" s="2">
        <v>1994</v>
      </c>
      <c r="B4973">
        <v>85</v>
      </c>
      <c r="C4973">
        <v>0.18720999999999999</v>
      </c>
      <c r="D4973">
        <v>0.17118</v>
      </c>
      <c r="E4973">
        <v>0.5</v>
      </c>
      <c r="F4973">
        <v>9407</v>
      </c>
      <c r="G4973">
        <v>1610</v>
      </c>
      <c r="H4973">
        <v>8602</v>
      </c>
      <c r="I4973">
        <v>38725</v>
      </c>
    </row>
    <row r="4974" spans="1:9">
      <c r="A4974" s="2">
        <v>1994</v>
      </c>
      <c r="B4974">
        <v>86</v>
      </c>
      <c r="C4974">
        <v>0.20046</v>
      </c>
      <c r="D4974">
        <v>0.1822</v>
      </c>
      <c r="E4974">
        <v>0.5</v>
      </c>
      <c r="F4974">
        <v>7797</v>
      </c>
      <c r="G4974">
        <v>1421</v>
      </c>
      <c r="H4974">
        <v>7086</v>
      </c>
      <c r="I4974">
        <v>30123</v>
      </c>
    </row>
    <row r="4975" spans="1:9">
      <c r="A4975" s="2">
        <v>1994</v>
      </c>
      <c r="B4975">
        <v>87</v>
      </c>
      <c r="C4975">
        <v>0.20798</v>
      </c>
      <c r="D4975">
        <v>0.18839</v>
      </c>
      <c r="E4975">
        <v>0.5</v>
      </c>
      <c r="F4975">
        <v>6376</v>
      </c>
      <c r="G4975">
        <v>1201</v>
      </c>
      <c r="H4975">
        <v>5776</v>
      </c>
      <c r="I4975">
        <v>23037</v>
      </c>
    </row>
    <row r="4976" spans="1:9">
      <c r="A4976" s="2">
        <v>1994</v>
      </c>
      <c r="B4976">
        <v>88</v>
      </c>
      <c r="C4976">
        <v>0.24685000000000001</v>
      </c>
      <c r="D4976">
        <v>0.21973000000000001</v>
      </c>
      <c r="E4976">
        <v>0.5</v>
      </c>
      <c r="F4976">
        <v>5175</v>
      </c>
      <c r="G4976">
        <v>1137</v>
      </c>
      <c r="H4976">
        <v>4606</v>
      </c>
      <c r="I4976">
        <v>17261</v>
      </c>
    </row>
    <row r="4977" spans="1:9">
      <c r="A4977" s="2">
        <v>1994</v>
      </c>
      <c r="B4977">
        <v>89</v>
      </c>
      <c r="C4977">
        <v>0.25490000000000002</v>
      </c>
      <c r="D4977">
        <v>0.22609000000000001</v>
      </c>
      <c r="E4977">
        <v>0.5</v>
      </c>
      <c r="F4977">
        <v>4038</v>
      </c>
      <c r="G4977">
        <v>913</v>
      </c>
      <c r="H4977">
        <v>3581</v>
      </c>
      <c r="I4977">
        <v>12655</v>
      </c>
    </row>
    <row r="4978" spans="1:9">
      <c r="A4978" s="2">
        <v>1994</v>
      </c>
      <c r="B4978">
        <v>90</v>
      </c>
      <c r="C4978">
        <v>0.30320000000000003</v>
      </c>
      <c r="D4978">
        <v>0.26328000000000001</v>
      </c>
      <c r="E4978">
        <v>0.5</v>
      </c>
      <c r="F4978">
        <v>3125</v>
      </c>
      <c r="G4978">
        <v>823</v>
      </c>
      <c r="H4978">
        <v>2714</v>
      </c>
      <c r="I4978">
        <v>9074</v>
      </c>
    </row>
    <row r="4979" spans="1:9">
      <c r="A4979" s="2">
        <v>1994</v>
      </c>
      <c r="B4979">
        <v>91</v>
      </c>
      <c r="C4979">
        <v>0.32117000000000001</v>
      </c>
      <c r="D4979">
        <v>0.27672999999999998</v>
      </c>
      <c r="E4979">
        <v>0.5</v>
      </c>
      <c r="F4979">
        <v>2302</v>
      </c>
      <c r="G4979">
        <v>637</v>
      </c>
      <c r="H4979">
        <v>1984</v>
      </c>
      <c r="I4979">
        <v>6360</v>
      </c>
    </row>
    <row r="4980" spans="1:9">
      <c r="A4980" s="2">
        <v>1994</v>
      </c>
      <c r="B4980">
        <v>92</v>
      </c>
      <c r="C4980">
        <v>0.34816999999999998</v>
      </c>
      <c r="D4980">
        <v>0.29654000000000003</v>
      </c>
      <c r="E4980">
        <v>0.5</v>
      </c>
      <c r="F4980">
        <v>1665</v>
      </c>
      <c r="G4980">
        <v>494</v>
      </c>
      <c r="H4980">
        <v>1418</v>
      </c>
      <c r="I4980">
        <v>4376</v>
      </c>
    </row>
    <row r="4981" spans="1:9">
      <c r="A4981" s="2">
        <v>1994</v>
      </c>
      <c r="B4981">
        <v>93</v>
      </c>
      <c r="C4981">
        <v>0.33228999999999997</v>
      </c>
      <c r="D4981">
        <v>0.28494999999999998</v>
      </c>
      <c r="E4981">
        <v>0.5</v>
      </c>
      <c r="F4981">
        <v>1171</v>
      </c>
      <c r="G4981">
        <v>334</v>
      </c>
      <c r="H4981">
        <v>1004</v>
      </c>
      <c r="I4981">
        <v>2958</v>
      </c>
    </row>
    <row r="4982" spans="1:9">
      <c r="A4982" s="2">
        <v>1994</v>
      </c>
      <c r="B4982">
        <v>94</v>
      </c>
      <c r="C4982">
        <v>0.40645999999999999</v>
      </c>
      <c r="D4982">
        <v>0.33781</v>
      </c>
      <c r="E4982">
        <v>0.5</v>
      </c>
      <c r="F4982">
        <v>838</v>
      </c>
      <c r="G4982">
        <v>283</v>
      </c>
      <c r="H4982">
        <v>696</v>
      </c>
      <c r="I4982">
        <v>1954</v>
      </c>
    </row>
    <row r="4983" spans="1:9">
      <c r="A4983" s="2">
        <v>1994</v>
      </c>
      <c r="B4983">
        <v>95</v>
      </c>
      <c r="C4983">
        <v>0.40051999999999999</v>
      </c>
      <c r="D4983">
        <v>0.33368999999999999</v>
      </c>
      <c r="E4983">
        <v>0.5</v>
      </c>
      <c r="F4983">
        <v>555</v>
      </c>
      <c r="G4983">
        <v>185</v>
      </c>
      <c r="H4983">
        <v>462</v>
      </c>
      <c r="I4983">
        <v>1258</v>
      </c>
    </row>
    <row r="4984" spans="1:9">
      <c r="A4984" s="2">
        <v>1994</v>
      </c>
      <c r="B4984">
        <v>96</v>
      </c>
      <c r="C4984">
        <v>0.42602000000000001</v>
      </c>
      <c r="D4984">
        <v>0.35121000000000002</v>
      </c>
      <c r="E4984">
        <v>0.5</v>
      </c>
      <c r="F4984">
        <v>370</v>
      </c>
      <c r="G4984">
        <v>130</v>
      </c>
      <c r="H4984">
        <v>305</v>
      </c>
      <c r="I4984">
        <v>796</v>
      </c>
    </row>
    <row r="4985" spans="1:9">
      <c r="A4985" s="2">
        <v>1994</v>
      </c>
      <c r="B4985">
        <v>97</v>
      </c>
      <c r="C4985">
        <v>0.45193</v>
      </c>
      <c r="D4985">
        <v>0.36863000000000001</v>
      </c>
      <c r="E4985">
        <v>0.5</v>
      </c>
      <c r="F4985">
        <v>240</v>
      </c>
      <c r="G4985">
        <v>88</v>
      </c>
      <c r="H4985">
        <v>196</v>
      </c>
      <c r="I4985">
        <v>491</v>
      </c>
    </row>
    <row r="4986" spans="1:9">
      <c r="A4986" s="2">
        <v>1994</v>
      </c>
      <c r="B4986">
        <v>98</v>
      </c>
      <c r="C4986">
        <v>0.47810000000000002</v>
      </c>
      <c r="D4986">
        <v>0.38585999999999998</v>
      </c>
      <c r="E4986">
        <v>0.5</v>
      </c>
      <c r="F4986">
        <v>151</v>
      </c>
      <c r="G4986">
        <v>58</v>
      </c>
      <c r="H4986">
        <v>122</v>
      </c>
      <c r="I4986">
        <v>295</v>
      </c>
    </row>
    <row r="4987" spans="1:9">
      <c r="A4987" s="2">
        <v>1994</v>
      </c>
      <c r="B4987">
        <v>99</v>
      </c>
      <c r="C4987">
        <v>0.50439000000000001</v>
      </c>
      <c r="D4987">
        <v>0.40279999999999999</v>
      </c>
      <c r="E4987">
        <v>0.5</v>
      </c>
      <c r="F4987">
        <v>93</v>
      </c>
      <c r="G4987">
        <v>37</v>
      </c>
      <c r="H4987">
        <v>74</v>
      </c>
      <c r="I4987">
        <v>173</v>
      </c>
    </row>
    <row r="4988" spans="1:9">
      <c r="A4988" s="2">
        <v>1994</v>
      </c>
      <c r="B4988">
        <v>100</v>
      </c>
      <c r="C4988">
        <v>0.53064999999999996</v>
      </c>
      <c r="D4988">
        <v>0.41937999999999998</v>
      </c>
      <c r="E4988">
        <v>0.5</v>
      </c>
      <c r="F4988">
        <v>56</v>
      </c>
      <c r="G4988">
        <v>23</v>
      </c>
      <c r="H4988">
        <v>44</v>
      </c>
      <c r="I4988">
        <v>99</v>
      </c>
    </row>
    <row r="4989" spans="1:9">
      <c r="A4989" s="2">
        <v>1994</v>
      </c>
      <c r="B4989">
        <v>101</v>
      </c>
      <c r="C4989">
        <v>0.55674999999999997</v>
      </c>
      <c r="D4989">
        <v>0.43552000000000002</v>
      </c>
      <c r="E4989">
        <v>0.5</v>
      </c>
      <c r="F4989">
        <v>32</v>
      </c>
      <c r="G4989">
        <v>14</v>
      </c>
      <c r="H4989">
        <v>25</v>
      </c>
      <c r="I4989">
        <v>55</v>
      </c>
    </row>
    <row r="4990" spans="1:9">
      <c r="A4990" s="2">
        <v>1994</v>
      </c>
      <c r="B4990">
        <v>102</v>
      </c>
      <c r="C4990">
        <v>0.58253999999999995</v>
      </c>
      <c r="D4990">
        <v>0.45113999999999999</v>
      </c>
      <c r="E4990">
        <v>0.5</v>
      </c>
      <c r="F4990">
        <v>18</v>
      </c>
      <c r="G4990">
        <v>8</v>
      </c>
      <c r="H4990">
        <v>14</v>
      </c>
      <c r="I4990">
        <v>30</v>
      </c>
    </row>
    <row r="4991" spans="1:9">
      <c r="A4991" s="2">
        <v>1994</v>
      </c>
      <c r="B4991">
        <v>103</v>
      </c>
      <c r="C4991">
        <v>0.60787999999999998</v>
      </c>
      <c r="D4991">
        <v>0.46618999999999999</v>
      </c>
      <c r="E4991">
        <v>0.5</v>
      </c>
      <c r="F4991">
        <v>10</v>
      </c>
      <c r="G4991">
        <v>5</v>
      </c>
      <c r="H4991">
        <v>8</v>
      </c>
      <c r="I4991">
        <v>16</v>
      </c>
    </row>
    <row r="4992" spans="1:9">
      <c r="A4992" s="2">
        <v>1994</v>
      </c>
      <c r="B4992">
        <v>104</v>
      </c>
      <c r="C4992">
        <v>0.63266</v>
      </c>
      <c r="D4992">
        <v>0.48061999999999999</v>
      </c>
      <c r="E4992">
        <v>0.5</v>
      </c>
      <c r="F4992">
        <v>5</v>
      </c>
      <c r="G4992">
        <v>3</v>
      </c>
      <c r="H4992">
        <v>4</v>
      </c>
      <c r="I4992">
        <v>8</v>
      </c>
    </row>
    <row r="4993" spans="1:9">
      <c r="A4993" s="2">
        <v>1994</v>
      </c>
      <c r="B4993">
        <v>105</v>
      </c>
      <c r="C4993">
        <v>0.65674999999999994</v>
      </c>
      <c r="D4993">
        <v>0.49440000000000001</v>
      </c>
      <c r="E4993">
        <v>0.5</v>
      </c>
      <c r="F4993">
        <v>3</v>
      </c>
      <c r="G4993">
        <v>1</v>
      </c>
      <c r="H4993">
        <v>2</v>
      </c>
      <c r="I4993">
        <v>4</v>
      </c>
    </row>
    <row r="4994" spans="1:9">
      <c r="A4994" s="2">
        <v>1994</v>
      </c>
      <c r="B4994">
        <v>106</v>
      </c>
      <c r="C4994">
        <v>0.68006999999999995</v>
      </c>
      <c r="D4994">
        <v>0.50749999999999995</v>
      </c>
      <c r="E4994">
        <v>0.5</v>
      </c>
      <c r="F4994">
        <v>1</v>
      </c>
      <c r="G4994">
        <v>1</v>
      </c>
      <c r="H4994">
        <v>1</v>
      </c>
      <c r="I4994">
        <v>2</v>
      </c>
    </row>
    <row r="4995" spans="1:9">
      <c r="A4995" s="2">
        <v>1994</v>
      </c>
      <c r="B4995">
        <v>107</v>
      </c>
      <c r="C4995">
        <v>0.70250999999999997</v>
      </c>
      <c r="D4995">
        <v>0.51990000000000003</v>
      </c>
      <c r="E4995">
        <v>0.5</v>
      </c>
      <c r="F4995">
        <v>1</v>
      </c>
      <c r="G4995">
        <v>0</v>
      </c>
      <c r="H4995">
        <v>1</v>
      </c>
      <c r="I4995">
        <v>1</v>
      </c>
    </row>
    <row r="4996" spans="1:9">
      <c r="A4996" s="2">
        <v>1994</v>
      </c>
      <c r="B4996">
        <v>108</v>
      </c>
      <c r="C4996">
        <v>0.72402</v>
      </c>
      <c r="D4996">
        <v>0.53158000000000005</v>
      </c>
      <c r="E4996">
        <v>0.5</v>
      </c>
      <c r="F4996">
        <v>0</v>
      </c>
      <c r="G4996">
        <v>0</v>
      </c>
      <c r="H4996">
        <v>0</v>
      </c>
      <c r="I4996">
        <v>0</v>
      </c>
    </row>
    <row r="4997" spans="1:9">
      <c r="A4997" s="2">
        <v>1994</v>
      </c>
      <c r="B4997">
        <v>109</v>
      </c>
      <c r="C4997">
        <v>0.74455000000000005</v>
      </c>
      <c r="D4997">
        <v>0.54256000000000004</v>
      </c>
      <c r="E4997">
        <v>0.5</v>
      </c>
      <c r="F4997">
        <v>0</v>
      </c>
      <c r="G4997">
        <v>0</v>
      </c>
      <c r="H4997">
        <v>0</v>
      </c>
      <c r="I4997">
        <v>0</v>
      </c>
    </row>
    <row r="4998" spans="1:9">
      <c r="A4998" s="2">
        <v>1994</v>
      </c>
      <c r="B4998" t="s">
        <v>26</v>
      </c>
      <c r="C4998">
        <v>0.76404000000000005</v>
      </c>
      <c r="D4998">
        <v>1</v>
      </c>
      <c r="E4998" s="3" t="s">
        <v>38</v>
      </c>
      <c r="F4998">
        <v>0</v>
      </c>
      <c r="G4998">
        <v>0</v>
      </c>
      <c r="H4998">
        <v>0</v>
      </c>
      <c r="I4998">
        <v>0</v>
      </c>
    </row>
    <row r="4999" spans="1:9">
      <c r="A4999" s="2">
        <v>1995</v>
      </c>
      <c r="B4999">
        <v>0</v>
      </c>
      <c r="C4999">
        <v>1.21E-2</v>
      </c>
      <c r="D4999">
        <v>1.197E-2</v>
      </c>
      <c r="E4999">
        <v>0.13</v>
      </c>
      <c r="F4999">
        <v>100000</v>
      </c>
      <c r="G4999">
        <v>1197</v>
      </c>
      <c r="H4999">
        <v>98953</v>
      </c>
      <c r="I4999">
        <v>6541759</v>
      </c>
    </row>
    <row r="5000" spans="1:9">
      <c r="A5000" s="2">
        <v>1995</v>
      </c>
      <c r="B5000">
        <v>1</v>
      </c>
      <c r="C5000">
        <v>6.4000000000000005E-4</v>
      </c>
      <c r="D5000">
        <v>6.4000000000000005E-4</v>
      </c>
      <c r="E5000">
        <v>0.5</v>
      </c>
      <c r="F5000">
        <v>98803</v>
      </c>
      <c r="G5000">
        <v>63</v>
      </c>
      <c r="H5000">
        <v>98771</v>
      </c>
      <c r="I5000">
        <v>6442806</v>
      </c>
    </row>
    <row r="5001" spans="1:9">
      <c r="A5001" s="2">
        <v>1995</v>
      </c>
      <c r="B5001">
        <v>2</v>
      </c>
      <c r="C5001">
        <v>5.2999999999999998E-4</v>
      </c>
      <c r="D5001">
        <v>5.2999999999999998E-4</v>
      </c>
      <c r="E5001">
        <v>0.5</v>
      </c>
      <c r="F5001">
        <v>98739</v>
      </c>
      <c r="G5001">
        <v>53</v>
      </c>
      <c r="H5001">
        <v>98713</v>
      </c>
      <c r="I5001">
        <v>6344035</v>
      </c>
    </row>
    <row r="5002" spans="1:9">
      <c r="A5002" s="2">
        <v>1995</v>
      </c>
      <c r="B5002">
        <v>3</v>
      </c>
      <c r="C5002">
        <v>4.0999999999999999E-4</v>
      </c>
      <c r="D5002">
        <v>4.0999999999999999E-4</v>
      </c>
      <c r="E5002">
        <v>0.5</v>
      </c>
      <c r="F5002">
        <v>98687</v>
      </c>
      <c r="G5002">
        <v>41</v>
      </c>
      <c r="H5002">
        <v>98666</v>
      </c>
      <c r="I5002">
        <v>6245322</v>
      </c>
    </row>
    <row r="5003" spans="1:9">
      <c r="A5003" s="2">
        <v>1995</v>
      </c>
      <c r="B5003">
        <v>4</v>
      </c>
      <c r="C5003">
        <v>3.4000000000000002E-4</v>
      </c>
      <c r="D5003">
        <v>3.4000000000000002E-4</v>
      </c>
      <c r="E5003">
        <v>0.5</v>
      </c>
      <c r="F5003">
        <v>98646</v>
      </c>
      <c r="G5003">
        <v>34</v>
      </c>
      <c r="H5003">
        <v>98629</v>
      </c>
      <c r="I5003">
        <v>6146656</v>
      </c>
    </row>
    <row r="5004" spans="1:9">
      <c r="A5004" s="2">
        <v>1995</v>
      </c>
      <c r="B5004">
        <v>5</v>
      </c>
      <c r="C5004">
        <v>2.9999999999999997E-4</v>
      </c>
      <c r="D5004">
        <v>2.9999999999999997E-4</v>
      </c>
      <c r="E5004">
        <v>0.5</v>
      </c>
      <c r="F5004">
        <v>98612</v>
      </c>
      <c r="G5004">
        <v>30</v>
      </c>
      <c r="H5004">
        <v>98597</v>
      </c>
      <c r="I5004">
        <v>6048027</v>
      </c>
    </row>
    <row r="5005" spans="1:9">
      <c r="A5005" s="2">
        <v>1995</v>
      </c>
      <c r="B5005">
        <v>6</v>
      </c>
      <c r="C5005">
        <v>3.2000000000000003E-4</v>
      </c>
      <c r="D5005">
        <v>3.2000000000000003E-4</v>
      </c>
      <c r="E5005">
        <v>0.5</v>
      </c>
      <c r="F5005">
        <v>98582</v>
      </c>
      <c r="G5005">
        <v>31</v>
      </c>
      <c r="H5005">
        <v>98566</v>
      </c>
      <c r="I5005">
        <v>5949430</v>
      </c>
    </row>
    <row r="5006" spans="1:9">
      <c r="A5006" s="2">
        <v>1995</v>
      </c>
      <c r="B5006">
        <v>7</v>
      </c>
      <c r="C5006">
        <v>2.4000000000000001E-4</v>
      </c>
      <c r="D5006">
        <v>2.4000000000000001E-4</v>
      </c>
      <c r="E5006">
        <v>0.5</v>
      </c>
      <c r="F5006">
        <v>98551</v>
      </c>
      <c r="G5006">
        <v>23</v>
      </c>
      <c r="H5006">
        <v>98539</v>
      </c>
      <c r="I5006">
        <v>5850864</v>
      </c>
    </row>
    <row r="5007" spans="1:9">
      <c r="A5007" s="2">
        <v>1995</v>
      </c>
      <c r="B5007">
        <v>8</v>
      </c>
      <c r="C5007">
        <v>2.0000000000000001E-4</v>
      </c>
      <c r="D5007">
        <v>2.0000000000000001E-4</v>
      </c>
      <c r="E5007">
        <v>0.5</v>
      </c>
      <c r="F5007">
        <v>98527</v>
      </c>
      <c r="G5007">
        <v>20</v>
      </c>
      <c r="H5007">
        <v>98517</v>
      </c>
      <c r="I5007">
        <v>5752325</v>
      </c>
    </row>
    <row r="5008" spans="1:9">
      <c r="A5008" s="2">
        <v>1995</v>
      </c>
      <c r="B5008">
        <v>9</v>
      </c>
      <c r="C5008">
        <v>2.4000000000000001E-4</v>
      </c>
      <c r="D5008">
        <v>2.4000000000000001E-4</v>
      </c>
      <c r="E5008">
        <v>0.5</v>
      </c>
      <c r="F5008">
        <v>98507</v>
      </c>
      <c r="G5008">
        <v>24</v>
      </c>
      <c r="H5008">
        <v>98495</v>
      </c>
      <c r="I5008">
        <v>5653807</v>
      </c>
    </row>
    <row r="5009" spans="1:9">
      <c r="A5009" s="2">
        <v>1995</v>
      </c>
      <c r="B5009">
        <v>10</v>
      </c>
      <c r="C5009">
        <v>2.5999999999999998E-4</v>
      </c>
      <c r="D5009">
        <v>2.5999999999999998E-4</v>
      </c>
      <c r="E5009">
        <v>0.5</v>
      </c>
      <c r="F5009">
        <v>98483</v>
      </c>
      <c r="G5009">
        <v>26</v>
      </c>
      <c r="H5009">
        <v>98470</v>
      </c>
      <c r="I5009">
        <v>5555312</v>
      </c>
    </row>
    <row r="5010" spans="1:9">
      <c r="A5010" s="2">
        <v>1995</v>
      </c>
      <c r="B5010">
        <v>11</v>
      </c>
      <c r="C5010">
        <v>3.3E-4</v>
      </c>
      <c r="D5010">
        <v>3.3E-4</v>
      </c>
      <c r="E5010">
        <v>0.5</v>
      </c>
      <c r="F5010">
        <v>98457</v>
      </c>
      <c r="G5010">
        <v>32</v>
      </c>
      <c r="H5010">
        <v>98441</v>
      </c>
      <c r="I5010">
        <v>5456842</v>
      </c>
    </row>
    <row r="5011" spans="1:9">
      <c r="A5011" s="2">
        <v>1995</v>
      </c>
      <c r="B5011">
        <v>12</v>
      </c>
      <c r="C5011">
        <v>2.9E-4</v>
      </c>
      <c r="D5011">
        <v>2.9E-4</v>
      </c>
      <c r="E5011">
        <v>0.5</v>
      </c>
      <c r="F5011">
        <v>98425</v>
      </c>
      <c r="G5011">
        <v>28</v>
      </c>
      <c r="H5011">
        <v>98411</v>
      </c>
      <c r="I5011">
        <v>5358401</v>
      </c>
    </row>
    <row r="5012" spans="1:9">
      <c r="A5012" s="2">
        <v>1995</v>
      </c>
      <c r="B5012">
        <v>13</v>
      </c>
      <c r="C5012">
        <v>3.3E-4</v>
      </c>
      <c r="D5012">
        <v>3.3E-4</v>
      </c>
      <c r="E5012">
        <v>0.5</v>
      </c>
      <c r="F5012">
        <v>98397</v>
      </c>
      <c r="G5012">
        <v>33</v>
      </c>
      <c r="H5012">
        <v>98380</v>
      </c>
      <c r="I5012">
        <v>5259990</v>
      </c>
    </row>
    <row r="5013" spans="1:9">
      <c r="A5013" s="2">
        <v>1995</v>
      </c>
      <c r="B5013">
        <v>14</v>
      </c>
      <c r="C5013">
        <v>3.2000000000000003E-4</v>
      </c>
      <c r="D5013">
        <v>3.2000000000000003E-4</v>
      </c>
      <c r="E5013">
        <v>0.5</v>
      </c>
      <c r="F5013">
        <v>98364</v>
      </c>
      <c r="G5013">
        <v>32</v>
      </c>
      <c r="H5013">
        <v>98348</v>
      </c>
      <c r="I5013">
        <v>5161610</v>
      </c>
    </row>
    <row r="5014" spans="1:9">
      <c r="A5014" s="2">
        <v>1995</v>
      </c>
      <c r="B5014">
        <v>15</v>
      </c>
      <c r="C5014">
        <v>5.6999999999999998E-4</v>
      </c>
      <c r="D5014">
        <v>5.6999999999999998E-4</v>
      </c>
      <c r="E5014">
        <v>0.5</v>
      </c>
      <c r="F5014">
        <v>98332</v>
      </c>
      <c r="G5014">
        <v>56</v>
      </c>
      <c r="H5014">
        <v>98304</v>
      </c>
      <c r="I5014">
        <v>5063262</v>
      </c>
    </row>
    <row r="5015" spans="1:9">
      <c r="A5015" s="2">
        <v>1995</v>
      </c>
      <c r="B5015">
        <v>16</v>
      </c>
      <c r="C5015">
        <v>5.1999999999999995E-4</v>
      </c>
      <c r="D5015">
        <v>5.1999999999999995E-4</v>
      </c>
      <c r="E5015">
        <v>0.5</v>
      </c>
      <c r="F5015">
        <v>98276</v>
      </c>
      <c r="G5015">
        <v>51</v>
      </c>
      <c r="H5015">
        <v>98251</v>
      </c>
      <c r="I5015">
        <v>4964957</v>
      </c>
    </row>
    <row r="5016" spans="1:9">
      <c r="A5016" s="2">
        <v>1995</v>
      </c>
      <c r="B5016">
        <v>17</v>
      </c>
      <c r="C5016">
        <v>7.9000000000000001E-4</v>
      </c>
      <c r="D5016">
        <v>7.9000000000000001E-4</v>
      </c>
      <c r="E5016">
        <v>0.5</v>
      </c>
      <c r="F5016">
        <v>98226</v>
      </c>
      <c r="G5016">
        <v>77</v>
      </c>
      <c r="H5016">
        <v>98187</v>
      </c>
      <c r="I5016">
        <v>4866706</v>
      </c>
    </row>
    <row r="5017" spans="1:9">
      <c r="A5017" s="2">
        <v>1995</v>
      </c>
      <c r="B5017">
        <v>18</v>
      </c>
      <c r="C5017">
        <v>8.9999999999999998E-4</v>
      </c>
      <c r="D5017">
        <v>8.9999999999999998E-4</v>
      </c>
      <c r="E5017">
        <v>0.5</v>
      </c>
      <c r="F5017">
        <v>98148</v>
      </c>
      <c r="G5017">
        <v>88</v>
      </c>
      <c r="H5017">
        <v>98104</v>
      </c>
      <c r="I5017">
        <v>4768519</v>
      </c>
    </row>
    <row r="5018" spans="1:9">
      <c r="A5018" s="2">
        <v>1995</v>
      </c>
      <c r="B5018">
        <v>19</v>
      </c>
      <c r="C5018">
        <v>8.8999999999999995E-4</v>
      </c>
      <c r="D5018">
        <v>8.8999999999999995E-4</v>
      </c>
      <c r="E5018">
        <v>0.5</v>
      </c>
      <c r="F5018">
        <v>98060</v>
      </c>
      <c r="G5018">
        <v>87</v>
      </c>
      <c r="H5018">
        <v>98017</v>
      </c>
      <c r="I5018">
        <v>4670415</v>
      </c>
    </row>
    <row r="5019" spans="1:9">
      <c r="A5019" s="2">
        <v>1995</v>
      </c>
      <c r="B5019">
        <v>20</v>
      </c>
      <c r="C5019">
        <v>9.3000000000000005E-4</v>
      </c>
      <c r="D5019">
        <v>9.3000000000000005E-4</v>
      </c>
      <c r="E5019">
        <v>0.5</v>
      </c>
      <c r="F5019">
        <v>97973</v>
      </c>
      <c r="G5019">
        <v>91</v>
      </c>
      <c r="H5019">
        <v>97928</v>
      </c>
      <c r="I5019">
        <v>4572399</v>
      </c>
    </row>
    <row r="5020" spans="1:9">
      <c r="A5020" s="2">
        <v>1995</v>
      </c>
      <c r="B5020">
        <v>21</v>
      </c>
      <c r="C5020">
        <v>1.0399999999999999E-3</v>
      </c>
      <c r="D5020">
        <v>1.0399999999999999E-3</v>
      </c>
      <c r="E5020">
        <v>0.5</v>
      </c>
      <c r="F5020">
        <v>97882</v>
      </c>
      <c r="G5020">
        <v>102</v>
      </c>
      <c r="H5020">
        <v>97831</v>
      </c>
      <c r="I5020">
        <v>4474471</v>
      </c>
    </row>
    <row r="5021" spans="1:9">
      <c r="A5021" s="2">
        <v>1995</v>
      </c>
      <c r="B5021">
        <v>22</v>
      </c>
      <c r="C5021">
        <v>9.7000000000000005E-4</v>
      </c>
      <c r="D5021">
        <v>9.7000000000000005E-4</v>
      </c>
      <c r="E5021">
        <v>0.5</v>
      </c>
      <c r="F5021">
        <v>97781</v>
      </c>
      <c r="G5021">
        <v>95</v>
      </c>
      <c r="H5021">
        <v>97733</v>
      </c>
      <c r="I5021">
        <v>4376640</v>
      </c>
    </row>
    <row r="5022" spans="1:9">
      <c r="A5022" s="2">
        <v>1995</v>
      </c>
      <c r="B5022">
        <v>23</v>
      </c>
      <c r="C5022">
        <v>1.1199999999999999E-3</v>
      </c>
      <c r="D5022">
        <v>1.1199999999999999E-3</v>
      </c>
      <c r="E5022">
        <v>0.5</v>
      </c>
      <c r="F5022">
        <v>97686</v>
      </c>
      <c r="G5022">
        <v>110</v>
      </c>
      <c r="H5022">
        <v>97631</v>
      </c>
      <c r="I5022">
        <v>4278906</v>
      </c>
    </row>
    <row r="5023" spans="1:9">
      <c r="A5023" s="2">
        <v>1995</v>
      </c>
      <c r="B5023">
        <v>24</v>
      </c>
      <c r="C5023">
        <v>1.2899999999999999E-3</v>
      </c>
      <c r="D5023">
        <v>1.2899999999999999E-3</v>
      </c>
      <c r="E5023">
        <v>0.5</v>
      </c>
      <c r="F5023">
        <v>97576</v>
      </c>
      <c r="G5023">
        <v>126</v>
      </c>
      <c r="H5023">
        <v>97513</v>
      </c>
      <c r="I5023">
        <v>4181275</v>
      </c>
    </row>
    <row r="5024" spans="1:9">
      <c r="A5024" s="2">
        <v>1995</v>
      </c>
      <c r="B5024">
        <v>25</v>
      </c>
      <c r="C5024">
        <v>1.2600000000000001E-3</v>
      </c>
      <c r="D5024">
        <v>1.2600000000000001E-3</v>
      </c>
      <c r="E5024">
        <v>0.5</v>
      </c>
      <c r="F5024">
        <v>97451</v>
      </c>
      <c r="G5024">
        <v>123</v>
      </c>
      <c r="H5024">
        <v>97389</v>
      </c>
      <c r="I5024">
        <v>4083762</v>
      </c>
    </row>
    <row r="5025" spans="1:9">
      <c r="A5025" s="2">
        <v>1995</v>
      </c>
      <c r="B5025">
        <v>26</v>
      </c>
      <c r="C5025">
        <v>1.39E-3</v>
      </c>
      <c r="D5025">
        <v>1.39E-3</v>
      </c>
      <c r="E5025">
        <v>0.5</v>
      </c>
      <c r="F5025">
        <v>97328</v>
      </c>
      <c r="G5025">
        <v>135</v>
      </c>
      <c r="H5025">
        <v>97260</v>
      </c>
      <c r="I5025">
        <v>3986373</v>
      </c>
    </row>
    <row r="5026" spans="1:9">
      <c r="A5026" s="2">
        <v>1995</v>
      </c>
      <c r="B5026">
        <v>27</v>
      </c>
      <c r="C5026">
        <v>1.41E-3</v>
      </c>
      <c r="D5026">
        <v>1.41E-3</v>
      </c>
      <c r="E5026">
        <v>0.5</v>
      </c>
      <c r="F5026">
        <v>97193</v>
      </c>
      <c r="G5026">
        <v>137</v>
      </c>
      <c r="H5026">
        <v>97124</v>
      </c>
      <c r="I5026">
        <v>3889112</v>
      </c>
    </row>
    <row r="5027" spans="1:9">
      <c r="A5027" s="2">
        <v>1995</v>
      </c>
      <c r="B5027">
        <v>28</v>
      </c>
      <c r="C5027">
        <v>1.7799999999999999E-3</v>
      </c>
      <c r="D5027">
        <v>1.7799999999999999E-3</v>
      </c>
      <c r="E5027">
        <v>0.5</v>
      </c>
      <c r="F5027">
        <v>97056</v>
      </c>
      <c r="G5027">
        <v>173</v>
      </c>
      <c r="H5027">
        <v>96969</v>
      </c>
      <c r="I5027">
        <v>3791988</v>
      </c>
    </row>
    <row r="5028" spans="1:9">
      <c r="A5028" s="2">
        <v>1995</v>
      </c>
      <c r="B5028">
        <v>29</v>
      </c>
      <c r="C5028">
        <v>1.8400000000000001E-3</v>
      </c>
      <c r="D5028">
        <v>1.8400000000000001E-3</v>
      </c>
      <c r="E5028">
        <v>0.5</v>
      </c>
      <c r="F5028">
        <v>96883</v>
      </c>
      <c r="G5028">
        <v>178</v>
      </c>
      <c r="H5028">
        <v>96794</v>
      </c>
      <c r="I5028">
        <v>3695019</v>
      </c>
    </row>
    <row r="5029" spans="1:9">
      <c r="A5029" s="2">
        <v>1995</v>
      </c>
      <c r="B5029">
        <v>30</v>
      </c>
      <c r="C5029">
        <v>2.2200000000000002E-3</v>
      </c>
      <c r="D5029">
        <v>2.2200000000000002E-3</v>
      </c>
      <c r="E5029">
        <v>0.5</v>
      </c>
      <c r="F5029">
        <v>96704</v>
      </c>
      <c r="G5029">
        <v>214</v>
      </c>
      <c r="H5029">
        <v>96597</v>
      </c>
      <c r="I5029">
        <v>3598225</v>
      </c>
    </row>
    <row r="5030" spans="1:9">
      <c r="A5030" s="2">
        <v>1995</v>
      </c>
      <c r="B5030">
        <v>31</v>
      </c>
      <c r="C5030">
        <v>2.32E-3</v>
      </c>
      <c r="D5030">
        <v>2.32E-3</v>
      </c>
      <c r="E5030">
        <v>0.5</v>
      </c>
      <c r="F5030">
        <v>96490</v>
      </c>
      <c r="G5030">
        <v>224</v>
      </c>
      <c r="H5030">
        <v>96378</v>
      </c>
      <c r="I5030">
        <v>3501628</v>
      </c>
    </row>
    <row r="5031" spans="1:9">
      <c r="A5031" s="2">
        <v>1995</v>
      </c>
      <c r="B5031">
        <v>32</v>
      </c>
      <c r="C5031">
        <v>2.82E-3</v>
      </c>
      <c r="D5031">
        <v>2.82E-3</v>
      </c>
      <c r="E5031">
        <v>0.5</v>
      </c>
      <c r="F5031">
        <v>96266</v>
      </c>
      <c r="G5031">
        <v>272</v>
      </c>
      <c r="H5031">
        <v>96131</v>
      </c>
      <c r="I5031">
        <v>3405250</v>
      </c>
    </row>
    <row r="5032" spans="1:9">
      <c r="A5032" s="2">
        <v>1995</v>
      </c>
      <c r="B5032">
        <v>33</v>
      </c>
      <c r="C5032">
        <v>3.62E-3</v>
      </c>
      <c r="D5032">
        <v>3.6099999999999999E-3</v>
      </c>
      <c r="E5032">
        <v>0.5</v>
      </c>
      <c r="F5032">
        <v>95995</v>
      </c>
      <c r="G5032">
        <v>347</v>
      </c>
      <c r="H5032">
        <v>95821</v>
      </c>
      <c r="I5032">
        <v>3309120</v>
      </c>
    </row>
    <row r="5033" spans="1:9">
      <c r="A5033" s="2">
        <v>1995</v>
      </c>
      <c r="B5033">
        <v>34</v>
      </c>
      <c r="C5033">
        <v>3.9300000000000003E-3</v>
      </c>
      <c r="D5033">
        <v>3.9199999999999999E-3</v>
      </c>
      <c r="E5033">
        <v>0.5</v>
      </c>
      <c r="F5033">
        <v>95648</v>
      </c>
      <c r="G5033">
        <v>375</v>
      </c>
      <c r="H5033">
        <v>95460</v>
      </c>
      <c r="I5033">
        <v>3213298</v>
      </c>
    </row>
    <row r="5034" spans="1:9">
      <c r="A5034" s="2">
        <v>1995</v>
      </c>
      <c r="B5034">
        <v>35</v>
      </c>
      <c r="C5034">
        <v>3.8899999999999998E-3</v>
      </c>
      <c r="D5034">
        <v>3.8800000000000002E-3</v>
      </c>
      <c r="E5034">
        <v>0.5</v>
      </c>
      <c r="F5034">
        <v>95273</v>
      </c>
      <c r="G5034">
        <v>370</v>
      </c>
      <c r="H5034">
        <v>95088</v>
      </c>
      <c r="I5034">
        <v>3117838</v>
      </c>
    </row>
    <row r="5035" spans="1:9">
      <c r="A5035" s="2">
        <v>1995</v>
      </c>
      <c r="B5035">
        <v>36</v>
      </c>
      <c r="C5035">
        <v>4.6699999999999997E-3</v>
      </c>
      <c r="D5035">
        <v>4.6600000000000001E-3</v>
      </c>
      <c r="E5035">
        <v>0.5</v>
      </c>
      <c r="F5035">
        <v>94903</v>
      </c>
      <c r="G5035">
        <v>443</v>
      </c>
      <c r="H5035">
        <v>94682</v>
      </c>
      <c r="I5035">
        <v>3022750</v>
      </c>
    </row>
    <row r="5036" spans="1:9">
      <c r="A5036" s="2">
        <v>1995</v>
      </c>
      <c r="B5036">
        <v>37</v>
      </c>
      <c r="C5036">
        <v>5.1999999999999998E-3</v>
      </c>
      <c r="D5036">
        <v>5.1799999999999997E-3</v>
      </c>
      <c r="E5036">
        <v>0.5</v>
      </c>
      <c r="F5036">
        <v>94461</v>
      </c>
      <c r="G5036">
        <v>490</v>
      </c>
      <c r="H5036">
        <v>94216</v>
      </c>
      <c r="I5036">
        <v>2928068</v>
      </c>
    </row>
    <row r="5037" spans="1:9">
      <c r="A5037" s="2">
        <v>1995</v>
      </c>
      <c r="B5037">
        <v>38</v>
      </c>
      <c r="C5037">
        <v>6.0099999999999997E-3</v>
      </c>
      <c r="D5037">
        <v>6.0000000000000001E-3</v>
      </c>
      <c r="E5037">
        <v>0.5</v>
      </c>
      <c r="F5037">
        <v>93971</v>
      </c>
      <c r="G5037">
        <v>563</v>
      </c>
      <c r="H5037">
        <v>93689</v>
      </c>
      <c r="I5037">
        <v>2833852</v>
      </c>
    </row>
    <row r="5038" spans="1:9">
      <c r="A5038" s="2">
        <v>1995</v>
      </c>
      <c r="B5038">
        <v>39</v>
      </c>
      <c r="C5038">
        <v>6.5900000000000004E-3</v>
      </c>
      <c r="D5038">
        <v>6.5599999999999999E-3</v>
      </c>
      <c r="E5038">
        <v>0.5</v>
      </c>
      <c r="F5038">
        <v>93408</v>
      </c>
      <c r="G5038">
        <v>613</v>
      </c>
      <c r="H5038">
        <v>93101</v>
      </c>
      <c r="I5038">
        <v>2740162</v>
      </c>
    </row>
    <row r="5039" spans="1:9">
      <c r="A5039" s="2">
        <v>1995</v>
      </c>
      <c r="B5039">
        <v>40</v>
      </c>
      <c r="C5039">
        <v>7.0499999999999998E-3</v>
      </c>
      <c r="D5039">
        <v>7.0299999999999998E-3</v>
      </c>
      <c r="E5039">
        <v>0.5</v>
      </c>
      <c r="F5039">
        <v>92795</v>
      </c>
      <c r="G5039">
        <v>652</v>
      </c>
      <c r="H5039">
        <v>92469</v>
      </c>
      <c r="I5039">
        <v>2647061</v>
      </c>
    </row>
    <row r="5040" spans="1:9">
      <c r="A5040" s="2">
        <v>1995</v>
      </c>
      <c r="B5040">
        <v>41</v>
      </c>
      <c r="C5040">
        <v>7.9699999999999997E-3</v>
      </c>
      <c r="D5040">
        <v>7.9399999999999991E-3</v>
      </c>
      <c r="E5040">
        <v>0.5</v>
      </c>
      <c r="F5040">
        <v>92143</v>
      </c>
      <c r="G5040">
        <v>732</v>
      </c>
      <c r="H5040">
        <v>91777</v>
      </c>
      <c r="I5040">
        <v>2554592</v>
      </c>
    </row>
    <row r="5041" spans="1:9">
      <c r="A5041" s="2">
        <v>1995</v>
      </c>
      <c r="B5041">
        <v>42</v>
      </c>
      <c r="C5041">
        <v>8.6800000000000002E-3</v>
      </c>
      <c r="D5041">
        <v>8.6400000000000001E-3</v>
      </c>
      <c r="E5041">
        <v>0.5</v>
      </c>
      <c r="F5041">
        <v>91411</v>
      </c>
      <c r="G5041">
        <v>790</v>
      </c>
      <c r="H5041">
        <v>91016</v>
      </c>
      <c r="I5041">
        <v>2462816</v>
      </c>
    </row>
    <row r="5042" spans="1:9">
      <c r="A5042" s="2">
        <v>1995</v>
      </c>
      <c r="B5042">
        <v>43</v>
      </c>
      <c r="C5042">
        <v>9.6100000000000005E-3</v>
      </c>
      <c r="D5042">
        <v>9.5700000000000004E-3</v>
      </c>
      <c r="E5042">
        <v>0.5</v>
      </c>
      <c r="F5042">
        <v>90621</v>
      </c>
      <c r="G5042">
        <v>867</v>
      </c>
      <c r="H5042">
        <v>90187</v>
      </c>
      <c r="I5042">
        <v>2371800</v>
      </c>
    </row>
    <row r="5043" spans="1:9">
      <c r="A5043" s="2">
        <v>1995</v>
      </c>
      <c r="B5043">
        <v>44</v>
      </c>
      <c r="C5043">
        <v>9.9100000000000004E-3</v>
      </c>
      <c r="D5043">
        <v>9.8600000000000007E-3</v>
      </c>
      <c r="E5043">
        <v>0.5</v>
      </c>
      <c r="F5043">
        <v>89754</v>
      </c>
      <c r="G5043">
        <v>885</v>
      </c>
      <c r="H5043">
        <v>89311</v>
      </c>
      <c r="I5043">
        <v>2281613</v>
      </c>
    </row>
    <row r="5044" spans="1:9">
      <c r="A5044" s="2">
        <v>1995</v>
      </c>
      <c r="B5044">
        <v>45</v>
      </c>
      <c r="C5044">
        <v>1.068E-2</v>
      </c>
      <c r="D5044">
        <v>1.0630000000000001E-2</v>
      </c>
      <c r="E5044">
        <v>0.5</v>
      </c>
      <c r="F5044">
        <v>88868</v>
      </c>
      <c r="G5044">
        <v>944</v>
      </c>
      <c r="H5044">
        <v>88396</v>
      </c>
      <c r="I5044">
        <v>2192302</v>
      </c>
    </row>
    <row r="5045" spans="1:9">
      <c r="A5045" s="2">
        <v>1995</v>
      </c>
      <c r="B5045">
        <v>46</v>
      </c>
      <c r="C5045">
        <v>1.162E-2</v>
      </c>
      <c r="D5045">
        <v>1.155E-2</v>
      </c>
      <c r="E5045">
        <v>0.5</v>
      </c>
      <c r="F5045">
        <v>87924</v>
      </c>
      <c r="G5045">
        <v>1016</v>
      </c>
      <c r="H5045">
        <v>87416</v>
      </c>
      <c r="I5045">
        <v>2103906</v>
      </c>
    </row>
    <row r="5046" spans="1:9">
      <c r="A5046" s="2">
        <v>1995</v>
      </c>
      <c r="B5046">
        <v>47</v>
      </c>
      <c r="C5046">
        <v>1.3469999999999999E-2</v>
      </c>
      <c r="D5046">
        <v>1.338E-2</v>
      </c>
      <c r="E5046">
        <v>0.5</v>
      </c>
      <c r="F5046">
        <v>86909</v>
      </c>
      <c r="G5046">
        <v>1163</v>
      </c>
      <c r="H5046">
        <v>86327</v>
      </c>
      <c r="I5046">
        <v>2016489</v>
      </c>
    </row>
    <row r="5047" spans="1:9">
      <c r="A5047" s="2">
        <v>1995</v>
      </c>
      <c r="B5047">
        <v>48</v>
      </c>
      <c r="C5047">
        <v>1.4200000000000001E-2</v>
      </c>
      <c r="D5047">
        <v>1.41E-2</v>
      </c>
      <c r="E5047">
        <v>0.5</v>
      </c>
      <c r="F5047">
        <v>85746</v>
      </c>
      <c r="G5047">
        <v>1209</v>
      </c>
      <c r="H5047">
        <v>85141</v>
      </c>
      <c r="I5047">
        <v>1930162</v>
      </c>
    </row>
    <row r="5048" spans="1:9">
      <c r="A5048" s="2">
        <v>1995</v>
      </c>
      <c r="B5048">
        <v>49</v>
      </c>
      <c r="C5048">
        <v>1.404E-2</v>
      </c>
      <c r="D5048">
        <v>1.3939999999999999E-2</v>
      </c>
      <c r="E5048">
        <v>0.5</v>
      </c>
      <c r="F5048">
        <v>84537</v>
      </c>
      <c r="G5048">
        <v>1178</v>
      </c>
      <c r="H5048">
        <v>83947</v>
      </c>
      <c r="I5048">
        <v>1845021</v>
      </c>
    </row>
    <row r="5049" spans="1:9">
      <c r="A5049" s="2">
        <v>1995</v>
      </c>
      <c r="B5049">
        <v>50</v>
      </c>
      <c r="C5049">
        <v>1.5859999999999999E-2</v>
      </c>
      <c r="D5049">
        <v>1.5740000000000001E-2</v>
      </c>
      <c r="E5049">
        <v>0.5</v>
      </c>
      <c r="F5049">
        <v>83358</v>
      </c>
      <c r="G5049">
        <v>1312</v>
      </c>
      <c r="H5049">
        <v>82702</v>
      </c>
      <c r="I5049">
        <v>1761074</v>
      </c>
    </row>
    <row r="5050" spans="1:9">
      <c r="A5050" s="2">
        <v>1995</v>
      </c>
      <c r="B5050">
        <v>51</v>
      </c>
      <c r="C5050">
        <v>1.7559999999999999E-2</v>
      </c>
      <c r="D5050">
        <v>1.7409999999999998E-2</v>
      </c>
      <c r="E5050">
        <v>0.5</v>
      </c>
      <c r="F5050">
        <v>82046</v>
      </c>
      <c r="G5050">
        <v>1428</v>
      </c>
      <c r="H5050">
        <v>81332</v>
      </c>
      <c r="I5050">
        <v>1678371</v>
      </c>
    </row>
    <row r="5051" spans="1:9">
      <c r="A5051" s="2">
        <v>1995</v>
      </c>
      <c r="B5051">
        <v>52</v>
      </c>
      <c r="C5051">
        <v>1.712E-2</v>
      </c>
      <c r="D5051">
        <v>1.6969999999999999E-2</v>
      </c>
      <c r="E5051">
        <v>0.5</v>
      </c>
      <c r="F5051">
        <v>80618</v>
      </c>
      <c r="G5051">
        <v>1368</v>
      </c>
      <c r="H5051">
        <v>79933</v>
      </c>
      <c r="I5051">
        <v>1597040</v>
      </c>
    </row>
    <row r="5052" spans="1:9">
      <c r="A5052" s="2">
        <v>1995</v>
      </c>
      <c r="B5052">
        <v>53</v>
      </c>
      <c r="C5052">
        <v>1.9859999999999999E-2</v>
      </c>
      <c r="D5052">
        <v>1.967E-2</v>
      </c>
      <c r="E5052">
        <v>0.5</v>
      </c>
      <c r="F5052">
        <v>79249</v>
      </c>
      <c r="G5052">
        <v>1559</v>
      </c>
      <c r="H5052">
        <v>78470</v>
      </c>
      <c r="I5052">
        <v>1517106</v>
      </c>
    </row>
    <row r="5053" spans="1:9">
      <c r="A5053" s="2">
        <v>1995</v>
      </c>
      <c r="B5053">
        <v>54</v>
      </c>
      <c r="C5053">
        <v>2.0789999999999999E-2</v>
      </c>
      <c r="D5053">
        <v>2.0580000000000001E-2</v>
      </c>
      <c r="E5053">
        <v>0.5</v>
      </c>
      <c r="F5053">
        <v>77691</v>
      </c>
      <c r="G5053">
        <v>1599</v>
      </c>
      <c r="H5053">
        <v>76891</v>
      </c>
      <c r="I5053">
        <v>1438636</v>
      </c>
    </row>
    <row r="5054" spans="1:9">
      <c r="A5054" s="2">
        <v>1995</v>
      </c>
      <c r="B5054">
        <v>55</v>
      </c>
      <c r="C5054">
        <v>2.188E-2</v>
      </c>
      <c r="D5054">
        <v>2.164E-2</v>
      </c>
      <c r="E5054">
        <v>0.5</v>
      </c>
      <c r="F5054">
        <v>76092</v>
      </c>
      <c r="G5054">
        <v>1647</v>
      </c>
      <c r="H5054">
        <v>75269</v>
      </c>
      <c r="I5054">
        <v>1361745</v>
      </c>
    </row>
    <row r="5055" spans="1:9">
      <c r="A5055" s="2">
        <v>1995</v>
      </c>
      <c r="B5055">
        <v>56</v>
      </c>
      <c r="C5055">
        <v>2.2929999999999999E-2</v>
      </c>
      <c r="D5055">
        <v>2.2669999999999999E-2</v>
      </c>
      <c r="E5055">
        <v>0.5</v>
      </c>
      <c r="F5055">
        <v>74445</v>
      </c>
      <c r="G5055">
        <v>1687</v>
      </c>
      <c r="H5055">
        <v>73602</v>
      </c>
      <c r="I5055">
        <v>1286477</v>
      </c>
    </row>
    <row r="5056" spans="1:9">
      <c r="A5056" s="2">
        <v>1995</v>
      </c>
      <c r="B5056">
        <v>57</v>
      </c>
      <c r="C5056">
        <v>2.5360000000000001E-2</v>
      </c>
      <c r="D5056">
        <v>2.504E-2</v>
      </c>
      <c r="E5056">
        <v>0.5</v>
      </c>
      <c r="F5056">
        <v>72758</v>
      </c>
      <c r="G5056">
        <v>1822</v>
      </c>
      <c r="H5056">
        <v>71847</v>
      </c>
      <c r="I5056">
        <v>1212875</v>
      </c>
    </row>
    <row r="5057" spans="1:9">
      <c r="A5057" s="2">
        <v>1995</v>
      </c>
      <c r="B5057">
        <v>58</v>
      </c>
      <c r="C5057">
        <v>2.76E-2</v>
      </c>
      <c r="D5057">
        <v>2.7220000000000001E-2</v>
      </c>
      <c r="E5057">
        <v>0.5</v>
      </c>
      <c r="F5057">
        <v>70936</v>
      </c>
      <c r="G5057">
        <v>1931</v>
      </c>
      <c r="H5057">
        <v>69970</v>
      </c>
      <c r="I5057">
        <v>1141028</v>
      </c>
    </row>
    <row r="5058" spans="1:9">
      <c r="A5058" s="2">
        <v>1995</v>
      </c>
      <c r="B5058">
        <v>59</v>
      </c>
      <c r="C5058">
        <v>2.8420000000000001E-2</v>
      </c>
      <c r="D5058">
        <v>2.802E-2</v>
      </c>
      <c r="E5058">
        <v>0.5</v>
      </c>
      <c r="F5058">
        <v>69005</v>
      </c>
      <c r="G5058">
        <v>1934</v>
      </c>
      <c r="H5058">
        <v>68038</v>
      </c>
      <c r="I5058">
        <v>1071058</v>
      </c>
    </row>
    <row r="5059" spans="1:9">
      <c r="A5059" s="2">
        <v>1995</v>
      </c>
      <c r="B5059">
        <v>60</v>
      </c>
      <c r="C5059">
        <v>2.93E-2</v>
      </c>
      <c r="D5059">
        <v>2.8879999999999999E-2</v>
      </c>
      <c r="E5059">
        <v>0.5</v>
      </c>
      <c r="F5059">
        <v>67071</v>
      </c>
      <c r="G5059">
        <v>1937</v>
      </c>
      <c r="H5059">
        <v>66103</v>
      </c>
      <c r="I5059">
        <v>1003020</v>
      </c>
    </row>
    <row r="5060" spans="1:9">
      <c r="A5060" s="2">
        <v>1995</v>
      </c>
      <c r="B5060">
        <v>61</v>
      </c>
      <c r="C5060">
        <v>3.1359999999999999E-2</v>
      </c>
      <c r="D5060">
        <v>3.0870000000000002E-2</v>
      </c>
      <c r="E5060">
        <v>0.5</v>
      </c>
      <c r="F5060">
        <v>65134</v>
      </c>
      <c r="G5060">
        <v>2011</v>
      </c>
      <c r="H5060">
        <v>64129</v>
      </c>
      <c r="I5060">
        <v>936917</v>
      </c>
    </row>
    <row r="5061" spans="1:9">
      <c r="A5061" s="2">
        <v>1995</v>
      </c>
      <c r="B5061">
        <v>62</v>
      </c>
      <c r="C5061">
        <v>3.2550000000000003E-2</v>
      </c>
      <c r="D5061">
        <v>3.2030000000000003E-2</v>
      </c>
      <c r="E5061">
        <v>0.5</v>
      </c>
      <c r="F5061">
        <v>63123</v>
      </c>
      <c r="G5061">
        <v>2022</v>
      </c>
      <c r="H5061">
        <v>62112</v>
      </c>
      <c r="I5061">
        <v>872788</v>
      </c>
    </row>
    <row r="5062" spans="1:9">
      <c r="A5062" s="2">
        <v>1995</v>
      </c>
      <c r="B5062">
        <v>63</v>
      </c>
      <c r="C5062">
        <v>3.5110000000000002E-2</v>
      </c>
      <c r="D5062">
        <v>3.4500000000000003E-2</v>
      </c>
      <c r="E5062">
        <v>0.5</v>
      </c>
      <c r="F5062">
        <v>61102</v>
      </c>
      <c r="G5062">
        <v>2108</v>
      </c>
      <c r="H5062">
        <v>60047</v>
      </c>
      <c r="I5062">
        <v>810676</v>
      </c>
    </row>
    <row r="5063" spans="1:9">
      <c r="A5063" s="2">
        <v>1995</v>
      </c>
      <c r="B5063">
        <v>64</v>
      </c>
      <c r="C5063">
        <v>3.7909999999999999E-2</v>
      </c>
      <c r="D5063">
        <v>3.721E-2</v>
      </c>
      <c r="E5063">
        <v>0.5</v>
      </c>
      <c r="F5063">
        <v>58993</v>
      </c>
      <c r="G5063">
        <v>2195</v>
      </c>
      <c r="H5063">
        <v>57896</v>
      </c>
      <c r="I5063">
        <v>750628</v>
      </c>
    </row>
    <row r="5064" spans="1:9">
      <c r="A5064" s="2">
        <v>1995</v>
      </c>
      <c r="B5064">
        <v>65</v>
      </c>
      <c r="C5064">
        <v>4.129E-2</v>
      </c>
      <c r="D5064">
        <v>4.045E-2</v>
      </c>
      <c r="E5064">
        <v>0.5</v>
      </c>
      <c r="F5064">
        <v>56798</v>
      </c>
      <c r="G5064">
        <v>2298</v>
      </c>
      <c r="H5064">
        <v>55650</v>
      </c>
      <c r="I5064">
        <v>692733</v>
      </c>
    </row>
    <row r="5065" spans="1:9">
      <c r="A5065" s="2">
        <v>1995</v>
      </c>
      <c r="B5065">
        <v>66</v>
      </c>
      <c r="C5065">
        <v>4.5220000000000003E-2</v>
      </c>
      <c r="D5065">
        <v>4.4220000000000002E-2</v>
      </c>
      <c r="E5065">
        <v>0.5</v>
      </c>
      <c r="F5065">
        <v>54501</v>
      </c>
      <c r="G5065">
        <v>2410</v>
      </c>
      <c r="H5065">
        <v>53296</v>
      </c>
      <c r="I5065">
        <v>637083</v>
      </c>
    </row>
    <row r="5066" spans="1:9">
      <c r="A5066" s="2">
        <v>1995</v>
      </c>
      <c r="B5066">
        <v>67</v>
      </c>
      <c r="C5066">
        <v>4.5850000000000002E-2</v>
      </c>
      <c r="D5066">
        <v>4.4830000000000002E-2</v>
      </c>
      <c r="E5066">
        <v>0.5</v>
      </c>
      <c r="F5066">
        <v>52091</v>
      </c>
      <c r="G5066">
        <v>2335</v>
      </c>
      <c r="H5066">
        <v>50923</v>
      </c>
      <c r="I5066">
        <v>583787</v>
      </c>
    </row>
    <row r="5067" spans="1:9">
      <c r="A5067" s="2">
        <v>1995</v>
      </c>
      <c r="B5067">
        <v>68</v>
      </c>
      <c r="C5067">
        <v>4.9099999999999998E-2</v>
      </c>
      <c r="D5067">
        <v>4.7919999999999997E-2</v>
      </c>
      <c r="E5067">
        <v>0.5</v>
      </c>
      <c r="F5067">
        <v>49756</v>
      </c>
      <c r="G5067">
        <v>2384</v>
      </c>
      <c r="H5067">
        <v>48563</v>
      </c>
      <c r="I5067">
        <v>532864</v>
      </c>
    </row>
    <row r="5068" spans="1:9">
      <c r="A5068" s="2">
        <v>1995</v>
      </c>
      <c r="B5068">
        <v>69</v>
      </c>
      <c r="C5068">
        <v>5.3780000000000001E-2</v>
      </c>
      <c r="D5068">
        <v>5.237E-2</v>
      </c>
      <c r="E5068">
        <v>0.5</v>
      </c>
      <c r="F5068">
        <v>47371</v>
      </c>
      <c r="G5068">
        <v>2481</v>
      </c>
      <c r="H5068">
        <v>46131</v>
      </c>
      <c r="I5068">
        <v>484301</v>
      </c>
    </row>
    <row r="5069" spans="1:9">
      <c r="A5069" s="2">
        <v>1995</v>
      </c>
      <c r="B5069">
        <v>70</v>
      </c>
      <c r="C5069">
        <v>5.5840000000000001E-2</v>
      </c>
      <c r="D5069">
        <v>5.4330000000000003E-2</v>
      </c>
      <c r="E5069">
        <v>0.5</v>
      </c>
      <c r="F5069">
        <v>44890</v>
      </c>
      <c r="G5069">
        <v>2439</v>
      </c>
      <c r="H5069">
        <v>43671</v>
      </c>
      <c r="I5069">
        <v>438170</v>
      </c>
    </row>
    <row r="5070" spans="1:9">
      <c r="A5070" s="2">
        <v>1995</v>
      </c>
      <c r="B5070">
        <v>71</v>
      </c>
      <c r="C5070">
        <v>6.3990000000000005E-2</v>
      </c>
      <c r="D5070">
        <v>6.2E-2</v>
      </c>
      <c r="E5070">
        <v>0.5</v>
      </c>
      <c r="F5070">
        <v>42452</v>
      </c>
      <c r="G5070">
        <v>2632</v>
      </c>
      <c r="H5070">
        <v>41136</v>
      </c>
      <c r="I5070">
        <v>394499</v>
      </c>
    </row>
    <row r="5071" spans="1:9">
      <c r="A5071" s="2">
        <v>1995</v>
      </c>
      <c r="B5071">
        <v>72</v>
      </c>
      <c r="C5071">
        <v>6.6009999999999999E-2</v>
      </c>
      <c r="D5071">
        <v>6.3899999999999998E-2</v>
      </c>
      <c r="E5071">
        <v>0.5</v>
      </c>
      <c r="F5071">
        <v>39819</v>
      </c>
      <c r="G5071">
        <v>2545</v>
      </c>
      <c r="H5071">
        <v>38547</v>
      </c>
      <c r="I5071">
        <v>353363</v>
      </c>
    </row>
    <row r="5072" spans="1:9">
      <c r="A5072" s="2">
        <v>1995</v>
      </c>
      <c r="B5072">
        <v>73</v>
      </c>
      <c r="C5072">
        <v>6.8930000000000005E-2</v>
      </c>
      <c r="D5072">
        <v>6.6640000000000005E-2</v>
      </c>
      <c r="E5072">
        <v>0.5</v>
      </c>
      <c r="F5072">
        <v>37275</v>
      </c>
      <c r="G5072">
        <v>2484</v>
      </c>
      <c r="H5072">
        <v>36033</v>
      </c>
      <c r="I5072">
        <v>314816</v>
      </c>
    </row>
    <row r="5073" spans="1:9">
      <c r="A5073" s="2">
        <v>1995</v>
      </c>
      <c r="B5073">
        <v>74</v>
      </c>
      <c r="C5073">
        <v>7.3190000000000005E-2</v>
      </c>
      <c r="D5073">
        <v>7.0610000000000006E-2</v>
      </c>
      <c r="E5073">
        <v>0.5</v>
      </c>
      <c r="F5073">
        <v>34791</v>
      </c>
      <c r="G5073">
        <v>2457</v>
      </c>
      <c r="H5073">
        <v>33563</v>
      </c>
      <c r="I5073">
        <v>278783</v>
      </c>
    </row>
    <row r="5074" spans="1:9">
      <c r="A5074" s="2">
        <v>1995</v>
      </c>
      <c r="B5074">
        <v>75</v>
      </c>
      <c r="C5074">
        <v>8.8650000000000007E-2</v>
      </c>
      <c r="D5074">
        <v>8.4889999999999993E-2</v>
      </c>
      <c r="E5074">
        <v>0.5</v>
      </c>
      <c r="F5074">
        <v>32335</v>
      </c>
      <c r="G5074">
        <v>2745</v>
      </c>
      <c r="H5074">
        <v>30962</v>
      </c>
      <c r="I5074">
        <v>245220</v>
      </c>
    </row>
    <row r="5075" spans="1:9">
      <c r="A5075" s="2">
        <v>1995</v>
      </c>
      <c r="B5075">
        <v>76</v>
      </c>
      <c r="C5075">
        <v>7.7660000000000007E-2</v>
      </c>
      <c r="D5075">
        <v>7.4749999999999997E-2</v>
      </c>
      <c r="E5075">
        <v>0.5</v>
      </c>
      <c r="F5075">
        <v>29590</v>
      </c>
      <c r="G5075">
        <v>2212</v>
      </c>
      <c r="H5075">
        <v>28484</v>
      </c>
      <c r="I5075">
        <v>214258</v>
      </c>
    </row>
    <row r="5076" spans="1:9">
      <c r="A5076" s="2">
        <v>1995</v>
      </c>
      <c r="B5076">
        <v>77</v>
      </c>
      <c r="C5076">
        <v>9.3210000000000001E-2</v>
      </c>
      <c r="D5076">
        <v>8.906E-2</v>
      </c>
      <c r="E5076">
        <v>0.5</v>
      </c>
      <c r="F5076">
        <v>27378</v>
      </c>
      <c r="G5076">
        <v>2438</v>
      </c>
      <c r="H5076">
        <v>26159</v>
      </c>
      <c r="I5076">
        <v>185774</v>
      </c>
    </row>
    <row r="5077" spans="1:9">
      <c r="A5077" s="2">
        <v>1995</v>
      </c>
      <c r="B5077">
        <v>78</v>
      </c>
      <c r="C5077">
        <v>9.7070000000000004E-2</v>
      </c>
      <c r="D5077">
        <v>9.2579999999999996E-2</v>
      </c>
      <c r="E5077">
        <v>0.5</v>
      </c>
      <c r="F5077">
        <v>24940</v>
      </c>
      <c r="G5077">
        <v>2309</v>
      </c>
      <c r="H5077">
        <v>23785</v>
      </c>
      <c r="I5077">
        <v>159616</v>
      </c>
    </row>
    <row r="5078" spans="1:9">
      <c r="A5078" s="2">
        <v>1995</v>
      </c>
      <c r="B5078">
        <v>79</v>
      </c>
      <c r="C5078">
        <v>0.10184</v>
      </c>
      <c r="D5078">
        <v>9.6909999999999996E-2</v>
      </c>
      <c r="E5078">
        <v>0.5</v>
      </c>
      <c r="F5078">
        <v>22631</v>
      </c>
      <c r="G5078">
        <v>2193</v>
      </c>
      <c r="H5078">
        <v>21534</v>
      </c>
      <c r="I5078">
        <v>135831</v>
      </c>
    </row>
    <row r="5079" spans="1:9">
      <c r="A5079" s="2">
        <v>1995</v>
      </c>
      <c r="B5079">
        <v>80</v>
      </c>
      <c r="C5079">
        <v>0.13056999999999999</v>
      </c>
      <c r="D5079">
        <v>0.12257</v>
      </c>
      <c r="E5079">
        <v>0.5</v>
      </c>
      <c r="F5079">
        <v>20438</v>
      </c>
      <c r="G5079">
        <v>2505</v>
      </c>
      <c r="H5079">
        <v>19185</v>
      </c>
      <c r="I5079">
        <v>114296</v>
      </c>
    </row>
    <row r="5080" spans="1:9">
      <c r="A5080" s="2">
        <v>1995</v>
      </c>
      <c r="B5080">
        <v>81</v>
      </c>
      <c r="C5080">
        <v>0.13342000000000001</v>
      </c>
      <c r="D5080">
        <v>0.12508</v>
      </c>
      <c r="E5080">
        <v>0.5</v>
      </c>
      <c r="F5080">
        <v>17933</v>
      </c>
      <c r="G5080">
        <v>2243</v>
      </c>
      <c r="H5080">
        <v>16811</v>
      </c>
      <c r="I5080">
        <v>95111</v>
      </c>
    </row>
    <row r="5081" spans="1:9">
      <c r="A5081" s="2">
        <v>1995</v>
      </c>
      <c r="B5081">
        <v>82</v>
      </c>
      <c r="C5081">
        <v>0.14251</v>
      </c>
      <c r="D5081">
        <v>0.13303000000000001</v>
      </c>
      <c r="E5081">
        <v>0.5</v>
      </c>
      <c r="F5081">
        <v>15690</v>
      </c>
      <c r="G5081">
        <v>2087</v>
      </c>
      <c r="H5081">
        <v>14646</v>
      </c>
      <c r="I5081">
        <v>78300</v>
      </c>
    </row>
    <row r="5082" spans="1:9">
      <c r="A5082" s="2">
        <v>1995</v>
      </c>
      <c r="B5082">
        <v>83</v>
      </c>
      <c r="C5082">
        <v>0.15697</v>
      </c>
      <c r="D5082">
        <v>0.14555000000000001</v>
      </c>
      <c r="E5082">
        <v>0.5</v>
      </c>
      <c r="F5082">
        <v>13602</v>
      </c>
      <c r="G5082">
        <v>1980</v>
      </c>
      <c r="H5082">
        <v>12613</v>
      </c>
      <c r="I5082">
        <v>63654</v>
      </c>
    </row>
    <row r="5083" spans="1:9">
      <c r="A5083" s="2">
        <v>1995</v>
      </c>
      <c r="B5083">
        <v>84</v>
      </c>
      <c r="C5083">
        <v>0.17149</v>
      </c>
      <c r="D5083">
        <v>0.15794</v>
      </c>
      <c r="E5083">
        <v>0.5</v>
      </c>
      <c r="F5083">
        <v>11623</v>
      </c>
      <c r="G5083">
        <v>1836</v>
      </c>
      <c r="H5083">
        <v>10705</v>
      </c>
      <c r="I5083">
        <v>51041</v>
      </c>
    </row>
    <row r="5084" spans="1:9">
      <c r="A5084" s="2">
        <v>1995</v>
      </c>
      <c r="B5084">
        <v>85</v>
      </c>
      <c r="C5084">
        <v>0.18809999999999999</v>
      </c>
      <c r="D5084">
        <v>0.17193</v>
      </c>
      <c r="E5084">
        <v>0.5</v>
      </c>
      <c r="F5084">
        <v>9787</v>
      </c>
      <c r="G5084">
        <v>1683</v>
      </c>
      <c r="H5084">
        <v>8946</v>
      </c>
      <c r="I5084">
        <v>40337</v>
      </c>
    </row>
    <row r="5085" spans="1:9">
      <c r="A5085" s="2">
        <v>1995</v>
      </c>
      <c r="B5085">
        <v>86</v>
      </c>
      <c r="C5085">
        <v>0.20544999999999999</v>
      </c>
      <c r="D5085">
        <v>0.18631</v>
      </c>
      <c r="E5085">
        <v>0.5</v>
      </c>
      <c r="F5085">
        <v>8104</v>
      </c>
      <c r="G5085">
        <v>1510</v>
      </c>
      <c r="H5085">
        <v>7349</v>
      </c>
      <c r="I5085">
        <v>31391</v>
      </c>
    </row>
    <row r="5086" spans="1:9">
      <c r="A5086" s="2">
        <v>1995</v>
      </c>
      <c r="B5086">
        <v>87</v>
      </c>
      <c r="C5086">
        <v>0.21778</v>
      </c>
      <c r="D5086">
        <v>0.19639999999999999</v>
      </c>
      <c r="E5086">
        <v>0.5</v>
      </c>
      <c r="F5086">
        <v>6594</v>
      </c>
      <c r="G5086">
        <v>1295</v>
      </c>
      <c r="H5086">
        <v>5947</v>
      </c>
      <c r="I5086">
        <v>24042</v>
      </c>
    </row>
    <row r="5087" spans="1:9">
      <c r="A5087" s="2">
        <v>1995</v>
      </c>
      <c r="B5087">
        <v>88</v>
      </c>
      <c r="C5087">
        <v>0.24581</v>
      </c>
      <c r="D5087">
        <v>0.21890000000000001</v>
      </c>
      <c r="E5087">
        <v>0.5</v>
      </c>
      <c r="F5087">
        <v>5299</v>
      </c>
      <c r="G5087">
        <v>1160</v>
      </c>
      <c r="H5087">
        <v>4719</v>
      </c>
      <c r="I5087">
        <v>18095</v>
      </c>
    </row>
    <row r="5088" spans="1:9">
      <c r="A5088" s="2">
        <v>1995</v>
      </c>
      <c r="B5088">
        <v>89</v>
      </c>
      <c r="C5088">
        <v>0.24831</v>
      </c>
      <c r="D5088">
        <v>0.22087999999999999</v>
      </c>
      <c r="E5088">
        <v>0.5</v>
      </c>
      <c r="F5088">
        <v>4139</v>
      </c>
      <c r="G5088">
        <v>914</v>
      </c>
      <c r="H5088">
        <v>3682</v>
      </c>
      <c r="I5088">
        <v>13376</v>
      </c>
    </row>
    <row r="5089" spans="1:9">
      <c r="A5089" s="2">
        <v>1995</v>
      </c>
      <c r="B5089">
        <v>90</v>
      </c>
      <c r="C5089">
        <v>0.27385999999999999</v>
      </c>
      <c r="D5089">
        <v>0.24088000000000001</v>
      </c>
      <c r="E5089">
        <v>0.5</v>
      </c>
      <c r="F5089">
        <v>3225</v>
      </c>
      <c r="G5089">
        <v>777</v>
      </c>
      <c r="H5089">
        <v>2837</v>
      </c>
      <c r="I5089">
        <v>9694</v>
      </c>
    </row>
    <row r="5090" spans="1:9">
      <c r="A5090" s="2">
        <v>1995</v>
      </c>
      <c r="B5090">
        <v>91</v>
      </c>
      <c r="C5090">
        <v>0.30270000000000002</v>
      </c>
      <c r="D5090">
        <v>0.26290999999999998</v>
      </c>
      <c r="E5090">
        <v>0.5</v>
      </c>
      <c r="F5090">
        <v>2448</v>
      </c>
      <c r="G5090">
        <v>644</v>
      </c>
      <c r="H5090">
        <v>2126</v>
      </c>
      <c r="I5090">
        <v>6857</v>
      </c>
    </row>
    <row r="5091" spans="1:9">
      <c r="A5091" s="2">
        <v>1995</v>
      </c>
      <c r="B5091">
        <v>92</v>
      </c>
      <c r="C5091">
        <v>0.33588000000000001</v>
      </c>
      <c r="D5091">
        <v>0.28758</v>
      </c>
      <c r="E5091">
        <v>0.5</v>
      </c>
      <c r="F5091">
        <v>1804</v>
      </c>
      <c r="G5091">
        <v>519</v>
      </c>
      <c r="H5091">
        <v>1545</v>
      </c>
      <c r="I5091">
        <v>4731</v>
      </c>
    </row>
    <row r="5092" spans="1:9">
      <c r="A5092" s="2">
        <v>1995</v>
      </c>
      <c r="B5092">
        <v>93</v>
      </c>
      <c r="C5092">
        <v>0.39407999999999999</v>
      </c>
      <c r="D5092">
        <v>0.32921</v>
      </c>
      <c r="E5092">
        <v>0.5</v>
      </c>
      <c r="F5092">
        <v>1286</v>
      </c>
      <c r="G5092">
        <v>423</v>
      </c>
      <c r="H5092">
        <v>1074</v>
      </c>
      <c r="I5092">
        <v>3186</v>
      </c>
    </row>
    <row r="5093" spans="1:9">
      <c r="A5093" s="2">
        <v>1995</v>
      </c>
      <c r="B5093">
        <v>94</v>
      </c>
      <c r="C5093">
        <v>0.35419</v>
      </c>
      <c r="D5093">
        <v>0.3009</v>
      </c>
      <c r="E5093">
        <v>0.5</v>
      </c>
      <c r="F5093">
        <v>862</v>
      </c>
      <c r="G5093">
        <v>259</v>
      </c>
      <c r="H5093">
        <v>733</v>
      </c>
      <c r="I5093">
        <v>2112</v>
      </c>
    </row>
    <row r="5094" spans="1:9">
      <c r="A5094" s="2">
        <v>1995</v>
      </c>
      <c r="B5094">
        <v>95</v>
      </c>
      <c r="C5094">
        <v>0.39689000000000002</v>
      </c>
      <c r="D5094">
        <v>0.33117000000000002</v>
      </c>
      <c r="E5094">
        <v>0.5</v>
      </c>
      <c r="F5094">
        <v>603</v>
      </c>
      <c r="G5094">
        <v>200</v>
      </c>
      <c r="H5094">
        <v>503</v>
      </c>
      <c r="I5094">
        <v>1379</v>
      </c>
    </row>
    <row r="5095" spans="1:9">
      <c r="A5095" s="2">
        <v>1995</v>
      </c>
      <c r="B5095">
        <v>96</v>
      </c>
      <c r="C5095">
        <v>0.4219</v>
      </c>
      <c r="D5095">
        <v>0.34841</v>
      </c>
      <c r="E5095">
        <v>0.5</v>
      </c>
      <c r="F5095">
        <v>403</v>
      </c>
      <c r="G5095">
        <v>140</v>
      </c>
      <c r="H5095">
        <v>333</v>
      </c>
      <c r="I5095">
        <v>876</v>
      </c>
    </row>
    <row r="5096" spans="1:9">
      <c r="A5096" s="2">
        <v>1995</v>
      </c>
      <c r="B5096">
        <v>97</v>
      </c>
      <c r="C5096">
        <v>0.44733000000000001</v>
      </c>
      <c r="D5096">
        <v>0.36556</v>
      </c>
      <c r="E5096">
        <v>0.5</v>
      </c>
      <c r="F5096">
        <v>263</v>
      </c>
      <c r="G5096">
        <v>96</v>
      </c>
      <c r="H5096">
        <v>215</v>
      </c>
      <c r="I5096">
        <v>543</v>
      </c>
    </row>
    <row r="5097" spans="1:9">
      <c r="A5097" s="2">
        <v>1995</v>
      </c>
      <c r="B5097">
        <v>98</v>
      </c>
      <c r="C5097">
        <v>0.47303000000000001</v>
      </c>
      <c r="D5097">
        <v>0.38255</v>
      </c>
      <c r="E5097">
        <v>0.5</v>
      </c>
      <c r="F5097">
        <v>167</v>
      </c>
      <c r="G5097">
        <v>64</v>
      </c>
      <c r="H5097">
        <v>135</v>
      </c>
      <c r="I5097">
        <v>329</v>
      </c>
    </row>
    <row r="5098" spans="1:9">
      <c r="A5098" s="2">
        <v>1995</v>
      </c>
      <c r="B5098">
        <v>99</v>
      </c>
      <c r="C5098">
        <v>0.49886999999999998</v>
      </c>
      <c r="D5098">
        <v>0.39928000000000002</v>
      </c>
      <c r="E5098">
        <v>0.5</v>
      </c>
      <c r="F5098">
        <v>103</v>
      </c>
      <c r="G5098">
        <v>41</v>
      </c>
      <c r="H5098">
        <v>82</v>
      </c>
      <c r="I5098">
        <v>194</v>
      </c>
    </row>
    <row r="5099" spans="1:9">
      <c r="A5099" s="2">
        <v>1995</v>
      </c>
      <c r="B5099">
        <v>100</v>
      </c>
      <c r="C5099">
        <v>0.52471999999999996</v>
      </c>
      <c r="D5099">
        <v>0.41566999999999998</v>
      </c>
      <c r="E5099">
        <v>0.5</v>
      </c>
      <c r="F5099">
        <v>62</v>
      </c>
      <c r="G5099">
        <v>26</v>
      </c>
      <c r="H5099">
        <v>49</v>
      </c>
      <c r="I5099">
        <v>111</v>
      </c>
    </row>
    <row r="5100" spans="1:9">
      <c r="A5100" s="2">
        <v>1995</v>
      </c>
      <c r="B5100">
        <v>101</v>
      </c>
      <c r="C5100">
        <v>0.55044000000000004</v>
      </c>
      <c r="D5100">
        <v>0.43164000000000002</v>
      </c>
      <c r="E5100">
        <v>0.5</v>
      </c>
      <c r="F5100">
        <v>36</v>
      </c>
      <c r="G5100">
        <v>16</v>
      </c>
      <c r="H5100">
        <v>28</v>
      </c>
      <c r="I5100">
        <v>62</v>
      </c>
    </row>
    <row r="5101" spans="1:9">
      <c r="A5101" s="2">
        <v>1995</v>
      </c>
      <c r="B5101">
        <v>102</v>
      </c>
      <c r="C5101">
        <v>0.57589000000000001</v>
      </c>
      <c r="D5101">
        <v>0.44713999999999998</v>
      </c>
      <c r="E5101">
        <v>0.5</v>
      </c>
      <c r="F5101">
        <v>21</v>
      </c>
      <c r="G5101">
        <v>9</v>
      </c>
      <c r="H5101">
        <v>16</v>
      </c>
      <c r="I5101">
        <v>34</v>
      </c>
    </row>
    <row r="5102" spans="1:9">
      <c r="A5102" s="2">
        <v>1995</v>
      </c>
      <c r="B5102">
        <v>103</v>
      </c>
      <c r="C5102">
        <v>0.60094999999999998</v>
      </c>
      <c r="D5102">
        <v>0.46210000000000001</v>
      </c>
      <c r="E5102">
        <v>0.5</v>
      </c>
      <c r="F5102">
        <v>11</v>
      </c>
      <c r="G5102">
        <v>5</v>
      </c>
      <c r="H5102">
        <v>9</v>
      </c>
      <c r="I5102">
        <v>18</v>
      </c>
    </row>
    <row r="5103" spans="1:9">
      <c r="A5103" s="2">
        <v>1995</v>
      </c>
      <c r="B5103">
        <v>104</v>
      </c>
      <c r="C5103">
        <v>0.62548000000000004</v>
      </c>
      <c r="D5103">
        <v>0.47647</v>
      </c>
      <c r="E5103">
        <v>0.5</v>
      </c>
      <c r="F5103">
        <v>6</v>
      </c>
      <c r="G5103">
        <v>3</v>
      </c>
      <c r="H5103">
        <v>5</v>
      </c>
      <c r="I5103">
        <v>9</v>
      </c>
    </row>
    <row r="5104" spans="1:9">
      <c r="A5104" s="2">
        <v>1995</v>
      </c>
      <c r="B5104">
        <v>105</v>
      </c>
      <c r="C5104">
        <v>0.64939000000000002</v>
      </c>
      <c r="D5104">
        <v>0.49021999999999999</v>
      </c>
      <c r="E5104">
        <v>0.5</v>
      </c>
      <c r="F5104">
        <v>3</v>
      </c>
      <c r="G5104">
        <v>2</v>
      </c>
      <c r="H5104">
        <v>2</v>
      </c>
      <c r="I5104">
        <v>5</v>
      </c>
    </row>
    <row r="5105" spans="1:9">
      <c r="A5105" s="2">
        <v>1995</v>
      </c>
      <c r="B5105">
        <v>106</v>
      </c>
      <c r="C5105">
        <v>0.67257</v>
      </c>
      <c r="D5105">
        <v>0.50331999999999999</v>
      </c>
      <c r="E5105">
        <v>0.5</v>
      </c>
      <c r="F5105">
        <v>2</v>
      </c>
      <c r="G5105">
        <v>1</v>
      </c>
      <c r="H5105">
        <v>1</v>
      </c>
      <c r="I5105">
        <v>2</v>
      </c>
    </row>
    <row r="5106" spans="1:9">
      <c r="A5106" s="2">
        <v>1995</v>
      </c>
      <c r="B5106">
        <v>107</v>
      </c>
      <c r="C5106">
        <v>0.69494</v>
      </c>
      <c r="D5106">
        <v>0.51573999999999998</v>
      </c>
      <c r="E5106">
        <v>0.5</v>
      </c>
      <c r="F5106">
        <v>1</v>
      </c>
      <c r="G5106">
        <v>0</v>
      </c>
      <c r="H5106">
        <v>1</v>
      </c>
      <c r="I5106">
        <v>1</v>
      </c>
    </row>
    <row r="5107" spans="1:9">
      <c r="A5107" s="2">
        <v>1995</v>
      </c>
      <c r="B5107">
        <v>108</v>
      </c>
      <c r="C5107">
        <v>0.71643000000000001</v>
      </c>
      <c r="D5107">
        <v>0.52747999999999995</v>
      </c>
      <c r="E5107">
        <v>0.5</v>
      </c>
      <c r="F5107">
        <v>0</v>
      </c>
      <c r="G5107">
        <v>0</v>
      </c>
      <c r="H5107">
        <v>0</v>
      </c>
      <c r="I5107">
        <v>1</v>
      </c>
    </row>
    <row r="5108" spans="1:9">
      <c r="A5108" s="2">
        <v>1995</v>
      </c>
      <c r="B5108">
        <v>109</v>
      </c>
      <c r="C5108">
        <v>0.73697000000000001</v>
      </c>
      <c r="D5108">
        <v>0.53852999999999995</v>
      </c>
      <c r="E5108">
        <v>0.5</v>
      </c>
      <c r="F5108">
        <v>0</v>
      </c>
      <c r="G5108">
        <v>0</v>
      </c>
      <c r="H5108">
        <v>0</v>
      </c>
      <c r="I5108">
        <v>0</v>
      </c>
    </row>
    <row r="5109" spans="1:9">
      <c r="A5109" s="2">
        <v>1995</v>
      </c>
      <c r="B5109" t="s">
        <v>26</v>
      </c>
      <c r="C5109">
        <v>0.75653000000000004</v>
      </c>
      <c r="D5109">
        <v>1</v>
      </c>
      <c r="E5109">
        <v>1.32</v>
      </c>
      <c r="F5109">
        <v>0</v>
      </c>
      <c r="G5109">
        <v>0</v>
      </c>
      <c r="H5109">
        <v>0</v>
      </c>
      <c r="I5109">
        <v>0</v>
      </c>
    </row>
    <row r="5110" spans="1:9">
      <c r="A5110" s="2">
        <v>1996</v>
      </c>
      <c r="B5110">
        <v>0</v>
      </c>
      <c r="C5110">
        <v>1.116E-2</v>
      </c>
      <c r="D5110">
        <v>1.1050000000000001E-2</v>
      </c>
      <c r="E5110">
        <v>0.13</v>
      </c>
      <c r="F5110">
        <v>100000</v>
      </c>
      <c r="G5110">
        <v>1105</v>
      </c>
      <c r="H5110">
        <v>99035</v>
      </c>
      <c r="I5110">
        <v>6629521</v>
      </c>
    </row>
    <row r="5111" spans="1:9">
      <c r="A5111" s="2">
        <v>1996</v>
      </c>
      <c r="B5111">
        <v>1</v>
      </c>
      <c r="C5111">
        <v>6.3000000000000003E-4</v>
      </c>
      <c r="D5111">
        <v>6.3000000000000003E-4</v>
      </c>
      <c r="E5111">
        <v>0.5</v>
      </c>
      <c r="F5111">
        <v>98895</v>
      </c>
      <c r="G5111">
        <v>63</v>
      </c>
      <c r="H5111">
        <v>98864</v>
      </c>
      <c r="I5111">
        <v>6530486</v>
      </c>
    </row>
    <row r="5112" spans="1:9">
      <c r="A5112" s="2">
        <v>1996</v>
      </c>
      <c r="B5112">
        <v>2</v>
      </c>
      <c r="C5112">
        <v>4.6000000000000001E-4</v>
      </c>
      <c r="D5112">
        <v>4.6000000000000001E-4</v>
      </c>
      <c r="E5112">
        <v>0.5</v>
      </c>
      <c r="F5112">
        <v>98832</v>
      </c>
      <c r="G5112">
        <v>45</v>
      </c>
      <c r="H5112">
        <v>98810</v>
      </c>
      <c r="I5112">
        <v>6431622</v>
      </c>
    </row>
    <row r="5113" spans="1:9">
      <c r="A5113" s="2">
        <v>1996</v>
      </c>
      <c r="B5113">
        <v>3</v>
      </c>
      <c r="C5113">
        <v>3.3E-4</v>
      </c>
      <c r="D5113">
        <v>3.3E-4</v>
      </c>
      <c r="E5113">
        <v>0.5</v>
      </c>
      <c r="F5113">
        <v>98787</v>
      </c>
      <c r="G5113">
        <v>33</v>
      </c>
      <c r="H5113">
        <v>98771</v>
      </c>
      <c r="I5113">
        <v>6332812</v>
      </c>
    </row>
    <row r="5114" spans="1:9">
      <c r="A5114" s="2">
        <v>1996</v>
      </c>
      <c r="B5114">
        <v>4</v>
      </c>
      <c r="C5114">
        <v>2.2000000000000001E-4</v>
      </c>
      <c r="D5114">
        <v>2.2000000000000001E-4</v>
      </c>
      <c r="E5114">
        <v>0.5</v>
      </c>
      <c r="F5114">
        <v>98754</v>
      </c>
      <c r="G5114">
        <v>22</v>
      </c>
      <c r="H5114">
        <v>98743</v>
      </c>
      <c r="I5114">
        <v>6234042</v>
      </c>
    </row>
    <row r="5115" spans="1:9">
      <c r="A5115" s="2">
        <v>1996</v>
      </c>
      <c r="B5115">
        <v>5</v>
      </c>
      <c r="C5115">
        <v>2.7E-4</v>
      </c>
      <c r="D5115">
        <v>2.7E-4</v>
      </c>
      <c r="E5115">
        <v>0.5</v>
      </c>
      <c r="F5115">
        <v>98732</v>
      </c>
      <c r="G5115">
        <v>26</v>
      </c>
      <c r="H5115">
        <v>98719</v>
      </c>
      <c r="I5115">
        <v>6135298</v>
      </c>
    </row>
    <row r="5116" spans="1:9">
      <c r="A5116" s="2">
        <v>1996</v>
      </c>
      <c r="B5116">
        <v>6</v>
      </c>
      <c r="C5116">
        <v>2.4000000000000001E-4</v>
      </c>
      <c r="D5116">
        <v>2.4000000000000001E-4</v>
      </c>
      <c r="E5116">
        <v>0.5</v>
      </c>
      <c r="F5116">
        <v>98706</v>
      </c>
      <c r="G5116">
        <v>24</v>
      </c>
      <c r="H5116">
        <v>98694</v>
      </c>
      <c r="I5116">
        <v>6036579</v>
      </c>
    </row>
    <row r="5117" spans="1:9">
      <c r="A5117" s="2">
        <v>1996</v>
      </c>
      <c r="B5117">
        <v>7</v>
      </c>
      <c r="C5117">
        <v>2.2000000000000001E-4</v>
      </c>
      <c r="D5117">
        <v>2.2000000000000001E-4</v>
      </c>
      <c r="E5117">
        <v>0.5</v>
      </c>
      <c r="F5117">
        <v>98682</v>
      </c>
      <c r="G5117">
        <v>22</v>
      </c>
      <c r="H5117">
        <v>98671</v>
      </c>
      <c r="I5117">
        <v>5937885</v>
      </c>
    </row>
    <row r="5118" spans="1:9">
      <c r="A5118" s="2">
        <v>1996</v>
      </c>
      <c r="B5118">
        <v>8</v>
      </c>
      <c r="C5118">
        <v>1.2999999999999999E-4</v>
      </c>
      <c r="D5118">
        <v>1.2999999999999999E-4</v>
      </c>
      <c r="E5118">
        <v>0.5</v>
      </c>
      <c r="F5118">
        <v>98660</v>
      </c>
      <c r="G5118">
        <v>12</v>
      </c>
      <c r="H5118">
        <v>98654</v>
      </c>
      <c r="I5118">
        <v>5839214</v>
      </c>
    </row>
    <row r="5119" spans="1:9">
      <c r="A5119" s="2">
        <v>1996</v>
      </c>
      <c r="B5119">
        <v>9</v>
      </c>
      <c r="C5119">
        <v>2.7999999999999998E-4</v>
      </c>
      <c r="D5119">
        <v>2.7999999999999998E-4</v>
      </c>
      <c r="E5119">
        <v>0.5</v>
      </c>
      <c r="F5119">
        <v>98648</v>
      </c>
      <c r="G5119">
        <v>28</v>
      </c>
      <c r="H5119">
        <v>98634</v>
      </c>
      <c r="I5119">
        <v>5740560</v>
      </c>
    </row>
    <row r="5120" spans="1:9">
      <c r="A5120" s="2">
        <v>1996</v>
      </c>
      <c r="B5120">
        <v>10</v>
      </c>
      <c r="C5120">
        <v>2.0000000000000001E-4</v>
      </c>
      <c r="D5120">
        <v>2.0000000000000001E-4</v>
      </c>
      <c r="E5120">
        <v>0.5</v>
      </c>
      <c r="F5120">
        <v>98620</v>
      </c>
      <c r="G5120">
        <v>19</v>
      </c>
      <c r="H5120">
        <v>98610</v>
      </c>
      <c r="I5120">
        <v>5641926</v>
      </c>
    </row>
    <row r="5121" spans="1:9">
      <c r="A5121" s="2">
        <v>1996</v>
      </c>
      <c r="B5121">
        <v>11</v>
      </c>
      <c r="C5121">
        <v>2.7999999999999998E-4</v>
      </c>
      <c r="D5121">
        <v>2.7999999999999998E-4</v>
      </c>
      <c r="E5121">
        <v>0.5</v>
      </c>
      <c r="F5121">
        <v>98601</v>
      </c>
      <c r="G5121">
        <v>27</v>
      </c>
      <c r="H5121">
        <v>98587</v>
      </c>
      <c r="I5121">
        <v>5543315</v>
      </c>
    </row>
    <row r="5122" spans="1:9">
      <c r="A5122" s="2">
        <v>1996</v>
      </c>
      <c r="B5122">
        <v>12</v>
      </c>
      <c r="C5122">
        <v>1.9000000000000001E-4</v>
      </c>
      <c r="D5122">
        <v>1.9000000000000001E-4</v>
      </c>
      <c r="E5122">
        <v>0.5</v>
      </c>
      <c r="F5122">
        <v>98573</v>
      </c>
      <c r="G5122">
        <v>18</v>
      </c>
      <c r="H5122">
        <v>98564</v>
      </c>
      <c r="I5122">
        <v>5444728</v>
      </c>
    </row>
    <row r="5123" spans="1:9">
      <c r="A5123" s="2">
        <v>1996</v>
      </c>
      <c r="B5123">
        <v>13</v>
      </c>
      <c r="C5123">
        <v>2.5999999999999998E-4</v>
      </c>
      <c r="D5123">
        <v>2.5999999999999998E-4</v>
      </c>
      <c r="E5123">
        <v>0.5</v>
      </c>
      <c r="F5123">
        <v>98555</v>
      </c>
      <c r="G5123">
        <v>25</v>
      </c>
      <c r="H5123">
        <v>98542</v>
      </c>
      <c r="I5123">
        <v>5346164</v>
      </c>
    </row>
    <row r="5124" spans="1:9">
      <c r="A5124" s="2">
        <v>1996</v>
      </c>
      <c r="B5124">
        <v>14</v>
      </c>
      <c r="C5124">
        <v>3.3E-4</v>
      </c>
      <c r="D5124">
        <v>3.3E-4</v>
      </c>
      <c r="E5124">
        <v>0.5</v>
      </c>
      <c r="F5124">
        <v>98530</v>
      </c>
      <c r="G5124">
        <v>32</v>
      </c>
      <c r="H5124">
        <v>98513</v>
      </c>
      <c r="I5124">
        <v>5247622</v>
      </c>
    </row>
    <row r="5125" spans="1:9">
      <c r="A5125" s="2">
        <v>1996</v>
      </c>
      <c r="B5125">
        <v>15</v>
      </c>
      <c r="C5125">
        <v>5.0000000000000001E-4</v>
      </c>
      <c r="D5125">
        <v>5.0000000000000001E-4</v>
      </c>
      <c r="E5125">
        <v>0.5</v>
      </c>
      <c r="F5125">
        <v>98497</v>
      </c>
      <c r="G5125">
        <v>49</v>
      </c>
      <c r="H5125">
        <v>98473</v>
      </c>
      <c r="I5125">
        <v>5149108</v>
      </c>
    </row>
    <row r="5126" spans="1:9">
      <c r="A5126" s="2">
        <v>1996</v>
      </c>
      <c r="B5126">
        <v>16</v>
      </c>
      <c r="C5126">
        <v>5.9999999999999995E-4</v>
      </c>
      <c r="D5126">
        <v>5.9999999999999995E-4</v>
      </c>
      <c r="E5126">
        <v>0.5</v>
      </c>
      <c r="F5126">
        <v>98448</v>
      </c>
      <c r="G5126">
        <v>59</v>
      </c>
      <c r="H5126">
        <v>98418</v>
      </c>
      <c r="I5126">
        <v>5050636</v>
      </c>
    </row>
    <row r="5127" spans="1:9">
      <c r="A5127" s="2">
        <v>1996</v>
      </c>
      <c r="B5127">
        <v>17</v>
      </c>
      <c r="C5127">
        <v>5.1999999999999995E-4</v>
      </c>
      <c r="D5127">
        <v>5.1999999999999995E-4</v>
      </c>
      <c r="E5127">
        <v>0.5</v>
      </c>
      <c r="F5127">
        <v>98389</v>
      </c>
      <c r="G5127">
        <v>51</v>
      </c>
      <c r="H5127">
        <v>98363</v>
      </c>
      <c r="I5127">
        <v>4952217</v>
      </c>
    </row>
    <row r="5128" spans="1:9">
      <c r="A5128" s="2">
        <v>1996</v>
      </c>
      <c r="B5128">
        <v>18</v>
      </c>
      <c r="C5128">
        <v>7.7999999999999999E-4</v>
      </c>
      <c r="D5128">
        <v>7.7999999999999999E-4</v>
      </c>
      <c r="E5128">
        <v>0.5</v>
      </c>
      <c r="F5128">
        <v>98338</v>
      </c>
      <c r="G5128">
        <v>76</v>
      </c>
      <c r="H5128">
        <v>98300</v>
      </c>
      <c r="I5128">
        <v>4853854</v>
      </c>
    </row>
    <row r="5129" spans="1:9">
      <c r="A5129" s="2">
        <v>1996</v>
      </c>
      <c r="B5129">
        <v>19</v>
      </c>
      <c r="C5129">
        <v>9.1E-4</v>
      </c>
      <c r="D5129">
        <v>9.1E-4</v>
      </c>
      <c r="E5129">
        <v>0.5</v>
      </c>
      <c r="F5129">
        <v>98262</v>
      </c>
      <c r="G5129">
        <v>90</v>
      </c>
      <c r="H5129">
        <v>98217</v>
      </c>
      <c r="I5129">
        <v>4755554</v>
      </c>
    </row>
    <row r="5130" spans="1:9">
      <c r="A5130" s="2">
        <v>1996</v>
      </c>
      <c r="B5130">
        <v>20</v>
      </c>
      <c r="C5130">
        <v>8.9999999999999998E-4</v>
      </c>
      <c r="D5130">
        <v>8.9999999999999998E-4</v>
      </c>
      <c r="E5130">
        <v>0.5</v>
      </c>
      <c r="F5130">
        <v>98172</v>
      </c>
      <c r="G5130">
        <v>88</v>
      </c>
      <c r="H5130">
        <v>98128</v>
      </c>
      <c r="I5130">
        <v>4657337</v>
      </c>
    </row>
    <row r="5131" spans="1:9">
      <c r="A5131" s="2">
        <v>1996</v>
      </c>
      <c r="B5131">
        <v>21</v>
      </c>
      <c r="C5131">
        <v>8.9999999999999998E-4</v>
      </c>
      <c r="D5131">
        <v>8.9999999999999998E-4</v>
      </c>
      <c r="E5131">
        <v>0.5</v>
      </c>
      <c r="F5131">
        <v>98083</v>
      </c>
      <c r="G5131">
        <v>88</v>
      </c>
      <c r="H5131">
        <v>98039</v>
      </c>
      <c r="I5131">
        <v>4559209</v>
      </c>
    </row>
    <row r="5132" spans="1:9">
      <c r="A5132" s="2">
        <v>1996</v>
      </c>
      <c r="B5132">
        <v>22</v>
      </c>
      <c r="C5132">
        <v>8.8000000000000003E-4</v>
      </c>
      <c r="D5132">
        <v>8.8000000000000003E-4</v>
      </c>
      <c r="E5132">
        <v>0.5</v>
      </c>
      <c r="F5132">
        <v>97995</v>
      </c>
      <c r="G5132">
        <v>87</v>
      </c>
      <c r="H5132">
        <v>97952</v>
      </c>
      <c r="I5132">
        <v>4461170</v>
      </c>
    </row>
    <row r="5133" spans="1:9">
      <c r="A5133" s="2">
        <v>1996</v>
      </c>
      <c r="B5133">
        <v>23</v>
      </c>
      <c r="C5133">
        <v>1.08E-3</v>
      </c>
      <c r="D5133">
        <v>1.08E-3</v>
      </c>
      <c r="E5133">
        <v>0.5</v>
      </c>
      <c r="F5133">
        <v>97909</v>
      </c>
      <c r="G5133">
        <v>106</v>
      </c>
      <c r="H5133">
        <v>97856</v>
      </c>
      <c r="I5133">
        <v>4363218</v>
      </c>
    </row>
    <row r="5134" spans="1:9">
      <c r="A5134" s="2">
        <v>1996</v>
      </c>
      <c r="B5134">
        <v>24</v>
      </c>
      <c r="C5134">
        <v>9.7999999999999997E-4</v>
      </c>
      <c r="D5134">
        <v>9.7000000000000005E-4</v>
      </c>
      <c r="E5134">
        <v>0.5</v>
      </c>
      <c r="F5134">
        <v>97803</v>
      </c>
      <c r="G5134">
        <v>95</v>
      </c>
      <c r="H5134">
        <v>97755</v>
      </c>
      <c r="I5134">
        <v>4265362</v>
      </c>
    </row>
    <row r="5135" spans="1:9">
      <c r="A5135" s="2">
        <v>1996</v>
      </c>
      <c r="B5135">
        <v>25</v>
      </c>
      <c r="C5135">
        <v>1.08E-3</v>
      </c>
      <c r="D5135">
        <v>1.08E-3</v>
      </c>
      <c r="E5135">
        <v>0.5</v>
      </c>
      <c r="F5135">
        <v>97708</v>
      </c>
      <c r="G5135">
        <v>106</v>
      </c>
      <c r="H5135">
        <v>97655</v>
      </c>
      <c r="I5135">
        <v>4167607</v>
      </c>
    </row>
    <row r="5136" spans="1:9">
      <c r="A5136" s="2">
        <v>1996</v>
      </c>
      <c r="B5136">
        <v>26</v>
      </c>
      <c r="C5136">
        <v>1.1100000000000001E-3</v>
      </c>
      <c r="D5136">
        <v>1.1100000000000001E-3</v>
      </c>
      <c r="E5136">
        <v>0.5</v>
      </c>
      <c r="F5136">
        <v>97602</v>
      </c>
      <c r="G5136">
        <v>108</v>
      </c>
      <c r="H5136">
        <v>97548</v>
      </c>
      <c r="I5136">
        <v>4069952</v>
      </c>
    </row>
    <row r="5137" spans="1:9">
      <c r="A5137" s="2">
        <v>1996</v>
      </c>
      <c r="B5137">
        <v>27</v>
      </c>
      <c r="C5137">
        <v>1.34E-3</v>
      </c>
      <c r="D5137">
        <v>1.34E-3</v>
      </c>
      <c r="E5137">
        <v>0.5</v>
      </c>
      <c r="F5137">
        <v>97494</v>
      </c>
      <c r="G5137">
        <v>130</v>
      </c>
      <c r="H5137">
        <v>97429</v>
      </c>
      <c r="I5137">
        <v>3972404</v>
      </c>
    </row>
    <row r="5138" spans="1:9">
      <c r="A5138" s="2">
        <v>1996</v>
      </c>
      <c r="B5138">
        <v>28</v>
      </c>
      <c r="C5138">
        <v>1.57E-3</v>
      </c>
      <c r="D5138">
        <v>1.56E-3</v>
      </c>
      <c r="E5138">
        <v>0.5</v>
      </c>
      <c r="F5138">
        <v>97364</v>
      </c>
      <c r="G5138">
        <v>152</v>
      </c>
      <c r="H5138">
        <v>97288</v>
      </c>
      <c r="I5138">
        <v>3874975</v>
      </c>
    </row>
    <row r="5139" spans="1:9">
      <c r="A5139" s="2">
        <v>1996</v>
      </c>
      <c r="B5139">
        <v>29</v>
      </c>
      <c r="C5139">
        <v>1.56E-3</v>
      </c>
      <c r="D5139">
        <v>1.56E-3</v>
      </c>
      <c r="E5139">
        <v>0.5</v>
      </c>
      <c r="F5139">
        <v>97211</v>
      </c>
      <c r="G5139">
        <v>152</v>
      </c>
      <c r="H5139">
        <v>97136</v>
      </c>
      <c r="I5139">
        <v>3777687</v>
      </c>
    </row>
    <row r="5140" spans="1:9">
      <c r="A5140" s="2">
        <v>1996</v>
      </c>
      <c r="B5140">
        <v>30</v>
      </c>
      <c r="C5140">
        <v>1.89E-3</v>
      </c>
      <c r="D5140">
        <v>1.89E-3</v>
      </c>
      <c r="E5140">
        <v>0.5</v>
      </c>
      <c r="F5140">
        <v>97060</v>
      </c>
      <c r="G5140">
        <v>183</v>
      </c>
      <c r="H5140">
        <v>96968</v>
      </c>
      <c r="I5140">
        <v>3680552</v>
      </c>
    </row>
    <row r="5141" spans="1:9">
      <c r="A5141" s="2">
        <v>1996</v>
      </c>
      <c r="B5141">
        <v>31</v>
      </c>
      <c r="C5141">
        <v>1.9599999999999999E-3</v>
      </c>
      <c r="D5141">
        <v>1.9599999999999999E-3</v>
      </c>
      <c r="E5141">
        <v>0.5</v>
      </c>
      <c r="F5141">
        <v>96876</v>
      </c>
      <c r="G5141">
        <v>190</v>
      </c>
      <c r="H5141">
        <v>96782</v>
      </c>
      <c r="I5141">
        <v>3583584</v>
      </c>
    </row>
    <row r="5142" spans="1:9">
      <c r="A5142" s="2">
        <v>1996</v>
      </c>
      <c r="B5142">
        <v>32</v>
      </c>
      <c r="C5142">
        <v>2.5699999999999998E-3</v>
      </c>
      <c r="D5142">
        <v>2.5699999999999998E-3</v>
      </c>
      <c r="E5142">
        <v>0.5</v>
      </c>
      <c r="F5142">
        <v>96687</v>
      </c>
      <c r="G5142">
        <v>248</v>
      </c>
      <c r="H5142">
        <v>96563</v>
      </c>
      <c r="I5142">
        <v>3486802</v>
      </c>
    </row>
    <row r="5143" spans="1:9">
      <c r="A5143" s="2">
        <v>1996</v>
      </c>
      <c r="B5143">
        <v>33</v>
      </c>
      <c r="C5143">
        <v>2.5400000000000002E-3</v>
      </c>
      <c r="D5143">
        <v>2.5400000000000002E-3</v>
      </c>
      <c r="E5143">
        <v>0.5</v>
      </c>
      <c r="F5143">
        <v>96439</v>
      </c>
      <c r="G5143">
        <v>245</v>
      </c>
      <c r="H5143">
        <v>96316</v>
      </c>
      <c r="I5143">
        <v>3390240</v>
      </c>
    </row>
    <row r="5144" spans="1:9">
      <c r="A5144" s="2">
        <v>1996</v>
      </c>
      <c r="B5144">
        <v>34</v>
      </c>
      <c r="C5144">
        <v>2.5999999999999999E-3</v>
      </c>
      <c r="D5144">
        <v>2.5899999999999999E-3</v>
      </c>
      <c r="E5144">
        <v>0.5</v>
      </c>
      <c r="F5144">
        <v>96194</v>
      </c>
      <c r="G5144">
        <v>250</v>
      </c>
      <c r="H5144">
        <v>96069</v>
      </c>
      <c r="I5144">
        <v>3293924</v>
      </c>
    </row>
    <row r="5145" spans="1:9">
      <c r="A5145" s="2">
        <v>1996</v>
      </c>
      <c r="B5145">
        <v>35</v>
      </c>
      <c r="C5145">
        <v>3.3E-3</v>
      </c>
      <c r="D5145">
        <v>3.3E-3</v>
      </c>
      <c r="E5145">
        <v>0.5</v>
      </c>
      <c r="F5145">
        <v>95944</v>
      </c>
      <c r="G5145">
        <v>316</v>
      </c>
      <c r="H5145">
        <v>95786</v>
      </c>
      <c r="I5145">
        <v>3197855</v>
      </c>
    </row>
    <row r="5146" spans="1:9">
      <c r="A5146" s="2">
        <v>1996</v>
      </c>
      <c r="B5146">
        <v>36</v>
      </c>
      <c r="C5146">
        <v>4.1999999999999997E-3</v>
      </c>
      <c r="D5146">
        <v>4.1900000000000001E-3</v>
      </c>
      <c r="E5146">
        <v>0.5</v>
      </c>
      <c r="F5146">
        <v>95628</v>
      </c>
      <c r="G5146">
        <v>401</v>
      </c>
      <c r="H5146">
        <v>95427</v>
      </c>
      <c r="I5146">
        <v>3102069</v>
      </c>
    </row>
    <row r="5147" spans="1:9">
      <c r="A5147" s="2">
        <v>1996</v>
      </c>
      <c r="B5147">
        <v>37</v>
      </c>
      <c r="C5147">
        <v>4.6800000000000001E-3</v>
      </c>
      <c r="D5147">
        <v>4.6699999999999997E-3</v>
      </c>
      <c r="E5147">
        <v>0.5</v>
      </c>
      <c r="F5147">
        <v>95227</v>
      </c>
      <c r="G5147">
        <v>444</v>
      </c>
      <c r="H5147">
        <v>95005</v>
      </c>
      <c r="I5147">
        <v>3006641</v>
      </c>
    </row>
    <row r="5148" spans="1:9">
      <c r="A5148" s="2">
        <v>1996</v>
      </c>
      <c r="B5148">
        <v>38</v>
      </c>
      <c r="C5148">
        <v>4.9100000000000003E-3</v>
      </c>
      <c r="D5148">
        <v>4.8999999999999998E-3</v>
      </c>
      <c r="E5148">
        <v>0.5</v>
      </c>
      <c r="F5148">
        <v>94783</v>
      </c>
      <c r="G5148">
        <v>464</v>
      </c>
      <c r="H5148">
        <v>94551</v>
      </c>
      <c r="I5148">
        <v>2911636</v>
      </c>
    </row>
    <row r="5149" spans="1:9">
      <c r="A5149" s="2">
        <v>1996</v>
      </c>
      <c r="B5149">
        <v>39</v>
      </c>
      <c r="C5149">
        <v>5.9199999999999999E-3</v>
      </c>
      <c r="D5149">
        <v>5.9100000000000003E-3</v>
      </c>
      <c r="E5149">
        <v>0.5</v>
      </c>
      <c r="F5149">
        <v>94319</v>
      </c>
      <c r="G5149">
        <v>557</v>
      </c>
      <c r="H5149">
        <v>94040</v>
      </c>
      <c r="I5149">
        <v>2817086</v>
      </c>
    </row>
    <row r="5150" spans="1:9">
      <c r="A5150" s="2">
        <v>1996</v>
      </c>
      <c r="B5150">
        <v>40</v>
      </c>
      <c r="C5150">
        <v>6.3200000000000001E-3</v>
      </c>
      <c r="D5150">
        <v>6.3E-3</v>
      </c>
      <c r="E5150">
        <v>0.5</v>
      </c>
      <c r="F5150">
        <v>93761</v>
      </c>
      <c r="G5150">
        <v>590</v>
      </c>
      <c r="H5150">
        <v>93466</v>
      </c>
      <c r="I5150">
        <v>2723046</v>
      </c>
    </row>
    <row r="5151" spans="1:9">
      <c r="A5151" s="2">
        <v>1996</v>
      </c>
      <c r="B5151">
        <v>41</v>
      </c>
      <c r="C5151">
        <v>6.9899999999999997E-3</v>
      </c>
      <c r="D5151">
        <v>6.9699999999999996E-3</v>
      </c>
      <c r="E5151">
        <v>0.5</v>
      </c>
      <c r="F5151">
        <v>93171</v>
      </c>
      <c r="G5151">
        <v>649</v>
      </c>
      <c r="H5151">
        <v>92846</v>
      </c>
      <c r="I5151">
        <v>2629580</v>
      </c>
    </row>
    <row r="5152" spans="1:9">
      <c r="A5152" s="2">
        <v>1996</v>
      </c>
      <c r="B5152">
        <v>42</v>
      </c>
      <c r="C5152">
        <v>7.3400000000000002E-3</v>
      </c>
      <c r="D5152">
        <v>7.3099999999999997E-3</v>
      </c>
      <c r="E5152">
        <v>0.5</v>
      </c>
      <c r="F5152">
        <v>92522</v>
      </c>
      <c r="G5152">
        <v>676</v>
      </c>
      <c r="H5152">
        <v>92184</v>
      </c>
      <c r="I5152">
        <v>2536733</v>
      </c>
    </row>
    <row r="5153" spans="1:9">
      <c r="A5153" s="2">
        <v>1996</v>
      </c>
      <c r="B5153">
        <v>43</v>
      </c>
      <c r="C5153">
        <v>8.3999999999999995E-3</v>
      </c>
      <c r="D5153">
        <v>8.3599999999999994E-3</v>
      </c>
      <c r="E5153">
        <v>0.5</v>
      </c>
      <c r="F5153">
        <v>91846</v>
      </c>
      <c r="G5153">
        <v>768</v>
      </c>
      <c r="H5153">
        <v>91462</v>
      </c>
      <c r="I5153">
        <v>2444549</v>
      </c>
    </row>
    <row r="5154" spans="1:9">
      <c r="A5154" s="2">
        <v>1996</v>
      </c>
      <c r="B5154">
        <v>44</v>
      </c>
      <c r="C5154">
        <v>9.6100000000000005E-3</v>
      </c>
      <c r="D5154">
        <v>9.5600000000000008E-3</v>
      </c>
      <c r="E5154">
        <v>0.5</v>
      </c>
      <c r="F5154">
        <v>91078</v>
      </c>
      <c r="G5154">
        <v>871</v>
      </c>
      <c r="H5154">
        <v>90642</v>
      </c>
      <c r="I5154">
        <v>2353088</v>
      </c>
    </row>
    <row r="5155" spans="1:9">
      <c r="A5155" s="2">
        <v>1996</v>
      </c>
      <c r="B5155">
        <v>45</v>
      </c>
      <c r="C5155">
        <v>1.068E-2</v>
      </c>
      <c r="D5155">
        <v>1.0619999999999999E-2</v>
      </c>
      <c r="E5155">
        <v>0.5</v>
      </c>
      <c r="F5155">
        <v>90207</v>
      </c>
      <c r="G5155">
        <v>958</v>
      </c>
      <c r="H5155">
        <v>89728</v>
      </c>
      <c r="I5155">
        <v>2262446</v>
      </c>
    </row>
    <row r="5156" spans="1:9">
      <c r="A5156" s="2">
        <v>1996</v>
      </c>
      <c r="B5156">
        <v>46</v>
      </c>
      <c r="C5156">
        <v>1.146E-2</v>
      </c>
      <c r="D5156">
        <v>1.1390000000000001E-2</v>
      </c>
      <c r="E5156">
        <v>0.5</v>
      </c>
      <c r="F5156">
        <v>89248</v>
      </c>
      <c r="G5156">
        <v>1017</v>
      </c>
      <c r="H5156">
        <v>88740</v>
      </c>
      <c r="I5156">
        <v>2172718</v>
      </c>
    </row>
    <row r="5157" spans="1:9">
      <c r="A5157" s="2">
        <v>1996</v>
      </c>
      <c r="B5157">
        <v>47</v>
      </c>
      <c r="C5157">
        <v>1.163E-2</v>
      </c>
      <c r="D5157">
        <v>1.1560000000000001E-2</v>
      </c>
      <c r="E5157">
        <v>0.5</v>
      </c>
      <c r="F5157">
        <v>88232</v>
      </c>
      <c r="G5157">
        <v>1020</v>
      </c>
      <c r="H5157">
        <v>87722</v>
      </c>
      <c r="I5157">
        <v>2083978</v>
      </c>
    </row>
    <row r="5158" spans="1:9">
      <c r="A5158" s="2">
        <v>1996</v>
      </c>
      <c r="B5158">
        <v>48</v>
      </c>
      <c r="C5158">
        <v>1.201E-2</v>
      </c>
      <c r="D5158">
        <v>1.1939999999999999E-2</v>
      </c>
      <c r="E5158">
        <v>0.5</v>
      </c>
      <c r="F5158">
        <v>87212</v>
      </c>
      <c r="G5158">
        <v>1041</v>
      </c>
      <c r="H5158">
        <v>86691</v>
      </c>
      <c r="I5158">
        <v>1996257</v>
      </c>
    </row>
    <row r="5159" spans="1:9">
      <c r="A5159" s="2">
        <v>1996</v>
      </c>
      <c r="B5159">
        <v>49</v>
      </c>
      <c r="C5159">
        <v>1.4080000000000001E-2</v>
      </c>
      <c r="D5159">
        <v>1.3979999999999999E-2</v>
      </c>
      <c r="E5159">
        <v>0.5</v>
      </c>
      <c r="F5159">
        <v>86170</v>
      </c>
      <c r="G5159">
        <v>1205</v>
      </c>
      <c r="H5159">
        <v>85568</v>
      </c>
      <c r="I5159">
        <v>1909566</v>
      </c>
    </row>
    <row r="5160" spans="1:9">
      <c r="A5160" s="2">
        <v>1996</v>
      </c>
      <c r="B5160">
        <v>50</v>
      </c>
      <c r="C5160">
        <v>1.3769999999999999E-2</v>
      </c>
      <c r="D5160">
        <v>1.3679999999999999E-2</v>
      </c>
      <c r="E5160">
        <v>0.5</v>
      </c>
      <c r="F5160">
        <v>84965</v>
      </c>
      <c r="G5160">
        <v>1162</v>
      </c>
      <c r="H5160">
        <v>84384</v>
      </c>
      <c r="I5160">
        <v>1823998</v>
      </c>
    </row>
    <row r="5161" spans="1:9">
      <c r="A5161" s="2">
        <v>1996</v>
      </c>
      <c r="B5161">
        <v>51</v>
      </c>
      <c r="C5161">
        <v>1.636E-2</v>
      </c>
      <c r="D5161">
        <v>1.6230000000000001E-2</v>
      </c>
      <c r="E5161">
        <v>0.5</v>
      </c>
      <c r="F5161">
        <v>83803</v>
      </c>
      <c r="G5161">
        <v>1360</v>
      </c>
      <c r="H5161">
        <v>83123</v>
      </c>
      <c r="I5161">
        <v>1739613</v>
      </c>
    </row>
    <row r="5162" spans="1:9">
      <c r="A5162" s="2">
        <v>1996</v>
      </c>
      <c r="B5162">
        <v>52</v>
      </c>
      <c r="C5162">
        <v>1.6840000000000001E-2</v>
      </c>
      <c r="D5162">
        <v>1.67E-2</v>
      </c>
      <c r="E5162">
        <v>0.5</v>
      </c>
      <c r="F5162">
        <v>82443</v>
      </c>
      <c r="G5162">
        <v>1377</v>
      </c>
      <c r="H5162">
        <v>81755</v>
      </c>
      <c r="I5162">
        <v>1656490</v>
      </c>
    </row>
    <row r="5163" spans="1:9">
      <c r="A5163" s="2">
        <v>1996</v>
      </c>
      <c r="B5163">
        <v>53</v>
      </c>
      <c r="C5163">
        <v>1.7129999999999999E-2</v>
      </c>
      <c r="D5163">
        <v>1.6990000000000002E-2</v>
      </c>
      <c r="E5163">
        <v>0.5</v>
      </c>
      <c r="F5163">
        <v>81067</v>
      </c>
      <c r="G5163">
        <v>1377</v>
      </c>
      <c r="H5163">
        <v>80378</v>
      </c>
      <c r="I5163">
        <v>1574735</v>
      </c>
    </row>
    <row r="5164" spans="1:9">
      <c r="A5164" s="2">
        <v>1996</v>
      </c>
      <c r="B5164">
        <v>54</v>
      </c>
      <c r="C5164">
        <v>1.882E-2</v>
      </c>
      <c r="D5164">
        <v>1.865E-2</v>
      </c>
      <c r="E5164">
        <v>0.5</v>
      </c>
      <c r="F5164">
        <v>79689</v>
      </c>
      <c r="G5164">
        <v>1486</v>
      </c>
      <c r="H5164">
        <v>78946</v>
      </c>
      <c r="I5164">
        <v>1494358</v>
      </c>
    </row>
    <row r="5165" spans="1:9">
      <c r="A5165" s="2">
        <v>1996</v>
      </c>
      <c r="B5165">
        <v>55</v>
      </c>
      <c r="C5165">
        <v>2.0310000000000002E-2</v>
      </c>
      <c r="D5165">
        <v>2.01E-2</v>
      </c>
      <c r="E5165">
        <v>0.5</v>
      </c>
      <c r="F5165">
        <v>78203</v>
      </c>
      <c r="G5165">
        <v>1572</v>
      </c>
      <c r="H5165">
        <v>77417</v>
      </c>
      <c r="I5165">
        <v>1415411</v>
      </c>
    </row>
    <row r="5166" spans="1:9">
      <c r="A5166" s="2">
        <v>1996</v>
      </c>
      <c r="B5166">
        <v>56</v>
      </c>
      <c r="C5166">
        <v>2.3349999999999999E-2</v>
      </c>
      <c r="D5166">
        <v>2.308E-2</v>
      </c>
      <c r="E5166">
        <v>0.5</v>
      </c>
      <c r="F5166">
        <v>76631</v>
      </c>
      <c r="G5166">
        <v>1769</v>
      </c>
      <c r="H5166">
        <v>75747</v>
      </c>
      <c r="I5166">
        <v>1337994</v>
      </c>
    </row>
    <row r="5167" spans="1:9">
      <c r="A5167" s="2">
        <v>1996</v>
      </c>
      <c r="B5167">
        <v>57</v>
      </c>
      <c r="C5167">
        <v>2.3310000000000001E-2</v>
      </c>
      <c r="D5167">
        <v>2.3040000000000001E-2</v>
      </c>
      <c r="E5167">
        <v>0.5</v>
      </c>
      <c r="F5167">
        <v>74863</v>
      </c>
      <c r="G5167">
        <v>1725</v>
      </c>
      <c r="H5167">
        <v>74000</v>
      </c>
      <c r="I5167">
        <v>1262247</v>
      </c>
    </row>
    <row r="5168" spans="1:9">
      <c r="A5168" s="2">
        <v>1996</v>
      </c>
      <c r="B5168">
        <v>58</v>
      </c>
      <c r="C5168">
        <v>2.657E-2</v>
      </c>
      <c r="D5168">
        <v>2.622E-2</v>
      </c>
      <c r="E5168">
        <v>0.5</v>
      </c>
      <c r="F5168">
        <v>73138</v>
      </c>
      <c r="G5168">
        <v>1918</v>
      </c>
      <c r="H5168">
        <v>72179</v>
      </c>
      <c r="I5168">
        <v>1188247</v>
      </c>
    </row>
    <row r="5169" spans="1:9">
      <c r="A5169" s="2">
        <v>1996</v>
      </c>
      <c r="B5169">
        <v>59</v>
      </c>
      <c r="C5169">
        <v>2.7230000000000001E-2</v>
      </c>
      <c r="D5169">
        <v>2.6859999999999998E-2</v>
      </c>
      <c r="E5169">
        <v>0.5</v>
      </c>
      <c r="F5169">
        <v>71220</v>
      </c>
      <c r="G5169">
        <v>1913</v>
      </c>
      <c r="H5169">
        <v>70263</v>
      </c>
      <c r="I5169">
        <v>1116068</v>
      </c>
    </row>
    <row r="5170" spans="1:9">
      <c r="A5170" s="2">
        <v>1996</v>
      </c>
      <c r="B5170">
        <v>60</v>
      </c>
      <c r="C5170">
        <v>2.8029999999999999E-2</v>
      </c>
      <c r="D5170">
        <v>2.7640000000000001E-2</v>
      </c>
      <c r="E5170">
        <v>0.5</v>
      </c>
      <c r="F5170">
        <v>69307</v>
      </c>
      <c r="G5170">
        <v>1916</v>
      </c>
      <c r="H5170">
        <v>68349</v>
      </c>
      <c r="I5170">
        <v>1045805</v>
      </c>
    </row>
    <row r="5171" spans="1:9">
      <c r="A5171" s="2">
        <v>1996</v>
      </c>
      <c r="B5171">
        <v>61</v>
      </c>
      <c r="C5171">
        <v>3.0190000000000002E-2</v>
      </c>
      <c r="D5171">
        <v>2.9739999999999999E-2</v>
      </c>
      <c r="E5171">
        <v>0.5</v>
      </c>
      <c r="F5171">
        <v>67391</v>
      </c>
      <c r="G5171">
        <v>2004</v>
      </c>
      <c r="H5171">
        <v>66389</v>
      </c>
      <c r="I5171">
        <v>977456</v>
      </c>
    </row>
    <row r="5172" spans="1:9">
      <c r="A5172" s="2">
        <v>1996</v>
      </c>
      <c r="B5172">
        <v>62</v>
      </c>
      <c r="C5172">
        <v>3.1870000000000002E-2</v>
      </c>
      <c r="D5172">
        <v>3.1370000000000002E-2</v>
      </c>
      <c r="E5172">
        <v>0.5</v>
      </c>
      <c r="F5172">
        <v>65387</v>
      </c>
      <c r="G5172">
        <v>2051</v>
      </c>
      <c r="H5172">
        <v>64361</v>
      </c>
      <c r="I5172">
        <v>911067</v>
      </c>
    </row>
    <row r="5173" spans="1:9">
      <c r="A5173" s="2">
        <v>1996</v>
      </c>
      <c r="B5173">
        <v>63</v>
      </c>
      <c r="C5173">
        <v>3.4500000000000003E-2</v>
      </c>
      <c r="D5173">
        <v>3.3910000000000003E-2</v>
      </c>
      <c r="E5173">
        <v>0.5</v>
      </c>
      <c r="F5173">
        <v>63335</v>
      </c>
      <c r="G5173">
        <v>2148</v>
      </c>
      <c r="H5173">
        <v>62262</v>
      </c>
      <c r="I5173">
        <v>846705</v>
      </c>
    </row>
    <row r="5174" spans="1:9">
      <c r="A5174" s="2">
        <v>1996</v>
      </c>
      <c r="B5174">
        <v>64</v>
      </c>
      <c r="C5174">
        <v>3.6569999999999998E-2</v>
      </c>
      <c r="D5174">
        <v>3.5920000000000001E-2</v>
      </c>
      <c r="E5174">
        <v>0.5</v>
      </c>
      <c r="F5174">
        <v>61188</v>
      </c>
      <c r="G5174">
        <v>2198</v>
      </c>
      <c r="H5174">
        <v>60089</v>
      </c>
      <c r="I5174">
        <v>784444</v>
      </c>
    </row>
    <row r="5175" spans="1:9">
      <c r="A5175" s="2">
        <v>1996</v>
      </c>
      <c r="B5175">
        <v>65</v>
      </c>
      <c r="C5175">
        <v>3.8519999999999999E-2</v>
      </c>
      <c r="D5175">
        <v>3.7789999999999997E-2</v>
      </c>
      <c r="E5175">
        <v>0.5</v>
      </c>
      <c r="F5175">
        <v>58990</v>
      </c>
      <c r="G5175">
        <v>2229</v>
      </c>
      <c r="H5175">
        <v>57875</v>
      </c>
      <c r="I5175">
        <v>724355</v>
      </c>
    </row>
    <row r="5176" spans="1:9">
      <c r="A5176" s="2">
        <v>1996</v>
      </c>
      <c r="B5176">
        <v>66</v>
      </c>
      <c r="C5176">
        <v>4.231E-2</v>
      </c>
      <c r="D5176">
        <v>4.1439999999999998E-2</v>
      </c>
      <c r="E5176">
        <v>0.5</v>
      </c>
      <c r="F5176">
        <v>56761</v>
      </c>
      <c r="G5176">
        <v>2352</v>
      </c>
      <c r="H5176">
        <v>55585</v>
      </c>
      <c r="I5176">
        <v>666480</v>
      </c>
    </row>
    <row r="5177" spans="1:9">
      <c r="A5177" s="2">
        <v>1996</v>
      </c>
      <c r="B5177">
        <v>67</v>
      </c>
      <c r="C5177">
        <v>4.4119999999999999E-2</v>
      </c>
      <c r="D5177">
        <v>4.317E-2</v>
      </c>
      <c r="E5177">
        <v>0.5</v>
      </c>
      <c r="F5177">
        <v>54409</v>
      </c>
      <c r="G5177">
        <v>2349</v>
      </c>
      <c r="H5177">
        <v>53234</v>
      </c>
      <c r="I5177">
        <v>610895</v>
      </c>
    </row>
    <row r="5178" spans="1:9">
      <c r="A5178" s="2">
        <v>1996</v>
      </c>
      <c r="B5178">
        <v>68</v>
      </c>
      <c r="C5178">
        <v>5.0439999999999999E-2</v>
      </c>
      <c r="D5178">
        <v>4.9200000000000001E-2</v>
      </c>
      <c r="E5178">
        <v>0.5</v>
      </c>
      <c r="F5178">
        <v>52060</v>
      </c>
      <c r="G5178">
        <v>2561</v>
      </c>
      <c r="H5178">
        <v>50779</v>
      </c>
      <c r="I5178">
        <v>557661</v>
      </c>
    </row>
    <row r="5179" spans="1:9">
      <c r="A5179" s="2">
        <v>1996</v>
      </c>
      <c r="B5179">
        <v>69</v>
      </c>
      <c r="C5179">
        <v>5.1540000000000002E-2</v>
      </c>
      <c r="D5179">
        <v>5.024E-2</v>
      </c>
      <c r="E5179">
        <v>0.5</v>
      </c>
      <c r="F5179">
        <v>49499</v>
      </c>
      <c r="G5179">
        <v>2487</v>
      </c>
      <c r="H5179">
        <v>48255</v>
      </c>
      <c r="I5179">
        <v>506881</v>
      </c>
    </row>
    <row r="5180" spans="1:9">
      <c r="A5180" s="2">
        <v>1996</v>
      </c>
      <c r="B5180">
        <v>70</v>
      </c>
      <c r="C5180">
        <v>5.8400000000000001E-2</v>
      </c>
      <c r="D5180">
        <v>5.6739999999999999E-2</v>
      </c>
      <c r="E5180">
        <v>0.5</v>
      </c>
      <c r="F5180">
        <v>47012</v>
      </c>
      <c r="G5180">
        <v>2667</v>
      </c>
      <c r="H5180">
        <v>45678</v>
      </c>
      <c r="I5180">
        <v>458626</v>
      </c>
    </row>
    <row r="5181" spans="1:9">
      <c r="A5181" s="2">
        <v>1996</v>
      </c>
      <c r="B5181">
        <v>71</v>
      </c>
      <c r="C5181">
        <v>5.9709999999999999E-2</v>
      </c>
      <c r="D5181">
        <v>5.7979999999999997E-2</v>
      </c>
      <c r="E5181">
        <v>0.5</v>
      </c>
      <c r="F5181">
        <v>44344</v>
      </c>
      <c r="G5181">
        <v>2571</v>
      </c>
      <c r="H5181">
        <v>43059</v>
      </c>
      <c r="I5181">
        <v>412948</v>
      </c>
    </row>
    <row r="5182" spans="1:9">
      <c r="A5182" s="2">
        <v>1996</v>
      </c>
      <c r="B5182">
        <v>72</v>
      </c>
      <c r="C5182">
        <v>6.7849999999999994E-2</v>
      </c>
      <c r="D5182">
        <v>6.5619999999999998E-2</v>
      </c>
      <c r="E5182">
        <v>0.5</v>
      </c>
      <c r="F5182">
        <v>41773</v>
      </c>
      <c r="G5182">
        <v>2741</v>
      </c>
      <c r="H5182">
        <v>40403</v>
      </c>
      <c r="I5182">
        <v>369889</v>
      </c>
    </row>
    <row r="5183" spans="1:9">
      <c r="A5183" s="2">
        <v>1996</v>
      </c>
      <c r="B5183">
        <v>73</v>
      </c>
      <c r="C5183">
        <v>7.2260000000000005E-2</v>
      </c>
      <c r="D5183">
        <v>6.9739999999999996E-2</v>
      </c>
      <c r="E5183">
        <v>0.5</v>
      </c>
      <c r="F5183">
        <v>39032</v>
      </c>
      <c r="G5183">
        <v>2722</v>
      </c>
      <c r="H5183">
        <v>37671</v>
      </c>
      <c r="I5183">
        <v>329486</v>
      </c>
    </row>
    <row r="5184" spans="1:9">
      <c r="A5184" s="2">
        <v>1996</v>
      </c>
      <c r="B5184">
        <v>74</v>
      </c>
      <c r="C5184">
        <v>7.6770000000000005E-2</v>
      </c>
      <c r="D5184">
        <v>7.3929999999999996E-2</v>
      </c>
      <c r="E5184">
        <v>0.5</v>
      </c>
      <c r="F5184">
        <v>36310</v>
      </c>
      <c r="G5184">
        <v>2684</v>
      </c>
      <c r="H5184">
        <v>34968</v>
      </c>
      <c r="I5184">
        <v>291815</v>
      </c>
    </row>
    <row r="5185" spans="1:9">
      <c r="A5185" s="2">
        <v>1996</v>
      </c>
      <c r="B5185">
        <v>75</v>
      </c>
      <c r="C5185">
        <v>8.1229999999999997E-2</v>
      </c>
      <c r="D5185">
        <v>7.8060000000000004E-2</v>
      </c>
      <c r="E5185">
        <v>0.5</v>
      </c>
      <c r="F5185">
        <v>33626</v>
      </c>
      <c r="G5185">
        <v>2625</v>
      </c>
      <c r="H5185">
        <v>32313</v>
      </c>
      <c r="I5185">
        <v>256847</v>
      </c>
    </row>
    <row r="5186" spans="1:9">
      <c r="A5186" s="2">
        <v>1996</v>
      </c>
      <c r="B5186">
        <v>76</v>
      </c>
      <c r="C5186">
        <v>9.486E-2</v>
      </c>
      <c r="D5186">
        <v>9.0560000000000002E-2</v>
      </c>
      <c r="E5186">
        <v>0.5</v>
      </c>
      <c r="F5186">
        <v>31001</v>
      </c>
      <c r="G5186">
        <v>2808</v>
      </c>
      <c r="H5186">
        <v>29597</v>
      </c>
      <c r="I5186">
        <v>224534</v>
      </c>
    </row>
    <row r="5187" spans="1:9">
      <c r="A5187" s="2">
        <v>1996</v>
      </c>
      <c r="B5187">
        <v>77</v>
      </c>
      <c r="C5187">
        <v>8.1089999999999995E-2</v>
      </c>
      <c r="D5187">
        <v>7.7929999999999999E-2</v>
      </c>
      <c r="E5187">
        <v>0.5</v>
      </c>
      <c r="F5187">
        <v>28193</v>
      </c>
      <c r="G5187">
        <v>2197</v>
      </c>
      <c r="H5187">
        <v>27095</v>
      </c>
      <c r="I5187">
        <v>194937</v>
      </c>
    </row>
    <row r="5188" spans="1:9">
      <c r="A5188" s="2">
        <v>1996</v>
      </c>
      <c r="B5188">
        <v>78</v>
      </c>
      <c r="C5188">
        <v>9.8269999999999996E-2</v>
      </c>
      <c r="D5188">
        <v>9.3670000000000003E-2</v>
      </c>
      <c r="E5188">
        <v>0.5</v>
      </c>
      <c r="F5188">
        <v>25996</v>
      </c>
      <c r="G5188">
        <v>2435</v>
      </c>
      <c r="H5188">
        <v>24778</v>
      </c>
      <c r="I5188">
        <v>167843</v>
      </c>
    </row>
    <row r="5189" spans="1:9">
      <c r="A5189" s="2">
        <v>1996</v>
      </c>
      <c r="B5189">
        <v>79</v>
      </c>
      <c r="C5189">
        <v>0.10609</v>
      </c>
      <c r="D5189">
        <v>0.10075000000000001</v>
      </c>
      <c r="E5189">
        <v>0.5</v>
      </c>
      <c r="F5189">
        <v>23561</v>
      </c>
      <c r="G5189">
        <v>2374</v>
      </c>
      <c r="H5189">
        <v>22374</v>
      </c>
      <c r="I5189">
        <v>143064</v>
      </c>
    </row>
    <row r="5190" spans="1:9">
      <c r="A5190" s="2">
        <v>1996</v>
      </c>
      <c r="B5190">
        <v>80</v>
      </c>
      <c r="C5190">
        <v>0.11304</v>
      </c>
      <c r="D5190">
        <v>0.107</v>
      </c>
      <c r="E5190">
        <v>0.5</v>
      </c>
      <c r="F5190">
        <v>21187</v>
      </c>
      <c r="G5190">
        <v>2267</v>
      </c>
      <c r="H5190">
        <v>20054</v>
      </c>
      <c r="I5190">
        <v>120690</v>
      </c>
    </row>
    <row r="5191" spans="1:9">
      <c r="A5191" s="2">
        <v>1996</v>
      </c>
      <c r="B5191">
        <v>81</v>
      </c>
      <c r="C5191">
        <v>0.13814000000000001</v>
      </c>
      <c r="D5191">
        <v>0.12922</v>
      </c>
      <c r="E5191">
        <v>0.5</v>
      </c>
      <c r="F5191">
        <v>18920</v>
      </c>
      <c r="G5191">
        <v>2445</v>
      </c>
      <c r="H5191">
        <v>17698</v>
      </c>
      <c r="I5191">
        <v>100636</v>
      </c>
    </row>
    <row r="5192" spans="1:9">
      <c r="A5192" s="2">
        <v>1996</v>
      </c>
      <c r="B5192">
        <v>82</v>
      </c>
      <c r="C5192">
        <v>0.13983000000000001</v>
      </c>
      <c r="D5192">
        <v>0.13069</v>
      </c>
      <c r="E5192">
        <v>0.5</v>
      </c>
      <c r="F5192">
        <v>16475</v>
      </c>
      <c r="G5192">
        <v>2153</v>
      </c>
      <c r="H5192">
        <v>15399</v>
      </c>
      <c r="I5192">
        <v>82938</v>
      </c>
    </row>
    <row r="5193" spans="1:9">
      <c r="A5193" s="2">
        <v>1996</v>
      </c>
      <c r="B5193">
        <v>83</v>
      </c>
      <c r="C5193">
        <v>0.15479999999999999</v>
      </c>
      <c r="D5193">
        <v>0.14368</v>
      </c>
      <c r="E5193">
        <v>0.5</v>
      </c>
      <c r="F5193">
        <v>14322</v>
      </c>
      <c r="G5193">
        <v>2058</v>
      </c>
      <c r="H5193">
        <v>13293</v>
      </c>
      <c r="I5193">
        <v>67540</v>
      </c>
    </row>
    <row r="5194" spans="1:9">
      <c r="A5194" s="2">
        <v>1996</v>
      </c>
      <c r="B5194">
        <v>84</v>
      </c>
      <c r="C5194">
        <v>0.16320000000000001</v>
      </c>
      <c r="D5194">
        <v>0.15089</v>
      </c>
      <c r="E5194">
        <v>0.5</v>
      </c>
      <c r="F5194">
        <v>12264</v>
      </c>
      <c r="G5194">
        <v>1851</v>
      </c>
      <c r="H5194">
        <v>11339</v>
      </c>
      <c r="I5194">
        <v>54246</v>
      </c>
    </row>
    <row r="5195" spans="1:9">
      <c r="A5195" s="2">
        <v>1996</v>
      </c>
      <c r="B5195">
        <v>85</v>
      </c>
      <c r="C5195">
        <v>0.18140000000000001</v>
      </c>
      <c r="D5195">
        <v>0.16631000000000001</v>
      </c>
      <c r="E5195">
        <v>0.5</v>
      </c>
      <c r="F5195">
        <v>10414</v>
      </c>
      <c r="G5195">
        <v>1732</v>
      </c>
      <c r="H5195">
        <v>9548</v>
      </c>
      <c r="I5195">
        <v>42907</v>
      </c>
    </row>
    <row r="5196" spans="1:9">
      <c r="A5196" s="2">
        <v>1996</v>
      </c>
      <c r="B5196">
        <v>86</v>
      </c>
      <c r="C5196">
        <v>0.19714999999999999</v>
      </c>
      <c r="D5196">
        <v>0.17946000000000001</v>
      </c>
      <c r="E5196">
        <v>0.5</v>
      </c>
      <c r="F5196">
        <v>8682</v>
      </c>
      <c r="G5196">
        <v>1558</v>
      </c>
      <c r="H5196">
        <v>7903</v>
      </c>
      <c r="I5196">
        <v>33359</v>
      </c>
    </row>
    <row r="5197" spans="1:9">
      <c r="A5197" s="2">
        <v>1996</v>
      </c>
      <c r="B5197">
        <v>87</v>
      </c>
      <c r="C5197">
        <v>0.22344</v>
      </c>
      <c r="D5197">
        <v>0.20097999999999999</v>
      </c>
      <c r="E5197">
        <v>0.5</v>
      </c>
      <c r="F5197">
        <v>7124</v>
      </c>
      <c r="G5197">
        <v>1432</v>
      </c>
      <c r="H5197">
        <v>6408</v>
      </c>
      <c r="I5197">
        <v>25456</v>
      </c>
    </row>
    <row r="5198" spans="1:9">
      <c r="A5198" s="2">
        <v>1996</v>
      </c>
      <c r="B5198">
        <v>88</v>
      </c>
      <c r="C5198">
        <v>0.24714</v>
      </c>
      <c r="D5198">
        <v>0.21995999999999999</v>
      </c>
      <c r="E5198">
        <v>0.5</v>
      </c>
      <c r="F5198">
        <v>5692</v>
      </c>
      <c r="G5198">
        <v>1252</v>
      </c>
      <c r="H5198">
        <v>5066</v>
      </c>
      <c r="I5198">
        <v>19048</v>
      </c>
    </row>
    <row r="5199" spans="1:9">
      <c r="A5199" s="2">
        <v>1996</v>
      </c>
      <c r="B5199">
        <v>89</v>
      </c>
      <c r="C5199">
        <v>0.25874999999999998</v>
      </c>
      <c r="D5199">
        <v>0.22911000000000001</v>
      </c>
      <c r="E5199">
        <v>0.5</v>
      </c>
      <c r="F5199">
        <v>4440</v>
      </c>
      <c r="G5199">
        <v>1017</v>
      </c>
      <c r="H5199">
        <v>3931</v>
      </c>
      <c r="I5199">
        <v>13982</v>
      </c>
    </row>
    <row r="5200" spans="1:9">
      <c r="A5200" s="2">
        <v>1996</v>
      </c>
      <c r="B5200">
        <v>90</v>
      </c>
      <c r="C5200">
        <v>0.28937000000000002</v>
      </c>
      <c r="D5200">
        <v>0.25280000000000002</v>
      </c>
      <c r="E5200">
        <v>0.5</v>
      </c>
      <c r="F5200">
        <v>3423</v>
      </c>
      <c r="G5200">
        <v>865</v>
      </c>
      <c r="H5200">
        <v>2990</v>
      </c>
      <c r="I5200">
        <v>10051</v>
      </c>
    </row>
    <row r="5201" spans="1:9">
      <c r="A5201" s="2">
        <v>1996</v>
      </c>
      <c r="B5201">
        <v>91</v>
      </c>
      <c r="C5201">
        <v>0.31897999999999999</v>
      </c>
      <c r="D5201">
        <v>0.27510000000000001</v>
      </c>
      <c r="E5201">
        <v>0.5</v>
      </c>
      <c r="F5201">
        <v>2558</v>
      </c>
      <c r="G5201">
        <v>704</v>
      </c>
      <c r="H5201">
        <v>2206</v>
      </c>
      <c r="I5201">
        <v>7061</v>
      </c>
    </row>
    <row r="5202" spans="1:9">
      <c r="A5202" s="2">
        <v>1996</v>
      </c>
      <c r="B5202">
        <v>92</v>
      </c>
      <c r="C5202">
        <v>0.34184999999999999</v>
      </c>
      <c r="D5202">
        <v>0.29194999999999999</v>
      </c>
      <c r="E5202">
        <v>0.5</v>
      </c>
      <c r="F5202">
        <v>1854</v>
      </c>
      <c r="G5202">
        <v>541</v>
      </c>
      <c r="H5202">
        <v>1583</v>
      </c>
      <c r="I5202">
        <v>4855</v>
      </c>
    </row>
    <row r="5203" spans="1:9">
      <c r="A5203" s="2">
        <v>1996</v>
      </c>
      <c r="B5203">
        <v>93</v>
      </c>
      <c r="C5203">
        <v>0.36012</v>
      </c>
      <c r="D5203">
        <v>0.30517</v>
      </c>
      <c r="E5203">
        <v>0.5</v>
      </c>
      <c r="F5203">
        <v>1313</v>
      </c>
      <c r="G5203">
        <v>401</v>
      </c>
      <c r="H5203">
        <v>1112</v>
      </c>
      <c r="I5203">
        <v>3272</v>
      </c>
    </row>
    <row r="5204" spans="1:9">
      <c r="A5204" s="2">
        <v>1996</v>
      </c>
      <c r="B5204">
        <v>94</v>
      </c>
      <c r="C5204">
        <v>0.37401000000000001</v>
      </c>
      <c r="D5204">
        <v>0.31508999999999998</v>
      </c>
      <c r="E5204">
        <v>0.5</v>
      </c>
      <c r="F5204">
        <v>912</v>
      </c>
      <c r="G5204">
        <v>287</v>
      </c>
      <c r="H5204">
        <v>768</v>
      </c>
      <c r="I5204">
        <v>2159</v>
      </c>
    </row>
    <row r="5205" spans="1:9">
      <c r="A5205" s="2">
        <v>1996</v>
      </c>
      <c r="B5205">
        <v>95</v>
      </c>
      <c r="C5205">
        <v>0.40764</v>
      </c>
      <c r="D5205">
        <v>0.33861999999999998</v>
      </c>
      <c r="E5205">
        <v>0.5</v>
      </c>
      <c r="F5205">
        <v>625</v>
      </c>
      <c r="G5205">
        <v>212</v>
      </c>
      <c r="H5205">
        <v>519</v>
      </c>
      <c r="I5205">
        <v>1391</v>
      </c>
    </row>
    <row r="5206" spans="1:9">
      <c r="A5206" s="2">
        <v>1996</v>
      </c>
      <c r="B5206">
        <v>96</v>
      </c>
      <c r="C5206">
        <v>0.43452000000000002</v>
      </c>
      <c r="D5206">
        <v>0.35696</v>
      </c>
      <c r="E5206">
        <v>0.5</v>
      </c>
      <c r="F5206">
        <v>413</v>
      </c>
      <c r="G5206">
        <v>147</v>
      </c>
      <c r="H5206">
        <v>339</v>
      </c>
      <c r="I5206">
        <v>872</v>
      </c>
    </row>
    <row r="5207" spans="1:9">
      <c r="A5207" s="2">
        <v>1996</v>
      </c>
      <c r="B5207">
        <v>97</v>
      </c>
      <c r="C5207">
        <v>0.46178999999999998</v>
      </c>
      <c r="D5207">
        <v>0.37515999999999999</v>
      </c>
      <c r="E5207">
        <v>0.5</v>
      </c>
      <c r="F5207">
        <v>266</v>
      </c>
      <c r="G5207">
        <v>100</v>
      </c>
      <c r="H5207">
        <v>216</v>
      </c>
      <c r="I5207">
        <v>533</v>
      </c>
    </row>
    <row r="5208" spans="1:9">
      <c r="A5208" s="2">
        <v>1996</v>
      </c>
      <c r="B5208">
        <v>98</v>
      </c>
      <c r="C5208">
        <v>0.48927999999999999</v>
      </c>
      <c r="D5208">
        <v>0.39311000000000001</v>
      </c>
      <c r="E5208">
        <v>0.5</v>
      </c>
      <c r="F5208">
        <v>166</v>
      </c>
      <c r="G5208">
        <v>65</v>
      </c>
      <c r="H5208">
        <v>133</v>
      </c>
      <c r="I5208">
        <v>317</v>
      </c>
    </row>
    <row r="5209" spans="1:9">
      <c r="A5209" s="2">
        <v>1996</v>
      </c>
      <c r="B5209">
        <v>99</v>
      </c>
      <c r="C5209">
        <v>0.51685000000000003</v>
      </c>
      <c r="D5209">
        <v>0.41071000000000002</v>
      </c>
      <c r="E5209">
        <v>0.5</v>
      </c>
      <c r="F5209">
        <v>101</v>
      </c>
      <c r="G5209">
        <v>41</v>
      </c>
      <c r="H5209">
        <v>80</v>
      </c>
      <c r="I5209">
        <v>183</v>
      </c>
    </row>
    <row r="5210" spans="1:9">
      <c r="A5210" s="2">
        <v>1996</v>
      </c>
      <c r="B5210">
        <v>100</v>
      </c>
      <c r="C5210">
        <v>0.54430999999999996</v>
      </c>
      <c r="D5210">
        <v>0.42786000000000002</v>
      </c>
      <c r="E5210">
        <v>0.5</v>
      </c>
      <c r="F5210">
        <v>59</v>
      </c>
      <c r="G5210">
        <v>25</v>
      </c>
      <c r="H5210">
        <v>47</v>
      </c>
      <c r="I5210">
        <v>103</v>
      </c>
    </row>
    <row r="5211" spans="1:9">
      <c r="A5211" s="2">
        <v>1996</v>
      </c>
      <c r="B5211">
        <v>101</v>
      </c>
      <c r="C5211">
        <v>0.57150000000000001</v>
      </c>
      <c r="D5211">
        <v>0.44449</v>
      </c>
      <c r="E5211">
        <v>0.5</v>
      </c>
      <c r="F5211">
        <v>34</v>
      </c>
      <c r="G5211">
        <v>15</v>
      </c>
      <c r="H5211">
        <v>26</v>
      </c>
      <c r="I5211">
        <v>57</v>
      </c>
    </row>
    <row r="5212" spans="1:9">
      <c r="A5212" s="2">
        <v>1996</v>
      </c>
      <c r="B5212">
        <v>102</v>
      </c>
      <c r="C5212">
        <v>0.59826999999999997</v>
      </c>
      <c r="D5212">
        <v>0.46050999999999997</v>
      </c>
      <c r="E5212">
        <v>0.5</v>
      </c>
      <c r="F5212">
        <v>19</v>
      </c>
      <c r="G5212">
        <v>9</v>
      </c>
      <c r="H5212">
        <v>15</v>
      </c>
      <c r="I5212">
        <v>30</v>
      </c>
    </row>
    <row r="5213" spans="1:9">
      <c r="A5213" s="2">
        <v>1996</v>
      </c>
      <c r="B5213">
        <v>103</v>
      </c>
      <c r="C5213">
        <v>0.62446999999999997</v>
      </c>
      <c r="D5213">
        <v>0.47588000000000003</v>
      </c>
      <c r="E5213">
        <v>0.5</v>
      </c>
      <c r="F5213">
        <v>10</v>
      </c>
      <c r="G5213">
        <v>5</v>
      </c>
      <c r="H5213">
        <v>8</v>
      </c>
      <c r="I5213">
        <v>16</v>
      </c>
    </row>
    <row r="5214" spans="1:9">
      <c r="A5214" s="2">
        <v>1996</v>
      </c>
      <c r="B5214">
        <v>104</v>
      </c>
      <c r="C5214">
        <v>0.64995000000000003</v>
      </c>
      <c r="D5214">
        <v>0.49053999999999998</v>
      </c>
      <c r="E5214">
        <v>0.5</v>
      </c>
      <c r="F5214">
        <v>5</v>
      </c>
      <c r="G5214">
        <v>3</v>
      </c>
      <c r="H5214">
        <v>4</v>
      </c>
      <c r="I5214">
        <v>8</v>
      </c>
    </row>
    <row r="5215" spans="1:9">
      <c r="A5215" s="2">
        <v>1996</v>
      </c>
      <c r="B5215">
        <v>105</v>
      </c>
      <c r="C5215">
        <v>0.67461000000000004</v>
      </c>
      <c r="D5215">
        <v>0.50446000000000002</v>
      </c>
      <c r="E5215">
        <v>0.5</v>
      </c>
      <c r="F5215">
        <v>3</v>
      </c>
      <c r="G5215">
        <v>1</v>
      </c>
      <c r="H5215">
        <v>2</v>
      </c>
      <c r="I5215">
        <v>4</v>
      </c>
    </row>
    <row r="5216" spans="1:9">
      <c r="A5216" s="2">
        <v>1996</v>
      </c>
      <c r="B5216">
        <v>106</v>
      </c>
      <c r="C5216">
        <v>0.69833999999999996</v>
      </c>
      <c r="D5216">
        <v>0.51761000000000001</v>
      </c>
      <c r="E5216">
        <v>0.5</v>
      </c>
      <c r="F5216">
        <v>1</v>
      </c>
      <c r="G5216">
        <v>1</v>
      </c>
      <c r="H5216">
        <v>1</v>
      </c>
      <c r="I5216">
        <v>2</v>
      </c>
    </row>
    <row r="5217" spans="1:9">
      <c r="A5217" s="2">
        <v>1996</v>
      </c>
      <c r="B5217">
        <v>107</v>
      </c>
      <c r="C5217">
        <v>0.72104999999999997</v>
      </c>
      <c r="D5217">
        <v>0.52998000000000001</v>
      </c>
      <c r="E5217">
        <v>0.5</v>
      </c>
      <c r="F5217">
        <v>1</v>
      </c>
      <c r="G5217">
        <v>0</v>
      </c>
      <c r="H5217">
        <v>0</v>
      </c>
      <c r="I5217">
        <v>1</v>
      </c>
    </row>
    <row r="5218" spans="1:9">
      <c r="A5218" s="2">
        <v>1996</v>
      </c>
      <c r="B5218">
        <v>108</v>
      </c>
      <c r="C5218">
        <v>0.74268000000000001</v>
      </c>
      <c r="D5218">
        <v>0.54157999999999995</v>
      </c>
      <c r="E5218">
        <v>0.5</v>
      </c>
      <c r="F5218">
        <v>0</v>
      </c>
      <c r="G5218">
        <v>0</v>
      </c>
      <c r="H5218">
        <v>0</v>
      </c>
      <c r="I5218">
        <v>0</v>
      </c>
    </row>
    <row r="5219" spans="1:9">
      <c r="A5219" s="2">
        <v>1996</v>
      </c>
      <c r="B5219">
        <v>109</v>
      </c>
      <c r="C5219">
        <v>0.76319000000000004</v>
      </c>
      <c r="D5219">
        <v>0.5524</v>
      </c>
      <c r="E5219">
        <v>0.5</v>
      </c>
      <c r="F5219">
        <v>0</v>
      </c>
      <c r="G5219">
        <v>0</v>
      </c>
      <c r="H5219">
        <v>0</v>
      </c>
      <c r="I5219">
        <v>0</v>
      </c>
    </row>
    <row r="5220" spans="1:9">
      <c r="A5220" s="2">
        <v>1996</v>
      </c>
      <c r="B5220" t="s">
        <v>26</v>
      </c>
      <c r="C5220">
        <v>0.78254000000000001</v>
      </c>
      <c r="D5220">
        <v>1</v>
      </c>
      <c r="E5220" s="3" t="s">
        <v>41</v>
      </c>
      <c r="F5220">
        <v>0</v>
      </c>
      <c r="G5220">
        <v>0</v>
      </c>
      <c r="H5220">
        <v>0</v>
      </c>
      <c r="I5220">
        <v>0</v>
      </c>
    </row>
    <row r="5221" spans="1:9">
      <c r="A5221" s="2">
        <v>1997</v>
      </c>
      <c r="B5221">
        <v>0</v>
      </c>
      <c r="C5221">
        <v>1.0829999999999999E-2</v>
      </c>
      <c r="D5221">
        <v>1.073E-2</v>
      </c>
      <c r="E5221">
        <v>0.13</v>
      </c>
      <c r="F5221">
        <v>100000</v>
      </c>
      <c r="G5221">
        <v>1073</v>
      </c>
      <c r="H5221">
        <v>99064</v>
      </c>
      <c r="I5221">
        <v>6663908</v>
      </c>
    </row>
    <row r="5222" spans="1:9">
      <c r="A5222" s="2">
        <v>1997</v>
      </c>
      <c r="B5222">
        <v>1</v>
      </c>
      <c r="C5222">
        <v>8.9999999999999998E-4</v>
      </c>
      <c r="D5222">
        <v>8.8999999999999995E-4</v>
      </c>
      <c r="E5222">
        <v>0.5</v>
      </c>
      <c r="F5222">
        <v>98927</v>
      </c>
      <c r="G5222">
        <v>89</v>
      </c>
      <c r="H5222">
        <v>98883</v>
      </c>
      <c r="I5222">
        <v>6564844</v>
      </c>
    </row>
    <row r="5223" spans="1:9">
      <c r="A5223" s="2">
        <v>1997</v>
      </c>
      <c r="B5223">
        <v>2</v>
      </c>
      <c r="C5223">
        <v>5.2999999999999998E-4</v>
      </c>
      <c r="D5223">
        <v>5.2999999999999998E-4</v>
      </c>
      <c r="E5223">
        <v>0.5</v>
      </c>
      <c r="F5223">
        <v>98839</v>
      </c>
      <c r="G5223">
        <v>52</v>
      </c>
      <c r="H5223">
        <v>98812</v>
      </c>
      <c r="I5223">
        <v>6465961</v>
      </c>
    </row>
    <row r="5224" spans="1:9">
      <c r="A5224" s="2">
        <v>1997</v>
      </c>
      <c r="B5224">
        <v>3</v>
      </c>
      <c r="C5224">
        <v>2.4000000000000001E-4</v>
      </c>
      <c r="D5224">
        <v>2.4000000000000001E-4</v>
      </c>
      <c r="E5224">
        <v>0.5</v>
      </c>
      <c r="F5224">
        <v>98786</v>
      </c>
      <c r="G5224">
        <v>23</v>
      </c>
      <c r="H5224">
        <v>98775</v>
      </c>
      <c r="I5224">
        <v>6367149</v>
      </c>
    </row>
    <row r="5225" spans="1:9">
      <c r="A5225" s="2">
        <v>1997</v>
      </c>
      <c r="B5225">
        <v>4</v>
      </c>
      <c r="C5225">
        <v>3.8000000000000002E-4</v>
      </c>
      <c r="D5225">
        <v>3.8000000000000002E-4</v>
      </c>
      <c r="E5225">
        <v>0.5</v>
      </c>
      <c r="F5225">
        <v>98763</v>
      </c>
      <c r="G5225">
        <v>38</v>
      </c>
      <c r="H5225">
        <v>98744</v>
      </c>
      <c r="I5225">
        <v>6268374</v>
      </c>
    </row>
    <row r="5226" spans="1:9">
      <c r="A5226" s="2">
        <v>1997</v>
      </c>
      <c r="B5226">
        <v>5</v>
      </c>
      <c r="C5226">
        <v>2.2000000000000001E-4</v>
      </c>
      <c r="D5226">
        <v>2.2000000000000001E-4</v>
      </c>
      <c r="E5226">
        <v>0.5</v>
      </c>
      <c r="F5226">
        <v>98725</v>
      </c>
      <c r="G5226">
        <v>22</v>
      </c>
      <c r="H5226">
        <v>98714</v>
      </c>
      <c r="I5226">
        <v>6169630</v>
      </c>
    </row>
    <row r="5227" spans="1:9">
      <c r="A5227" s="2">
        <v>1997</v>
      </c>
      <c r="B5227">
        <v>6</v>
      </c>
      <c r="C5227">
        <v>2.2000000000000001E-4</v>
      </c>
      <c r="D5227">
        <v>2.2000000000000001E-4</v>
      </c>
      <c r="E5227">
        <v>0.5</v>
      </c>
      <c r="F5227">
        <v>98703</v>
      </c>
      <c r="G5227">
        <v>22</v>
      </c>
      <c r="H5227">
        <v>98692</v>
      </c>
      <c r="I5227">
        <v>6070917</v>
      </c>
    </row>
    <row r="5228" spans="1:9">
      <c r="A5228" s="2">
        <v>1997</v>
      </c>
      <c r="B5228">
        <v>7</v>
      </c>
      <c r="C5228">
        <v>1.8000000000000001E-4</v>
      </c>
      <c r="D5228">
        <v>1.8000000000000001E-4</v>
      </c>
      <c r="E5228">
        <v>0.5</v>
      </c>
      <c r="F5228">
        <v>98681</v>
      </c>
      <c r="G5228">
        <v>17</v>
      </c>
      <c r="H5228">
        <v>98673</v>
      </c>
      <c r="I5228">
        <v>5972224</v>
      </c>
    </row>
    <row r="5229" spans="1:9">
      <c r="A5229" s="2">
        <v>1997</v>
      </c>
      <c r="B5229">
        <v>8</v>
      </c>
      <c r="C5229">
        <v>2.5000000000000001E-4</v>
      </c>
      <c r="D5229">
        <v>2.5000000000000001E-4</v>
      </c>
      <c r="E5229">
        <v>0.5</v>
      </c>
      <c r="F5229">
        <v>98664</v>
      </c>
      <c r="G5229">
        <v>25</v>
      </c>
      <c r="H5229">
        <v>98652</v>
      </c>
      <c r="I5229">
        <v>5873552</v>
      </c>
    </row>
    <row r="5230" spans="1:9">
      <c r="A5230" s="2">
        <v>1997</v>
      </c>
      <c r="B5230">
        <v>9</v>
      </c>
      <c r="C5230">
        <v>2.7E-4</v>
      </c>
      <c r="D5230">
        <v>2.7E-4</v>
      </c>
      <c r="E5230">
        <v>0.5</v>
      </c>
      <c r="F5230">
        <v>98639</v>
      </c>
      <c r="G5230">
        <v>26</v>
      </c>
      <c r="H5230">
        <v>98626</v>
      </c>
      <c r="I5230">
        <v>5774900</v>
      </c>
    </row>
    <row r="5231" spans="1:9">
      <c r="A5231" s="2">
        <v>1997</v>
      </c>
      <c r="B5231">
        <v>10</v>
      </c>
      <c r="C5231">
        <v>9.0000000000000006E-5</v>
      </c>
      <c r="D5231">
        <v>9.0000000000000006E-5</v>
      </c>
      <c r="E5231">
        <v>0.5</v>
      </c>
      <c r="F5231">
        <v>98612</v>
      </c>
      <c r="G5231">
        <v>9</v>
      </c>
      <c r="H5231">
        <v>98608</v>
      </c>
      <c r="I5231">
        <v>5676274</v>
      </c>
    </row>
    <row r="5232" spans="1:9">
      <c r="A5232" s="2">
        <v>1997</v>
      </c>
      <c r="B5232">
        <v>11</v>
      </c>
      <c r="C5232">
        <v>1.8000000000000001E-4</v>
      </c>
      <c r="D5232">
        <v>1.8000000000000001E-4</v>
      </c>
      <c r="E5232">
        <v>0.5</v>
      </c>
      <c r="F5232">
        <v>98603</v>
      </c>
      <c r="G5232">
        <v>18</v>
      </c>
      <c r="H5232">
        <v>98594</v>
      </c>
      <c r="I5232">
        <v>5577667</v>
      </c>
    </row>
    <row r="5233" spans="1:9">
      <c r="A5233" s="2">
        <v>1997</v>
      </c>
      <c r="B5233">
        <v>12</v>
      </c>
      <c r="C5233">
        <v>1.1E-4</v>
      </c>
      <c r="D5233">
        <v>1.1E-4</v>
      </c>
      <c r="E5233">
        <v>0.5</v>
      </c>
      <c r="F5233">
        <v>98585</v>
      </c>
      <c r="G5233">
        <v>11</v>
      </c>
      <c r="H5233">
        <v>98580</v>
      </c>
      <c r="I5233">
        <v>5479072</v>
      </c>
    </row>
    <row r="5234" spans="1:9">
      <c r="A5234" s="2">
        <v>1997</v>
      </c>
      <c r="B5234">
        <v>13</v>
      </c>
      <c r="C5234">
        <v>1.6000000000000001E-4</v>
      </c>
      <c r="D5234">
        <v>1.6000000000000001E-4</v>
      </c>
      <c r="E5234">
        <v>0.5</v>
      </c>
      <c r="F5234">
        <v>98575</v>
      </c>
      <c r="G5234">
        <v>15</v>
      </c>
      <c r="H5234">
        <v>98567</v>
      </c>
      <c r="I5234">
        <v>5380492</v>
      </c>
    </row>
    <row r="5235" spans="1:9">
      <c r="A5235" s="2">
        <v>1997</v>
      </c>
      <c r="B5235">
        <v>14</v>
      </c>
      <c r="C5235">
        <v>3.6000000000000002E-4</v>
      </c>
      <c r="D5235">
        <v>3.6000000000000002E-4</v>
      </c>
      <c r="E5235">
        <v>0.5</v>
      </c>
      <c r="F5235">
        <v>98560</v>
      </c>
      <c r="G5235">
        <v>36</v>
      </c>
      <c r="H5235">
        <v>98542</v>
      </c>
      <c r="I5235">
        <v>5281925</v>
      </c>
    </row>
    <row r="5236" spans="1:9">
      <c r="A5236" s="2">
        <v>1997</v>
      </c>
      <c r="B5236">
        <v>15</v>
      </c>
      <c r="C5236">
        <v>4.0000000000000002E-4</v>
      </c>
      <c r="D5236">
        <v>4.0000000000000002E-4</v>
      </c>
      <c r="E5236">
        <v>0.5</v>
      </c>
      <c r="F5236">
        <v>98524</v>
      </c>
      <c r="G5236">
        <v>39</v>
      </c>
      <c r="H5236">
        <v>98504</v>
      </c>
      <c r="I5236">
        <v>5183383</v>
      </c>
    </row>
    <row r="5237" spans="1:9">
      <c r="A5237" s="2">
        <v>1997</v>
      </c>
      <c r="B5237">
        <v>16</v>
      </c>
      <c r="C5237">
        <v>5.9000000000000003E-4</v>
      </c>
      <c r="D5237">
        <v>5.9000000000000003E-4</v>
      </c>
      <c r="E5237">
        <v>0.5</v>
      </c>
      <c r="F5237">
        <v>98485</v>
      </c>
      <c r="G5237">
        <v>58</v>
      </c>
      <c r="H5237">
        <v>98456</v>
      </c>
      <c r="I5237">
        <v>5084879</v>
      </c>
    </row>
    <row r="5238" spans="1:9">
      <c r="A5238" s="2">
        <v>1997</v>
      </c>
      <c r="B5238">
        <v>17</v>
      </c>
      <c r="C5238">
        <v>4.6000000000000001E-4</v>
      </c>
      <c r="D5238">
        <v>4.6000000000000001E-4</v>
      </c>
      <c r="E5238">
        <v>0.5</v>
      </c>
      <c r="F5238">
        <v>98426</v>
      </c>
      <c r="G5238">
        <v>45</v>
      </c>
      <c r="H5238">
        <v>98404</v>
      </c>
      <c r="I5238">
        <v>4986423</v>
      </c>
    </row>
    <row r="5239" spans="1:9">
      <c r="A5239" s="2">
        <v>1997</v>
      </c>
      <c r="B5239">
        <v>18</v>
      </c>
      <c r="C5239">
        <v>6.9999999999999999E-4</v>
      </c>
      <c r="D5239">
        <v>6.9999999999999999E-4</v>
      </c>
      <c r="E5239">
        <v>0.5</v>
      </c>
      <c r="F5239">
        <v>98381</v>
      </c>
      <c r="G5239">
        <v>69</v>
      </c>
      <c r="H5239">
        <v>98347</v>
      </c>
      <c r="I5239">
        <v>4888019</v>
      </c>
    </row>
    <row r="5240" spans="1:9">
      <c r="A5240" s="2">
        <v>1997</v>
      </c>
      <c r="B5240">
        <v>19</v>
      </c>
      <c r="C5240">
        <v>8.4999999999999995E-4</v>
      </c>
      <c r="D5240">
        <v>8.4999999999999995E-4</v>
      </c>
      <c r="E5240">
        <v>0.5</v>
      </c>
      <c r="F5240">
        <v>98312</v>
      </c>
      <c r="G5240">
        <v>83</v>
      </c>
      <c r="H5240">
        <v>98271</v>
      </c>
      <c r="I5240">
        <v>4789673</v>
      </c>
    </row>
    <row r="5241" spans="1:9">
      <c r="A5241" s="2">
        <v>1997</v>
      </c>
      <c r="B5241">
        <v>20</v>
      </c>
      <c r="C5241">
        <v>8.4999999999999995E-4</v>
      </c>
      <c r="D5241">
        <v>8.4999999999999995E-4</v>
      </c>
      <c r="E5241">
        <v>0.5</v>
      </c>
      <c r="F5241">
        <v>98229</v>
      </c>
      <c r="G5241">
        <v>83</v>
      </c>
      <c r="H5241">
        <v>98187</v>
      </c>
      <c r="I5241">
        <v>4691402</v>
      </c>
    </row>
    <row r="5242" spans="1:9">
      <c r="A5242" s="2">
        <v>1997</v>
      </c>
      <c r="B5242">
        <v>21</v>
      </c>
      <c r="C5242">
        <v>9.6000000000000002E-4</v>
      </c>
      <c r="D5242">
        <v>9.6000000000000002E-4</v>
      </c>
      <c r="E5242">
        <v>0.5</v>
      </c>
      <c r="F5242">
        <v>98146</v>
      </c>
      <c r="G5242">
        <v>94</v>
      </c>
      <c r="H5242">
        <v>98099</v>
      </c>
      <c r="I5242">
        <v>4593215</v>
      </c>
    </row>
    <row r="5243" spans="1:9">
      <c r="A5243" s="2">
        <v>1997</v>
      </c>
      <c r="B5243">
        <v>22</v>
      </c>
      <c r="C5243">
        <v>8.7000000000000001E-4</v>
      </c>
      <c r="D5243">
        <v>8.7000000000000001E-4</v>
      </c>
      <c r="E5243">
        <v>0.5</v>
      </c>
      <c r="F5243">
        <v>98052</v>
      </c>
      <c r="G5243">
        <v>86</v>
      </c>
      <c r="H5243">
        <v>98009</v>
      </c>
      <c r="I5243">
        <v>4495116</v>
      </c>
    </row>
    <row r="5244" spans="1:9">
      <c r="A5244" s="2">
        <v>1997</v>
      </c>
      <c r="B5244">
        <v>23</v>
      </c>
      <c r="C5244">
        <v>9.3000000000000005E-4</v>
      </c>
      <c r="D5244">
        <v>9.3000000000000005E-4</v>
      </c>
      <c r="E5244">
        <v>0.5</v>
      </c>
      <c r="F5244">
        <v>97966</v>
      </c>
      <c r="G5244">
        <v>91</v>
      </c>
      <c r="H5244">
        <v>97921</v>
      </c>
      <c r="I5244">
        <v>4397107</v>
      </c>
    </row>
    <row r="5245" spans="1:9">
      <c r="A5245" s="2">
        <v>1997</v>
      </c>
      <c r="B5245">
        <v>24</v>
      </c>
      <c r="C5245">
        <v>1.0300000000000001E-3</v>
      </c>
      <c r="D5245">
        <v>1.0300000000000001E-3</v>
      </c>
      <c r="E5245">
        <v>0.5</v>
      </c>
      <c r="F5245">
        <v>97875</v>
      </c>
      <c r="G5245">
        <v>101</v>
      </c>
      <c r="H5245">
        <v>97825</v>
      </c>
      <c r="I5245">
        <v>4299187</v>
      </c>
    </row>
    <row r="5246" spans="1:9">
      <c r="A5246" s="2">
        <v>1997</v>
      </c>
      <c r="B5246">
        <v>25</v>
      </c>
      <c r="C5246">
        <v>1.16E-3</v>
      </c>
      <c r="D5246">
        <v>1.16E-3</v>
      </c>
      <c r="E5246">
        <v>0.5</v>
      </c>
      <c r="F5246">
        <v>97775</v>
      </c>
      <c r="G5246">
        <v>113</v>
      </c>
      <c r="H5246">
        <v>97718</v>
      </c>
      <c r="I5246">
        <v>4201362</v>
      </c>
    </row>
    <row r="5247" spans="1:9">
      <c r="A5247" s="2">
        <v>1997</v>
      </c>
      <c r="B5247">
        <v>26</v>
      </c>
      <c r="C5247">
        <v>1.1900000000000001E-3</v>
      </c>
      <c r="D5247">
        <v>1.1900000000000001E-3</v>
      </c>
      <c r="E5247">
        <v>0.5</v>
      </c>
      <c r="F5247">
        <v>97662</v>
      </c>
      <c r="G5247">
        <v>116</v>
      </c>
      <c r="H5247">
        <v>97603</v>
      </c>
      <c r="I5247">
        <v>4103644</v>
      </c>
    </row>
    <row r="5248" spans="1:9">
      <c r="A5248" s="2">
        <v>1997</v>
      </c>
      <c r="B5248">
        <v>27</v>
      </c>
      <c r="C5248">
        <v>1.5399999999999999E-3</v>
      </c>
      <c r="D5248">
        <v>1.5399999999999999E-3</v>
      </c>
      <c r="E5248">
        <v>0.5</v>
      </c>
      <c r="F5248">
        <v>97545</v>
      </c>
      <c r="G5248">
        <v>150</v>
      </c>
      <c r="H5248">
        <v>97470</v>
      </c>
      <c r="I5248">
        <v>4006040</v>
      </c>
    </row>
    <row r="5249" spans="1:9">
      <c r="A5249" s="2">
        <v>1997</v>
      </c>
      <c r="B5249">
        <v>28</v>
      </c>
      <c r="C5249">
        <v>1.4599999999999999E-3</v>
      </c>
      <c r="D5249">
        <v>1.4599999999999999E-3</v>
      </c>
      <c r="E5249">
        <v>0.5</v>
      </c>
      <c r="F5249">
        <v>97395</v>
      </c>
      <c r="G5249">
        <v>142</v>
      </c>
      <c r="H5249">
        <v>97324</v>
      </c>
      <c r="I5249">
        <v>3908570</v>
      </c>
    </row>
    <row r="5250" spans="1:9">
      <c r="A5250" s="2">
        <v>1997</v>
      </c>
      <c r="B5250">
        <v>29</v>
      </c>
      <c r="C5250">
        <v>1.33E-3</v>
      </c>
      <c r="D5250">
        <v>1.33E-3</v>
      </c>
      <c r="E5250">
        <v>0.5</v>
      </c>
      <c r="F5250">
        <v>97253</v>
      </c>
      <c r="G5250">
        <v>130</v>
      </c>
      <c r="H5250">
        <v>97188</v>
      </c>
      <c r="I5250">
        <v>3811246</v>
      </c>
    </row>
    <row r="5251" spans="1:9">
      <c r="A5251" s="2">
        <v>1997</v>
      </c>
      <c r="B5251">
        <v>30</v>
      </c>
      <c r="C5251">
        <v>1.67E-3</v>
      </c>
      <c r="D5251">
        <v>1.67E-3</v>
      </c>
      <c r="E5251">
        <v>0.5</v>
      </c>
      <c r="F5251">
        <v>97123</v>
      </c>
      <c r="G5251">
        <v>162</v>
      </c>
      <c r="H5251">
        <v>97042</v>
      </c>
      <c r="I5251">
        <v>3714059</v>
      </c>
    </row>
    <row r="5252" spans="1:9">
      <c r="A5252" s="2">
        <v>1997</v>
      </c>
      <c r="B5252">
        <v>31</v>
      </c>
      <c r="C5252">
        <v>1.7700000000000001E-3</v>
      </c>
      <c r="D5252">
        <v>1.7700000000000001E-3</v>
      </c>
      <c r="E5252">
        <v>0.5</v>
      </c>
      <c r="F5252">
        <v>96961</v>
      </c>
      <c r="G5252">
        <v>171</v>
      </c>
      <c r="H5252">
        <v>96876</v>
      </c>
      <c r="I5252">
        <v>3617017</v>
      </c>
    </row>
    <row r="5253" spans="1:9">
      <c r="A5253" s="2">
        <v>1997</v>
      </c>
      <c r="B5253">
        <v>32</v>
      </c>
      <c r="C5253">
        <v>2.3E-3</v>
      </c>
      <c r="D5253">
        <v>2.3E-3</v>
      </c>
      <c r="E5253">
        <v>0.5</v>
      </c>
      <c r="F5253">
        <v>96790</v>
      </c>
      <c r="G5253">
        <v>223</v>
      </c>
      <c r="H5253">
        <v>96679</v>
      </c>
      <c r="I5253">
        <v>3520141</v>
      </c>
    </row>
    <row r="5254" spans="1:9">
      <c r="A5254" s="2">
        <v>1997</v>
      </c>
      <c r="B5254">
        <v>33</v>
      </c>
      <c r="C5254">
        <v>2.7699999999999999E-3</v>
      </c>
      <c r="D5254">
        <v>2.7699999999999999E-3</v>
      </c>
      <c r="E5254">
        <v>0.5</v>
      </c>
      <c r="F5254">
        <v>96567</v>
      </c>
      <c r="G5254">
        <v>267</v>
      </c>
      <c r="H5254">
        <v>96434</v>
      </c>
      <c r="I5254">
        <v>3423462</v>
      </c>
    </row>
    <row r="5255" spans="1:9">
      <c r="A5255" s="2">
        <v>1997</v>
      </c>
      <c r="B5255">
        <v>34</v>
      </c>
      <c r="C5255">
        <v>3.1800000000000001E-3</v>
      </c>
      <c r="D5255">
        <v>3.1800000000000001E-3</v>
      </c>
      <c r="E5255">
        <v>0.5</v>
      </c>
      <c r="F5255">
        <v>96300</v>
      </c>
      <c r="G5255">
        <v>306</v>
      </c>
      <c r="H5255">
        <v>96147</v>
      </c>
      <c r="I5255">
        <v>3327028</v>
      </c>
    </row>
    <row r="5256" spans="1:9">
      <c r="A5256" s="2">
        <v>1997</v>
      </c>
      <c r="B5256">
        <v>35</v>
      </c>
      <c r="C5256">
        <v>3.0899999999999999E-3</v>
      </c>
      <c r="D5256">
        <v>3.0899999999999999E-3</v>
      </c>
      <c r="E5256">
        <v>0.5</v>
      </c>
      <c r="F5256">
        <v>95994</v>
      </c>
      <c r="G5256">
        <v>296</v>
      </c>
      <c r="H5256">
        <v>95846</v>
      </c>
      <c r="I5256">
        <v>3230881</v>
      </c>
    </row>
    <row r="5257" spans="1:9">
      <c r="A5257" s="2">
        <v>1997</v>
      </c>
      <c r="B5257">
        <v>36</v>
      </c>
      <c r="C5257">
        <v>3.6800000000000001E-3</v>
      </c>
      <c r="D5257">
        <v>3.6800000000000001E-3</v>
      </c>
      <c r="E5257">
        <v>0.5</v>
      </c>
      <c r="F5257">
        <v>95698</v>
      </c>
      <c r="G5257">
        <v>352</v>
      </c>
      <c r="H5257">
        <v>95522</v>
      </c>
      <c r="I5257">
        <v>3135035</v>
      </c>
    </row>
    <row r="5258" spans="1:9">
      <c r="A5258" s="2">
        <v>1997</v>
      </c>
      <c r="B5258">
        <v>37</v>
      </c>
      <c r="C5258">
        <v>4.0000000000000001E-3</v>
      </c>
      <c r="D5258">
        <v>3.9899999999999996E-3</v>
      </c>
      <c r="E5258">
        <v>0.5</v>
      </c>
      <c r="F5258">
        <v>95346</v>
      </c>
      <c r="G5258">
        <v>380</v>
      </c>
      <c r="H5258">
        <v>95156</v>
      </c>
      <c r="I5258">
        <v>3039512</v>
      </c>
    </row>
    <row r="5259" spans="1:9">
      <c r="A5259" s="2">
        <v>1997</v>
      </c>
      <c r="B5259">
        <v>38</v>
      </c>
      <c r="C5259">
        <v>4.5500000000000002E-3</v>
      </c>
      <c r="D5259">
        <v>4.5399999999999998E-3</v>
      </c>
      <c r="E5259">
        <v>0.5</v>
      </c>
      <c r="F5259">
        <v>94966</v>
      </c>
      <c r="G5259">
        <v>431</v>
      </c>
      <c r="H5259">
        <v>94751</v>
      </c>
      <c r="I5259">
        <v>2944356</v>
      </c>
    </row>
    <row r="5260" spans="1:9">
      <c r="A5260" s="2">
        <v>1997</v>
      </c>
      <c r="B5260">
        <v>39</v>
      </c>
      <c r="C5260">
        <v>5.6299999999999996E-3</v>
      </c>
      <c r="D5260">
        <v>5.6100000000000004E-3</v>
      </c>
      <c r="E5260">
        <v>0.5</v>
      </c>
      <c r="F5260">
        <v>94535</v>
      </c>
      <c r="G5260">
        <v>530</v>
      </c>
      <c r="H5260">
        <v>94270</v>
      </c>
      <c r="I5260">
        <v>2849606</v>
      </c>
    </row>
    <row r="5261" spans="1:9">
      <c r="A5261" s="2">
        <v>1997</v>
      </c>
      <c r="B5261">
        <v>40</v>
      </c>
      <c r="C5261">
        <v>5.9500000000000004E-3</v>
      </c>
      <c r="D5261">
        <v>5.94E-3</v>
      </c>
      <c r="E5261">
        <v>0.5</v>
      </c>
      <c r="F5261">
        <v>94005</v>
      </c>
      <c r="G5261">
        <v>558</v>
      </c>
      <c r="H5261">
        <v>93726</v>
      </c>
      <c r="I5261">
        <v>2755336</v>
      </c>
    </row>
    <row r="5262" spans="1:9">
      <c r="A5262" s="2">
        <v>1997</v>
      </c>
      <c r="B5262">
        <v>41</v>
      </c>
      <c r="C5262">
        <v>6.8300000000000001E-3</v>
      </c>
      <c r="D5262">
        <v>6.8100000000000001E-3</v>
      </c>
      <c r="E5262">
        <v>0.5</v>
      </c>
      <c r="F5262">
        <v>93447</v>
      </c>
      <c r="G5262">
        <v>636</v>
      </c>
      <c r="H5262">
        <v>93129</v>
      </c>
      <c r="I5262">
        <v>2661610</v>
      </c>
    </row>
    <row r="5263" spans="1:9">
      <c r="A5263" s="2">
        <v>1997</v>
      </c>
      <c r="B5263">
        <v>42</v>
      </c>
      <c r="C5263">
        <v>8.0400000000000003E-3</v>
      </c>
      <c r="D5263">
        <v>8.0099999999999998E-3</v>
      </c>
      <c r="E5263">
        <v>0.5</v>
      </c>
      <c r="F5263">
        <v>92810</v>
      </c>
      <c r="G5263">
        <v>743</v>
      </c>
      <c r="H5263">
        <v>92439</v>
      </c>
      <c r="I5263">
        <v>2568482</v>
      </c>
    </row>
    <row r="5264" spans="1:9">
      <c r="A5264" s="2">
        <v>1997</v>
      </c>
      <c r="B5264">
        <v>43</v>
      </c>
      <c r="C5264">
        <v>8.5699999999999995E-3</v>
      </c>
      <c r="D5264">
        <v>8.5400000000000007E-3</v>
      </c>
      <c r="E5264">
        <v>0.5</v>
      </c>
      <c r="F5264">
        <v>92067</v>
      </c>
      <c r="G5264">
        <v>786</v>
      </c>
      <c r="H5264">
        <v>91674</v>
      </c>
      <c r="I5264">
        <v>2476043</v>
      </c>
    </row>
    <row r="5265" spans="1:9">
      <c r="A5265" s="2">
        <v>1997</v>
      </c>
      <c r="B5265">
        <v>44</v>
      </c>
      <c r="C5265">
        <v>9.6699999999999998E-3</v>
      </c>
      <c r="D5265">
        <v>9.6200000000000001E-3</v>
      </c>
      <c r="E5265">
        <v>0.5</v>
      </c>
      <c r="F5265">
        <v>91281</v>
      </c>
      <c r="G5265">
        <v>878</v>
      </c>
      <c r="H5265">
        <v>90842</v>
      </c>
      <c r="I5265">
        <v>2384369</v>
      </c>
    </row>
    <row r="5266" spans="1:9">
      <c r="A5266" s="2">
        <v>1997</v>
      </c>
      <c r="B5266">
        <v>45</v>
      </c>
      <c r="C5266">
        <v>9.9100000000000004E-3</v>
      </c>
      <c r="D5266">
        <v>9.8600000000000007E-3</v>
      </c>
      <c r="E5266">
        <v>0.5</v>
      </c>
      <c r="F5266">
        <v>90403</v>
      </c>
      <c r="G5266">
        <v>891</v>
      </c>
      <c r="H5266">
        <v>89957</v>
      </c>
      <c r="I5266">
        <v>2293526</v>
      </c>
    </row>
    <row r="5267" spans="1:9">
      <c r="A5267" s="2">
        <v>1997</v>
      </c>
      <c r="B5267">
        <v>46</v>
      </c>
      <c r="C5267">
        <v>1.0059999999999999E-2</v>
      </c>
      <c r="D5267">
        <v>1.001E-2</v>
      </c>
      <c r="E5267">
        <v>0.5</v>
      </c>
      <c r="F5267">
        <v>89512</v>
      </c>
      <c r="G5267">
        <v>896</v>
      </c>
      <c r="H5267">
        <v>89064</v>
      </c>
      <c r="I5267">
        <v>2203569</v>
      </c>
    </row>
    <row r="5268" spans="1:9">
      <c r="A5268" s="2">
        <v>1997</v>
      </c>
      <c r="B5268">
        <v>47</v>
      </c>
      <c r="C5268">
        <v>1.191E-2</v>
      </c>
      <c r="D5268">
        <v>1.184E-2</v>
      </c>
      <c r="E5268">
        <v>0.5</v>
      </c>
      <c r="F5268">
        <v>88616</v>
      </c>
      <c r="G5268">
        <v>1049</v>
      </c>
      <c r="H5268">
        <v>88091</v>
      </c>
      <c r="I5268">
        <v>2114505</v>
      </c>
    </row>
    <row r="5269" spans="1:9">
      <c r="A5269" s="2">
        <v>1997</v>
      </c>
      <c r="B5269">
        <v>48</v>
      </c>
      <c r="C5269">
        <v>1.252E-2</v>
      </c>
      <c r="D5269">
        <v>1.2449999999999999E-2</v>
      </c>
      <c r="E5269">
        <v>0.5</v>
      </c>
      <c r="F5269">
        <v>87567</v>
      </c>
      <c r="G5269">
        <v>1090</v>
      </c>
      <c r="H5269">
        <v>87022</v>
      </c>
      <c r="I5269">
        <v>2026414</v>
      </c>
    </row>
    <row r="5270" spans="1:9">
      <c r="A5270" s="2">
        <v>1997</v>
      </c>
      <c r="B5270">
        <v>49</v>
      </c>
      <c r="C5270">
        <v>1.2829999999999999E-2</v>
      </c>
      <c r="D5270">
        <v>1.2749999999999999E-2</v>
      </c>
      <c r="E5270">
        <v>0.5</v>
      </c>
      <c r="F5270">
        <v>86477</v>
      </c>
      <c r="G5270">
        <v>1103</v>
      </c>
      <c r="H5270">
        <v>85925</v>
      </c>
      <c r="I5270">
        <v>1939392</v>
      </c>
    </row>
    <row r="5271" spans="1:9">
      <c r="A5271" s="2">
        <v>1997</v>
      </c>
      <c r="B5271">
        <v>50</v>
      </c>
      <c r="C5271">
        <v>1.396E-2</v>
      </c>
      <c r="D5271">
        <v>1.3860000000000001E-2</v>
      </c>
      <c r="E5271">
        <v>0.5</v>
      </c>
      <c r="F5271">
        <v>85374</v>
      </c>
      <c r="G5271">
        <v>1183</v>
      </c>
      <c r="H5271">
        <v>84783</v>
      </c>
      <c r="I5271">
        <v>1853467</v>
      </c>
    </row>
    <row r="5272" spans="1:9">
      <c r="A5272" s="2">
        <v>1997</v>
      </c>
      <c r="B5272">
        <v>51</v>
      </c>
      <c r="C5272">
        <v>1.456E-2</v>
      </c>
      <c r="D5272">
        <v>1.4449999999999999E-2</v>
      </c>
      <c r="E5272">
        <v>0.5</v>
      </c>
      <c r="F5272">
        <v>84191</v>
      </c>
      <c r="G5272">
        <v>1217</v>
      </c>
      <c r="H5272">
        <v>83582</v>
      </c>
      <c r="I5272">
        <v>1768684</v>
      </c>
    </row>
    <row r="5273" spans="1:9">
      <c r="A5273" s="2">
        <v>1997</v>
      </c>
      <c r="B5273">
        <v>52</v>
      </c>
      <c r="C5273">
        <v>1.7479999999999999E-2</v>
      </c>
      <c r="D5273">
        <v>1.7319999999999999E-2</v>
      </c>
      <c r="E5273">
        <v>0.5</v>
      </c>
      <c r="F5273">
        <v>82974</v>
      </c>
      <c r="G5273">
        <v>1437</v>
      </c>
      <c r="H5273">
        <v>82255</v>
      </c>
      <c r="I5273">
        <v>1685102</v>
      </c>
    </row>
    <row r="5274" spans="1:9">
      <c r="A5274" s="2">
        <v>1997</v>
      </c>
      <c r="B5274">
        <v>53</v>
      </c>
      <c r="C5274">
        <v>1.8069999999999999E-2</v>
      </c>
      <c r="D5274">
        <v>1.7909999999999999E-2</v>
      </c>
      <c r="E5274">
        <v>0.5</v>
      </c>
      <c r="F5274">
        <v>81537</v>
      </c>
      <c r="G5274">
        <v>1460</v>
      </c>
      <c r="H5274">
        <v>80806</v>
      </c>
      <c r="I5274">
        <v>1602847</v>
      </c>
    </row>
    <row r="5275" spans="1:9">
      <c r="A5275" s="2">
        <v>1997</v>
      </c>
      <c r="B5275">
        <v>54</v>
      </c>
      <c r="C5275">
        <v>1.8020000000000001E-2</v>
      </c>
      <c r="D5275">
        <v>1.7860000000000001E-2</v>
      </c>
      <c r="E5275">
        <v>0.5</v>
      </c>
      <c r="F5275">
        <v>80076</v>
      </c>
      <c r="G5275">
        <v>1430</v>
      </c>
      <c r="H5275">
        <v>79361</v>
      </c>
      <c r="I5275">
        <v>1522040</v>
      </c>
    </row>
    <row r="5276" spans="1:9">
      <c r="A5276" s="2">
        <v>1997</v>
      </c>
      <c r="B5276">
        <v>55</v>
      </c>
      <c r="C5276">
        <v>1.891E-2</v>
      </c>
      <c r="D5276">
        <v>1.873E-2</v>
      </c>
      <c r="E5276">
        <v>0.5</v>
      </c>
      <c r="F5276">
        <v>78646</v>
      </c>
      <c r="G5276">
        <v>1473</v>
      </c>
      <c r="H5276">
        <v>77910</v>
      </c>
      <c r="I5276">
        <v>1442679</v>
      </c>
    </row>
    <row r="5277" spans="1:9">
      <c r="A5277" s="2">
        <v>1997</v>
      </c>
      <c r="B5277">
        <v>56</v>
      </c>
      <c r="C5277">
        <v>2.247E-2</v>
      </c>
      <c r="D5277">
        <v>2.222E-2</v>
      </c>
      <c r="E5277">
        <v>0.5</v>
      </c>
      <c r="F5277">
        <v>77173</v>
      </c>
      <c r="G5277">
        <v>1714</v>
      </c>
      <c r="H5277">
        <v>76316</v>
      </c>
      <c r="I5277">
        <v>1364769</v>
      </c>
    </row>
    <row r="5278" spans="1:9">
      <c r="A5278" s="2">
        <v>1997</v>
      </c>
      <c r="B5278">
        <v>57</v>
      </c>
      <c r="C5278">
        <v>2.3220000000000001E-2</v>
      </c>
      <c r="D5278">
        <v>2.2950000000000002E-2</v>
      </c>
      <c r="E5278">
        <v>0.5</v>
      </c>
      <c r="F5278">
        <v>75459</v>
      </c>
      <c r="G5278">
        <v>1732</v>
      </c>
      <c r="H5278">
        <v>74593</v>
      </c>
      <c r="I5278">
        <v>1288453</v>
      </c>
    </row>
    <row r="5279" spans="1:9">
      <c r="A5279" s="2">
        <v>1997</v>
      </c>
      <c r="B5279">
        <v>58</v>
      </c>
      <c r="C5279">
        <v>2.4289999999999999E-2</v>
      </c>
      <c r="D5279">
        <v>2.4E-2</v>
      </c>
      <c r="E5279">
        <v>0.5</v>
      </c>
      <c r="F5279">
        <v>73727</v>
      </c>
      <c r="G5279">
        <v>1769</v>
      </c>
      <c r="H5279">
        <v>72842</v>
      </c>
      <c r="I5279">
        <v>1213860</v>
      </c>
    </row>
    <row r="5280" spans="1:9">
      <c r="A5280" s="2">
        <v>1997</v>
      </c>
      <c r="B5280">
        <v>59</v>
      </c>
      <c r="C5280">
        <v>2.4719999999999999E-2</v>
      </c>
      <c r="D5280">
        <v>2.4420000000000001E-2</v>
      </c>
      <c r="E5280">
        <v>0.5</v>
      </c>
      <c r="F5280">
        <v>71958</v>
      </c>
      <c r="G5280">
        <v>1757</v>
      </c>
      <c r="H5280">
        <v>71079</v>
      </c>
      <c r="I5280">
        <v>1141018</v>
      </c>
    </row>
    <row r="5281" spans="1:9">
      <c r="A5281" s="2">
        <v>1997</v>
      </c>
      <c r="B5281">
        <v>60</v>
      </c>
      <c r="C5281">
        <v>2.7900000000000001E-2</v>
      </c>
      <c r="D5281">
        <v>2.7519999999999999E-2</v>
      </c>
      <c r="E5281">
        <v>0.5</v>
      </c>
      <c r="F5281">
        <v>70200</v>
      </c>
      <c r="G5281">
        <v>1932</v>
      </c>
      <c r="H5281">
        <v>69235</v>
      </c>
      <c r="I5281">
        <v>1069939</v>
      </c>
    </row>
    <row r="5282" spans="1:9">
      <c r="A5282" s="2">
        <v>1997</v>
      </c>
      <c r="B5282">
        <v>61</v>
      </c>
      <c r="C5282">
        <v>3.0460000000000001E-2</v>
      </c>
      <c r="D5282">
        <v>0.03</v>
      </c>
      <c r="E5282">
        <v>0.5</v>
      </c>
      <c r="F5282">
        <v>68269</v>
      </c>
      <c r="G5282">
        <v>2048</v>
      </c>
      <c r="H5282">
        <v>67245</v>
      </c>
      <c r="I5282">
        <v>1000704</v>
      </c>
    </row>
    <row r="5283" spans="1:9">
      <c r="A5283" s="2">
        <v>1997</v>
      </c>
      <c r="B5283">
        <v>62</v>
      </c>
      <c r="C5283">
        <v>3.2530000000000003E-2</v>
      </c>
      <c r="D5283">
        <v>3.2009999999999997E-2</v>
      </c>
      <c r="E5283">
        <v>0.5</v>
      </c>
      <c r="F5283">
        <v>66220</v>
      </c>
      <c r="G5283">
        <v>2120</v>
      </c>
      <c r="H5283">
        <v>65161</v>
      </c>
      <c r="I5283">
        <v>933460</v>
      </c>
    </row>
    <row r="5284" spans="1:9">
      <c r="A5284" s="2">
        <v>1997</v>
      </c>
      <c r="B5284">
        <v>63</v>
      </c>
      <c r="C5284">
        <v>3.32E-2</v>
      </c>
      <c r="D5284">
        <v>3.2660000000000002E-2</v>
      </c>
      <c r="E5284">
        <v>0.5</v>
      </c>
      <c r="F5284">
        <v>64101</v>
      </c>
      <c r="G5284">
        <v>2093</v>
      </c>
      <c r="H5284">
        <v>63054</v>
      </c>
      <c r="I5284">
        <v>868299</v>
      </c>
    </row>
    <row r="5285" spans="1:9">
      <c r="A5285" s="2">
        <v>1997</v>
      </c>
      <c r="B5285">
        <v>64</v>
      </c>
      <c r="C5285">
        <v>3.6110000000000003E-2</v>
      </c>
      <c r="D5285">
        <v>3.5470000000000002E-2</v>
      </c>
      <c r="E5285">
        <v>0.5</v>
      </c>
      <c r="F5285">
        <v>62007</v>
      </c>
      <c r="G5285">
        <v>2199</v>
      </c>
      <c r="H5285">
        <v>60908</v>
      </c>
      <c r="I5285">
        <v>805245</v>
      </c>
    </row>
    <row r="5286" spans="1:9">
      <c r="A5286" s="2">
        <v>1997</v>
      </c>
      <c r="B5286">
        <v>65</v>
      </c>
      <c r="C5286">
        <v>3.9449999999999999E-2</v>
      </c>
      <c r="D5286">
        <v>3.8690000000000002E-2</v>
      </c>
      <c r="E5286">
        <v>0.5</v>
      </c>
      <c r="F5286">
        <v>59808</v>
      </c>
      <c r="G5286">
        <v>2314</v>
      </c>
      <c r="H5286">
        <v>58651</v>
      </c>
      <c r="I5286">
        <v>744337</v>
      </c>
    </row>
    <row r="5287" spans="1:9">
      <c r="A5287" s="2">
        <v>1997</v>
      </c>
      <c r="B5287">
        <v>66</v>
      </c>
      <c r="C5287">
        <v>4.0930000000000001E-2</v>
      </c>
      <c r="D5287">
        <v>4.011E-2</v>
      </c>
      <c r="E5287">
        <v>0.5</v>
      </c>
      <c r="F5287">
        <v>57495</v>
      </c>
      <c r="G5287">
        <v>2306</v>
      </c>
      <c r="H5287">
        <v>56342</v>
      </c>
      <c r="I5287">
        <v>685686</v>
      </c>
    </row>
    <row r="5288" spans="1:9">
      <c r="A5288" s="2">
        <v>1997</v>
      </c>
      <c r="B5288">
        <v>67</v>
      </c>
      <c r="C5288">
        <v>4.4069999999999998E-2</v>
      </c>
      <c r="D5288">
        <v>4.3119999999999999E-2</v>
      </c>
      <c r="E5288">
        <v>0.5</v>
      </c>
      <c r="F5288">
        <v>55189</v>
      </c>
      <c r="G5288">
        <v>2380</v>
      </c>
      <c r="H5288">
        <v>53999</v>
      </c>
      <c r="I5288">
        <v>629344</v>
      </c>
    </row>
    <row r="5289" spans="1:9">
      <c r="A5289" s="2">
        <v>1997</v>
      </c>
      <c r="B5289">
        <v>68</v>
      </c>
      <c r="C5289">
        <v>4.7539999999999999E-2</v>
      </c>
      <c r="D5289">
        <v>4.6429999999999999E-2</v>
      </c>
      <c r="E5289">
        <v>0.5</v>
      </c>
      <c r="F5289">
        <v>52809</v>
      </c>
      <c r="G5289">
        <v>2452</v>
      </c>
      <c r="H5289">
        <v>51583</v>
      </c>
      <c r="I5289">
        <v>575345</v>
      </c>
    </row>
    <row r="5290" spans="1:9">
      <c r="A5290" s="2">
        <v>1997</v>
      </c>
      <c r="B5290">
        <v>69</v>
      </c>
      <c r="C5290">
        <v>5.3260000000000002E-2</v>
      </c>
      <c r="D5290">
        <v>5.1880000000000003E-2</v>
      </c>
      <c r="E5290">
        <v>0.5</v>
      </c>
      <c r="F5290">
        <v>50357</v>
      </c>
      <c r="G5290">
        <v>2612</v>
      </c>
      <c r="H5290">
        <v>49051</v>
      </c>
      <c r="I5290">
        <v>523762</v>
      </c>
    </row>
    <row r="5291" spans="1:9">
      <c r="A5291" s="2">
        <v>1997</v>
      </c>
      <c r="B5291">
        <v>70</v>
      </c>
      <c r="C5291">
        <v>5.57E-2</v>
      </c>
      <c r="D5291">
        <v>5.4190000000000002E-2</v>
      </c>
      <c r="E5291">
        <v>0.5</v>
      </c>
      <c r="F5291">
        <v>47745</v>
      </c>
      <c r="G5291">
        <v>2588</v>
      </c>
      <c r="H5291">
        <v>46451</v>
      </c>
      <c r="I5291">
        <v>474711</v>
      </c>
    </row>
    <row r="5292" spans="1:9">
      <c r="A5292" s="2">
        <v>1997</v>
      </c>
      <c r="B5292">
        <v>71</v>
      </c>
      <c r="C5292">
        <v>6.191E-2</v>
      </c>
      <c r="D5292">
        <v>6.0049999999999999E-2</v>
      </c>
      <c r="E5292">
        <v>0.5</v>
      </c>
      <c r="F5292">
        <v>45157</v>
      </c>
      <c r="G5292">
        <v>2712</v>
      </c>
      <c r="H5292">
        <v>43801</v>
      </c>
      <c r="I5292">
        <v>428261</v>
      </c>
    </row>
    <row r="5293" spans="1:9">
      <c r="A5293" s="2">
        <v>1997</v>
      </c>
      <c r="B5293">
        <v>72</v>
      </c>
      <c r="C5293">
        <v>6.1879999999999998E-2</v>
      </c>
      <c r="D5293">
        <v>6.0019999999999997E-2</v>
      </c>
      <c r="E5293">
        <v>0.5</v>
      </c>
      <c r="F5293">
        <v>42445</v>
      </c>
      <c r="G5293">
        <v>2548</v>
      </c>
      <c r="H5293">
        <v>41171</v>
      </c>
      <c r="I5293">
        <v>384459</v>
      </c>
    </row>
    <row r="5294" spans="1:9">
      <c r="A5294" s="2">
        <v>1997</v>
      </c>
      <c r="B5294">
        <v>73</v>
      </c>
      <c r="C5294">
        <v>7.0319999999999994E-2</v>
      </c>
      <c r="D5294">
        <v>6.7930000000000004E-2</v>
      </c>
      <c r="E5294">
        <v>0.5</v>
      </c>
      <c r="F5294">
        <v>39898</v>
      </c>
      <c r="G5294">
        <v>2710</v>
      </c>
      <c r="H5294">
        <v>38543</v>
      </c>
      <c r="I5294">
        <v>343288</v>
      </c>
    </row>
    <row r="5295" spans="1:9">
      <c r="A5295" s="2">
        <v>1997</v>
      </c>
      <c r="B5295">
        <v>74</v>
      </c>
      <c r="C5295">
        <v>7.1590000000000001E-2</v>
      </c>
      <c r="D5295">
        <v>6.9110000000000005E-2</v>
      </c>
      <c r="E5295">
        <v>0.5</v>
      </c>
      <c r="F5295">
        <v>37187</v>
      </c>
      <c r="G5295">
        <v>2570</v>
      </c>
      <c r="H5295">
        <v>35902</v>
      </c>
      <c r="I5295">
        <v>304745</v>
      </c>
    </row>
    <row r="5296" spans="1:9">
      <c r="A5296" s="2">
        <v>1997</v>
      </c>
      <c r="B5296">
        <v>75</v>
      </c>
      <c r="C5296">
        <v>7.8390000000000001E-2</v>
      </c>
      <c r="D5296">
        <v>7.5439999999999993E-2</v>
      </c>
      <c r="E5296">
        <v>0.5</v>
      </c>
      <c r="F5296">
        <v>34617</v>
      </c>
      <c r="G5296">
        <v>2611</v>
      </c>
      <c r="H5296">
        <v>33312</v>
      </c>
      <c r="I5296">
        <v>268843</v>
      </c>
    </row>
    <row r="5297" spans="1:9">
      <c r="A5297" s="2">
        <v>1997</v>
      </c>
      <c r="B5297">
        <v>76</v>
      </c>
      <c r="C5297">
        <v>8.1049999999999997E-2</v>
      </c>
      <c r="D5297">
        <v>7.7899999999999997E-2</v>
      </c>
      <c r="E5297">
        <v>0.5</v>
      </c>
      <c r="F5297">
        <v>32006</v>
      </c>
      <c r="G5297">
        <v>2493</v>
      </c>
      <c r="H5297">
        <v>30759</v>
      </c>
      <c r="I5297">
        <v>235531</v>
      </c>
    </row>
    <row r="5298" spans="1:9">
      <c r="A5298" s="2">
        <v>1997</v>
      </c>
      <c r="B5298">
        <v>77</v>
      </c>
      <c r="C5298">
        <v>0.10062</v>
      </c>
      <c r="D5298">
        <v>9.5799999999999996E-2</v>
      </c>
      <c r="E5298">
        <v>0.5</v>
      </c>
      <c r="F5298">
        <v>29513</v>
      </c>
      <c r="G5298">
        <v>2827</v>
      </c>
      <c r="H5298">
        <v>28099</v>
      </c>
      <c r="I5298">
        <v>204772</v>
      </c>
    </row>
    <row r="5299" spans="1:9">
      <c r="A5299" s="2">
        <v>1997</v>
      </c>
      <c r="B5299">
        <v>78</v>
      </c>
      <c r="C5299">
        <v>8.6910000000000001E-2</v>
      </c>
      <c r="D5299">
        <v>8.3290000000000003E-2</v>
      </c>
      <c r="E5299">
        <v>0.5</v>
      </c>
      <c r="F5299">
        <v>26685</v>
      </c>
      <c r="G5299">
        <v>2223</v>
      </c>
      <c r="H5299">
        <v>25574</v>
      </c>
      <c r="I5299">
        <v>176673</v>
      </c>
    </row>
    <row r="5300" spans="1:9">
      <c r="A5300" s="2">
        <v>1997</v>
      </c>
      <c r="B5300">
        <v>79</v>
      </c>
      <c r="C5300">
        <v>0.10205</v>
      </c>
      <c r="D5300">
        <v>9.7089999999999996E-2</v>
      </c>
      <c r="E5300">
        <v>0.5</v>
      </c>
      <c r="F5300">
        <v>24463</v>
      </c>
      <c r="G5300">
        <v>2375</v>
      </c>
      <c r="H5300">
        <v>23275</v>
      </c>
      <c r="I5300">
        <v>151099</v>
      </c>
    </row>
    <row r="5301" spans="1:9">
      <c r="A5301" s="2">
        <v>1997</v>
      </c>
      <c r="B5301">
        <v>80</v>
      </c>
      <c r="C5301">
        <v>0.11908000000000001</v>
      </c>
      <c r="D5301">
        <v>0.11237999999999999</v>
      </c>
      <c r="E5301">
        <v>0.5</v>
      </c>
      <c r="F5301">
        <v>22087</v>
      </c>
      <c r="G5301">
        <v>2482</v>
      </c>
      <c r="H5301">
        <v>20846</v>
      </c>
      <c r="I5301">
        <v>127824</v>
      </c>
    </row>
    <row r="5302" spans="1:9">
      <c r="A5302" s="2">
        <v>1997</v>
      </c>
      <c r="B5302">
        <v>81</v>
      </c>
      <c r="C5302">
        <v>0.1241</v>
      </c>
      <c r="D5302">
        <v>0.11685</v>
      </c>
      <c r="E5302">
        <v>0.5</v>
      </c>
      <c r="F5302">
        <v>19605</v>
      </c>
      <c r="G5302">
        <v>2291</v>
      </c>
      <c r="H5302">
        <v>18460</v>
      </c>
      <c r="I5302">
        <v>106978</v>
      </c>
    </row>
    <row r="5303" spans="1:9">
      <c r="A5303" s="2">
        <v>1997</v>
      </c>
      <c r="B5303">
        <v>82</v>
      </c>
      <c r="C5303">
        <v>0.14401</v>
      </c>
      <c r="D5303">
        <v>0.13433999999999999</v>
      </c>
      <c r="E5303">
        <v>0.5</v>
      </c>
      <c r="F5303">
        <v>17314</v>
      </c>
      <c r="G5303">
        <v>2326</v>
      </c>
      <c r="H5303">
        <v>16151</v>
      </c>
      <c r="I5303">
        <v>88518</v>
      </c>
    </row>
    <row r="5304" spans="1:9">
      <c r="A5304" s="2">
        <v>1997</v>
      </c>
      <c r="B5304">
        <v>83</v>
      </c>
      <c r="C5304">
        <v>0.15228</v>
      </c>
      <c r="D5304">
        <v>0.14151</v>
      </c>
      <c r="E5304">
        <v>0.5</v>
      </c>
      <c r="F5304">
        <v>14988</v>
      </c>
      <c r="G5304">
        <v>2121</v>
      </c>
      <c r="H5304">
        <v>13928</v>
      </c>
      <c r="I5304">
        <v>72367</v>
      </c>
    </row>
    <row r="5305" spans="1:9">
      <c r="A5305" s="2">
        <v>1997</v>
      </c>
      <c r="B5305">
        <v>84</v>
      </c>
      <c r="C5305">
        <v>0.15348000000000001</v>
      </c>
      <c r="D5305">
        <v>0.14254</v>
      </c>
      <c r="E5305">
        <v>0.5</v>
      </c>
      <c r="F5305">
        <v>12867</v>
      </c>
      <c r="G5305">
        <v>1834</v>
      </c>
      <c r="H5305">
        <v>11950</v>
      </c>
      <c r="I5305">
        <v>58439</v>
      </c>
    </row>
    <row r="5306" spans="1:9">
      <c r="A5306" s="2">
        <v>1997</v>
      </c>
      <c r="B5306">
        <v>85</v>
      </c>
      <c r="C5306">
        <v>0.18129000000000001</v>
      </c>
      <c r="D5306">
        <v>0.16622000000000001</v>
      </c>
      <c r="E5306">
        <v>0.5</v>
      </c>
      <c r="F5306">
        <v>11033</v>
      </c>
      <c r="G5306">
        <v>1834</v>
      </c>
      <c r="H5306">
        <v>10116</v>
      </c>
      <c r="I5306">
        <v>46488</v>
      </c>
    </row>
    <row r="5307" spans="1:9">
      <c r="A5307" s="2">
        <v>1997</v>
      </c>
      <c r="B5307">
        <v>86</v>
      </c>
      <c r="C5307">
        <v>0.18703</v>
      </c>
      <c r="D5307">
        <v>0.17104</v>
      </c>
      <c r="E5307">
        <v>0.5</v>
      </c>
      <c r="F5307">
        <v>9199</v>
      </c>
      <c r="G5307">
        <v>1573</v>
      </c>
      <c r="H5307">
        <v>8413</v>
      </c>
      <c r="I5307">
        <v>36372</v>
      </c>
    </row>
    <row r="5308" spans="1:9">
      <c r="A5308" s="2">
        <v>1997</v>
      </c>
      <c r="B5308">
        <v>87</v>
      </c>
      <c r="C5308">
        <v>0.21349000000000001</v>
      </c>
      <c r="D5308">
        <v>0.19289999999999999</v>
      </c>
      <c r="E5308">
        <v>0.5</v>
      </c>
      <c r="F5308">
        <v>7626</v>
      </c>
      <c r="G5308">
        <v>1471</v>
      </c>
      <c r="H5308">
        <v>6890</v>
      </c>
      <c r="I5308">
        <v>27960</v>
      </c>
    </row>
    <row r="5309" spans="1:9">
      <c r="A5309" s="2">
        <v>1997</v>
      </c>
      <c r="B5309">
        <v>88</v>
      </c>
      <c r="C5309">
        <v>0.23719000000000001</v>
      </c>
      <c r="D5309">
        <v>0.21204000000000001</v>
      </c>
      <c r="E5309">
        <v>0.5</v>
      </c>
      <c r="F5309">
        <v>6155</v>
      </c>
      <c r="G5309">
        <v>1305</v>
      </c>
      <c r="H5309">
        <v>5502</v>
      </c>
      <c r="I5309">
        <v>21069</v>
      </c>
    </row>
    <row r="5310" spans="1:9">
      <c r="A5310" s="2">
        <v>1997</v>
      </c>
      <c r="B5310">
        <v>89</v>
      </c>
      <c r="C5310">
        <v>0.25731999999999999</v>
      </c>
      <c r="D5310">
        <v>0.22797999999999999</v>
      </c>
      <c r="E5310">
        <v>0.5</v>
      </c>
      <c r="F5310">
        <v>4850</v>
      </c>
      <c r="G5310">
        <v>1106</v>
      </c>
      <c r="H5310">
        <v>4297</v>
      </c>
      <c r="I5310">
        <v>15567</v>
      </c>
    </row>
    <row r="5311" spans="1:9">
      <c r="A5311" s="2">
        <v>1997</v>
      </c>
      <c r="B5311">
        <v>90</v>
      </c>
      <c r="C5311">
        <v>0.28554000000000002</v>
      </c>
      <c r="D5311">
        <v>0.24986</v>
      </c>
      <c r="E5311">
        <v>0.5</v>
      </c>
      <c r="F5311">
        <v>3744</v>
      </c>
      <c r="G5311">
        <v>936</v>
      </c>
      <c r="H5311">
        <v>3276</v>
      </c>
      <c r="I5311">
        <v>11270</v>
      </c>
    </row>
    <row r="5312" spans="1:9">
      <c r="A5312" s="2">
        <v>1997</v>
      </c>
      <c r="B5312">
        <v>91</v>
      </c>
      <c r="C5312">
        <v>0.30258000000000002</v>
      </c>
      <c r="D5312">
        <v>0.26282</v>
      </c>
      <c r="E5312">
        <v>0.5</v>
      </c>
      <c r="F5312">
        <v>2809</v>
      </c>
      <c r="G5312">
        <v>738</v>
      </c>
      <c r="H5312">
        <v>2440</v>
      </c>
      <c r="I5312">
        <v>7994</v>
      </c>
    </row>
    <row r="5313" spans="1:9">
      <c r="A5313" s="2">
        <v>1997</v>
      </c>
      <c r="B5313">
        <v>92</v>
      </c>
      <c r="C5313">
        <v>0.32286999999999999</v>
      </c>
      <c r="D5313">
        <v>0.27799000000000001</v>
      </c>
      <c r="E5313">
        <v>0.5</v>
      </c>
      <c r="F5313">
        <v>2070</v>
      </c>
      <c r="G5313">
        <v>576</v>
      </c>
      <c r="H5313">
        <v>1783</v>
      </c>
      <c r="I5313">
        <v>5554</v>
      </c>
    </row>
    <row r="5314" spans="1:9">
      <c r="A5314" s="2">
        <v>1997</v>
      </c>
      <c r="B5314">
        <v>93</v>
      </c>
      <c r="C5314">
        <v>0.35901</v>
      </c>
      <c r="D5314">
        <v>0.30436999999999997</v>
      </c>
      <c r="E5314">
        <v>0.5</v>
      </c>
      <c r="F5314">
        <v>1495</v>
      </c>
      <c r="G5314">
        <v>455</v>
      </c>
      <c r="H5314">
        <v>1267</v>
      </c>
      <c r="I5314">
        <v>3771</v>
      </c>
    </row>
    <row r="5315" spans="1:9">
      <c r="A5315" s="2">
        <v>1997</v>
      </c>
      <c r="B5315">
        <v>94</v>
      </c>
      <c r="C5315">
        <v>0.37974000000000002</v>
      </c>
      <c r="D5315">
        <v>0.31914999999999999</v>
      </c>
      <c r="E5315">
        <v>0.5</v>
      </c>
      <c r="F5315">
        <v>1040</v>
      </c>
      <c r="G5315">
        <v>332</v>
      </c>
      <c r="H5315">
        <v>874</v>
      </c>
      <c r="I5315">
        <v>2504</v>
      </c>
    </row>
    <row r="5316" spans="1:9">
      <c r="A5316" s="2">
        <v>1997</v>
      </c>
      <c r="B5316">
        <v>95</v>
      </c>
      <c r="C5316">
        <v>0.39255000000000001</v>
      </c>
      <c r="D5316">
        <v>0.32813999999999999</v>
      </c>
      <c r="E5316">
        <v>0.5</v>
      </c>
      <c r="F5316">
        <v>708</v>
      </c>
      <c r="G5316">
        <v>232</v>
      </c>
      <c r="H5316">
        <v>592</v>
      </c>
      <c r="I5316">
        <v>1630</v>
      </c>
    </row>
    <row r="5317" spans="1:9">
      <c r="A5317" s="2">
        <v>1997</v>
      </c>
      <c r="B5317">
        <v>96</v>
      </c>
      <c r="C5317">
        <v>0.41843000000000002</v>
      </c>
      <c r="D5317">
        <v>0.34604000000000001</v>
      </c>
      <c r="E5317">
        <v>0.5</v>
      </c>
      <c r="F5317">
        <v>476</v>
      </c>
      <c r="G5317">
        <v>165</v>
      </c>
      <c r="H5317">
        <v>393</v>
      </c>
      <c r="I5317">
        <v>1038</v>
      </c>
    </row>
    <row r="5318" spans="1:9">
      <c r="A5318" s="2">
        <v>1997</v>
      </c>
      <c r="B5318">
        <v>97</v>
      </c>
      <c r="C5318">
        <v>0.44478000000000001</v>
      </c>
      <c r="D5318">
        <v>0.36386000000000002</v>
      </c>
      <c r="E5318">
        <v>0.5</v>
      </c>
      <c r="F5318">
        <v>311</v>
      </c>
      <c r="G5318">
        <v>113</v>
      </c>
      <c r="H5318">
        <v>254</v>
      </c>
      <c r="I5318">
        <v>645</v>
      </c>
    </row>
    <row r="5319" spans="1:9">
      <c r="A5319" s="2">
        <v>1997</v>
      </c>
      <c r="B5319">
        <v>98</v>
      </c>
      <c r="C5319">
        <v>0.47143000000000002</v>
      </c>
      <c r="D5319">
        <v>0.38151000000000002</v>
      </c>
      <c r="E5319">
        <v>0.5</v>
      </c>
      <c r="F5319">
        <v>198</v>
      </c>
      <c r="G5319">
        <v>75</v>
      </c>
      <c r="H5319">
        <v>160</v>
      </c>
      <c r="I5319">
        <v>390</v>
      </c>
    </row>
    <row r="5320" spans="1:9">
      <c r="A5320" s="2">
        <v>1997</v>
      </c>
      <c r="B5320">
        <v>99</v>
      </c>
      <c r="C5320">
        <v>0.49825000000000003</v>
      </c>
      <c r="D5320">
        <v>0.39888000000000001</v>
      </c>
      <c r="E5320">
        <v>0.5</v>
      </c>
      <c r="F5320">
        <v>122</v>
      </c>
      <c r="G5320">
        <v>49</v>
      </c>
      <c r="H5320">
        <v>98</v>
      </c>
      <c r="I5320">
        <v>230</v>
      </c>
    </row>
    <row r="5321" spans="1:9">
      <c r="A5321" s="2">
        <v>1997</v>
      </c>
      <c r="B5321">
        <v>100</v>
      </c>
      <c r="C5321">
        <v>0.52507999999999999</v>
      </c>
      <c r="D5321">
        <v>0.41588999999999998</v>
      </c>
      <c r="E5321">
        <v>0.5</v>
      </c>
      <c r="F5321">
        <v>74</v>
      </c>
      <c r="G5321">
        <v>31</v>
      </c>
      <c r="H5321">
        <v>58</v>
      </c>
      <c r="I5321">
        <v>132</v>
      </c>
    </row>
    <row r="5322" spans="1:9">
      <c r="A5322" s="2">
        <v>1997</v>
      </c>
      <c r="B5322">
        <v>101</v>
      </c>
      <c r="C5322">
        <v>0.55176999999999998</v>
      </c>
      <c r="D5322">
        <v>0.43246000000000001</v>
      </c>
      <c r="E5322">
        <v>0.5</v>
      </c>
      <c r="F5322">
        <v>43</v>
      </c>
      <c r="G5322">
        <v>19</v>
      </c>
      <c r="H5322">
        <v>34</v>
      </c>
      <c r="I5322">
        <v>74</v>
      </c>
    </row>
    <row r="5323" spans="1:9">
      <c r="A5323" s="2">
        <v>1997</v>
      </c>
      <c r="B5323">
        <v>102</v>
      </c>
      <c r="C5323">
        <v>0.57816000000000001</v>
      </c>
      <c r="D5323">
        <v>0.44851000000000002</v>
      </c>
      <c r="E5323">
        <v>0.5</v>
      </c>
      <c r="F5323">
        <v>24</v>
      </c>
      <c r="G5323">
        <v>11</v>
      </c>
      <c r="H5323">
        <v>19</v>
      </c>
      <c r="I5323">
        <v>40</v>
      </c>
    </row>
    <row r="5324" spans="1:9">
      <c r="A5324" s="2">
        <v>1997</v>
      </c>
      <c r="B5324">
        <v>103</v>
      </c>
      <c r="C5324">
        <v>0.60411000000000004</v>
      </c>
      <c r="D5324">
        <v>0.46396999999999999</v>
      </c>
      <c r="E5324">
        <v>0.5</v>
      </c>
      <c r="F5324">
        <v>13</v>
      </c>
      <c r="G5324">
        <v>6</v>
      </c>
      <c r="H5324">
        <v>10</v>
      </c>
      <c r="I5324">
        <v>21</v>
      </c>
    </row>
    <row r="5325" spans="1:9">
      <c r="A5325" s="2">
        <v>1997</v>
      </c>
      <c r="B5325">
        <v>104</v>
      </c>
      <c r="C5325">
        <v>0.62948999999999999</v>
      </c>
      <c r="D5325">
        <v>0.47878999999999999</v>
      </c>
      <c r="E5325">
        <v>0.5</v>
      </c>
      <c r="F5325">
        <v>7</v>
      </c>
      <c r="G5325">
        <v>3</v>
      </c>
      <c r="H5325">
        <v>5</v>
      </c>
      <c r="I5325">
        <v>11</v>
      </c>
    </row>
    <row r="5326" spans="1:9">
      <c r="A5326" s="2">
        <v>1997</v>
      </c>
      <c r="B5326">
        <v>105</v>
      </c>
      <c r="C5326">
        <v>0.65417999999999998</v>
      </c>
      <c r="D5326">
        <v>0.49293999999999999</v>
      </c>
      <c r="E5326">
        <v>0.5</v>
      </c>
      <c r="F5326">
        <v>4</v>
      </c>
      <c r="G5326">
        <v>2</v>
      </c>
      <c r="H5326">
        <v>3</v>
      </c>
      <c r="I5326">
        <v>6</v>
      </c>
    </row>
    <row r="5327" spans="1:9">
      <c r="A5327" s="2">
        <v>1997</v>
      </c>
      <c r="B5327">
        <v>106</v>
      </c>
      <c r="C5327">
        <v>0.67806</v>
      </c>
      <c r="D5327">
        <v>0.50638000000000005</v>
      </c>
      <c r="E5327">
        <v>0.5</v>
      </c>
      <c r="F5327">
        <v>2</v>
      </c>
      <c r="G5327">
        <v>1</v>
      </c>
      <c r="H5327">
        <v>1</v>
      </c>
      <c r="I5327">
        <v>3</v>
      </c>
    </row>
    <row r="5328" spans="1:9">
      <c r="A5328" s="2">
        <v>1997</v>
      </c>
      <c r="B5328">
        <v>107</v>
      </c>
      <c r="C5328">
        <v>0.70104</v>
      </c>
      <c r="D5328">
        <v>0.51909000000000005</v>
      </c>
      <c r="E5328">
        <v>0.5</v>
      </c>
      <c r="F5328">
        <v>1</v>
      </c>
      <c r="G5328">
        <v>0</v>
      </c>
      <c r="H5328">
        <v>1</v>
      </c>
      <c r="I5328">
        <v>1</v>
      </c>
    </row>
    <row r="5329" spans="1:9">
      <c r="A5329" s="2">
        <v>1997</v>
      </c>
      <c r="B5329">
        <v>108</v>
      </c>
      <c r="C5329">
        <v>0.72306000000000004</v>
      </c>
      <c r="D5329">
        <v>0.53105999999999998</v>
      </c>
      <c r="E5329">
        <v>0.5</v>
      </c>
      <c r="F5329">
        <v>0</v>
      </c>
      <c r="G5329">
        <v>0</v>
      </c>
      <c r="H5329">
        <v>0</v>
      </c>
      <c r="I5329">
        <v>1</v>
      </c>
    </row>
    <row r="5330" spans="1:9">
      <c r="A5330" s="2">
        <v>1997</v>
      </c>
      <c r="B5330">
        <v>109</v>
      </c>
      <c r="C5330">
        <v>0.74404000000000003</v>
      </c>
      <c r="D5330">
        <v>0.5423</v>
      </c>
      <c r="E5330">
        <v>0.5</v>
      </c>
      <c r="F5330">
        <v>0</v>
      </c>
      <c r="G5330">
        <v>0</v>
      </c>
      <c r="H5330">
        <v>0</v>
      </c>
      <c r="I5330">
        <v>0</v>
      </c>
    </row>
    <row r="5331" spans="1:9">
      <c r="A5331" s="2">
        <v>1997</v>
      </c>
      <c r="B5331" t="s">
        <v>26</v>
      </c>
      <c r="C5331">
        <v>0.76395000000000002</v>
      </c>
      <c r="D5331">
        <v>1</v>
      </c>
      <c r="E5331" s="3" t="s">
        <v>38</v>
      </c>
      <c r="F5331">
        <v>0</v>
      </c>
      <c r="G5331">
        <v>0</v>
      </c>
      <c r="H5331">
        <v>0</v>
      </c>
      <c r="I5331">
        <v>0</v>
      </c>
    </row>
    <row r="5332" spans="1:9">
      <c r="A5332" s="2">
        <v>1998</v>
      </c>
      <c r="B5332">
        <v>0</v>
      </c>
      <c r="C5332">
        <v>1.077E-2</v>
      </c>
      <c r="D5332">
        <v>1.0670000000000001E-2</v>
      </c>
      <c r="E5332">
        <v>0.13</v>
      </c>
      <c r="F5332">
        <v>100000</v>
      </c>
      <c r="G5332">
        <v>1067</v>
      </c>
      <c r="H5332">
        <v>99069</v>
      </c>
      <c r="I5332">
        <v>6642987</v>
      </c>
    </row>
    <row r="5333" spans="1:9">
      <c r="A5333" s="2">
        <v>1998</v>
      </c>
      <c r="B5333">
        <v>1</v>
      </c>
      <c r="C5333">
        <v>1.01E-3</v>
      </c>
      <c r="D5333">
        <v>1.01E-3</v>
      </c>
      <c r="E5333">
        <v>0.5</v>
      </c>
      <c r="F5333">
        <v>98933</v>
      </c>
      <c r="G5333">
        <v>100</v>
      </c>
      <c r="H5333">
        <v>98883</v>
      </c>
      <c r="I5333">
        <v>6543918</v>
      </c>
    </row>
    <row r="5334" spans="1:9">
      <c r="A5334" s="2">
        <v>1998</v>
      </c>
      <c r="B5334">
        <v>2</v>
      </c>
      <c r="C5334">
        <v>4.8000000000000001E-4</v>
      </c>
      <c r="D5334">
        <v>4.8000000000000001E-4</v>
      </c>
      <c r="E5334">
        <v>0.5</v>
      </c>
      <c r="F5334">
        <v>98833</v>
      </c>
      <c r="G5334">
        <v>48</v>
      </c>
      <c r="H5334">
        <v>98809</v>
      </c>
      <c r="I5334">
        <v>6445036</v>
      </c>
    </row>
    <row r="5335" spans="1:9">
      <c r="A5335" s="2">
        <v>1998</v>
      </c>
      <c r="B5335">
        <v>3</v>
      </c>
      <c r="C5335">
        <v>4.4000000000000002E-4</v>
      </c>
      <c r="D5335">
        <v>4.4000000000000002E-4</v>
      </c>
      <c r="E5335">
        <v>0.5</v>
      </c>
      <c r="F5335">
        <v>98785</v>
      </c>
      <c r="G5335">
        <v>44</v>
      </c>
      <c r="H5335">
        <v>98763</v>
      </c>
      <c r="I5335">
        <v>6346227</v>
      </c>
    </row>
    <row r="5336" spans="1:9">
      <c r="A5336" s="2">
        <v>1998</v>
      </c>
      <c r="B5336">
        <v>4</v>
      </c>
      <c r="C5336">
        <v>2.7E-4</v>
      </c>
      <c r="D5336">
        <v>2.7E-4</v>
      </c>
      <c r="E5336">
        <v>0.5</v>
      </c>
      <c r="F5336">
        <v>98741</v>
      </c>
      <c r="G5336">
        <v>27</v>
      </c>
      <c r="H5336">
        <v>98728</v>
      </c>
      <c r="I5336">
        <v>6247464</v>
      </c>
    </row>
    <row r="5337" spans="1:9">
      <c r="A5337" s="2">
        <v>1998</v>
      </c>
      <c r="B5337">
        <v>5</v>
      </c>
      <c r="C5337">
        <v>2.5000000000000001E-4</v>
      </c>
      <c r="D5337">
        <v>2.5000000000000001E-4</v>
      </c>
      <c r="E5337">
        <v>0.5</v>
      </c>
      <c r="F5337">
        <v>98714</v>
      </c>
      <c r="G5337">
        <v>25</v>
      </c>
      <c r="H5337">
        <v>98702</v>
      </c>
      <c r="I5337">
        <v>6148736</v>
      </c>
    </row>
    <row r="5338" spans="1:9">
      <c r="A5338" s="2">
        <v>1998</v>
      </c>
      <c r="B5338">
        <v>6</v>
      </c>
      <c r="C5338">
        <v>2.1000000000000001E-4</v>
      </c>
      <c r="D5338">
        <v>2.1000000000000001E-4</v>
      </c>
      <c r="E5338">
        <v>0.5</v>
      </c>
      <c r="F5338">
        <v>98690</v>
      </c>
      <c r="G5338">
        <v>20</v>
      </c>
      <c r="H5338">
        <v>98679</v>
      </c>
      <c r="I5338">
        <v>6050034</v>
      </c>
    </row>
    <row r="5339" spans="1:9">
      <c r="A5339" s="2">
        <v>1998</v>
      </c>
      <c r="B5339">
        <v>7</v>
      </c>
      <c r="C5339">
        <v>1.6000000000000001E-4</v>
      </c>
      <c r="D5339">
        <v>1.6000000000000001E-4</v>
      </c>
      <c r="E5339">
        <v>0.5</v>
      </c>
      <c r="F5339">
        <v>98669</v>
      </c>
      <c r="G5339">
        <v>15</v>
      </c>
      <c r="H5339">
        <v>98661</v>
      </c>
      <c r="I5339">
        <v>5951355</v>
      </c>
    </row>
    <row r="5340" spans="1:9">
      <c r="A5340" s="2">
        <v>1998</v>
      </c>
      <c r="B5340">
        <v>8</v>
      </c>
      <c r="C5340">
        <v>2.5000000000000001E-4</v>
      </c>
      <c r="D5340">
        <v>2.5000000000000001E-4</v>
      </c>
      <c r="E5340">
        <v>0.5</v>
      </c>
      <c r="F5340">
        <v>98654</v>
      </c>
      <c r="G5340">
        <v>25</v>
      </c>
      <c r="H5340">
        <v>98641</v>
      </c>
      <c r="I5340">
        <v>5852694</v>
      </c>
    </row>
    <row r="5341" spans="1:9">
      <c r="A5341" s="2">
        <v>1998</v>
      </c>
      <c r="B5341">
        <v>9</v>
      </c>
      <c r="C5341">
        <v>2.1000000000000001E-4</v>
      </c>
      <c r="D5341">
        <v>2.1000000000000001E-4</v>
      </c>
      <c r="E5341">
        <v>0.5</v>
      </c>
      <c r="F5341">
        <v>98629</v>
      </c>
      <c r="G5341">
        <v>20</v>
      </c>
      <c r="H5341">
        <v>98618</v>
      </c>
      <c r="I5341">
        <v>5754052</v>
      </c>
    </row>
    <row r="5342" spans="1:9">
      <c r="A5342" s="2">
        <v>1998</v>
      </c>
      <c r="B5342">
        <v>10</v>
      </c>
      <c r="C5342">
        <v>2.9999999999999997E-4</v>
      </c>
      <c r="D5342">
        <v>2.9999999999999997E-4</v>
      </c>
      <c r="E5342">
        <v>0.5</v>
      </c>
      <c r="F5342">
        <v>98608</v>
      </c>
      <c r="G5342">
        <v>30</v>
      </c>
      <c r="H5342">
        <v>98593</v>
      </c>
      <c r="I5342">
        <v>5655434</v>
      </c>
    </row>
    <row r="5343" spans="1:9">
      <c r="A5343" s="2">
        <v>1998</v>
      </c>
      <c r="B5343">
        <v>11</v>
      </c>
      <c r="C5343">
        <v>2.7999999999999998E-4</v>
      </c>
      <c r="D5343">
        <v>2.7999999999999998E-4</v>
      </c>
      <c r="E5343">
        <v>0.5</v>
      </c>
      <c r="F5343">
        <v>98579</v>
      </c>
      <c r="G5343">
        <v>28</v>
      </c>
      <c r="H5343">
        <v>98565</v>
      </c>
      <c r="I5343">
        <v>5556841</v>
      </c>
    </row>
    <row r="5344" spans="1:9">
      <c r="A5344" s="2">
        <v>1998</v>
      </c>
      <c r="B5344">
        <v>12</v>
      </c>
      <c r="C5344">
        <v>2.0000000000000001E-4</v>
      </c>
      <c r="D5344">
        <v>2.0000000000000001E-4</v>
      </c>
      <c r="E5344">
        <v>0.5</v>
      </c>
      <c r="F5344">
        <v>98551</v>
      </c>
      <c r="G5344">
        <v>19</v>
      </c>
      <c r="H5344">
        <v>98541</v>
      </c>
      <c r="I5344">
        <v>5458276</v>
      </c>
    </row>
    <row r="5345" spans="1:9">
      <c r="A5345" s="2">
        <v>1998</v>
      </c>
      <c r="B5345">
        <v>13</v>
      </c>
      <c r="C5345">
        <v>3.5E-4</v>
      </c>
      <c r="D5345">
        <v>3.5E-4</v>
      </c>
      <c r="E5345">
        <v>0.5</v>
      </c>
      <c r="F5345">
        <v>98532</v>
      </c>
      <c r="G5345">
        <v>35</v>
      </c>
      <c r="H5345">
        <v>98515</v>
      </c>
      <c r="I5345">
        <v>5359734</v>
      </c>
    </row>
    <row r="5346" spans="1:9">
      <c r="A5346" s="2">
        <v>1998</v>
      </c>
      <c r="B5346">
        <v>14</v>
      </c>
      <c r="C5346">
        <v>2.5000000000000001E-4</v>
      </c>
      <c r="D5346">
        <v>2.5000000000000001E-4</v>
      </c>
      <c r="E5346">
        <v>0.5</v>
      </c>
      <c r="F5346">
        <v>98497</v>
      </c>
      <c r="G5346">
        <v>24</v>
      </c>
      <c r="H5346">
        <v>98485</v>
      </c>
      <c r="I5346">
        <v>5261220</v>
      </c>
    </row>
    <row r="5347" spans="1:9">
      <c r="A5347" s="2">
        <v>1998</v>
      </c>
      <c r="B5347">
        <v>15</v>
      </c>
      <c r="C5347">
        <v>3.6999999999999999E-4</v>
      </c>
      <c r="D5347">
        <v>3.6999999999999999E-4</v>
      </c>
      <c r="E5347">
        <v>0.5</v>
      </c>
      <c r="F5347">
        <v>98473</v>
      </c>
      <c r="G5347">
        <v>37</v>
      </c>
      <c r="H5347">
        <v>98454</v>
      </c>
      <c r="I5347">
        <v>5162735</v>
      </c>
    </row>
    <row r="5348" spans="1:9">
      <c r="A5348" s="2">
        <v>1998</v>
      </c>
      <c r="B5348">
        <v>16</v>
      </c>
      <c r="C5348">
        <v>4.0000000000000002E-4</v>
      </c>
      <c r="D5348">
        <v>4.0000000000000002E-4</v>
      </c>
      <c r="E5348">
        <v>0.5</v>
      </c>
      <c r="F5348">
        <v>98436</v>
      </c>
      <c r="G5348">
        <v>39</v>
      </c>
      <c r="H5348">
        <v>98416</v>
      </c>
      <c r="I5348">
        <v>5064280</v>
      </c>
    </row>
    <row r="5349" spans="1:9">
      <c r="A5349" s="2">
        <v>1998</v>
      </c>
      <c r="B5349">
        <v>17</v>
      </c>
      <c r="C5349">
        <v>7.7999999999999999E-4</v>
      </c>
      <c r="D5349">
        <v>7.7999999999999999E-4</v>
      </c>
      <c r="E5349">
        <v>0.5</v>
      </c>
      <c r="F5349">
        <v>98397</v>
      </c>
      <c r="G5349">
        <v>76</v>
      </c>
      <c r="H5349">
        <v>98359</v>
      </c>
      <c r="I5349">
        <v>4965864</v>
      </c>
    </row>
    <row r="5350" spans="1:9">
      <c r="A5350" s="2">
        <v>1998</v>
      </c>
      <c r="B5350">
        <v>18</v>
      </c>
      <c r="C5350">
        <v>7.3999999999999999E-4</v>
      </c>
      <c r="D5350">
        <v>7.3999999999999999E-4</v>
      </c>
      <c r="E5350">
        <v>0.5</v>
      </c>
      <c r="F5350">
        <v>98321</v>
      </c>
      <c r="G5350">
        <v>73</v>
      </c>
      <c r="H5350">
        <v>98284</v>
      </c>
      <c r="I5350">
        <v>4867505</v>
      </c>
    </row>
    <row r="5351" spans="1:9">
      <c r="A5351" s="2">
        <v>1998</v>
      </c>
      <c r="B5351">
        <v>19</v>
      </c>
      <c r="C5351">
        <v>7.6999999999999996E-4</v>
      </c>
      <c r="D5351">
        <v>7.6999999999999996E-4</v>
      </c>
      <c r="E5351">
        <v>0.5</v>
      </c>
      <c r="F5351">
        <v>98248</v>
      </c>
      <c r="G5351">
        <v>76</v>
      </c>
      <c r="H5351">
        <v>98210</v>
      </c>
      <c r="I5351">
        <v>4769221</v>
      </c>
    </row>
    <row r="5352" spans="1:9">
      <c r="A5352" s="2">
        <v>1998</v>
      </c>
      <c r="B5352">
        <v>20</v>
      </c>
      <c r="C5352">
        <v>8.8000000000000003E-4</v>
      </c>
      <c r="D5352">
        <v>8.8000000000000003E-4</v>
      </c>
      <c r="E5352">
        <v>0.5</v>
      </c>
      <c r="F5352">
        <v>98172</v>
      </c>
      <c r="G5352">
        <v>87</v>
      </c>
      <c r="H5352">
        <v>98129</v>
      </c>
      <c r="I5352">
        <v>4671011</v>
      </c>
    </row>
    <row r="5353" spans="1:9">
      <c r="A5353" s="2">
        <v>1998</v>
      </c>
      <c r="B5353">
        <v>21</v>
      </c>
      <c r="C5353">
        <v>1.0200000000000001E-3</v>
      </c>
      <c r="D5353">
        <v>1.0200000000000001E-3</v>
      </c>
      <c r="E5353">
        <v>0.5</v>
      </c>
      <c r="F5353">
        <v>98085</v>
      </c>
      <c r="G5353">
        <v>100</v>
      </c>
      <c r="H5353">
        <v>98035</v>
      </c>
      <c r="I5353">
        <v>4572882</v>
      </c>
    </row>
    <row r="5354" spans="1:9">
      <c r="A5354" s="2">
        <v>1998</v>
      </c>
      <c r="B5354">
        <v>22</v>
      </c>
      <c r="C5354">
        <v>1E-3</v>
      </c>
      <c r="D5354">
        <v>1E-3</v>
      </c>
      <c r="E5354">
        <v>0.5</v>
      </c>
      <c r="F5354">
        <v>97985</v>
      </c>
      <c r="G5354">
        <v>98</v>
      </c>
      <c r="H5354">
        <v>97936</v>
      </c>
      <c r="I5354">
        <v>4474847</v>
      </c>
    </row>
    <row r="5355" spans="1:9">
      <c r="A5355" s="2">
        <v>1998</v>
      </c>
      <c r="B5355">
        <v>23</v>
      </c>
      <c r="C5355">
        <v>1.0399999999999999E-3</v>
      </c>
      <c r="D5355">
        <v>1.0399999999999999E-3</v>
      </c>
      <c r="E5355">
        <v>0.5</v>
      </c>
      <c r="F5355">
        <v>97888</v>
      </c>
      <c r="G5355">
        <v>102</v>
      </c>
      <c r="H5355">
        <v>97837</v>
      </c>
      <c r="I5355">
        <v>4376911</v>
      </c>
    </row>
    <row r="5356" spans="1:9">
      <c r="A5356" s="2">
        <v>1998</v>
      </c>
      <c r="B5356">
        <v>24</v>
      </c>
      <c r="C5356">
        <v>1.1800000000000001E-3</v>
      </c>
      <c r="D5356">
        <v>1.1800000000000001E-3</v>
      </c>
      <c r="E5356">
        <v>0.5</v>
      </c>
      <c r="F5356">
        <v>97786</v>
      </c>
      <c r="G5356">
        <v>115</v>
      </c>
      <c r="H5356">
        <v>97728</v>
      </c>
      <c r="I5356">
        <v>4279074</v>
      </c>
    </row>
    <row r="5357" spans="1:9">
      <c r="A5357" s="2">
        <v>1998</v>
      </c>
      <c r="B5357">
        <v>25</v>
      </c>
      <c r="C5357">
        <v>1.07E-3</v>
      </c>
      <c r="D5357">
        <v>1.07E-3</v>
      </c>
      <c r="E5357">
        <v>0.5</v>
      </c>
      <c r="F5357">
        <v>97671</v>
      </c>
      <c r="G5357">
        <v>105</v>
      </c>
      <c r="H5357">
        <v>97618</v>
      </c>
      <c r="I5357">
        <v>4181346</v>
      </c>
    </row>
    <row r="5358" spans="1:9">
      <c r="A5358" s="2">
        <v>1998</v>
      </c>
      <c r="B5358">
        <v>26</v>
      </c>
      <c r="C5358">
        <v>9.7999999999999997E-4</v>
      </c>
      <c r="D5358">
        <v>9.7999999999999997E-4</v>
      </c>
      <c r="E5358">
        <v>0.5</v>
      </c>
      <c r="F5358">
        <v>97566</v>
      </c>
      <c r="G5358">
        <v>95</v>
      </c>
      <c r="H5358">
        <v>97518</v>
      </c>
      <c r="I5358">
        <v>4083727</v>
      </c>
    </row>
    <row r="5359" spans="1:9">
      <c r="A5359" s="2">
        <v>1998</v>
      </c>
      <c r="B5359">
        <v>27</v>
      </c>
      <c r="C5359">
        <v>1.4300000000000001E-3</v>
      </c>
      <c r="D5359">
        <v>1.4300000000000001E-3</v>
      </c>
      <c r="E5359">
        <v>0.5</v>
      </c>
      <c r="F5359">
        <v>97471</v>
      </c>
      <c r="G5359">
        <v>139</v>
      </c>
      <c r="H5359">
        <v>97401</v>
      </c>
      <c r="I5359">
        <v>3986209</v>
      </c>
    </row>
    <row r="5360" spans="1:9">
      <c r="A5360" s="2">
        <v>1998</v>
      </c>
      <c r="B5360">
        <v>28</v>
      </c>
      <c r="C5360">
        <v>1.4E-3</v>
      </c>
      <c r="D5360">
        <v>1.39E-3</v>
      </c>
      <c r="E5360">
        <v>0.5</v>
      </c>
      <c r="F5360">
        <v>97331</v>
      </c>
      <c r="G5360">
        <v>136</v>
      </c>
      <c r="H5360">
        <v>97263</v>
      </c>
      <c r="I5360">
        <v>3888808</v>
      </c>
    </row>
    <row r="5361" spans="1:9">
      <c r="A5361" s="2">
        <v>1998</v>
      </c>
      <c r="B5361">
        <v>29</v>
      </c>
      <c r="C5361">
        <v>1.5499999999999999E-3</v>
      </c>
      <c r="D5361">
        <v>1.5399999999999999E-3</v>
      </c>
      <c r="E5361">
        <v>0.5</v>
      </c>
      <c r="F5361">
        <v>97196</v>
      </c>
      <c r="G5361">
        <v>150</v>
      </c>
      <c r="H5361">
        <v>97121</v>
      </c>
      <c r="I5361">
        <v>3791544</v>
      </c>
    </row>
    <row r="5362" spans="1:9">
      <c r="A5362" s="2">
        <v>1998</v>
      </c>
      <c r="B5362">
        <v>30</v>
      </c>
      <c r="C5362">
        <v>2.0200000000000001E-3</v>
      </c>
      <c r="D5362">
        <v>2.0200000000000001E-3</v>
      </c>
      <c r="E5362">
        <v>0.5</v>
      </c>
      <c r="F5362">
        <v>97045</v>
      </c>
      <c r="G5362">
        <v>196</v>
      </c>
      <c r="H5362">
        <v>96947</v>
      </c>
      <c r="I5362">
        <v>3694424</v>
      </c>
    </row>
    <row r="5363" spans="1:9">
      <c r="A5363" s="2">
        <v>1998</v>
      </c>
      <c r="B5363">
        <v>31</v>
      </c>
      <c r="C5363">
        <v>2.0400000000000001E-3</v>
      </c>
      <c r="D5363">
        <v>2.0400000000000001E-3</v>
      </c>
      <c r="E5363">
        <v>0.5</v>
      </c>
      <c r="F5363">
        <v>96849</v>
      </c>
      <c r="G5363">
        <v>198</v>
      </c>
      <c r="H5363">
        <v>96751</v>
      </c>
      <c r="I5363">
        <v>3597476</v>
      </c>
    </row>
    <row r="5364" spans="1:9">
      <c r="A5364" s="2">
        <v>1998</v>
      </c>
      <c r="B5364">
        <v>32</v>
      </c>
      <c r="C5364">
        <v>2.2699999999999999E-3</v>
      </c>
      <c r="D5364">
        <v>2.2699999999999999E-3</v>
      </c>
      <c r="E5364">
        <v>0.5</v>
      </c>
      <c r="F5364">
        <v>96652</v>
      </c>
      <c r="G5364">
        <v>220</v>
      </c>
      <c r="H5364">
        <v>96542</v>
      </c>
      <c r="I5364">
        <v>3500726</v>
      </c>
    </row>
    <row r="5365" spans="1:9">
      <c r="A5365" s="2">
        <v>1998</v>
      </c>
      <c r="B5365">
        <v>33</v>
      </c>
      <c r="C5365">
        <v>2.1900000000000001E-3</v>
      </c>
      <c r="D5365">
        <v>2.1900000000000001E-3</v>
      </c>
      <c r="E5365">
        <v>0.5</v>
      </c>
      <c r="F5365">
        <v>96432</v>
      </c>
      <c r="G5365">
        <v>211</v>
      </c>
      <c r="H5365">
        <v>96327</v>
      </c>
      <c r="I5365">
        <v>3404183</v>
      </c>
    </row>
    <row r="5366" spans="1:9">
      <c r="A5366" s="2">
        <v>1998</v>
      </c>
      <c r="B5366">
        <v>34</v>
      </c>
      <c r="C5366">
        <v>2.7699999999999999E-3</v>
      </c>
      <c r="D5366">
        <v>2.7699999999999999E-3</v>
      </c>
      <c r="E5366">
        <v>0.5</v>
      </c>
      <c r="F5366">
        <v>96221</v>
      </c>
      <c r="G5366">
        <v>266</v>
      </c>
      <c r="H5366">
        <v>96088</v>
      </c>
      <c r="I5366">
        <v>3307857</v>
      </c>
    </row>
    <row r="5367" spans="1:9">
      <c r="A5367" s="2">
        <v>1998</v>
      </c>
      <c r="B5367">
        <v>35</v>
      </c>
      <c r="C5367">
        <v>3.2000000000000002E-3</v>
      </c>
      <c r="D5367">
        <v>3.2000000000000002E-3</v>
      </c>
      <c r="E5367">
        <v>0.5</v>
      </c>
      <c r="F5367">
        <v>95955</v>
      </c>
      <c r="G5367">
        <v>307</v>
      </c>
      <c r="H5367">
        <v>95801</v>
      </c>
      <c r="I5367">
        <v>3211768</v>
      </c>
    </row>
    <row r="5368" spans="1:9">
      <c r="A5368" s="2">
        <v>1998</v>
      </c>
      <c r="B5368">
        <v>36</v>
      </c>
      <c r="C5368">
        <v>4.0000000000000001E-3</v>
      </c>
      <c r="D5368">
        <v>3.9899999999999996E-3</v>
      </c>
      <c r="E5368">
        <v>0.5</v>
      </c>
      <c r="F5368">
        <v>95648</v>
      </c>
      <c r="G5368">
        <v>382</v>
      </c>
      <c r="H5368">
        <v>95457</v>
      </c>
      <c r="I5368">
        <v>3115967</v>
      </c>
    </row>
    <row r="5369" spans="1:9">
      <c r="A5369" s="2">
        <v>1998</v>
      </c>
      <c r="B5369">
        <v>37</v>
      </c>
      <c r="C5369">
        <v>4.4200000000000003E-3</v>
      </c>
      <c r="D5369">
        <v>4.4099999999999999E-3</v>
      </c>
      <c r="E5369">
        <v>0.5</v>
      </c>
      <c r="F5369">
        <v>95266</v>
      </c>
      <c r="G5369">
        <v>420</v>
      </c>
      <c r="H5369">
        <v>95056</v>
      </c>
      <c r="I5369">
        <v>3020510</v>
      </c>
    </row>
    <row r="5370" spans="1:9">
      <c r="A5370" s="2">
        <v>1998</v>
      </c>
      <c r="B5370">
        <v>38</v>
      </c>
      <c r="C5370">
        <v>5.3299999999999997E-3</v>
      </c>
      <c r="D5370">
        <v>5.3099999999999996E-3</v>
      </c>
      <c r="E5370">
        <v>0.5</v>
      </c>
      <c r="F5370">
        <v>94846</v>
      </c>
      <c r="G5370">
        <v>504</v>
      </c>
      <c r="H5370">
        <v>94594</v>
      </c>
      <c r="I5370">
        <v>2925455</v>
      </c>
    </row>
    <row r="5371" spans="1:9">
      <c r="A5371" s="2">
        <v>1998</v>
      </c>
      <c r="B5371">
        <v>39</v>
      </c>
      <c r="C5371">
        <v>5.6600000000000001E-3</v>
      </c>
      <c r="D5371">
        <v>5.64E-3</v>
      </c>
      <c r="E5371">
        <v>0.5</v>
      </c>
      <c r="F5371">
        <v>94342</v>
      </c>
      <c r="G5371">
        <v>532</v>
      </c>
      <c r="H5371">
        <v>94076</v>
      </c>
      <c r="I5371">
        <v>2830861</v>
      </c>
    </row>
    <row r="5372" spans="1:9">
      <c r="A5372" s="2">
        <v>1998</v>
      </c>
      <c r="B5372">
        <v>40</v>
      </c>
      <c r="C5372">
        <v>6.7000000000000002E-3</v>
      </c>
      <c r="D5372">
        <v>6.6800000000000002E-3</v>
      </c>
      <c r="E5372">
        <v>0.5</v>
      </c>
      <c r="F5372">
        <v>93810</v>
      </c>
      <c r="G5372">
        <v>627</v>
      </c>
      <c r="H5372">
        <v>93496</v>
      </c>
      <c r="I5372">
        <v>2736785</v>
      </c>
    </row>
    <row r="5373" spans="1:9">
      <c r="A5373" s="2">
        <v>1998</v>
      </c>
      <c r="B5373">
        <v>41</v>
      </c>
      <c r="C5373">
        <v>7.28E-3</v>
      </c>
      <c r="D5373">
        <v>7.2500000000000004E-3</v>
      </c>
      <c r="E5373">
        <v>0.5</v>
      </c>
      <c r="F5373">
        <v>93183</v>
      </c>
      <c r="G5373">
        <v>676</v>
      </c>
      <c r="H5373">
        <v>92845</v>
      </c>
      <c r="I5373">
        <v>2643289</v>
      </c>
    </row>
    <row r="5374" spans="1:9">
      <c r="A5374" s="2">
        <v>1998</v>
      </c>
      <c r="B5374">
        <v>42</v>
      </c>
      <c r="C5374">
        <v>8.3899999999999999E-3</v>
      </c>
      <c r="D5374">
        <v>8.3599999999999994E-3</v>
      </c>
      <c r="E5374">
        <v>0.5</v>
      </c>
      <c r="F5374">
        <v>92507</v>
      </c>
      <c r="G5374">
        <v>773</v>
      </c>
      <c r="H5374">
        <v>92120</v>
      </c>
      <c r="I5374">
        <v>2550444</v>
      </c>
    </row>
    <row r="5375" spans="1:9">
      <c r="A5375" s="2">
        <v>1998</v>
      </c>
      <c r="B5375">
        <v>43</v>
      </c>
      <c r="C5375">
        <v>8.5100000000000002E-3</v>
      </c>
      <c r="D5375">
        <v>8.4700000000000001E-3</v>
      </c>
      <c r="E5375">
        <v>0.5</v>
      </c>
      <c r="F5375">
        <v>91734</v>
      </c>
      <c r="G5375">
        <v>777</v>
      </c>
      <c r="H5375">
        <v>91345</v>
      </c>
      <c r="I5375">
        <v>2458324</v>
      </c>
    </row>
    <row r="5376" spans="1:9">
      <c r="A5376" s="2">
        <v>1998</v>
      </c>
      <c r="B5376">
        <v>44</v>
      </c>
      <c r="C5376">
        <v>9.6799999999999994E-3</v>
      </c>
      <c r="D5376">
        <v>9.6299999999999997E-3</v>
      </c>
      <c r="E5376">
        <v>0.5</v>
      </c>
      <c r="F5376">
        <v>90957</v>
      </c>
      <c r="G5376">
        <v>876</v>
      </c>
      <c r="H5376">
        <v>90519</v>
      </c>
      <c r="I5376">
        <v>2366978</v>
      </c>
    </row>
    <row r="5377" spans="1:9">
      <c r="A5377" s="2">
        <v>1998</v>
      </c>
      <c r="B5377">
        <v>45</v>
      </c>
      <c r="C5377">
        <v>9.6900000000000007E-3</v>
      </c>
      <c r="D5377">
        <v>9.6399999999999993E-3</v>
      </c>
      <c r="E5377">
        <v>0.5</v>
      </c>
      <c r="F5377">
        <v>90081</v>
      </c>
      <c r="G5377">
        <v>869</v>
      </c>
      <c r="H5377">
        <v>89647</v>
      </c>
      <c r="I5377">
        <v>2276459</v>
      </c>
    </row>
    <row r="5378" spans="1:9">
      <c r="A5378" s="2">
        <v>1998</v>
      </c>
      <c r="B5378">
        <v>46</v>
      </c>
      <c r="C5378">
        <v>1.1140000000000001E-2</v>
      </c>
      <c r="D5378">
        <v>1.108E-2</v>
      </c>
      <c r="E5378">
        <v>0.5</v>
      </c>
      <c r="F5378">
        <v>89212</v>
      </c>
      <c r="G5378">
        <v>988</v>
      </c>
      <c r="H5378">
        <v>88718</v>
      </c>
      <c r="I5378">
        <v>2186813</v>
      </c>
    </row>
    <row r="5379" spans="1:9">
      <c r="A5379" s="2">
        <v>1998</v>
      </c>
      <c r="B5379">
        <v>47</v>
      </c>
      <c r="C5379">
        <v>1.1089999999999999E-2</v>
      </c>
      <c r="D5379">
        <v>1.103E-2</v>
      </c>
      <c r="E5379">
        <v>0.5</v>
      </c>
      <c r="F5379">
        <v>88224</v>
      </c>
      <c r="G5379">
        <v>973</v>
      </c>
      <c r="H5379">
        <v>87738</v>
      </c>
      <c r="I5379">
        <v>2098094</v>
      </c>
    </row>
    <row r="5380" spans="1:9">
      <c r="A5380" s="2">
        <v>1998</v>
      </c>
      <c r="B5380">
        <v>48</v>
      </c>
      <c r="C5380">
        <v>1.298E-2</v>
      </c>
      <c r="D5380">
        <v>1.289E-2</v>
      </c>
      <c r="E5380">
        <v>0.5</v>
      </c>
      <c r="F5380">
        <v>87251</v>
      </c>
      <c r="G5380">
        <v>1125</v>
      </c>
      <c r="H5380">
        <v>86689</v>
      </c>
      <c r="I5380">
        <v>2010357</v>
      </c>
    </row>
    <row r="5381" spans="1:9">
      <c r="A5381" s="2">
        <v>1998</v>
      </c>
      <c r="B5381">
        <v>49</v>
      </c>
      <c r="C5381">
        <v>1.3809999999999999E-2</v>
      </c>
      <c r="D5381">
        <v>1.372E-2</v>
      </c>
      <c r="E5381">
        <v>0.5</v>
      </c>
      <c r="F5381">
        <v>86126</v>
      </c>
      <c r="G5381">
        <v>1181</v>
      </c>
      <c r="H5381">
        <v>85536</v>
      </c>
      <c r="I5381">
        <v>1923668</v>
      </c>
    </row>
    <row r="5382" spans="1:9">
      <c r="A5382" s="2">
        <v>1998</v>
      </c>
      <c r="B5382">
        <v>50</v>
      </c>
      <c r="C5382">
        <v>1.52E-2</v>
      </c>
      <c r="D5382">
        <v>1.5089999999999999E-2</v>
      </c>
      <c r="E5382">
        <v>0.5</v>
      </c>
      <c r="F5382">
        <v>84945</v>
      </c>
      <c r="G5382">
        <v>1282</v>
      </c>
      <c r="H5382">
        <v>84304</v>
      </c>
      <c r="I5382">
        <v>1838132</v>
      </c>
    </row>
    <row r="5383" spans="1:9">
      <c r="A5383" s="2">
        <v>1998</v>
      </c>
      <c r="B5383">
        <v>51</v>
      </c>
      <c r="C5383">
        <v>1.593E-2</v>
      </c>
      <c r="D5383">
        <v>1.5810000000000001E-2</v>
      </c>
      <c r="E5383">
        <v>0.5</v>
      </c>
      <c r="F5383">
        <v>83663</v>
      </c>
      <c r="G5383">
        <v>1322</v>
      </c>
      <c r="H5383">
        <v>83002</v>
      </c>
      <c r="I5383">
        <v>1753828</v>
      </c>
    </row>
    <row r="5384" spans="1:9">
      <c r="A5384" s="2">
        <v>1998</v>
      </c>
      <c r="B5384">
        <v>52</v>
      </c>
      <c r="C5384">
        <v>1.6549999999999999E-2</v>
      </c>
      <c r="D5384">
        <v>1.6410000000000001E-2</v>
      </c>
      <c r="E5384">
        <v>0.5</v>
      </c>
      <c r="F5384">
        <v>82341</v>
      </c>
      <c r="G5384">
        <v>1351</v>
      </c>
      <c r="H5384">
        <v>81665</v>
      </c>
      <c r="I5384">
        <v>1670826</v>
      </c>
    </row>
    <row r="5385" spans="1:9">
      <c r="A5385" s="2">
        <v>1998</v>
      </c>
      <c r="B5385">
        <v>53</v>
      </c>
      <c r="C5385">
        <v>1.84E-2</v>
      </c>
      <c r="D5385">
        <v>1.823E-2</v>
      </c>
      <c r="E5385">
        <v>0.5</v>
      </c>
      <c r="F5385">
        <v>80989</v>
      </c>
      <c r="G5385">
        <v>1476</v>
      </c>
      <c r="H5385">
        <v>80251</v>
      </c>
      <c r="I5385">
        <v>1589161</v>
      </c>
    </row>
    <row r="5386" spans="1:9">
      <c r="A5386" s="2">
        <v>1998</v>
      </c>
      <c r="B5386">
        <v>54</v>
      </c>
      <c r="C5386">
        <v>2.085E-2</v>
      </c>
      <c r="D5386">
        <v>2.0639999999999999E-2</v>
      </c>
      <c r="E5386">
        <v>0.5</v>
      </c>
      <c r="F5386">
        <v>79513</v>
      </c>
      <c r="G5386">
        <v>1641</v>
      </c>
      <c r="H5386">
        <v>78693</v>
      </c>
      <c r="I5386">
        <v>1508910</v>
      </c>
    </row>
    <row r="5387" spans="1:9">
      <c r="A5387" s="2">
        <v>1998</v>
      </c>
      <c r="B5387">
        <v>55</v>
      </c>
      <c r="C5387">
        <v>2.0140000000000002E-2</v>
      </c>
      <c r="D5387">
        <v>1.9939999999999999E-2</v>
      </c>
      <c r="E5387">
        <v>0.5</v>
      </c>
      <c r="F5387">
        <v>77872</v>
      </c>
      <c r="G5387">
        <v>1553</v>
      </c>
      <c r="H5387">
        <v>77096</v>
      </c>
      <c r="I5387">
        <v>1430217</v>
      </c>
    </row>
    <row r="5388" spans="1:9">
      <c r="A5388" s="2">
        <v>1998</v>
      </c>
      <c r="B5388">
        <v>56</v>
      </c>
      <c r="C5388">
        <v>1.9460000000000002E-2</v>
      </c>
      <c r="D5388">
        <v>1.9279999999999999E-2</v>
      </c>
      <c r="E5388">
        <v>0.5</v>
      </c>
      <c r="F5388">
        <v>76320</v>
      </c>
      <c r="G5388">
        <v>1471</v>
      </c>
      <c r="H5388">
        <v>75584</v>
      </c>
      <c r="I5388">
        <v>1353121</v>
      </c>
    </row>
    <row r="5389" spans="1:9">
      <c r="A5389" s="2">
        <v>1998</v>
      </c>
      <c r="B5389">
        <v>57</v>
      </c>
      <c r="C5389">
        <v>2.1770000000000001E-2</v>
      </c>
      <c r="D5389">
        <v>2.154E-2</v>
      </c>
      <c r="E5389">
        <v>0.5</v>
      </c>
      <c r="F5389">
        <v>74849</v>
      </c>
      <c r="G5389">
        <v>1612</v>
      </c>
      <c r="H5389">
        <v>74043</v>
      </c>
      <c r="I5389">
        <v>1277537</v>
      </c>
    </row>
    <row r="5390" spans="1:9">
      <c r="A5390" s="2">
        <v>1998</v>
      </c>
      <c r="B5390">
        <v>58</v>
      </c>
      <c r="C5390">
        <v>2.4080000000000001E-2</v>
      </c>
      <c r="D5390">
        <v>2.3800000000000002E-2</v>
      </c>
      <c r="E5390">
        <v>0.5</v>
      </c>
      <c r="F5390">
        <v>73236</v>
      </c>
      <c r="G5390">
        <v>1743</v>
      </c>
      <c r="H5390">
        <v>72365</v>
      </c>
      <c r="I5390">
        <v>1203495</v>
      </c>
    </row>
    <row r="5391" spans="1:9">
      <c r="A5391" s="2">
        <v>1998</v>
      </c>
      <c r="B5391">
        <v>59</v>
      </c>
      <c r="C5391">
        <v>2.623E-2</v>
      </c>
      <c r="D5391">
        <v>2.589E-2</v>
      </c>
      <c r="E5391">
        <v>0.5</v>
      </c>
      <c r="F5391">
        <v>71494</v>
      </c>
      <c r="G5391">
        <v>1851</v>
      </c>
      <c r="H5391">
        <v>70568</v>
      </c>
      <c r="I5391">
        <v>1131130</v>
      </c>
    </row>
    <row r="5392" spans="1:9">
      <c r="A5392" s="2">
        <v>1998</v>
      </c>
      <c r="B5392">
        <v>60</v>
      </c>
      <c r="C5392">
        <v>2.8639999999999999E-2</v>
      </c>
      <c r="D5392">
        <v>2.8240000000000001E-2</v>
      </c>
      <c r="E5392">
        <v>0.5</v>
      </c>
      <c r="F5392">
        <v>69643</v>
      </c>
      <c r="G5392">
        <v>1967</v>
      </c>
      <c r="H5392">
        <v>68659</v>
      </c>
      <c r="I5392">
        <v>1060561</v>
      </c>
    </row>
    <row r="5393" spans="1:9">
      <c r="A5393" s="2">
        <v>1998</v>
      </c>
      <c r="B5393">
        <v>61</v>
      </c>
      <c r="C5393">
        <v>3.0710000000000001E-2</v>
      </c>
      <c r="D5393">
        <v>3.0249999999999999E-2</v>
      </c>
      <c r="E5393">
        <v>0.5</v>
      </c>
      <c r="F5393">
        <v>67676</v>
      </c>
      <c r="G5393">
        <v>2047</v>
      </c>
      <c r="H5393">
        <v>66652</v>
      </c>
      <c r="I5393">
        <v>991902</v>
      </c>
    </row>
    <row r="5394" spans="1:9">
      <c r="A5394" s="2">
        <v>1998</v>
      </c>
      <c r="B5394">
        <v>62</v>
      </c>
      <c r="C5394">
        <v>3.1820000000000001E-2</v>
      </c>
      <c r="D5394">
        <v>3.1320000000000001E-2</v>
      </c>
      <c r="E5394">
        <v>0.5</v>
      </c>
      <c r="F5394">
        <v>65629</v>
      </c>
      <c r="G5394">
        <v>2055</v>
      </c>
      <c r="H5394">
        <v>64601</v>
      </c>
      <c r="I5394">
        <v>925250</v>
      </c>
    </row>
    <row r="5395" spans="1:9">
      <c r="A5395" s="2">
        <v>1998</v>
      </c>
      <c r="B5395">
        <v>63</v>
      </c>
      <c r="C5395">
        <v>3.5909999999999997E-2</v>
      </c>
      <c r="D5395">
        <v>3.5279999999999999E-2</v>
      </c>
      <c r="E5395">
        <v>0.5</v>
      </c>
      <c r="F5395">
        <v>63573</v>
      </c>
      <c r="G5395">
        <v>2243</v>
      </c>
      <c r="H5395">
        <v>62452</v>
      </c>
      <c r="I5395">
        <v>860649</v>
      </c>
    </row>
    <row r="5396" spans="1:9">
      <c r="A5396" s="2">
        <v>1998</v>
      </c>
      <c r="B5396">
        <v>64</v>
      </c>
      <c r="C5396">
        <v>3.6850000000000001E-2</v>
      </c>
      <c r="D5396">
        <v>3.6179999999999997E-2</v>
      </c>
      <c r="E5396">
        <v>0.5</v>
      </c>
      <c r="F5396">
        <v>61331</v>
      </c>
      <c r="G5396">
        <v>2219</v>
      </c>
      <c r="H5396">
        <v>60221</v>
      </c>
      <c r="I5396">
        <v>798197</v>
      </c>
    </row>
    <row r="5397" spans="1:9">
      <c r="A5397" s="2">
        <v>1998</v>
      </c>
      <c r="B5397">
        <v>65</v>
      </c>
      <c r="C5397">
        <v>3.7139999999999999E-2</v>
      </c>
      <c r="D5397">
        <v>3.6470000000000002E-2</v>
      </c>
      <c r="E5397">
        <v>0.5</v>
      </c>
      <c r="F5397">
        <v>59112</v>
      </c>
      <c r="G5397">
        <v>2156</v>
      </c>
      <c r="H5397">
        <v>58034</v>
      </c>
      <c r="I5397">
        <v>737975</v>
      </c>
    </row>
    <row r="5398" spans="1:9">
      <c r="A5398" s="2">
        <v>1998</v>
      </c>
      <c r="B5398">
        <v>66</v>
      </c>
      <c r="C5398">
        <v>4.2340000000000003E-2</v>
      </c>
      <c r="D5398">
        <v>4.147E-2</v>
      </c>
      <c r="E5398">
        <v>0.5</v>
      </c>
      <c r="F5398">
        <v>56956</v>
      </c>
      <c r="G5398">
        <v>2362</v>
      </c>
      <c r="H5398">
        <v>55775</v>
      </c>
      <c r="I5398">
        <v>679941</v>
      </c>
    </row>
    <row r="5399" spans="1:9">
      <c r="A5399" s="2">
        <v>1998</v>
      </c>
      <c r="B5399">
        <v>67</v>
      </c>
      <c r="C5399">
        <v>4.5280000000000001E-2</v>
      </c>
      <c r="D5399">
        <v>4.4269999999999997E-2</v>
      </c>
      <c r="E5399">
        <v>0.5</v>
      </c>
      <c r="F5399">
        <v>54595</v>
      </c>
      <c r="G5399">
        <v>2417</v>
      </c>
      <c r="H5399">
        <v>53386</v>
      </c>
      <c r="I5399">
        <v>624166</v>
      </c>
    </row>
    <row r="5400" spans="1:9">
      <c r="A5400" s="2">
        <v>1998</v>
      </c>
      <c r="B5400">
        <v>68</v>
      </c>
      <c r="C5400">
        <v>4.6699999999999998E-2</v>
      </c>
      <c r="D5400">
        <v>4.564E-2</v>
      </c>
      <c r="E5400">
        <v>0.5</v>
      </c>
      <c r="F5400">
        <v>52178</v>
      </c>
      <c r="G5400">
        <v>2381</v>
      </c>
      <c r="H5400">
        <v>50987</v>
      </c>
      <c r="I5400">
        <v>570780</v>
      </c>
    </row>
    <row r="5401" spans="1:9">
      <c r="A5401" s="2">
        <v>1998</v>
      </c>
      <c r="B5401">
        <v>69</v>
      </c>
      <c r="C5401">
        <v>5.0560000000000001E-2</v>
      </c>
      <c r="D5401">
        <v>4.931E-2</v>
      </c>
      <c r="E5401">
        <v>0.5</v>
      </c>
      <c r="F5401">
        <v>49796</v>
      </c>
      <c r="G5401">
        <v>2456</v>
      </c>
      <c r="H5401">
        <v>48568</v>
      </c>
      <c r="I5401">
        <v>519793</v>
      </c>
    </row>
    <row r="5402" spans="1:9">
      <c r="A5402" s="2">
        <v>1998</v>
      </c>
      <c r="B5402">
        <v>70</v>
      </c>
      <c r="C5402">
        <v>5.688E-2</v>
      </c>
      <c r="D5402">
        <v>5.5309999999999998E-2</v>
      </c>
      <c r="E5402">
        <v>0.5</v>
      </c>
      <c r="F5402">
        <v>47341</v>
      </c>
      <c r="G5402">
        <v>2618</v>
      </c>
      <c r="H5402">
        <v>46031</v>
      </c>
      <c r="I5402">
        <v>471224</v>
      </c>
    </row>
    <row r="5403" spans="1:9">
      <c r="A5403" s="2">
        <v>1998</v>
      </c>
      <c r="B5403">
        <v>71</v>
      </c>
      <c r="C5403">
        <v>6.0839999999999998E-2</v>
      </c>
      <c r="D5403">
        <v>5.9040000000000002E-2</v>
      </c>
      <c r="E5403">
        <v>0.5</v>
      </c>
      <c r="F5403">
        <v>44722</v>
      </c>
      <c r="G5403">
        <v>2640</v>
      </c>
      <c r="H5403">
        <v>43402</v>
      </c>
      <c r="I5403">
        <v>425193</v>
      </c>
    </row>
    <row r="5404" spans="1:9">
      <c r="A5404" s="2">
        <v>1998</v>
      </c>
      <c r="B5404">
        <v>72</v>
      </c>
      <c r="C5404">
        <v>6.3780000000000003E-2</v>
      </c>
      <c r="D5404">
        <v>6.1809999999999997E-2</v>
      </c>
      <c r="E5404">
        <v>0.5</v>
      </c>
      <c r="F5404">
        <v>42082</v>
      </c>
      <c r="G5404">
        <v>2601</v>
      </c>
      <c r="H5404">
        <v>40781</v>
      </c>
      <c r="I5404">
        <v>381791</v>
      </c>
    </row>
    <row r="5405" spans="1:9">
      <c r="A5405" s="2">
        <v>1998</v>
      </c>
      <c r="B5405">
        <v>73</v>
      </c>
      <c r="C5405">
        <v>6.7930000000000004E-2</v>
      </c>
      <c r="D5405">
        <v>6.5699999999999995E-2</v>
      </c>
      <c r="E5405">
        <v>0.5</v>
      </c>
      <c r="F5405">
        <v>39481</v>
      </c>
      <c r="G5405">
        <v>2594</v>
      </c>
      <c r="H5405">
        <v>38184</v>
      </c>
      <c r="I5405">
        <v>341009</v>
      </c>
    </row>
    <row r="5406" spans="1:9">
      <c r="A5406" s="2">
        <v>1998</v>
      </c>
      <c r="B5406">
        <v>74</v>
      </c>
      <c r="C5406">
        <v>7.3980000000000004E-2</v>
      </c>
      <c r="D5406">
        <v>7.1340000000000001E-2</v>
      </c>
      <c r="E5406">
        <v>0.5</v>
      </c>
      <c r="F5406">
        <v>36887</v>
      </c>
      <c r="G5406">
        <v>2631</v>
      </c>
      <c r="H5406">
        <v>35571</v>
      </c>
      <c r="I5406">
        <v>302826</v>
      </c>
    </row>
    <row r="5407" spans="1:9">
      <c r="A5407" s="2">
        <v>1998</v>
      </c>
      <c r="B5407">
        <v>75</v>
      </c>
      <c r="C5407">
        <v>7.6770000000000005E-2</v>
      </c>
      <c r="D5407">
        <v>7.3940000000000006E-2</v>
      </c>
      <c r="E5407">
        <v>0.5</v>
      </c>
      <c r="F5407">
        <v>34255</v>
      </c>
      <c r="G5407">
        <v>2533</v>
      </c>
      <c r="H5407">
        <v>32989</v>
      </c>
      <c r="I5407">
        <v>267254</v>
      </c>
    </row>
    <row r="5408" spans="1:9">
      <c r="A5408" s="2">
        <v>1998</v>
      </c>
      <c r="B5408">
        <v>76</v>
      </c>
      <c r="C5408">
        <v>8.412E-2</v>
      </c>
      <c r="D5408">
        <v>8.072E-2</v>
      </c>
      <c r="E5408">
        <v>0.5</v>
      </c>
      <c r="F5408">
        <v>31723</v>
      </c>
      <c r="G5408">
        <v>2561</v>
      </c>
      <c r="H5408">
        <v>30442</v>
      </c>
      <c r="I5408">
        <v>234265</v>
      </c>
    </row>
    <row r="5409" spans="1:9">
      <c r="A5409" s="2">
        <v>1998</v>
      </c>
      <c r="B5409">
        <v>77</v>
      </c>
      <c r="C5409">
        <v>8.6999999999999994E-2</v>
      </c>
      <c r="D5409">
        <v>8.3379999999999996E-2</v>
      </c>
      <c r="E5409">
        <v>0.5</v>
      </c>
      <c r="F5409">
        <v>29162</v>
      </c>
      <c r="G5409">
        <v>2431</v>
      </c>
      <c r="H5409">
        <v>27946</v>
      </c>
      <c r="I5409">
        <v>203823</v>
      </c>
    </row>
    <row r="5410" spans="1:9">
      <c r="A5410" s="2">
        <v>1998</v>
      </c>
      <c r="B5410">
        <v>78</v>
      </c>
      <c r="C5410">
        <v>0.10705000000000001</v>
      </c>
      <c r="D5410">
        <v>0.10161000000000001</v>
      </c>
      <c r="E5410">
        <v>0.5</v>
      </c>
      <c r="F5410">
        <v>26731</v>
      </c>
      <c r="G5410">
        <v>2716</v>
      </c>
      <c r="H5410">
        <v>25372</v>
      </c>
      <c r="I5410">
        <v>175877</v>
      </c>
    </row>
    <row r="5411" spans="1:9">
      <c r="A5411" s="2">
        <v>1998</v>
      </c>
      <c r="B5411">
        <v>79</v>
      </c>
      <c r="C5411">
        <v>9.1249999999999998E-2</v>
      </c>
      <c r="D5411">
        <v>8.727E-2</v>
      </c>
      <c r="E5411">
        <v>0.5</v>
      </c>
      <c r="F5411">
        <v>24014</v>
      </c>
      <c r="G5411">
        <v>2096</v>
      </c>
      <c r="H5411">
        <v>22967</v>
      </c>
      <c r="I5411">
        <v>150504</v>
      </c>
    </row>
    <row r="5412" spans="1:9">
      <c r="A5412" s="2">
        <v>1998</v>
      </c>
      <c r="B5412">
        <v>80</v>
      </c>
      <c r="C5412">
        <v>0.11351</v>
      </c>
      <c r="D5412">
        <v>0.10741000000000001</v>
      </c>
      <c r="E5412">
        <v>0.5</v>
      </c>
      <c r="F5412">
        <v>21919</v>
      </c>
      <c r="G5412">
        <v>2354</v>
      </c>
      <c r="H5412">
        <v>20742</v>
      </c>
      <c r="I5412">
        <v>127538</v>
      </c>
    </row>
    <row r="5413" spans="1:9">
      <c r="A5413" s="2">
        <v>1998</v>
      </c>
      <c r="B5413">
        <v>81</v>
      </c>
      <c r="C5413">
        <v>0.13106999999999999</v>
      </c>
      <c r="D5413">
        <v>0.12300999999999999</v>
      </c>
      <c r="E5413">
        <v>0.5</v>
      </c>
      <c r="F5413">
        <v>19564</v>
      </c>
      <c r="G5413">
        <v>2407</v>
      </c>
      <c r="H5413">
        <v>18361</v>
      </c>
      <c r="I5413">
        <v>106796</v>
      </c>
    </row>
    <row r="5414" spans="1:9">
      <c r="A5414" s="2">
        <v>1998</v>
      </c>
      <c r="B5414">
        <v>82</v>
      </c>
      <c r="C5414">
        <v>0.12246</v>
      </c>
      <c r="D5414">
        <v>0.11539000000000001</v>
      </c>
      <c r="E5414">
        <v>0.5</v>
      </c>
      <c r="F5414">
        <v>17158</v>
      </c>
      <c r="G5414">
        <v>1980</v>
      </c>
      <c r="H5414">
        <v>16168</v>
      </c>
      <c r="I5414">
        <v>88435</v>
      </c>
    </row>
    <row r="5415" spans="1:9">
      <c r="A5415" s="2">
        <v>1998</v>
      </c>
      <c r="B5415">
        <v>83</v>
      </c>
      <c r="C5415">
        <v>0.16098000000000001</v>
      </c>
      <c r="D5415">
        <v>0.14899000000000001</v>
      </c>
      <c r="E5415">
        <v>0.5</v>
      </c>
      <c r="F5415">
        <v>15178</v>
      </c>
      <c r="G5415">
        <v>2261</v>
      </c>
      <c r="H5415">
        <v>14047</v>
      </c>
      <c r="I5415">
        <v>72267</v>
      </c>
    </row>
    <row r="5416" spans="1:9">
      <c r="A5416" s="2">
        <v>1998</v>
      </c>
      <c r="B5416">
        <v>84</v>
      </c>
      <c r="C5416">
        <v>0.16148000000000001</v>
      </c>
      <c r="D5416">
        <v>0.14942</v>
      </c>
      <c r="E5416">
        <v>0.5</v>
      </c>
      <c r="F5416">
        <v>12917</v>
      </c>
      <c r="G5416">
        <v>1930</v>
      </c>
      <c r="H5416">
        <v>11952</v>
      </c>
      <c r="I5416">
        <v>58220</v>
      </c>
    </row>
    <row r="5417" spans="1:9">
      <c r="A5417" s="2">
        <v>1998</v>
      </c>
      <c r="B5417">
        <v>85</v>
      </c>
      <c r="C5417">
        <v>0.18328</v>
      </c>
      <c r="D5417">
        <v>0.16789000000000001</v>
      </c>
      <c r="E5417">
        <v>0.5</v>
      </c>
      <c r="F5417">
        <v>10987</v>
      </c>
      <c r="G5417">
        <v>1845</v>
      </c>
      <c r="H5417">
        <v>10064</v>
      </c>
      <c r="I5417">
        <v>46268</v>
      </c>
    </row>
    <row r="5418" spans="1:9">
      <c r="A5418" s="2">
        <v>1998</v>
      </c>
      <c r="B5418">
        <v>86</v>
      </c>
      <c r="C5418">
        <v>0.18731</v>
      </c>
      <c r="D5418">
        <v>0.17127000000000001</v>
      </c>
      <c r="E5418">
        <v>0.5</v>
      </c>
      <c r="F5418">
        <v>9142</v>
      </c>
      <c r="G5418">
        <v>1566</v>
      </c>
      <c r="H5418">
        <v>8359</v>
      </c>
      <c r="I5418">
        <v>36204</v>
      </c>
    </row>
    <row r="5419" spans="1:9">
      <c r="A5419" s="2">
        <v>1998</v>
      </c>
      <c r="B5419">
        <v>87</v>
      </c>
      <c r="C5419">
        <v>0.20268</v>
      </c>
      <c r="D5419">
        <v>0.18403</v>
      </c>
      <c r="E5419">
        <v>0.5</v>
      </c>
      <c r="F5419">
        <v>7576</v>
      </c>
      <c r="G5419">
        <v>1394</v>
      </c>
      <c r="H5419">
        <v>6879</v>
      </c>
      <c r="I5419">
        <v>27845</v>
      </c>
    </row>
    <row r="5420" spans="1:9">
      <c r="A5420" s="2">
        <v>1998</v>
      </c>
      <c r="B5420">
        <v>88</v>
      </c>
      <c r="C5420">
        <v>0.23891000000000001</v>
      </c>
      <c r="D5420">
        <v>0.21340999999999999</v>
      </c>
      <c r="E5420">
        <v>0.5</v>
      </c>
      <c r="F5420">
        <v>6182</v>
      </c>
      <c r="G5420">
        <v>1319</v>
      </c>
      <c r="H5420">
        <v>5522</v>
      </c>
      <c r="I5420">
        <v>20966</v>
      </c>
    </row>
    <row r="5421" spans="1:9">
      <c r="A5421" s="2">
        <v>1998</v>
      </c>
      <c r="B5421">
        <v>89</v>
      </c>
      <c r="C5421">
        <v>0.27442</v>
      </c>
      <c r="D5421">
        <v>0.24131</v>
      </c>
      <c r="E5421">
        <v>0.5</v>
      </c>
      <c r="F5421">
        <v>4863</v>
      </c>
      <c r="G5421">
        <v>1173</v>
      </c>
      <c r="H5421">
        <v>4276</v>
      </c>
      <c r="I5421">
        <v>15444</v>
      </c>
    </row>
    <row r="5422" spans="1:9">
      <c r="A5422" s="2">
        <v>1998</v>
      </c>
      <c r="B5422">
        <v>90</v>
      </c>
      <c r="C5422">
        <v>0.27378999999999998</v>
      </c>
      <c r="D5422">
        <v>0.24082000000000001</v>
      </c>
      <c r="E5422">
        <v>0.5</v>
      </c>
      <c r="F5422">
        <v>3689</v>
      </c>
      <c r="G5422">
        <v>888</v>
      </c>
      <c r="H5422">
        <v>3245</v>
      </c>
      <c r="I5422">
        <v>11168</v>
      </c>
    </row>
    <row r="5423" spans="1:9">
      <c r="A5423" s="2">
        <v>1998</v>
      </c>
      <c r="B5423">
        <v>91</v>
      </c>
      <c r="C5423">
        <v>0.28261999999999998</v>
      </c>
      <c r="D5423">
        <v>0.24762999999999999</v>
      </c>
      <c r="E5423">
        <v>0.5</v>
      </c>
      <c r="F5423">
        <v>2801</v>
      </c>
      <c r="G5423">
        <v>694</v>
      </c>
      <c r="H5423">
        <v>2454</v>
      </c>
      <c r="I5423">
        <v>7923</v>
      </c>
    </row>
    <row r="5424" spans="1:9">
      <c r="A5424" s="2">
        <v>1998</v>
      </c>
      <c r="B5424">
        <v>92</v>
      </c>
      <c r="C5424">
        <v>0.33323000000000003</v>
      </c>
      <c r="D5424">
        <v>0.28564000000000001</v>
      </c>
      <c r="E5424">
        <v>0.5</v>
      </c>
      <c r="F5424">
        <v>2107</v>
      </c>
      <c r="G5424">
        <v>602</v>
      </c>
      <c r="H5424">
        <v>1806</v>
      </c>
      <c r="I5424">
        <v>5468</v>
      </c>
    </row>
    <row r="5425" spans="1:9">
      <c r="A5425" s="2">
        <v>1998</v>
      </c>
      <c r="B5425">
        <v>93</v>
      </c>
      <c r="C5425">
        <v>0.38589000000000001</v>
      </c>
      <c r="D5425">
        <v>0.32347999999999999</v>
      </c>
      <c r="E5425">
        <v>0.5</v>
      </c>
      <c r="F5425">
        <v>1505</v>
      </c>
      <c r="G5425">
        <v>487</v>
      </c>
      <c r="H5425">
        <v>1262</v>
      </c>
      <c r="I5425">
        <v>3662</v>
      </c>
    </row>
    <row r="5426" spans="1:9">
      <c r="A5426" s="2">
        <v>1998</v>
      </c>
      <c r="B5426">
        <v>94</v>
      </c>
      <c r="C5426">
        <v>0.39644000000000001</v>
      </c>
      <c r="D5426">
        <v>0.33085999999999999</v>
      </c>
      <c r="E5426">
        <v>0.5</v>
      </c>
      <c r="F5426">
        <v>1018</v>
      </c>
      <c r="G5426">
        <v>337</v>
      </c>
      <c r="H5426">
        <v>850</v>
      </c>
      <c r="I5426">
        <v>2400</v>
      </c>
    </row>
    <row r="5427" spans="1:9">
      <c r="A5427" s="2">
        <v>1998</v>
      </c>
      <c r="B5427">
        <v>95</v>
      </c>
      <c r="C5427">
        <v>0.39737</v>
      </c>
      <c r="D5427">
        <v>0.33150000000000002</v>
      </c>
      <c r="E5427">
        <v>0.5</v>
      </c>
      <c r="F5427">
        <v>681</v>
      </c>
      <c r="G5427">
        <v>226</v>
      </c>
      <c r="H5427">
        <v>569</v>
      </c>
      <c r="I5427">
        <v>1550</v>
      </c>
    </row>
    <row r="5428" spans="1:9">
      <c r="A5428" s="2">
        <v>1998</v>
      </c>
      <c r="B5428">
        <v>96</v>
      </c>
      <c r="C5428">
        <v>0.42393999999999998</v>
      </c>
      <c r="D5428">
        <v>0.34978999999999999</v>
      </c>
      <c r="E5428">
        <v>0.5</v>
      </c>
      <c r="F5428">
        <v>456</v>
      </c>
      <c r="G5428">
        <v>159</v>
      </c>
      <c r="H5428">
        <v>376</v>
      </c>
      <c r="I5428">
        <v>982</v>
      </c>
    </row>
    <row r="5429" spans="1:9">
      <c r="A5429" s="2">
        <v>1998</v>
      </c>
      <c r="B5429">
        <v>97</v>
      </c>
      <c r="C5429">
        <v>0.45096000000000003</v>
      </c>
      <c r="D5429">
        <v>0.36798999999999998</v>
      </c>
      <c r="E5429">
        <v>0.5</v>
      </c>
      <c r="F5429">
        <v>296</v>
      </c>
      <c r="G5429">
        <v>109</v>
      </c>
      <c r="H5429">
        <v>242</v>
      </c>
      <c r="I5429">
        <v>606</v>
      </c>
    </row>
    <row r="5430" spans="1:9">
      <c r="A5430" s="2">
        <v>1998</v>
      </c>
      <c r="B5430">
        <v>98</v>
      </c>
      <c r="C5430">
        <v>0.47826999999999997</v>
      </c>
      <c r="D5430">
        <v>0.38596999999999998</v>
      </c>
      <c r="E5430">
        <v>0.5</v>
      </c>
      <c r="F5430">
        <v>187</v>
      </c>
      <c r="G5430">
        <v>72</v>
      </c>
      <c r="H5430">
        <v>151</v>
      </c>
      <c r="I5430">
        <v>364</v>
      </c>
    </row>
    <row r="5431" spans="1:9">
      <c r="A5431" s="2">
        <v>1998</v>
      </c>
      <c r="B5431">
        <v>99</v>
      </c>
      <c r="C5431">
        <v>0.50570999999999999</v>
      </c>
      <c r="D5431">
        <v>0.40365000000000001</v>
      </c>
      <c r="E5431">
        <v>0.5</v>
      </c>
      <c r="F5431">
        <v>115</v>
      </c>
      <c r="G5431">
        <v>46</v>
      </c>
      <c r="H5431">
        <v>92</v>
      </c>
      <c r="I5431">
        <v>213</v>
      </c>
    </row>
    <row r="5432" spans="1:9">
      <c r="A5432" s="2">
        <v>1998</v>
      </c>
      <c r="B5432">
        <v>100</v>
      </c>
      <c r="C5432">
        <v>0.53312000000000004</v>
      </c>
      <c r="D5432">
        <v>0.42092000000000002</v>
      </c>
      <c r="E5432">
        <v>0.5</v>
      </c>
      <c r="F5432">
        <v>69</v>
      </c>
      <c r="G5432">
        <v>29</v>
      </c>
      <c r="H5432">
        <v>54</v>
      </c>
      <c r="I5432">
        <v>121</v>
      </c>
    </row>
    <row r="5433" spans="1:9">
      <c r="A5433" s="2">
        <v>1998</v>
      </c>
      <c r="B5433">
        <v>101</v>
      </c>
      <c r="C5433">
        <v>0.56032999999999999</v>
      </c>
      <c r="D5433">
        <v>0.43769999999999998</v>
      </c>
      <c r="E5433">
        <v>0.5</v>
      </c>
      <c r="F5433">
        <v>40</v>
      </c>
      <c r="G5433">
        <v>17</v>
      </c>
      <c r="H5433">
        <v>31</v>
      </c>
      <c r="I5433">
        <v>67</v>
      </c>
    </row>
    <row r="5434" spans="1:9">
      <c r="A5434" s="2">
        <v>1998</v>
      </c>
      <c r="B5434">
        <v>102</v>
      </c>
      <c r="C5434">
        <v>0.58718000000000004</v>
      </c>
      <c r="D5434">
        <v>0.45391999999999999</v>
      </c>
      <c r="E5434">
        <v>0.5</v>
      </c>
      <c r="F5434">
        <v>22</v>
      </c>
      <c r="G5434">
        <v>10</v>
      </c>
      <c r="H5434">
        <v>17</v>
      </c>
      <c r="I5434">
        <v>36</v>
      </c>
    </row>
    <row r="5435" spans="1:9">
      <c r="A5435" s="2">
        <v>1998</v>
      </c>
      <c r="B5435">
        <v>103</v>
      </c>
      <c r="C5435">
        <v>0.61351999999999995</v>
      </c>
      <c r="D5435">
        <v>0.46949999999999997</v>
      </c>
      <c r="E5435">
        <v>0.5</v>
      </c>
      <c r="F5435">
        <v>12</v>
      </c>
      <c r="G5435">
        <v>6</v>
      </c>
      <c r="H5435">
        <v>9</v>
      </c>
      <c r="I5435">
        <v>19</v>
      </c>
    </row>
    <row r="5436" spans="1:9">
      <c r="A5436" s="2">
        <v>1998</v>
      </c>
      <c r="B5436">
        <v>104</v>
      </c>
      <c r="C5436">
        <v>0.63922000000000001</v>
      </c>
      <c r="D5436">
        <v>0.4844</v>
      </c>
      <c r="E5436">
        <v>0.5</v>
      </c>
      <c r="F5436">
        <v>6</v>
      </c>
      <c r="G5436">
        <v>3</v>
      </c>
      <c r="H5436">
        <v>5</v>
      </c>
      <c r="I5436">
        <v>10</v>
      </c>
    </row>
    <row r="5437" spans="1:9">
      <c r="A5437" s="2">
        <v>1998</v>
      </c>
      <c r="B5437">
        <v>105</v>
      </c>
      <c r="C5437">
        <v>0.66413999999999995</v>
      </c>
      <c r="D5437">
        <v>0.49858000000000002</v>
      </c>
      <c r="E5437">
        <v>0.5</v>
      </c>
      <c r="F5437">
        <v>3</v>
      </c>
      <c r="G5437">
        <v>2</v>
      </c>
      <c r="H5437">
        <v>3</v>
      </c>
      <c r="I5437">
        <v>5</v>
      </c>
    </row>
    <row r="5438" spans="1:9">
      <c r="A5438" s="2">
        <v>1998</v>
      </c>
      <c r="B5438">
        <v>106</v>
      </c>
      <c r="C5438">
        <v>0.68818000000000001</v>
      </c>
      <c r="D5438">
        <v>0.51200000000000001</v>
      </c>
      <c r="E5438">
        <v>0.5</v>
      </c>
      <c r="F5438">
        <v>2</v>
      </c>
      <c r="G5438">
        <v>1</v>
      </c>
      <c r="H5438">
        <v>1</v>
      </c>
      <c r="I5438">
        <v>2</v>
      </c>
    </row>
    <row r="5439" spans="1:9">
      <c r="A5439" s="2">
        <v>1998</v>
      </c>
      <c r="B5439">
        <v>107</v>
      </c>
      <c r="C5439">
        <v>0.71125000000000005</v>
      </c>
      <c r="D5439">
        <v>0.52466000000000002</v>
      </c>
      <c r="E5439">
        <v>0.5</v>
      </c>
      <c r="F5439">
        <v>1</v>
      </c>
      <c r="G5439">
        <v>0</v>
      </c>
      <c r="H5439">
        <v>1</v>
      </c>
      <c r="I5439">
        <v>1</v>
      </c>
    </row>
    <row r="5440" spans="1:9">
      <c r="A5440" s="2">
        <v>1998</v>
      </c>
      <c r="B5440">
        <v>108</v>
      </c>
      <c r="C5440">
        <v>0.73326999999999998</v>
      </c>
      <c r="D5440">
        <v>0.53654999999999997</v>
      </c>
      <c r="E5440">
        <v>0.5</v>
      </c>
      <c r="F5440">
        <v>0</v>
      </c>
      <c r="G5440">
        <v>0</v>
      </c>
      <c r="H5440">
        <v>0</v>
      </c>
      <c r="I5440">
        <v>1</v>
      </c>
    </row>
    <row r="5441" spans="1:9">
      <c r="A5441" s="2">
        <v>1998</v>
      </c>
      <c r="B5441">
        <v>109</v>
      </c>
      <c r="C5441">
        <v>0.75419000000000003</v>
      </c>
      <c r="D5441">
        <v>0.54766999999999999</v>
      </c>
      <c r="E5441">
        <v>0.5</v>
      </c>
      <c r="F5441">
        <v>0</v>
      </c>
      <c r="G5441">
        <v>0</v>
      </c>
      <c r="H5441">
        <v>0</v>
      </c>
      <c r="I5441">
        <v>0</v>
      </c>
    </row>
    <row r="5442" spans="1:9">
      <c r="A5442" s="2">
        <v>1998</v>
      </c>
      <c r="B5442" t="s">
        <v>26</v>
      </c>
      <c r="C5442">
        <v>0.77398</v>
      </c>
      <c r="D5442">
        <v>1</v>
      </c>
      <c r="E5442" s="3" t="s">
        <v>43</v>
      </c>
      <c r="F5442">
        <v>0</v>
      </c>
      <c r="G5442">
        <v>0</v>
      </c>
      <c r="H5442">
        <v>0</v>
      </c>
      <c r="I5442">
        <v>0</v>
      </c>
    </row>
    <row r="5443" spans="1:9">
      <c r="A5443" s="2">
        <v>1999</v>
      </c>
      <c r="B5443">
        <v>0</v>
      </c>
      <c r="C5443">
        <v>9.3299999999999998E-3</v>
      </c>
      <c r="D5443">
        <v>9.2499999999999995E-3</v>
      </c>
      <c r="E5443">
        <v>0.13</v>
      </c>
      <c r="F5443">
        <v>100000</v>
      </c>
      <c r="G5443">
        <v>925</v>
      </c>
      <c r="H5443">
        <v>99196</v>
      </c>
      <c r="I5443">
        <v>6666616</v>
      </c>
    </row>
    <row r="5444" spans="1:9">
      <c r="A5444" s="2">
        <v>1999</v>
      </c>
      <c r="B5444">
        <v>1</v>
      </c>
      <c r="C5444">
        <v>8.8000000000000003E-4</v>
      </c>
      <c r="D5444">
        <v>8.8000000000000003E-4</v>
      </c>
      <c r="E5444">
        <v>0.5</v>
      </c>
      <c r="F5444">
        <v>99075</v>
      </c>
      <c r="G5444">
        <v>87</v>
      </c>
      <c r="H5444">
        <v>99031</v>
      </c>
      <c r="I5444">
        <v>6567420</v>
      </c>
    </row>
    <row r="5445" spans="1:9">
      <c r="A5445" s="2">
        <v>1999</v>
      </c>
      <c r="B5445">
        <v>2</v>
      </c>
      <c r="C5445">
        <v>5.5999999999999995E-4</v>
      </c>
      <c r="D5445">
        <v>5.5999999999999995E-4</v>
      </c>
      <c r="E5445">
        <v>0.5</v>
      </c>
      <c r="F5445">
        <v>98988</v>
      </c>
      <c r="G5445">
        <v>55</v>
      </c>
      <c r="H5445">
        <v>98960</v>
      </c>
      <c r="I5445">
        <v>6468389</v>
      </c>
    </row>
    <row r="5446" spans="1:9">
      <c r="A5446" s="2">
        <v>1999</v>
      </c>
      <c r="B5446">
        <v>3</v>
      </c>
      <c r="C5446">
        <v>3.4000000000000002E-4</v>
      </c>
      <c r="D5446">
        <v>3.4000000000000002E-4</v>
      </c>
      <c r="E5446">
        <v>0.5</v>
      </c>
      <c r="F5446">
        <v>98933</v>
      </c>
      <c r="G5446">
        <v>34</v>
      </c>
      <c r="H5446">
        <v>98916</v>
      </c>
      <c r="I5446">
        <v>6369429</v>
      </c>
    </row>
    <row r="5447" spans="1:9">
      <c r="A5447" s="2">
        <v>1999</v>
      </c>
      <c r="B5447">
        <v>4</v>
      </c>
      <c r="C5447">
        <v>1.9000000000000001E-4</v>
      </c>
      <c r="D5447">
        <v>1.9000000000000001E-4</v>
      </c>
      <c r="E5447">
        <v>0.5</v>
      </c>
      <c r="F5447">
        <v>98899</v>
      </c>
      <c r="G5447">
        <v>19</v>
      </c>
      <c r="H5447">
        <v>98890</v>
      </c>
      <c r="I5447">
        <v>6270513</v>
      </c>
    </row>
    <row r="5448" spans="1:9">
      <c r="A5448" s="2">
        <v>1999</v>
      </c>
      <c r="B5448">
        <v>5</v>
      </c>
      <c r="C5448">
        <v>1.9000000000000001E-4</v>
      </c>
      <c r="D5448">
        <v>1.9000000000000001E-4</v>
      </c>
      <c r="E5448">
        <v>0.5</v>
      </c>
      <c r="F5448">
        <v>98880</v>
      </c>
      <c r="G5448">
        <v>18</v>
      </c>
      <c r="H5448">
        <v>98871</v>
      </c>
      <c r="I5448">
        <v>6171623</v>
      </c>
    </row>
    <row r="5449" spans="1:9">
      <c r="A5449" s="2">
        <v>1999</v>
      </c>
      <c r="B5449">
        <v>6</v>
      </c>
      <c r="C5449">
        <v>1.8000000000000001E-4</v>
      </c>
      <c r="D5449">
        <v>1.8000000000000001E-4</v>
      </c>
      <c r="E5449">
        <v>0.5</v>
      </c>
      <c r="F5449">
        <v>98861</v>
      </c>
      <c r="G5449">
        <v>18</v>
      </c>
      <c r="H5449">
        <v>98852</v>
      </c>
      <c r="I5449">
        <v>6072753</v>
      </c>
    </row>
    <row r="5450" spans="1:9">
      <c r="A5450" s="2">
        <v>1999</v>
      </c>
      <c r="B5450">
        <v>7</v>
      </c>
      <c r="C5450">
        <v>2.7E-4</v>
      </c>
      <c r="D5450">
        <v>2.7E-4</v>
      </c>
      <c r="E5450">
        <v>0.5</v>
      </c>
      <c r="F5450">
        <v>98843</v>
      </c>
      <c r="G5450">
        <v>27</v>
      </c>
      <c r="H5450">
        <v>98830</v>
      </c>
      <c r="I5450">
        <v>5973900</v>
      </c>
    </row>
    <row r="5451" spans="1:9">
      <c r="A5451" s="2">
        <v>1999</v>
      </c>
      <c r="B5451">
        <v>8</v>
      </c>
      <c r="C5451">
        <v>1.9000000000000001E-4</v>
      </c>
      <c r="D5451">
        <v>1.9000000000000001E-4</v>
      </c>
      <c r="E5451">
        <v>0.5</v>
      </c>
      <c r="F5451">
        <v>98816</v>
      </c>
      <c r="G5451">
        <v>18</v>
      </c>
      <c r="H5451">
        <v>98807</v>
      </c>
      <c r="I5451">
        <v>5875071</v>
      </c>
    </row>
    <row r="5452" spans="1:9">
      <c r="A5452" s="2">
        <v>1999</v>
      </c>
      <c r="B5452">
        <v>9</v>
      </c>
      <c r="C5452">
        <v>1.9000000000000001E-4</v>
      </c>
      <c r="D5452">
        <v>1.9000000000000001E-4</v>
      </c>
      <c r="E5452">
        <v>0.5</v>
      </c>
      <c r="F5452">
        <v>98798</v>
      </c>
      <c r="G5452">
        <v>19</v>
      </c>
      <c r="H5452">
        <v>98789</v>
      </c>
      <c r="I5452">
        <v>5776263</v>
      </c>
    </row>
    <row r="5453" spans="1:9">
      <c r="A5453" s="2">
        <v>1999</v>
      </c>
      <c r="B5453">
        <v>10</v>
      </c>
      <c r="C5453">
        <v>2.7E-4</v>
      </c>
      <c r="D5453">
        <v>2.7E-4</v>
      </c>
      <c r="E5453">
        <v>0.5</v>
      </c>
      <c r="F5453">
        <v>98779</v>
      </c>
      <c r="G5453">
        <v>27</v>
      </c>
      <c r="H5453">
        <v>98766</v>
      </c>
      <c r="I5453">
        <v>5677475</v>
      </c>
    </row>
    <row r="5454" spans="1:9">
      <c r="A5454" s="2">
        <v>1999</v>
      </c>
      <c r="B5454">
        <v>11</v>
      </c>
      <c r="C5454">
        <v>2.0000000000000001E-4</v>
      </c>
      <c r="D5454">
        <v>2.0000000000000001E-4</v>
      </c>
      <c r="E5454">
        <v>0.5</v>
      </c>
      <c r="F5454">
        <v>98752</v>
      </c>
      <c r="G5454">
        <v>20</v>
      </c>
      <c r="H5454">
        <v>98742</v>
      </c>
      <c r="I5454">
        <v>5578709</v>
      </c>
    </row>
    <row r="5455" spans="1:9">
      <c r="A5455" s="2">
        <v>1999</v>
      </c>
      <c r="B5455">
        <v>12</v>
      </c>
      <c r="C5455">
        <v>3.4000000000000002E-4</v>
      </c>
      <c r="D5455">
        <v>3.4000000000000002E-4</v>
      </c>
      <c r="E5455">
        <v>0.5</v>
      </c>
      <c r="F5455">
        <v>98732</v>
      </c>
      <c r="G5455">
        <v>34</v>
      </c>
      <c r="H5455">
        <v>98715</v>
      </c>
      <c r="I5455">
        <v>5479967</v>
      </c>
    </row>
    <row r="5456" spans="1:9">
      <c r="A5456" s="2">
        <v>1999</v>
      </c>
      <c r="B5456">
        <v>13</v>
      </c>
      <c r="C5456">
        <v>3.1E-4</v>
      </c>
      <c r="D5456">
        <v>3.1E-4</v>
      </c>
      <c r="E5456">
        <v>0.5</v>
      </c>
      <c r="F5456">
        <v>98698</v>
      </c>
      <c r="G5456">
        <v>31</v>
      </c>
      <c r="H5456">
        <v>98683</v>
      </c>
      <c r="I5456">
        <v>5381251</v>
      </c>
    </row>
    <row r="5457" spans="1:9">
      <c r="A5457" s="2">
        <v>1999</v>
      </c>
      <c r="B5457">
        <v>14</v>
      </c>
      <c r="C5457">
        <v>3.8000000000000002E-4</v>
      </c>
      <c r="D5457">
        <v>3.8000000000000002E-4</v>
      </c>
      <c r="E5457">
        <v>0.5</v>
      </c>
      <c r="F5457">
        <v>98667</v>
      </c>
      <c r="G5457">
        <v>37</v>
      </c>
      <c r="H5457">
        <v>98649</v>
      </c>
      <c r="I5457">
        <v>5282568</v>
      </c>
    </row>
    <row r="5458" spans="1:9">
      <c r="A5458" s="2">
        <v>1999</v>
      </c>
      <c r="B5458">
        <v>15</v>
      </c>
      <c r="C5458">
        <v>3.1E-4</v>
      </c>
      <c r="D5458">
        <v>3.1E-4</v>
      </c>
      <c r="E5458">
        <v>0.5</v>
      </c>
      <c r="F5458">
        <v>98630</v>
      </c>
      <c r="G5458">
        <v>30</v>
      </c>
      <c r="H5458">
        <v>98615</v>
      </c>
      <c r="I5458">
        <v>5183920</v>
      </c>
    </row>
    <row r="5459" spans="1:9">
      <c r="A5459" s="2">
        <v>1999</v>
      </c>
      <c r="B5459">
        <v>16</v>
      </c>
      <c r="C5459">
        <v>4.2999999999999999E-4</v>
      </c>
      <c r="D5459">
        <v>4.2999999999999999E-4</v>
      </c>
      <c r="E5459">
        <v>0.5</v>
      </c>
      <c r="F5459">
        <v>98600</v>
      </c>
      <c r="G5459">
        <v>43</v>
      </c>
      <c r="H5459">
        <v>98578</v>
      </c>
      <c r="I5459">
        <v>5085305</v>
      </c>
    </row>
    <row r="5460" spans="1:9">
      <c r="A5460" s="2">
        <v>1999</v>
      </c>
      <c r="B5460">
        <v>17</v>
      </c>
      <c r="C5460">
        <v>5.1999999999999995E-4</v>
      </c>
      <c r="D5460">
        <v>5.1999999999999995E-4</v>
      </c>
      <c r="E5460">
        <v>0.5</v>
      </c>
      <c r="F5460">
        <v>98557</v>
      </c>
      <c r="G5460">
        <v>52</v>
      </c>
      <c r="H5460">
        <v>98531</v>
      </c>
      <c r="I5460">
        <v>4986726</v>
      </c>
    </row>
    <row r="5461" spans="1:9">
      <c r="A5461" s="2">
        <v>1999</v>
      </c>
      <c r="B5461">
        <v>18</v>
      </c>
      <c r="C5461">
        <v>7.1000000000000002E-4</v>
      </c>
      <c r="D5461">
        <v>7.1000000000000002E-4</v>
      </c>
      <c r="E5461">
        <v>0.5</v>
      </c>
      <c r="F5461">
        <v>98505</v>
      </c>
      <c r="G5461">
        <v>70</v>
      </c>
      <c r="H5461">
        <v>98471</v>
      </c>
      <c r="I5461">
        <v>4888195</v>
      </c>
    </row>
    <row r="5462" spans="1:9">
      <c r="A5462" s="2">
        <v>1999</v>
      </c>
      <c r="B5462">
        <v>19</v>
      </c>
      <c r="C5462">
        <v>7.5000000000000002E-4</v>
      </c>
      <c r="D5462">
        <v>7.5000000000000002E-4</v>
      </c>
      <c r="E5462">
        <v>0.5</v>
      </c>
      <c r="F5462">
        <v>98436</v>
      </c>
      <c r="G5462">
        <v>74</v>
      </c>
      <c r="H5462">
        <v>98399</v>
      </c>
      <c r="I5462">
        <v>4789725</v>
      </c>
    </row>
    <row r="5463" spans="1:9">
      <c r="A5463" s="2">
        <v>1999</v>
      </c>
      <c r="B5463">
        <v>20</v>
      </c>
      <c r="C5463">
        <v>8.0000000000000004E-4</v>
      </c>
      <c r="D5463">
        <v>8.0000000000000004E-4</v>
      </c>
      <c r="E5463">
        <v>0.5</v>
      </c>
      <c r="F5463">
        <v>98362</v>
      </c>
      <c r="G5463">
        <v>78</v>
      </c>
      <c r="H5463">
        <v>98323</v>
      </c>
      <c r="I5463">
        <v>4691326</v>
      </c>
    </row>
    <row r="5464" spans="1:9">
      <c r="A5464" s="2">
        <v>1999</v>
      </c>
      <c r="B5464">
        <v>21</v>
      </c>
      <c r="C5464">
        <v>7.6999999999999996E-4</v>
      </c>
      <c r="D5464">
        <v>7.6999999999999996E-4</v>
      </c>
      <c r="E5464">
        <v>0.5</v>
      </c>
      <c r="F5464">
        <v>98284</v>
      </c>
      <c r="G5464">
        <v>75</v>
      </c>
      <c r="H5464">
        <v>98246</v>
      </c>
      <c r="I5464">
        <v>4593003</v>
      </c>
    </row>
    <row r="5465" spans="1:9">
      <c r="A5465" s="2">
        <v>1999</v>
      </c>
      <c r="B5465">
        <v>22</v>
      </c>
      <c r="C5465">
        <v>1.2600000000000001E-3</v>
      </c>
      <c r="D5465">
        <v>1.2600000000000001E-3</v>
      </c>
      <c r="E5465">
        <v>0.5</v>
      </c>
      <c r="F5465">
        <v>98208</v>
      </c>
      <c r="G5465">
        <v>124</v>
      </c>
      <c r="H5465">
        <v>98146</v>
      </c>
      <c r="I5465">
        <v>4494757</v>
      </c>
    </row>
    <row r="5466" spans="1:9">
      <c r="A5466" s="2">
        <v>1999</v>
      </c>
      <c r="B5466">
        <v>23</v>
      </c>
      <c r="C5466">
        <v>1.09E-3</v>
      </c>
      <c r="D5466">
        <v>1.09E-3</v>
      </c>
      <c r="E5466">
        <v>0.5</v>
      </c>
      <c r="F5466">
        <v>98084</v>
      </c>
      <c r="G5466">
        <v>107</v>
      </c>
      <c r="H5466">
        <v>98031</v>
      </c>
      <c r="I5466">
        <v>4396611</v>
      </c>
    </row>
    <row r="5467" spans="1:9">
      <c r="A5467" s="2">
        <v>1999</v>
      </c>
      <c r="B5467">
        <v>24</v>
      </c>
      <c r="C5467">
        <v>9.7000000000000005E-4</v>
      </c>
      <c r="D5467">
        <v>9.7000000000000005E-4</v>
      </c>
      <c r="E5467">
        <v>0.5</v>
      </c>
      <c r="F5467">
        <v>97978</v>
      </c>
      <c r="G5467">
        <v>95</v>
      </c>
      <c r="H5467">
        <v>97930</v>
      </c>
      <c r="I5467">
        <v>4298580</v>
      </c>
    </row>
    <row r="5468" spans="1:9">
      <c r="A5468" s="2">
        <v>1999</v>
      </c>
      <c r="B5468">
        <v>25</v>
      </c>
      <c r="C5468">
        <v>9.2000000000000003E-4</v>
      </c>
      <c r="D5468">
        <v>9.2000000000000003E-4</v>
      </c>
      <c r="E5468">
        <v>0.5</v>
      </c>
      <c r="F5468">
        <v>97883</v>
      </c>
      <c r="G5468">
        <v>90</v>
      </c>
      <c r="H5468">
        <v>97838</v>
      </c>
      <c r="I5468">
        <v>4200649</v>
      </c>
    </row>
    <row r="5469" spans="1:9">
      <c r="A5469" s="2">
        <v>1999</v>
      </c>
      <c r="B5469">
        <v>26</v>
      </c>
      <c r="C5469">
        <v>1.4E-3</v>
      </c>
      <c r="D5469">
        <v>1.4E-3</v>
      </c>
      <c r="E5469">
        <v>0.5</v>
      </c>
      <c r="F5469">
        <v>97793</v>
      </c>
      <c r="G5469">
        <v>137</v>
      </c>
      <c r="H5469">
        <v>97724</v>
      </c>
      <c r="I5469">
        <v>4102812</v>
      </c>
    </row>
    <row r="5470" spans="1:9">
      <c r="A5470" s="2">
        <v>1999</v>
      </c>
      <c r="B5470">
        <v>27</v>
      </c>
      <c r="C5470">
        <v>1.2700000000000001E-3</v>
      </c>
      <c r="D5470">
        <v>1.2700000000000001E-3</v>
      </c>
      <c r="E5470">
        <v>0.5</v>
      </c>
      <c r="F5470">
        <v>97656</v>
      </c>
      <c r="G5470">
        <v>124</v>
      </c>
      <c r="H5470">
        <v>97594</v>
      </c>
      <c r="I5470">
        <v>4005088</v>
      </c>
    </row>
    <row r="5471" spans="1:9">
      <c r="A5471" s="2">
        <v>1999</v>
      </c>
      <c r="B5471">
        <v>28</v>
      </c>
      <c r="C5471">
        <v>1.2800000000000001E-3</v>
      </c>
      <c r="D5471">
        <v>1.2800000000000001E-3</v>
      </c>
      <c r="E5471">
        <v>0.5</v>
      </c>
      <c r="F5471">
        <v>97532</v>
      </c>
      <c r="G5471">
        <v>125</v>
      </c>
      <c r="H5471">
        <v>97469</v>
      </c>
      <c r="I5471">
        <v>3907494</v>
      </c>
    </row>
    <row r="5472" spans="1:9">
      <c r="A5472" s="2">
        <v>1999</v>
      </c>
      <c r="B5472">
        <v>29</v>
      </c>
      <c r="C5472">
        <v>1.48E-3</v>
      </c>
      <c r="D5472">
        <v>1.48E-3</v>
      </c>
      <c r="E5472">
        <v>0.5</v>
      </c>
      <c r="F5472">
        <v>97407</v>
      </c>
      <c r="G5472">
        <v>144</v>
      </c>
      <c r="H5472">
        <v>97335</v>
      </c>
      <c r="I5472">
        <v>3810024</v>
      </c>
    </row>
    <row r="5473" spans="1:9">
      <c r="A5473" s="2">
        <v>1999</v>
      </c>
      <c r="B5473">
        <v>30</v>
      </c>
      <c r="C5473">
        <v>1.56E-3</v>
      </c>
      <c r="D5473">
        <v>1.56E-3</v>
      </c>
      <c r="E5473">
        <v>0.5</v>
      </c>
      <c r="F5473">
        <v>97263</v>
      </c>
      <c r="G5473">
        <v>152</v>
      </c>
      <c r="H5473">
        <v>97187</v>
      </c>
      <c r="I5473">
        <v>3712689</v>
      </c>
    </row>
    <row r="5474" spans="1:9">
      <c r="A5474" s="2">
        <v>1999</v>
      </c>
      <c r="B5474">
        <v>31</v>
      </c>
      <c r="C5474">
        <v>1.5E-3</v>
      </c>
      <c r="D5474">
        <v>1.5E-3</v>
      </c>
      <c r="E5474">
        <v>0.5</v>
      </c>
      <c r="F5474">
        <v>97112</v>
      </c>
      <c r="G5474">
        <v>146</v>
      </c>
      <c r="H5474">
        <v>97039</v>
      </c>
      <c r="I5474">
        <v>3615502</v>
      </c>
    </row>
    <row r="5475" spans="1:9">
      <c r="A5475" s="2">
        <v>1999</v>
      </c>
      <c r="B5475">
        <v>32</v>
      </c>
      <c r="C5475">
        <v>2.0100000000000001E-3</v>
      </c>
      <c r="D5475">
        <v>2.0100000000000001E-3</v>
      </c>
      <c r="E5475">
        <v>0.5</v>
      </c>
      <c r="F5475">
        <v>96966</v>
      </c>
      <c r="G5475">
        <v>195</v>
      </c>
      <c r="H5475">
        <v>96868</v>
      </c>
      <c r="I5475">
        <v>3518463</v>
      </c>
    </row>
    <row r="5476" spans="1:9">
      <c r="A5476" s="2">
        <v>1999</v>
      </c>
      <c r="B5476">
        <v>33</v>
      </c>
      <c r="C5476">
        <v>2.14E-3</v>
      </c>
      <c r="D5476">
        <v>2.1299999999999999E-3</v>
      </c>
      <c r="E5476">
        <v>0.5</v>
      </c>
      <c r="F5476">
        <v>96771</v>
      </c>
      <c r="G5476">
        <v>206</v>
      </c>
      <c r="H5476">
        <v>96668</v>
      </c>
      <c r="I5476">
        <v>3421595</v>
      </c>
    </row>
    <row r="5477" spans="1:9">
      <c r="A5477" s="2">
        <v>1999</v>
      </c>
      <c r="B5477">
        <v>34</v>
      </c>
      <c r="C5477">
        <v>3.1900000000000001E-3</v>
      </c>
      <c r="D5477">
        <v>3.1800000000000001E-3</v>
      </c>
      <c r="E5477">
        <v>0.5</v>
      </c>
      <c r="F5477">
        <v>96564</v>
      </c>
      <c r="G5477">
        <v>307</v>
      </c>
      <c r="H5477">
        <v>96411</v>
      </c>
      <c r="I5477">
        <v>3324927</v>
      </c>
    </row>
    <row r="5478" spans="1:9">
      <c r="A5478" s="2">
        <v>1999</v>
      </c>
      <c r="B5478">
        <v>35</v>
      </c>
      <c r="C5478">
        <v>3.0100000000000001E-3</v>
      </c>
      <c r="D5478">
        <v>3.0000000000000001E-3</v>
      </c>
      <c r="E5478">
        <v>0.5</v>
      </c>
      <c r="F5478">
        <v>96257</v>
      </c>
      <c r="G5478">
        <v>289</v>
      </c>
      <c r="H5478">
        <v>96113</v>
      </c>
      <c r="I5478">
        <v>3228516</v>
      </c>
    </row>
    <row r="5479" spans="1:9">
      <c r="A5479" s="2">
        <v>1999</v>
      </c>
      <c r="B5479">
        <v>36</v>
      </c>
      <c r="C5479">
        <v>3.2799999999999999E-3</v>
      </c>
      <c r="D5479">
        <v>3.2699999999999999E-3</v>
      </c>
      <c r="E5479">
        <v>0.5</v>
      </c>
      <c r="F5479">
        <v>95968</v>
      </c>
      <c r="G5479">
        <v>314</v>
      </c>
      <c r="H5479">
        <v>95811</v>
      </c>
      <c r="I5479">
        <v>3132404</v>
      </c>
    </row>
    <row r="5480" spans="1:9">
      <c r="A5480" s="2">
        <v>1999</v>
      </c>
      <c r="B5480">
        <v>37</v>
      </c>
      <c r="C5480">
        <v>4.5599999999999998E-3</v>
      </c>
      <c r="D5480">
        <v>4.5500000000000002E-3</v>
      </c>
      <c r="E5480">
        <v>0.5</v>
      </c>
      <c r="F5480">
        <v>95654</v>
      </c>
      <c r="G5480">
        <v>435</v>
      </c>
      <c r="H5480">
        <v>95437</v>
      </c>
      <c r="I5480">
        <v>3036593</v>
      </c>
    </row>
    <row r="5481" spans="1:9">
      <c r="A5481" s="2">
        <v>1999</v>
      </c>
      <c r="B5481">
        <v>38</v>
      </c>
      <c r="C5481">
        <v>4.81E-3</v>
      </c>
      <c r="D5481">
        <v>4.7999999999999996E-3</v>
      </c>
      <c r="E5481">
        <v>0.5</v>
      </c>
      <c r="F5481">
        <v>95219</v>
      </c>
      <c r="G5481">
        <v>457</v>
      </c>
      <c r="H5481">
        <v>94991</v>
      </c>
      <c r="I5481">
        <v>2941156</v>
      </c>
    </row>
    <row r="5482" spans="1:9">
      <c r="A5482" s="2">
        <v>1999</v>
      </c>
      <c r="B5482">
        <v>39</v>
      </c>
      <c r="C5482">
        <v>5.3499999999999997E-3</v>
      </c>
      <c r="D5482">
        <v>5.3299999999999997E-3</v>
      </c>
      <c r="E5482">
        <v>0.5</v>
      </c>
      <c r="F5482">
        <v>94762</v>
      </c>
      <c r="G5482">
        <v>505</v>
      </c>
      <c r="H5482">
        <v>94510</v>
      </c>
      <c r="I5482">
        <v>2846165</v>
      </c>
    </row>
    <row r="5483" spans="1:9">
      <c r="A5483" s="2">
        <v>1999</v>
      </c>
      <c r="B5483">
        <v>40</v>
      </c>
      <c r="C5483">
        <v>6.0899999999999999E-3</v>
      </c>
      <c r="D5483">
        <v>6.0699999999999999E-3</v>
      </c>
      <c r="E5483">
        <v>0.5</v>
      </c>
      <c r="F5483">
        <v>94257</v>
      </c>
      <c r="G5483">
        <v>572</v>
      </c>
      <c r="H5483">
        <v>93971</v>
      </c>
      <c r="I5483">
        <v>2751655</v>
      </c>
    </row>
    <row r="5484" spans="1:9">
      <c r="A5484" s="2">
        <v>1999</v>
      </c>
      <c r="B5484">
        <v>41</v>
      </c>
      <c r="C5484">
        <v>7.4999999999999997E-3</v>
      </c>
      <c r="D5484">
        <v>7.4799999999999997E-3</v>
      </c>
      <c r="E5484">
        <v>0.5</v>
      </c>
      <c r="F5484">
        <v>93685</v>
      </c>
      <c r="G5484">
        <v>700</v>
      </c>
      <c r="H5484">
        <v>93335</v>
      </c>
      <c r="I5484">
        <v>2657684</v>
      </c>
    </row>
    <row r="5485" spans="1:9">
      <c r="A5485" s="2">
        <v>1999</v>
      </c>
      <c r="B5485">
        <v>42</v>
      </c>
      <c r="C5485">
        <v>7.5799999999999999E-3</v>
      </c>
      <c r="D5485">
        <v>7.5500000000000003E-3</v>
      </c>
      <c r="E5485">
        <v>0.5</v>
      </c>
      <c r="F5485">
        <v>92985</v>
      </c>
      <c r="G5485">
        <v>702</v>
      </c>
      <c r="H5485">
        <v>92634</v>
      </c>
      <c r="I5485">
        <v>2564350</v>
      </c>
    </row>
    <row r="5486" spans="1:9">
      <c r="A5486" s="2">
        <v>1999</v>
      </c>
      <c r="B5486">
        <v>43</v>
      </c>
      <c r="C5486">
        <v>8.7799999999999996E-3</v>
      </c>
      <c r="D5486">
        <v>8.7500000000000008E-3</v>
      </c>
      <c r="E5486">
        <v>0.5</v>
      </c>
      <c r="F5486">
        <v>92283</v>
      </c>
      <c r="G5486">
        <v>807</v>
      </c>
      <c r="H5486">
        <v>91879</v>
      </c>
      <c r="I5486">
        <v>2471716</v>
      </c>
    </row>
    <row r="5487" spans="1:9">
      <c r="A5487" s="2">
        <v>1999</v>
      </c>
      <c r="B5487">
        <v>44</v>
      </c>
      <c r="C5487">
        <v>9.6100000000000005E-3</v>
      </c>
      <c r="D5487">
        <v>9.5700000000000004E-3</v>
      </c>
      <c r="E5487">
        <v>0.5</v>
      </c>
      <c r="F5487">
        <v>91476</v>
      </c>
      <c r="G5487">
        <v>875</v>
      </c>
      <c r="H5487">
        <v>91038</v>
      </c>
      <c r="I5487">
        <v>2379837</v>
      </c>
    </row>
    <row r="5488" spans="1:9">
      <c r="A5488" s="2">
        <v>1999</v>
      </c>
      <c r="B5488">
        <v>45</v>
      </c>
      <c r="C5488">
        <v>1.023E-2</v>
      </c>
      <c r="D5488">
        <v>1.018E-2</v>
      </c>
      <c r="E5488">
        <v>0.5</v>
      </c>
      <c r="F5488">
        <v>90601</v>
      </c>
      <c r="G5488">
        <v>922</v>
      </c>
      <c r="H5488">
        <v>90140</v>
      </c>
      <c r="I5488">
        <v>2288798</v>
      </c>
    </row>
    <row r="5489" spans="1:9">
      <c r="A5489" s="2">
        <v>1999</v>
      </c>
      <c r="B5489">
        <v>46</v>
      </c>
      <c r="C5489">
        <v>1.0749999999999999E-2</v>
      </c>
      <c r="D5489">
        <v>1.0699999999999999E-2</v>
      </c>
      <c r="E5489">
        <v>0.5</v>
      </c>
      <c r="F5489">
        <v>89679</v>
      </c>
      <c r="G5489">
        <v>959</v>
      </c>
      <c r="H5489">
        <v>89199</v>
      </c>
      <c r="I5489">
        <v>2198659</v>
      </c>
    </row>
    <row r="5490" spans="1:9">
      <c r="A5490" s="2">
        <v>1999</v>
      </c>
      <c r="B5490">
        <v>47</v>
      </c>
      <c r="C5490">
        <v>1.234E-2</v>
      </c>
      <c r="D5490">
        <v>1.226E-2</v>
      </c>
      <c r="E5490">
        <v>0.5</v>
      </c>
      <c r="F5490">
        <v>88719</v>
      </c>
      <c r="G5490">
        <v>1088</v>
      </c>
      <c r="H5490">
        <v>88176</v>
      </c>
      <c r="I5490">
        <v>2109460</v>
      </c>
    </row>
    <row r="5491" spans="1:9">
      <c r="A5491" s="2">
        <v>1999</v>
      </c>
      <c r="B5491">
        <v>48</v>
      </c>
      <c r="C5491">
        <v>1.278E-2</v>
      </c>
      <c r="D5491">
        <v>1.2699999999999999E-2</v>
      </c>
      <c r="E5491">
        <v>0.5</v>
      </c>
      <c r="F5491">
        <v>87632</v>
      </c>
      <c r="G5491">
        <v>1113</v>
      </c>
      <c r="H5491">
        <v>87075</v>
      </c>
      <c r="I5491">
        <v>2021284</v>
      </c>
    </row>
    <row r="5492" spans="1:9">
      <c r="A5492" s="2">
        <v>1999</v>
      </c>
      <c r="B5492">
        <v>49</v>
      </c>
      <c r="C5492">
        <v>1.3650000000000001E-2</v>
      </c>
      <c r="D5492">
        <v>1.3559999999999999E-2</v>
      </c>
      <c r="E5492">
        <v>0.5</v>
      </c>
      <c r="F5492">
        <v>86519</v>
      </c>
      <c r="G5492">
        <v>1173</v>
      </c>
      <c r="H5492">
        <v>85933</v>
      </c>
      <c r="I5492">
        <v>1934209</v>
      </c>
    </row>
    <row r="5493" spans="1:9">
      <c r="A5493" s="2">
        <v>1999</v>
      </c>
      <c r="B5493">
        <v>50</v>
      </c>
      <c r="C5493">
        <v>1.4959999999999999E-2</v>
      </c>
      <c r="D5493">
        <v>1.485E-2</v>
      </c>
      <c r="E5493">
        <v>0.5</v>
      </c>
      <c r="F5493">
        <v>85346</v>
      </c>
      <c r="G5493">
        <v>1267</v>
      </c>
      <c r="H5493">
        <v>84713</v>
      </c>
      <c r="I5493">
        <v>1848276</v>
      </c>
    </row>
    <row r="5494" spans="1:9">
      <c r="A5494" s="2">
        <v>1999</v>
      </c>
      <c r="B5494">
        <v>51</v>
      </c>
      <c r="C5494">
        <v>1.6160000000000001E-2</v>
      </c>
      <c r="D5494">
        <v>1.6029999999999999E-2</v>
      </c>
      <c r="E5494">
        <v>0.5</v>
      </c>
      <c r="F5494">
        <v>84079</v>
      </c>
      <c r="G5494">
        <v>1348</v>
      </c>
      <c r="H5494">
        <v>83405</v>
      </c>
      <c r="I5494">
        <v>1763564</v>
      </c>
    </row>
    <row r="5495" spans="1:9">
      <c r="A5495" s="2">
        <v>1999</v>
      </c>
      <c r="B5495">
        <v>52</v>
      </c>
      <c r="C5495">
        <v>1.695E-2</v>
      </c>
      <c r="D5495">
        <v>1.6809999999999999E-2</v>
      </c>
      <c r="E5495">
        <v>0.5</v>
      </c>
      <c r="F5495">
        <v>82731</v>
      </c>
      <c r="G5495">
        <v>1391</v>
      </c>
      <c r="H5495">
        <v>82036</v>
      </c>
      <c r="I5495">
        <v>1680158</v>
      </c>
    </row>
    <row r="5496" spans="1:9">
      <c r="A5496" s="2">
        <v>1999</v>
      </c>
      <c r="B5496">
        <v>53</v>
      </c>
      <c r="C5496">
        <v>1.636E-2</v>
      </c>
      <c r="D5496">
        <v>1.6230000000000001E-2</v>
      </c>
      <c r="E5496">
        <v>0.5</v>
      </c>
      <c r="F5496">
        <v>81341</v>
      </c>
      <c r="G5496">
        <v>1320</v>
      </c>
      <c r="H5496">
        <v>80681</v>
      </c>
      <c r="I5496">
        <v>1598122</v>
      </c>
    </row>
    <row r="5497" spans="1:9">
      <c r="A5497" s="2">
        <v>1999</v>
      </c>
      <c r="B5497">
        <v>54</v>
      </c>
      <c r="C5497">
        <v>1.924E-2</v>
      </c>
      <c r="D5497">
        <v>1.9050000000000001E-2</v>
      </c>
      <c r="E5497">
        <v>0.5</v>
      </c>
      <c r="F5497">
        <v>80021</v>
      </c>
      <c r="G5497">
        <v>1525</v>
      </c>
      <c r="H5497">
        <v>79258</v>
      </c>
      <c r="I5497">
        <v>1517442</v>
      </c>
    </row>
    <row r="5498" spans="1:9">
      <c r="A5498" s="2">
        <v>1999</v>
      </c>
      <c r="B5498">
        <v>55</v>
      </c>
      <c r="C5498">
        <v>2.162E-2</v>
      </c>
      <c r="D5498">
        <v>2.1389999999999999E-2</v>
      </c>
      <c r="E5498">
        <v>0.5</v>
      </c>
      <c r="F5498">
        <v>78496</v>
      </c>
      <c r="G5498">
        <v>1679</v>
      </c>
      <c r="H5498">
        <v>77657</v>
      </c>
      <c r="I5498">
        <v>1438183</v>
      </c>
    </row>
    <row r="5499" spans="1:9">
      <c r="A5499" s="2">
        <v>1999</v>
      </c>
      <c r="B5499">
        <v>56</v>
      </c>
      <c r="C5499">
        <v>2.0750000000000001E-2</v>
      </c>
      <c r="D5499">
        <v>2.053E-2</v>
      </c>
      <c r="E5499">
        <v>0.5</v>
      </c>
      <c r="F5499">
        <v>76817</v>
      </c>
      <c r="G5499">
        <v>1577</v>
      </c>
      <c r="H5499">
        <v>76028</v>
      </c>
      <c r="I5499">
        <v>1360527</v>
      </c>
    </row>
    <row r="5500" spans="1:9">
      <c r="A5500" s="2">
        <v>1999</v>
      </c>
      <c r="B5500">
        <v>57</v>
      </c>
      <c r="C5500">
        <v>2.2040000000000001E-2</v>
      </c>
      <c r="D5500">
        <v>2.18E-2</v>
      </c>
      <c r="E5500">
        <v>0.5</v>
      </c>
      <c r="F5500">
        <v>75240</v>
      </c>
      <c r="G5500">
        <v>1640</v>
      </c>
      <c r="H5500">
        <v>74420</v>
      </c>
      <c r="I5500">
        <v>1284498</v>
      </c>
    </row>
    <row r="5501" spans="1:9">
      <c r="A5501" s="2">
        <v>1999</v>
      </c>
      <c r="B5501">
        <v>58</v>
      </c>
      <c r="C5501">
        <v>2.393E-2</v>
      </c>
      <c r="D5501">
        <v>2.3640000000000001E-2</v>
      </c>
      <c r="E5501">
        <v>0.5</v>
      </c>
      <c r="F5501">
        <v>73600</v>
      </c>
      <c r="G5501">
        <v>1740</v>
      </c>
      <c r="H5501">
        <v>72730</v>
      </c>
      <c r="I5501">
        <v>1210079</v>
      </c>
    </row>
    <row r="5502" spans="1:9">
      <c r="A5502" s="2">
        <v>1999</v>
      </c>
      <c r="B5502">
        <v>59</v>
      </c>
      <c r="C5502">
        <v>2.5909999999999999E-2</v>
      </c>
      <c r="D5502">
        <v>2.5579999999999999E-2</v>
      </c>
      <c r="E5502">
        <v>0.5</v>
      </c>
      <c r="F5502">
        <v>71859</v>
      </c>
      <c r="G5502">
        <v>1838</v>
      </c>
      <c r="H5502">
        <v>70940</v>
      </c>
      <c r="I5502">
        <v>1137349</v>
      </c>
    </row>
    <row r="5503" spans="1:9">
      <c r="A5503" s="2">
        <v>1999</v>
      </c>
      <c r="B5503">
        <v>60</v>
      </c>
      <c r="C5503">
        <v>2.988E-2</v>
      </c>
      <c r="D5503">
        <v>2.9440000000000001E-2</v>
      </c>
      <c r="E5503">
        <v>0.5</v>
      </c>
      <c r="F5503">
        <v>70021</v>
      </c>
      <c r="G5503">
        <v>2062</v>
      </c>
      <c r="H5503">
        <v>68991</v>
      </c>
      <c r="I5503">
        <v>1066409</v>
      </c>
    </row>
    <row r="5504" spans="1:9">
      <c r="A5504" s="2">
        <v>1999</v>
      </c>
      <c r="B5504">
        <v>61</v>
      </c>
      <c r="C5504">
        <v>3.0009999999999998E-2</v>
      </c>
      <c r="D5504">
        <v>2.9569999999999999E-2</v>
      </c>
      <c r="E5504">
        <v>0.5</v>
      </c>
      <c r="F5504">
        <v>67960</v>
      </c>
      <c r="G5504">
        <v>2009</v>
      </c>
      <c r="H5504">
        <v>66955</v>
      </c>
      <c r="I5504">
        <v>997418</v>
      </c>
    </row>
    <row r="5505" spans="1:9">
      <c r="A5505" s="2">
        <v>1999</v>
      </c>
      <c r="B5505">
        <v>62</v>
      </c>
      <c r="C5505">
        <v>3.2009999999999997E-2</v>
      </c>
      <c r="D5505">
        <v>3.15E-2</v>
      </c>
      <c r="E5505">
        <v>0.5</v>
      </c>
      <c r="F5505">
        <v>65950</v>
      </c>
      <c r="G5505">
        <v>2078</v>
      </c>
      <c r="H5505">
        <v>64912</v>
      </c>
      <c r="I5505">
        <v>930463</v>
      </c>
    </row>
    <row r="5506" spans="1:9">
      <c r="A5506" s="2">
        <v>1999</v>
      </c>
      <c r="B5506">
        <v>63</v>
      </c>
      <c r="C5506">
        <v>3.347E-2</v>
      </c>
      <c r="D5506">
        <v>3.2919999999999998E-2</v>
      </c>
      <c r="E5506">
        <v>0.5</v>
      </c>
      <c r="F5506">
        <v>63873</v>
      </c>
      <c r="G5506">
        <v>2103</v>
      </c>
      <c r="H5506">
        <v>62821</v>
      </c>
      <c r="I5506">
        <v>865552</v>
      </c>
    </row>
    <row r="5507" spans="1:9">
      <c r="A5507" s="2">
        <v>1999</v>
      </c>
      <c r="B5507">
        <v>64</v>
      </c>
      <c r="C5507">
        <v>3.5779999999999999E-2</v>
      </c>
      <c r="D5507">
        <v>3.5150000000000001E-2</v>
      </c>
      <c r="E5507">
        <v>0.5</v>
      </c>
      <c r="F5507">
        <v>61770</v>
      </c>
      <c r="G5507">
        <v>2171</v>
      </c>
      <c r="H5507">
        <v>60684</v>
      </c>
      <c r="I5507">
        <v>802730</v>
      </c>
    </row>
    <row r="5508" spans="1:9">
      <c r="A5508" s="2">
        <v>1999</v>
      </c>
      <c r="B5508">
        <v>65</v>
      </c>
      <c r="C5508">
        <v>3.7879999999999997E-2</v>
      </c>
      <c r="D5508">
        <v>3.7170000000000002E-2</v>
      </c>
      <c r="E5508">
        <v>0.5</v>
      </c>
      <c r="F5508">
        <v>59599</v>
      </c>
      <c r="G5508">
        <v>2215</v>
      </c>
      <c r="H5508">
        <v>58491</v>
      </c>
      <c r="I5508">
        <v>742046</v>
      </c>
    </row>
    <row r="5509" spans="1:9">
      <c r="A5509" s="2">
        <v>1999</v>
      </c>
      <c r="B5509">
        <v>66</v>
      </c>
      <c r="C5509">
        <v>3.9849999999999997E-2</v>
      </c>
      <c r="D5509">
        <v>3.9070000000000001E-2</v>
      </c>
      <c r="E5509">
        <v>0.5</v>
      </c>
      <c r="F5509">
        <v>57383</v>
      </c>
      <c r="G5509">
        <v>2242</v>
      </c>
      <c r="H5509">
        <v>56262</v>
      </c>
      <c r="I5509">
        <v>683555</v>
      </c>
    </row>
    <row r="5510" spans="1:9">
      <c r="A5510" s="2">
        <v>1999</v>
      </c>
      <c r="B5510">
        <v>67</v>
      </c>
      <c r="C5510">
        <v>4.3209999999999998E-2</v>
      </c>
      <c r="D5510">
        <v>4.2290000000000001E-2</v>
      </c>
      <c r="E5510">
        <v>0.5</v>
      </c>
      <c r="F5510">
        <v>55141</v>
      </c>
      <c r="G5510">
        <v>2332</v>
      </c>
      <c r="H5510">
        <v>53975</v>
      </c>
      <c r="I5510">
        <v>627293</v>
      </c>
    </row>
    <row r="5511" spans="1:9">
      <c r="A5511" s="2">
        <v>1999</v>
      </c>
      <c r="B5511">
        <v>68</v>
      </c>
      <c r="C5511">
        <v>4.7649999999999998E-2</v>
      </c>
      <c r="D5511">
        <v>4.6539999999999998E-2</v>
      </c>
      <c r="E5511">
        <v>0.5</v>
      </c>
      <c r="F5511">
        <v>52809</v>
      </c>
      <c r="G5511">
        <v>2458</v>
      </c>
      <c r="H5511">
        <v>51580</v>
      </c>
      <c r="I5511">
        <v>573318</v>
      </c>
    </row>
    <row r="5512" spans="1:9">
      <c r="A5512" s="2">
        <v>1999</v>
      </c>
      <c r="B5512">
        <v>69</v>
      </c>
      <c r="C5512">
        <v>4.9700000000000001E-2</v>
      </c>
      <c r="D5512">
        <v>4.8500000000000001E-2</v>
      </c>
      <c r="E5512">
        <v>0.5</v>
      </c>
      <c r="F5512">
        <v>50351</v>
      </c>
      <c r="G5512">
        <v>2442</v>
      </c>
      <c r="H5512">
        <v>49130</v>
      </c>
      <c r="I5512">
        <v>521738</v>
      </c>
    </row>
    <row r="5513" spans="1:9">
      <c r="A5513" s="2">
        <v>1999</v>
      </c>
      <c r="B5513">
        <v>70</v>
      </c>
      <c r="C5513">
        <v>5.604E-2</v>
      </c>
      <c r="D5513">
        <v>5.4510000000000003E-2</v>
      </c>
      <c r="E5513">
        <v>0.5</v>
      </c>
      <c r="F5513">
        <v>47909</v>
      </c>
      <c r="G5513">
        <v>2612</v>
      </c>
      <c r="H5513">
        <v>46603</v>
      </c>
      <c r="I5513">
        <v>472608</v>
      </c>
    </row>
    <row r="5514" spans="1:9">
      <c r="A5514" s="2">
        <v>1999</v>
      </c>
      <c r="B5514">
        <v>71</v>
      </c>
      <c r="C5514">
        <v>5.919E-2</v>
      </c>
      <c r="D5514">
        <v>5.7489999999999999E-2</v>
      </c>
      <c r="E5514">
        <v>0.5</v>
      </c>
      <c r="F5514">
        <v>45298</v>
      </c>
      <c r="G5514">
        <v>2604</v>
      </c>
      <c r="H5514">
        <v>43996</v>
      </c>
      <c r="I5514">
        <v>426004</v>
      </c>
    </row>
    <row r="5515" spans="1:9">
      <c r="A5515" s="2">
        <v>1999</v>
      </c>
      <c r="B5515">
        <v>72</v>
      </c>
      <c r="C5515">
        <v>6.4899999999999999E-2</v>
      </c>
      <c r="D5515">
        <v>6.2859999999999999E-2</v>
      </c>
      <c r="E5515">
        <v>0.5</v>
      </c>
      <c r="F5515">
        <v>42693</v>
      </c>
      <c r="G5515">
        <v>2684</v>
      </c>
      <c r="H5515">
        <v>41352</v>
      </c>
      <c r="I5515">
        <v>382009</v>
      </c>
    </row>
    <row r="5516" spans="1:9">
      <c r="A5516" s="2">
        <v>1999</v>
      </c>
      <c r="B5516">
        <v>73</v>
      </c>
      <c r="C5516">
        <v>6.9400000000000003E-2</v>
      </c>
      <c r="D5516">
        <v>6.7070000000000005E-2</v>
      </c>
      <c r="E5516">
        <v>0.5</v>
      </c>
      <c r="F5516">
        <v>40010</v>
      </c>
      <c r="G5516">
        <v>2683</v>
      </c>
      <c r="H5516">
        <v>38668</v>
      </c>
      <c r="I5516">
        <v>340657</v>
      </c>
    </row>
    <row r="5517" spans="1:9">
      <c r="A5517" s="2">
        <v>1999</v>
      </c>
      <c r="B5517">
        <v>74</v>
      </c>
      <c r="C5517">
        <v>7.4319999999999997E-2</v>
      </c>
      <c r="D5517">
        <v>7.1660000000000001E-2</v>
      </c>
      <c r="E5517">
        <v>0.5</v>
      </c>
      <c r="F5517">
        <v>37326</v>
      </c>
      <c r="G5517">
        <v>2675</v>
      </c>
      <c r="H5517">
        <v>35989</v>
      </c>
      <c r="I5517">
        <v>301989</v>
      </c>
    </row>
    <row r="5518" spans="1:9">
      <c r="A5518" s="2">
        <v>1999</v>
      </c>
      <c r="B5518">
        <v>75</v>
      </c>
      <c r="C5518">
        <v>7.868E-2</v>
      </c>
      <c r="D5518">
        <v>7.5700000000000003E-2</v>
      </c>
      <c r="E5518">
        <v>0.5</v>
      </c>
      <c r="F5518">
        <v>34652</v>
      </c>
      <c r="G5518">
        <v>2623</v>
      </c>
      <c r="H5518">
        <v>33340</v>
      </c>
      <c r="I5518">
        <v>266000</v>
      </c>
    </row>
    <row r="5519" spans="1:9">
      <c r="A5519" s="2">
        <v>1999</v>
      </c>
      <c r="B5519">
        <v>76</v>
      </c>
      <c r="C5519">
        <v>8.4430000000000005E-2</v>
      </c>
      <c r="D5519">
        <v>8.1009999999999999E-2</v>
      </c>
      <c r="E5519">
        <v>0.5</v>
      </c>
      <c r="F5519">
        <v>32028</v>
      </c>
      <c r="G5519">
        <v>2595</v>
      </c>
      <c r="H5519">
        <v>30731</v>
      </c>
      <c r="I5519">
        <v>232660</v>
      </c>
    </row>
    <row r="5520" spans="1:9">
      <c r="A5520" s="2">
        <v>1999</v>
      </c>
      <c r="B5520">
        <v>77</v>
      </c>
      <c r="C5520">
        <v>9.3850000000000003E-2</v>
      </c>
      <c r="D5520">
        <v>8.9639999999999997E-2</v>
      </c>
      <c r="E5520">
        <v>0.5</v>
      </c>
      <c r="F5520">
        <v>29434</v>
      </c>
      <c r="G5520">
        <v>2638</v>
      </c>
      <c r="H5520">
        <v>28115</v>
      </c>
      <c r="I5520">
        <v>201929</v>
      </c>
    </row>
    <row r="5521" spans="1:9">
      <c r="A5521" s="2">
        <v>1999</v>
      </c>
      <c r="B5521">
        <v>78</v>
      </c>
      <c r="C5521">
        <v>9.8780000000000007E-2</v>
      </c>
      <c r="D5521">
        <v>9.4130000000000005E-2</v>
      </c>
      <c r="E5521">
        <v>0.5</v>
      </c>
      <c r="F5521">
        <v>26795</v>
      </c>
      <c r="G5521">
        <v>2522</v>
      </c>
      <c r="H5521">
        <v>25534</v>
      </c>
      <c r="I5521">
        <v>173814</v>
      </c>
    </row>
    <row r="5522" spans="1:9">
      <c r="A5522" s="2">
        <v>1999</v>
      </c>
      <c r="B5522">
        <v>79</v>
      </c>
      <c r="C5522">
        <v>0.11668000000000001</v>
      </c>
      <c r="D5522">
        <v>0.11025</v>
      </c>
      <c r="E5522">
        <v>0.5</v>
      </c>
      <c r="F5522">
        <v>24273</v>
      </c>
      <c r="G5522">
        <v>2676</v>
      </c>
      <c r="H5522">
        <v>22935</v>
      </c>
      <c r="I5522">
        <v>148280</v>
      </c>
    </row>
    <row r="5523" spans="1:9">
      <c r="A5523" s="2">
        <v>1999</v>
      </c>
      <c r="B5523">
        <v>80</v>
      </c>
      <c r="C5523">
        <v>0.10621999999999999</v>
      </c>
      <c r="D5523">
        <v>0.10087</v>
      </c>
      <c r="E5523">
        <v>0.5</v>
      </c>
      <c r="F5523">
        <v>21597</v>
      </c>
      <c r="G5523">
        <v>2178</v>
      </c>
      <c r="H5523">
        <v>20508</v>
      </c>
      <c r="I5523">
        <v>125345</v>
      </c>
    </row>
    <row r="5524" spans="1:9">
      <c r="A5524" s="2">
        <v>1999</v>
      </c>
      <c r="B5524">
        <v>81</v>
      </c>
      <c r="C5524">
        <v>0.12953999999999999</v>
      </c>
      <c r="D5524">
        <v>0.12166</v>
      </c>
      <c r="E5524">
        <v>0.5</v>
      </c>
      <c r="F5524">
        <v>19419</v>
      </c>
      <c r="G5524">
        <v>2362</v>
      </c>
      <c r="H5524">
        <v>18237</v>
      </c>
      <c r="I5524">
        <v>104837</v>
      </c>
    </row>
    <row r="5525" spans="1:9">
      <c r="A5525" s="2">
        <v>1999</v>
      </c>
      <c r="B5525">
        <v>82</v>
      </c>
      <c r="C5525">
        <v>0.13508999999999999</v>
      </c>
      <c r="D5525">
        <v>0.12654000000000001</v>
      </c>
      <c r="E5525">
        <v>0.5</v>
      </c>
      <c r="F5525">
        <v>17056</v>
      </c>
      <c r="G5525">
        <v>2158</v>
      </c>
      <c r="H5525">
        <v>15977</v>
      </c>
      <c r="I5525">
        <v>86600</v>
      </c>
    </row>
    <row r="5526" spans="1:9">
      <c r="A5526" s="2">
        <v>1999</v>
      </c>
      <c r="B5526">
        <v>83</v>
      </c>
      <c r="C5526">
        <v>0.14951999999999999</v>
      </c>
      <c r="D5526">
        <v>0.13911999999999999</v>
      </c>
      <c r="E5526">
        <v>0.5</v>
      </c>
      <c r="F5526">
        <v>14898</v>
      </c>
      <c r="G5526">
        <v>2073</v>
      </c>
      <c r="H5526">
        <v>13862</v>
      </c>
      <c r="I5526">
        <v>70622</v>
      </c>
    </row>
    <row r="5527" spans="1:9">
      <c r="A5527" s="2">
        <v>1999</v>
      </c>
      <c r="B5527">
        <v>84</v>
      </c>
      <c r="C5527">
        <v>0.17366000000000001</v>
      </c>
      <c r="D5527">
        <v>0.15978000000000001</v>
      </c>
      <c r="E5527">
        <v>0.5</v>
      </c>
      <c r="F5527">
        <v>12825</v>
      </c>
      <c r="G5527">
        <v>2049</v>
      </c>
      <c r="H5527">
        <v>11801</v>
      </c>
      <c r="I5527">
        <v>56761</v>
      </c>
    </row>
    <row r="5528" spans="1:9">
      <c r="A5528" s="2">
        <v>1999</v>
      </c>
      <c r="B5528">
        <v>85</v>
      </c>
      <c r="C5528">
        <v>0.17857999999999999</v>
      </c>
      <c r="D5528">
        <v>0.16394</v>
      </c>
      <c r="E5528">
        <v>0.5</v>
      </c>
      <c r="F5528">
        <v>10776</v>
      </c>
      <c r="G5528">
        <v>1767</v>
      </c>
      <c r="H5528">
        <v>9893</v>
      </c>
      <c r="I5528">
        <v>44960</v>
      </c>
    </row>
    <row r="5529" spans="1:9">
      <c r="A5529" s="2">
        <v>1999</v>
      </c>
      <c r="B5529">
        <v>86</v>
      </c>
      <c r="C5529">
        <v>0.20841000000000001</v>
      </c>
      <c r="D5529">
        <v>0.18873999999999999</v>
      </c>
      <c r="E5529">
        <v>0.5</v>
      </c>
      <c r="F5529">
        <v>9009</v>
      </c>
      <c r="G5529">
        <v>1700</v>
      </c>
      <c r="H5529">
        <v>8159</v>
      </c>
      <c r="I5529">
        <v>35068</v>
      </c>
    </row>
    <row r="5530" spans="1:9">
      <c r="A5530" s="2">
        <v>1999</v>
      </c>
      <c r="B5530">
        <v>87</v>
      </c>
      <c r="C5530">
        <v>0.21390999999999999</v>
      </c>
      <c r="D5530">
        <v>0.19324</v>
      </c>
      <c r="E5530">
        <v>0.5</v>
      </c>
      <c r="F5530">
        <v>7309</v>
      </c>
      <c r="G5530">
        <v>1412</v>
      </c>
      <c r="H5530">
        <v>6603</v>
      </c>
      <c r="I5530">
        <v>26908</v>
      </c>
    </row>
    <row r="5531" spans="1:9">
      <c r="A5531" s="2">
        <v>1999</v>
      </c>
      <c r="B5531">
        <v>88</v>
      </c>
      <c r="C5531">
        <v>0.23108999999999999</v>
      </c>
      <c r="D5531">
        <v>0.20715</v>
      </c>
      <c r="E5531">
        <v>0.5</v>
      </c>
      <c r="F5531">
        <v>5897</v>
      </c>
      <c r="G5531">
        <v>1221</v>
      </c>
      <c r="H5531">
        <v>5286</v>
      </c>
      <c r="I5531">
        <v>20306</v>
      </c>
    </row>
    <row r="5532" spans="1:9">
      <c r="A5532" s="2">
        <v>1999</v>
      </c>
      <c r="B5532">
        <v>89</v>
      </c>
      <c r="C5532">
        <v>0.25479000000000002</v>
      </c>
      <c r="D5532">
        <v>0.22600000000000001</v>
      </c>
      <c r="E5532">
        <v>0.5</v>
      </c>
      <c r="F5532">
        <v>4675</v>
      </c>
      <c r="G5532">
        <v>1057</v>
      </c>
      <c r="H5532">
        <v>4147</v>
      </c>
      <c r="I5532">
        <v>15020</v>
      </c>
    </row>
    <row r="5533" spans="1:9">
      <c r="A5533" s="2">
        <v>1999</v>
      </c>
      <c r="B5533">
        <v>90</v>
      </c>
      <c r="C5533">
        <v>0.29025000000000001</v>
      </c>
      <c r="D5533">
        <v>0.25346000000000002</v>
      </c>
      <c r="E5533">
        <v>0.5</v>
      </c>
      <c r="F5533">
        <v>3619</v>
      </c>
      <c r="G5533">
        <v>917</v>
      </c>
      <c r="H5533">
        <v>3160</v>
      </c>
      <c r="I5533">
        <v>10873</v>
      </c>
    </row>
    <row r="5534" spans="1:9">
      <c r="A5534" s="2">
        <v>1999</v>
      </c>
      <c r="B5534">
        <v>91</v>
      </c>
      <c r="C5534">
        <v>0.30858000000000002</v>
      </c>
      <c r="D5534">
        <v>0.26733000000000001</v>
      </c>
      <c r="E5534">
        <v>0.5</v>
      </c>
      <c r="F5534">
        <v>2701</v>
      </c>
      <c r="G5534">
        <v>722</v>
      </c>
      <c r="H5534">
        <v>2340</v>
      </c>
      <c r="I5534">
        <v>7713</v>
      </c>
    </row>
    <row r="5535" spans="1:9">
      <c r="A5535" s="2">
        <v>1999</v>
      </c>
      <c r="B5535">
        <v>92</v>
      </c>
      <c r="C5535">
        <v>0.30125000000000002</v>
      </c>
      <c r="D5535">
        <v>0.26180999999999999</v>
      </c>
      <c r="E5535">
        <v>0.5</v>
      </c>
      <c r="F5535">
        <v>1979</v>
      </c>
      <c r="G5535">
        <v>518</v>
      </c>
      <c r="H5535">
        <v>1720</v>
      </c>
      <c r="I5535">
        <v>5373</v>
      </c>
    </row>
    <row r="5536" spans="1:9">
      <c r="A5536" s="2">
        <v>1999</v>
      </c>
      <c r="B5536">
        <v>93</v>
      </c>
      <c r="C5536">
        <v>0.36431999999999998</v>
      </c>
      <c r="D5536">
        <v>0.30818000000000001</v>
      </c>
      <c r="E5536">
        <v>0.5</v>
      </c>
      <c r="F5536">
        <v>1461</v>
      </c>
      <c r="G5536">
        <v>450</v>
      </c>
      <c r="H5536">
        <v>1236</v>
      </c>
      <c r="I5536">
        <v>3653</v>
      </c>
    </row>
    <row r="5537" spans="1:9">
      <c r="A5537" s="2">
        <v>1999</v>
      </c>
      <c r="B5537">
        <v>94</v>
      </c>
      <c r="C5537">
        <v>0.36144999999999999</v>
      </c>
      <c r="D5537">
        <v>0.30612</v>
      </c>
      <c r="E5537">
        <v>0.5</v>
      </c>
      <c r="F5537">
        <v>1011</v>
      </c>
      <c r="G5537">
        <v>309</v>
      </c>
      <c r="H5537">
        <v>856</v>
      </c>
      <c r="I5537">
        <v>2417</v>
      </c>
    </row>
    <row r="5538" spans="1:9">
      <c r="A5538" s="2">
        <v>1999</v>
      </c>
      <c r="B5538">
        <v>95</v>
      </c>
      <c r="C5538">
        <v>0.40705000000000002</v>
      </c>
      <c r="D5538">
        <v>0.33822000000000002</v>
      </c>
      <c r="E5538">
        <v>0.5</v>
      </c>
      <c r="F5538">
        <v>701</v>
      </c>
      <c r="G5538">
        <v>237</v>
      </c>
      <c r="H5538">
        <v>583</v>
      </c>
      <c r="I5538">
        <v>1561</v>
      </c>
    </row>
    <row r="5539" spans="1:9">
      <c r="A5539" s="2">
        <v>1999</v>
      </c>
      <c r="B5539">
        <v>96</v>
      </c>
      <c r="C5539">
        <v>0.43454999999999999</v>
      </c>
      <c r="D5539">
        <v>0.35698000000000002</v>
      </c>
      <c r="E5539">
        <v>0.5</v>
      </c>
      <c r="F5539">
        <v>464</v>
      </c>
      <c r="G5539">
        <v>166</v>
      </c>
      <c r="H5539">
        <v>381</v>
      </c>
      <c r="I5539">
        <v>978</v>
      </c>
    </row>
    <row r="5540" spans="1:9">
      <c r="A5540" s="2">
        <v>1999</v>
      </c>
      <c r="B5540">
        <v>97</v>
      </c>
      <c r="C5540">
        <v>0.46245000000000003</v>
      </c>
      <c r="D5540">
        <v>0.37559999999999999</v>
      </c>
      <c r="E5540">
        <v>0.5</v>
      </c>
      <c r="F5540">
        <v>298</v>
      </c>
      <c r="G5540">
        <v>112</v>
      </c>
      <c r="H5540">
        <v>242</v>
      </c>
      <c r="I5540">
        <v>597</v>
      </c>
    </row>
    <row r="5541" spans="1:9">
      <c r="A5541" s="2">
        <v>1999</v>
      </c>
      <c r="B5541">
        <v>98</v>
      </c>
      <c r="C5541">
        <v>0.49058000000000002</v>
      </c>
      <c r="D5541">
        <v>0.39395000000000002</v>
      </c>
      <c r="E5541">
        <v>0.5</v>
      </c>
      <c r="F5541">
        <v>186</v>
      </c>
      <c r="G5541">
        <v>73</v>
      </c>
      <c r="H5541">
        <v>150</v>
      </c>
      <c r="I5541">
        <v>354</v>
      </c>
    </row>
    <row r="5542" spans="1:9">
      <c r="A5542" s="2">
        <v>1999</v>
      </c>
      <c r="B5542">
        <v>99</v>
      </c>
      <c r="C5542">
        <v>0.51878000000000002</v>
      </c>
      <c r="D5542">
        <v>0.41193000000000002</v>
      </c>
      <c r="E5542">
        <v>0.5</v>
      </c>
      <c r="F5542">
        <v>113</v>
      </c>
      <c r="G5542">
        <v>47</v>
      </c>
      <c r="H5542">
        <v>90</v>
      </c>
      <c r="I5542">
        <v>205</v>
      </c>
    </row>
    <row r="5543" spans="1:9">
      <c r="A5543" s="2">
        <v>1999</v>
      </c>
      <c r="B5543">
        <v>100</v>
      </c>
      <c r="C5543">
        <v>0.54686000000000001</v>
      </c>
      <c r="D5543">
        <v>0.42943999999999999</v>
      </c>
      <c r="E5543">
        <v>0.5</v>
      </c>
      <c r="F5543">
        <v>66</v>
      </c>
      <c r="G5543">
        <v>29</v>
      </c>
      <c r="H5543">
        <v>52</v>
      </c>
      <c r="I5543">
        <v>115</v>
      </c>
    </row>
    <row r="5544" spans="1:9">
      <c r="A5544" s="2">
        <v>1999</v>
      </c>
      <c r="B5544">
        <v>101</v>
      </c>
      <c r="C5544">
        <v>0.57464000000000004</v>
      </c>
      <c r="D5544">
        <v>0.44639000000000001</v>
      </c>
      <c r="E5544">
        <v>0.5</v>
      </c>
      <c r="F5544">
        <v>38</v>
      </c>
      <c r="G5544">
        <v>17</v>
      </c>
      <c r="H5544">
        <v>29</v>
      </c>
      <c r="I5544">
        <v>63</v>
      </c>
    </row>
    <row r="5545" spans="1:9">
      <c r="A5545" s="2">
        <v>1999</v>
      </c>
      <c r="B5545">
        <v>102</v>
      </c>
      <c r="C5545">
        <v>0.60196000000000005</v>
      </c>
      <c r="D5545">
        <v>0.4627</v>
      </c>
      <c r="E5545">
        <v>0.5</v>
      </c>
      <c r="F5545">
        <v>21</v>
      </c>
      <c r="G5545">
        <v>10</v>
      </c>
      <c r="H5545">
        <v>16</v>
      </c>
      <c r="I5545">
        <v>33</v>
      </c>
    </row>
    <row r="5546" spans="1:9">
      <c r="A5546" s="2">
        <v>1999</v>
      </c>
      <c r="B5546">
        <v>103</v>
      </c>
      <c r="C5546">
        <v>0.62866</v>
      </c>
      <c r="D5546">
        <v>0.47831000000000001</v>
      </c>
      <c r="E5546">
        <v>0.5</v>
      </c>
      <c r="F5546">
        <v>11</v>
      </c>
      <c r="G5546">
        <v>5</v>
      </c>
      <c r="H5546">
        <v>9</v>
      </c>
      <c r="I5546">
        <v>17</v>
      </c>
    </row>
    <row r="5547" spans="1:9">
      <c r="A5547" s="2">
        <v>1999</v>
      </c>
      <c r="B5547">
        <v>104</v>
      </c>
      <c r="C5547">
        <v>0.65459999999999996</v>
      </c>
      <c r="D5547">
        <v>0.49318000000000001</v>
      </c>
      <c r="E5547">
        <v>0.5</v>
      </c>
      <c r="F5547">
        <v>6</v>
      </c>
      <c r="G5547">
        <v>3</v>
      </c>
      <c r="H5547">
        <v>4</v>
      </c>
      <c r="I5547">
        <v>9</v>
      </c>
    </row>
    <row r="5548" spans="1:9">
      <c r="A5548" s="2">
        <v>1999</v>
      </c>
      <c r="B5548">
        <v>105</v>
      </c>
      <c r="C5548">
        <v>0.67964999999999998</v>
      </c>
      <c r="D5548">
        <v>0.50727</v>
      </c>
      <c r="E5548">
        <v>0.5</v>
      </c>
      <c r="F5548">
        <v>3</v>
      </c>
      <c r="G5548">
        <v>2</v>
      </c>
      <c r="H5548">
        <v>2</v>
      </c>
      <c r="I5548">
        <v>4</v>
      </c>
    </row>
    <row r="5549" spans="1:9">
      <c r="A5549" s="2">
        <v>1999</v>
      </c>
      <c r="B5549">
        <v>106</v>
      </c>
      <c r="C5549">
        <v>0.70369999999999999</v>
      </c>
      <c r="D5549">
        <v>0.52054</v>
      </c>
      <c r="E5549">
        <v>0.5</v>
      </c>
      <c r="F5549">
        <v>1</v>
      </c>
      <c r="G5549">
        <v>1</v>
      </c>
      <c r="H5549">
        <v>1</v>
      </c>
      <c r="I5549">
        <v>2</v>
      </c>
    </row>
    <row r="5550" spans="1:9">
      <c r="A5550" s="2">
        <v>1999</v>
      </c>
      <c r="B5550">
        <v>107</v>
      </c>
      <c r="C5550">
        <v>0.72667000000000004</v>
      </c>
      <c r="D5550">
        <v>0.53300999999999998</v>
      </c>
      <c r="E5550">
        <v>0.5</v>
      </c>
      <c r="F5550">
        <v>1</v>
      </c>
      <c r="G5550">
        <v>0</v>
      </c>
      <c r="H5550">
        <v>1</v>
      </c>
      <c r="I5550">
        <v>1</v>
      </c>
    </row>
    <row r="5551" spans="1:9">
      <c r="A5551" s="2">
        <v>1999</v>
      </c>
      <c r="B5551">
        <v>108</v>
      </c>
      <c r="C5551">
        <v>0.74850000000000005</v>
      </c>
      <c r="D5551">
        <v>0.54466000000000003</v>
      </c>
      <c r="E5551">
        <v>0.5</v>
      </c>
      <c r="F5551">
        <v>0</v>
      </c>
      <c r="G5551">
        <v>0</v>
      </c>
      <c r="H5551">
        <v>0</v>
      </c>
      <c r="I5551">
        <v>0</v>
      </c>
    </row>
    <row r="5552" spans="1:9">
      <c r="A5552" s="2">
        <v>1999</v>
      </c>
      <c r="B5552">
        <v>109</v>
      </c>
      <c r="C5552">
        <v>0.76914000000000005</v>
      </c>
      <c r="D5552">
        <v>0.55550999999999995</v>
      </c>
      <c r="E5552">
        <v>0.5</v>
      </c>
      <c r="F5552">
        <v>0</v>
      </c>
      <c r="G5552">
        <v>0</v>
      </c>
      <c r="H5552">
        <v>0</v>
      </c>
      <c r="I5552">
        <v>0</v>
      </c>
    </row>
    <row r="5553" spans="1:9">
      <c r="A5553" s="2">
        <v>1999</v>
      </c>
      <c r="B5553" t="s">
        <v>26</v>
      </c>
      <c r="C5553">
        <v>0.78856000000000004</v>
      </c>
      <c r="D5553">
        <v>1</v>
      </c>
      <c r="E5553" s="3" t="s">
        <v>37</v>
      </c>
      <c r="F5553">
        <v>0</v>
      </c>
      <c r="G5553">
        <v>0</v>
      </c>
      <c r="H5553">
        <v>0</v>
      </c>
      <c r="I5553">
        <v>0</v>
      </c>
    </row>
    <row r="5554" spans="1:9">
      <c r="A5554" s="2">
        <v>2000</v>
      </c>
      <c r="B5554">
        <v>0</v>
      </c>
      <c r="C5554">
        <v>1.0059999999999999E-2</v>
      </c>
      <c r="D5554">
        <v>9.9699999999999997E-3</v>
      </c>
      <c r="E5554">
        <v>0.13</v>
      </c>
      <c r="F5554">
        <v>100000</v>
      </c>
      <c r="G5554">
        <v>997</v>
      </c>
      <c r="H5554">
        <v>99132</v>
      </c>
      <c r="I5554">
        <v>6748822</v>
      </c>
    </row>
    <row r="5555" spans="1:9">
      <c r="A5555" s="2">
        <v>2000</v>
      </c>
      <c r="B5555">
        <v>1</v>
      </c>
      <c r="C5555">
        <v>5.9999999999999995E-4</v>
      </c>
      <c r="D5555">
        <v>5.9999999999999995E-4</v>
      </c>
      <c r="E5555">
        <v>0.5</v>
      </c>
      <c r="F5555">
        <v>99003</v>
      </c>
      <c r="G5555">
        <v>59</v>
      </c>
      <c r="H5555">
        <v>98973</v>
      </c>
      <c r="I5555">
        <v>6649691</v>
      </c>
    </row>
    <row r="5556" spans="1:9">
      <c r="A5556" s="2">
        <v>2000</v>
      </c>
      <c r="B5556">
        <v>2</v>
      </c>
      <c r="C5556">
        <v>4.0000000000000002E-4</v>
      </c>
      <c r="D5556">
        <v>4.0000000000000002E-4</v>
      </c>
      <c r="E5556">
        <v>0.5</v>
      </c>
      <c r="F5556">
        <v>98943</v>
      </c>
      <c r="G5556">
        <v>40</v>
      </c>
      <c r="H5556">
        <v>98924</v>
      </c>
      <c r="I5556">
        <v>6550718</v>
      </c>
    </row>
    <row r="5557" spans="1:9">
      <c r="A5557" s="2">
        <v>2000</v>
      </c>
      <c r="B5557">
        <v>3</v>
      </c>
      <c r="C5557">
        <v>4.6000000000000001E-4</v>
      </c>
      <c r="D5557">
        <v>4.6000000000000001E-4</v>
      </c>
      <c r="E5557">
        <v>0.5</v>
      </c>
      <c r="F5557">
        <v>98904</v>
      </c>
      <c r="G5557">
        <v>46</v>
      </c>
      <c r="H5557">
        <v>98881</v>
      </c>
      <c r="I5557">
        <v>6451794</v>
      </c>
    </row>
    <row r="5558" spans="1:9">
      <c r="A5558" s="2">
        <v>2000</v>
      </c>
      <c r="B5558">
        <v>4</v>
      </c>
      <c r="C5558">
        <v>3.8000000000000002E-4</v>
      </c>
      <c r="D5558">
        <v>3.8000000000000002E-4</v>
      </c>
      <c r="E5558">
        <v>0.5</v>
      </c>
      <c r="F5558">
        <v>98858</v>
      </c>
      <c r="G5558">
        <v>37</v>
      </c>
      <c r="H5558">
        <v>98840</v>
      </c>
      <c r="I5558">
        <v>6352913</v>
      </c>
    </row>
    <row r="5559" spans="1:9">
      <c r="A5559" s="2">
        <v>2000</v>
      </c>
      <c r="B5559">
        <v>5</v>
      </c>
      <c r="C5559">
        <v>2.3000000000000001E-4</v>
      </c>
      <c r="D5559">
        <v>2.3000000000000001E-4</v>
      </c>
      <c r="E5559">
        <v>0.5</v>
      </c>
      <c r="F5559">
        <v>98821</v>
      </c>
      <c r="G5559">
        <v>23</v>
      </c>
      <c r="H5559">
        <v>98810</v>
      </c>
      <c r="I5559">
        <v>6254073</v>
      </c>
    </row>
    <row r="5560" spans="1:9">
      <c r="A5560" s="2">
        <v>2000</v>
      </c>
      <c r="B5560">
        <v>6</v>
      </c>
      <c r="C5560">
        <v>1.7000000000000001E-4</v>
      </c>
      <c r="D5560">
        <v>1.7000000000000001E-4</v>
      </c>
      <c r="E5560">
        <v>0.5</v>
      </c>
      <c r="F5560">
        <v>98798</v>
      </c>
      <c r="G5560">
        <v>17</v>
      </c>
      <c r="H5560">
        <v>98790</v>
      </c>
      <c r="I5560">
        <v>6155264</v>
      </c>
    </row>
    <row r="5561" spans="1:9">
      <c r="A5561" s="2">
        <v>2000</v>
      </c>
      <c r="B5561">
        <v>7</v>
      </c>
      <c r="C5561">
        <v>1.7000000000000001E-4</v>
      </c>
      <c r="D5561">
        <v>1.7000000000000001E-4</v>
      </c>
      <c r="E5561">
        <v>0.5</v>
      </c>
      <c r="F5561">
        <v>98782</v>
      </c>
      <c r="G5561">
        <v>16</v>
      </c>
      <c r="H5561">
        <v>98773</v>
      </c>
      <c r="I5561">
        <v>6056474</v>
      </c>
    </row>
    <row r="5562" spans="1:9">
      <c r="A5562" s="2">
        <v>2000</v>
      </c>
      <c r="B5562">
        <v>8</v>
      </c>
      <c r="C5562">
        <v>1.9000000000000001E-4</v>
      </c>
      <c r="D5562">
        <v>1.9000000000000001E-4</v>
      </c>
      <c r="E5562">
        <v>0.5</v>
      </c>
      <c r="F5562">
        <v>98765</v>
      </c>
      <c r="G5562">
        <v>19</v>
      </c>
      <c r="H5562">
        <v>98756</v>
      </c>
      <c r="I5562">
        <v>5957700</v>
      </c>
    </row>
    <row r="5563" spans="1:9">
      <c r="A5563" s="2">
        <v>2000</v>
      </c>
      <c r="B5563">
        <v>9</v>
      </c>
      <c r="C5563">
        <v>1.7000000000000001E-4</v>
      </c>
      <c r="D5563">
        <v>1.7000000000000001E-4</v>
      </c>
      <c r="E5563">
        <v>0.5</v>
      </c>
      <c r="F5563">
        <v>98746</v>
      </c>
      <c r="G5563">
        <v>17</v>
      </c>
      <c r="H5563">
        <v>98738</v>
      </c>
      <c r="I5563">
        <v>5858945</v>
      </c>
    </row>
    <row r="5564" spans="1:9">
      <c r="A5564" s="2">
        <v>2000</v>
      </c>
      <c r="B5564">
        <v>10</v>
      </c>
      <c r="C5564">
        <v>1.7000000000000001E-4</v>
      </c>
      <c r="D5564">
        <v>1.7000000000000001E-4</v>
      </c>
      <c r="E5564">
        <v>0.5</v>
      </c>
      <c r="F5564">
        <v>98729</v>
      </c>
      <c r="G5564">
        <v>17</v>
      </c>
      <c r="H5564">
        <v>98721</v>
      </c>
      <c r="I5564">
        <v>5760207</v>
      </c>
    </row>
    <row r="5565" spans="1:9">
      <c r="A5565" s="2">
        <v>2000</v>
      </c>
      <c r="B5565">
        <v>11</v>
      </c>
      <c r="C5565">
        <v>2.5000000000000001E-4</v>
      </c>
      <c r="D5565">
        <v>2.5000000000000001E-4</v>
      </c>
      <c r="E5565">
        <v>0.5</v>
      </c>
      <c r="F5565">
        <v>98712</v>
      </c>
      <c r="G5565">
        <v>25</v>
      </c>
      <c r="H5565">
        <v>98699</v>
      </c>
      <c r="I5565">
        <v>5661487</v>
      </c>
    </row>
    <row r="5566" spans="1:9">
      <c r="A5566" s="2">
        <v>2000</v>
      </c>
      <c r="B5566">
        <v>12</v>
      </c>
      <c r="C5566">
        <v>2.9999999999999997E-4</v>
      </c>
      <c r="D5566">
        <v>2.9999999999999997E-4</v>
      </c>
      <c r="E5566">
        <v>0.5</v>
      </c>
      <c r="F5566">
        <v>98687</v>
      </c>
      <c r="G5566">
        <v>30</v>
      </c>
      <c r="H5566">
        <v>98672</v>
      </c>
      <c r="I5566">
        <v>5562787</v>
      </c>
    </row>
    <row r="5567" spans="1:9">
      <c r="A5567" s="2">
        <v>2000</v>
      </c>
      <c r="B5567">
        <v>13</v>
      </c>
      <c r="C5567">
        <v>2.0000000000000001E-4</v>
      </c>
      <c r="D5567">
        <v>2.0000000000000001E-4</v>
      </c>
      <c r="E5567">
        <v>0.5</v>
      </c>
      <c r="F5567">
        <v>98657</v>
      </c>
      <c r="G5567">
        <v>20</v>
      </c>
      <c r="H5567">
        <v>98647</v>
      </c>
      <c r="I5567">
        <v>5464115</v>
      </c>
    </row>
    <row r="5568" spans="1:9">
      <c r="A5568" s="2">
        <v>2000</v>
      </c>
      <c r="B5568">
        <v>14</v>
      </c>
      <c r="C5568">
        <v>2.7E-4</v>
      </c>
      <c r="D5568">
        <v>2.7E-4</v>
      </c>
      <c r="E5568">
        <v>0.5</v>
      </c>
      <c r="F5568">
        <v>98637</v>
      </c>
      <c r="G5568">
        <v>26</v>
      </c>
      <c r="H5568">
        <v>98624</v>
      </c>
      <c r="I5568">
        <v>5365468</v>
      </c>
    </row>
    <row r="5569" spans="1:9">
      <c r="A5569" s="2">
        <v>2000</v>
      </c>
      <c r="B5569">
        <v>15</v>
      </c>
      <c r="C5569">
        <v>2.3000000000000001E-4</v>
      </c>
      <c r="D5569">
        <v>2.3000000000000001E-4</v>
      </c>
      <c r="E5569">
        <v>0.5</v>
      </c>
      <c r="F5569">
        <v>98611</v>
      </c>
      <c r="G5569">
        <v>22</v>
      </c>
      <c r="H5569">
        <v>98600</v>
      </c>
      <c r="I5569">
        <v>5266843</v>
      </c>
    </row>
    <row r="5570" spans="1:9">
      <c r="A5570" s="2">
        <v>2000</v>
      </c>
      <c r="B5570">
        <v>16</v>
      </c>
      <c r="C5570">
        <v>3.6999999999999999E-4</v>
      </c>
      <c r="D5570">
        <v>3.6999999999999999E-4</v>
      </c>
      <c r="E5570">
        <v>0.5</v>
      </c>
      <c r="F5570">
        <v>98589</v>
      </c>
      <c r="G5570">
        <v>36</v>
      </c>
      <c r="H5570">
        <v>98571</v>
      </c>
      <c r="I5570">
        <v>5168243</v>
      </c>
    </row>
    <row r="5571" spans="1:9">
      <c r="A5571" s="2">
        <v>2000</v>
      </c>
      <c r="B5571">
        <v>17</v>
      </c>
      <c r="C5571">
        <v>5.5999999999999995E-4</v>
      </c>
      <c r="D5571">
        <v>5.5999999999999995E-4</v>
      </c>
      <c r="E5571">
        <v>0.5</v>
      </c>
      <c r="F5571">
        <v>98552</v>
      </c>
      <c r="G5571">
        <v>56</v>
      </c>
      <c r="H5571">
        <v>98525</v>
      </c>
      <c r="I5571">
        <v>5069673</v>
      </c>
    </row>
    <row r="5572" spans="1:9">
      <c r="A5572" s="2">
        <v>2000</v>
      </c>
      <c r="B5572">
        <v>18</v>
      </c>
      <c r="C5572">
        <v>7.6000000000000004E-4</v>
      </c>
      <c r="D5572">
        <v>7.6000000000000004E-4</v>
      </c>
      <c r="E5572">
        <v>0.5</v>
      </c>
      <c r="F5572">
        <v>98497</v>
      </c>
      <c r="G5572">
        <v>75</v>
      </c>
      <c r="H5572">
        <v>98459</v>
      </c>
      <c r="I5572">
        <v>4971148</v>
      </c>
    </row>
    <row r="5573" spans="1:9">
      <c r="A5573" s="2">
        <v>2000</v>
      </c>
      <c r="B5573">
        <v>19</v>
      </c>
      <c r="C5573">
        <v>8.4000000000000003E-4</v>
      </c>
      <c r="D5573">
        <v>8.4000000000000003E-4</v>
      </c>
      <c r="E5573">
        <v>0.5</v>
      </c>
      <c r="F5573">
        <v>98422</v>
      </c>
      <c r="G5573">
        <v>82</v>
      </c>
      <c r="H5573">
        <v>98381</v>
      </c>
      <c r="I5573">
        <v>4872689</v>
      </c>
    </row>
    <row r="5574" spans="1:9">
      <c r="A5574" s="2">
        <v>2000</v>
      </c>
      <c r="B5574">
        <v>20</v>
      </c>
      <c r="C5574">
        <v>6.7000000000000002E-4</v>
      </c>
      <c r="D5574">
        <v>6.7000000000000002E-4</v>
      </c>
      <c r="E5574">
        <v>0.5</v>
      </c>
      <c r="F5574">
        <v>98339</v>
      </c>
      <c r="G5574">
        <v>66</v>
      </c>
      <c r="H5574">
        <v>98306</v>
      </c>
      <c r="I5574">
        <v>4774308</v>
      </c>
    </row>
    <row r="5575" spans="1:9">
      <c r="A5575" s="2">
        <v>2000</v>
      </c>
      <c r="B5575">
        <v>21</v>
      </c>
      <c r="C5575">
        <v>9.3999999999999997E-4</v>
      </c>
      <c r="D5575">
        <v>9.3999999999999997E-4</v>
      </c>
      <c r="E5575">
        <v>0.5</v>
      </c>
      <c r="F5575">
        <v>98273</v>
      </c>
      <c r="G5575">
        <v>93</v>
      </c>
      <c r="H5575">
        <v>98227</v>
      </c>
      <c r="I5575">
        <v>4676002</v>
      </c>
    </row>
    <row r="5576" spans="1:9">
      <c r="A5576" s="2">
        <v>2000</v>
      </c>
      <c r="B5576">
        <v>22</v>
      </c>
      <c r="C5576">
        <v>1.1000000000000001E-3</v>
      </c>
      <c r="D5576">
        <v>1.1000000000000001E-3</v>
      </c>
      <c r="E5576">
        <v>0.5</v>
      </c>
      <c r="F5576">
        <v>98181</v>
      </c>
      <c r="G5576">
        <v>108</v>
      </c>
      <c r="H5576">
        <v>98127</v>
      </c>
      <c r="I5576">
        <v>4577775</v>
      </c>
    </row>
    <row r="5577" spans="1:9">
      <c r="A5577" s="2">
        <v>2000</v>
      </c>
      <c r="B5577">
        <v>23</v>
      </c>
      <c r="C5577">
        <v>9.3000000000000005E-4</v>
      </c>
      <c r="D5577">
        <v>9.3000000000000005E-4</v>
      </c>
      <c r="E5577">
        <v>0.5</v>
      </c>
      <c r="F5577">
        <v>98073</v>
      </c>
      <c r="G5577">
        <v>92</v>
      </c>
      <c r="H5577">
        <v>98027</v>
      </c>
      <c r="I5577">
        <v>4479648</v>
      </c>
    </row>
    <row r="5578" spans="1:9">
      <c r="A5578" s="2">
        <v>2000</v>
      </c>
      <c r="B5578">
        <v>24</v>
      </c>
      <c r="C5578">
        <v>1.0499999999999999E-3</v>
      </c>
      <c r="D5578">
        <v>1.0499999999999999E-3</v>
      </c>
      <c r="E5578">
        <v>0.5</v>
      </c>
      <c r="F5578">
        <v>97981</v>
      </c>
      <c r="G5578">
        <v>103</v>
      </c>
      <c r="H5578">
        <v>97930</v>
      </c>
      <c r="I5578">
        <v>4381621</v>
      </c>
    </row>
    <row r="5579" spans="1:9">
      <c r="A5579" s="2">
        <v>2000</v>
      </c>
      <c r="B5579">
        <v>25</v>
      </c>
      <c r="C5579">
        <v>1.1199999999999999E-3</v>
      </c>
      <c r="D5579">
        <v>1.1100000000000001E-3</v>
      </c>
      <c r="E5579">
        <v>0.5</v>
      </c>
      <c r="F5579">
        <v>97878</v>
      </c>
      <c r="G5579">
        <v>109</v>
      </c>
      <c r="H5579">
        <v>97824</v>
      </c>
      <c r="I5579">
        <v>4283692</v>
      </c>
    </row>
    <row r="5580" spans="1:9">
      <c r="A5580" s="2">
        <v>2000</v>
      </c>
      <c r="B5580">
        <v>26</v>
      </c>
      <c r="C5580">
        <v>1.09E-3</v>
      </c>
      <c r="D5580">
        <v>1.09E-3</v>
      </c>
      <c r="E5580">
        <v>0.5</v>
      </c>
      <c r="F5580">
        <v>97769</v>
      </c>
      <c r="G5580">
        <v>106</v>
      </c>
      <c r="H5580">
        <v>97716</v>
      </c>
      <c r="I5580">
        <v>4185868</v>
      </c>
    </row>
    <row r="5581" spans="1:9">
      <c r="A5581" s="2">
        <v>2000</v>
      </c>
      <c r="B5581">
        <v>27</v>
      </c>
      <c r="C5581">
        <v>1.0399999999999999E-3</v>
      </c>
      <c r="D5581">
        <v>1.0399999999999999E-3</v>
      </c>
      <c r="E5581">
        <v>0.5</v>
      </c>
      <c r="F5581">
        <v>97663</v>
      </c>
      <c r="G5581">
        <v>101</v>
      </c>
      <c r="H5581">
        <v>97612</v>
      </c>
      <c r="I5581">
        <v>4088152</v>
      </c>
    </row>
    <row r="5582" spans="1:9">
      <c r="A5582" s="2">
        <v>2000</v>
      </c>
      <c r="B5582">
        <v>28</v>
      </c>
      <c r="C5582">
        <v>1.4300000000000001E-3</v>
      </c>
      <c r="D5582">
        <v>1.4300000000000001E-3</v>
      </c>
      <c r="E5582">
        <v>0.5</v>
      </c>
      <c r="F5582">
        <v>97561</v>
      </c>
      <c r="G5582">
        <v>139</v>
      </c>
      <c r="H5582">
        <v>97492</v>
      </c>
      <c r="I5582">
        <v>3990540</v>
      </c>
    </row>
    <row r="5583" spans="1:9">
      <c r="A5583" s="2">
        <v>2000</v>
      </c>
      <c r="B5583">
        <v>29</v>
      </c>
      <c r="C5583">
        <v>1.4E-3</v>
      </c>
      <c r="D5583">
        <v>1.4E-3</v>
      </c>
      <c r="E5583">
        <v>0.5</v>
      </c>
      <c r="F5583">
        <v>97422</v>
      </c>
      <c r="G5583">
        <v>137</v>
      </c>
      <c r="H5583">
        <v>97354</v>
      </c>
      <c r="I5583">
        <v>3893048</v>
      </c>
    </row>
    <row r="5584" spans="1:9">
      <c r="A5584" s="2">
        <v>2000</v>
      </c>
      <c r="B5584">
        <v>30</v>
      </c>
      <c r="C5584">
        <v>1.5499999999999999E-3</v>
      </c>
      <c r="D5584">
        <v>1.5499999999999999E-3</v>
      </c>
      <c r="E5584">
        <v>0.5</v>
      </c>
      <c r="F5584">
        <v>97285</v>
      </c>
      <c r="G5584">
        <v>150</v>
      </c>
      <c r="H5584">
        <v>97210</v>
      </c>
      <c r="I5584">
        <v>3795694</v>
      </c>
    </row>
    <row r="5585" spans="1:9">
      <c r="A5585" s="2">
        <v>2000</v>
      </c>
      <c r="B5585">
        <v>31</v>
      </c>
      <c r="C5585">
        <v>1.7700000000000001E-3</v>
      </c>
      <c r="D5585">
        <v>1.7700000000000001E-3</v>
      </c>
      <c r="E5585">
        <v>0.5</v>
      </c>
      <c r="F5585">
        <v>97135</v>
      </c>
      <c r="G5585">
        <v>172</v>
      </c>
      <c r="H5585">
        <v>97049</v>
      </c>
      <c r="I5585">
        <v>3698484</v>
      </c>
    </row>
    <row r="5586" spans="1:9">
      <c r="A5586" s="2">
        <v>2000</v>
      </c>
      <c r="B5586">
        <v>32</v>
      </c>
      <c r="C5586">
        <v>1.8500000000000001E-3</v>
      </c>
      <c r="D5586">
        <v>1.8500000000000001E-3</v>
      </c>
      <c r="E5586">
        <v>0.5</v>
      </c>
      <c r="F5586">
        <v>96963</v>
      </c>
      <c r="G5586">
        <v>179</v>
      </c>
      <c r="H5586">
        <v>96874</v>
      </c>
      <c r="I5586">
        <v>3601435</v>
      </c>
    </row>
    <row r="5587" spans="1:9">
      <c r="A5587" s="2">
        <v>2000</v>
      </c>
      <c r="B5587">
        <v>33</v>
      </c>
      <c r="C5587">
        <v>2.1800000000000001E-3</v>
      </c>
      <c r="D5587">
        <v>2.1800000000000001E-3</v>
      </c>
      <c r="E5587">
        <v>0.5</v>
      </c>
      <c r="F5587">
        <v>96784</v>
      </c>
      <c r="G5587">
        <v>211</v>
      </c>
      <c r="H5587">
        <v>96679</v>
      </c>
      <c r="I5587">
        <v>3504561</v>
      </c>
    </row>
    <row r="5588" spans="1:9">
      <c r="A5588" s="2">
        <v>2000</v>
      </c>
      <c r="B5588">
        <v>34</v>
      </c>
      <c r="C5588">
        <v>2.8800000000000002E-3</v>
      </c>
      <c r="D5588">
        <v>2.8800000000000002E-3</v>
      </c>
      <c r="E5588">
        <v>0.5</v>
      </c>
      <c r="F5588">
        <v>96573</v>
      </c>
      <c r="G5588">
        <v>278</v>
      </c>
      <c r="H5588">
        <v>96434</v>
      </c>
      <c r="I5588">
        <v>3407882</v>
      </c>
    </row>
    <row r="5589" spans="1:9">
      <c r="A5589" s="2">
        <v>2000</v>
      </c>
      <c r="B5589">
        <v>35</v>
      </c>
      <c r="C5589">
        <v>2.96E-3</v>
      </c>
      <c r="D5589">
        <v>2.96E-3</v>
      </c>
      <c r="E5589">
        <v>0.5</v>
      </c>
      <c r="F5589">
        <v>96295</v>
      </c>
      <c r="G5589">
        <v>285</v>
      </c>
      <c r="H5589">
        <v>96153</v>
      </c>
      <c r="I5589">
        <v>3311447</v>
      </c>
    </row>
    <row r="5590" spans="1:9">
      <c r="A5590" s="2">
        <v>2000</v>
      </c>
      <c r="B5590">
        <v>36</v>
      </c>
      <c r="C5590">
        <v>2.7699999999999999E-3</v>
      </c>
      <c r="D5590">
        <v>2.7599999999999999E-3</v>
      </c>
      <c r="E5590">
        <v>0.5</v>
      </c>
      <c r="F5590">
        <v>96011</v>
      </c>
      <c r="G5590">
        <v>265</v>
      </c>
      <c r="H5590">
        <v>95878</v>
      </c>
      <c r="I5590">
        <v>3215294</v>
      </c>
    </row>
    <row r="5591" spans="1:9">
      <c r="A5591" s="2">
        <v>2000</v>
      </c>
      <c r="B5591">
        <v>37</v>
      </c>
      <c r="C5591">
        <v>3.4199999999999999E-3</v>
      </c>
      <c r="D5591">
        <v>3.4099999999999998E-3</v>
      </c>
      <c r="E5591">
        <v>0.5</v>
      </c>
      <c r="F5591">
        <v>95745</v>
      </c>
      <c r="G5591">
        <v>327</v>
      </c>
      <c r="H5591">
        <v>95582</v>
      </c>
      <c r="I5591">
        <v>3119417</v>
      </c>
    </row>
    <row r="5592" spans="1:9">
      <c r="A5592" s="2">
        <v>2000</v>
      </c>
      <c r="B5592">
        <v>38</v>
      </c>
      <c r="C5592">
        <v>4.2199999999999998E-3</v>
      </c>
      <c r="D5592">
        <v>4.2100000000000002E-3</v>
      </c>
      <c r="E5592">
        <v>0.5</v>
      </c>
      <c r="F5592">
        <v>95419</v>
      </c>
      <c r="G5592">
        <v>402</v>
      </c>
      <c r="H5592">
        <v>95218</v>
      </c>
      <c r="I5592">
        <v>3023835</v>
      </c>
    </row>
    <row r="5593" spans="1:9">
      <c r="A5593" s="2">
        <v>2000</v>
      </c>
      <c r="B5593">
        <v>39</v>
      </c>
      <c r="C5593">
        <v>4.64E-3</v>
      </c>
      <c r="D5593">
        <v>4.6299999999999996E-3</v>
      </c>
      <c r="E5593">
        <v>0.5</v>
      </c>
      <c r="F5593">
        <v>95017</v>
      </c>
      <c r="G5593">
        <v>440</v>
      </c>
      <c r="H5593">
        <v>94797</v>
      </c>
      <c r="I5593">
        <v>2928617</v>
      </c>
    </row>
    <row r="5594" spans="1:9">
      <c r="A5594" s="2">
        <v>2000</v>
      </c>
      <c r="B5594">
        <v>40</v>
      </c>
      <c r="C5594">
        <v>5.47E-3</v>
      </c>
      <c r="D5594">
        <v>5.4599999999999996E-3</v>
      </c>
      <c r="E5594">
        <v>0.5</v>
      </c>
      <c r="F5594">
        <v>94577</v>
      </c>
      <c r="G5594">
        <v>516</v>
      </c>
      <c r="H5594">
        <v>94318</v>
      </c>
      <c r="I5594">
        <v>2833820</v>
      </c>
    </row>
    <row r="5595" spans="1:9">
      <c r="A5595" s="2">
        <v>2000</v>
      </c>
      <c r="B5595">
        <v>41</v>
      </c>
      <c r="C5595">
        <v>6.8100000000000001E-3</v>
      </c>
      <c r="D5595">
        <v>6.79E-3</v>
      </c>
      <c r="E5595">
        <v>0.5</v>
      </c>
      <c r="F5595">
        <v>94060</v>
      </c>
      <c r="G5595">
        <v>638</v>
      </c>
      <c r="H5595">
        <v>93741</v>
      </c>
      <c r="I5595">
        <v>2739502</v>
      </c>
    </row>
    <row r="5596" spans="1:9">
      <c r="A5596" s="2">
        <v>2000</v>
      </c>
      <c r="B5596">
        <v>42</v>
      </c>
      <c r="C5596">
        <v>6.6800000000000002E-3</v>
      </c>
      <c r="D5596">
        <v>6.6600000000000001E-3</v>
      </c>
      <c r="E5596">
        <v>0.5</v>
      </c>
      <c r="F5596">
        <v>93422</v>
      </c>
      <c r="G5596">
        <v>622</v>
      </c>
      <c r="H5596">
        <v>93111</v>
      </c>
      <c r="I5596">
        <v>2645761</v>
      </c>
    </row>
    <row r="5597" spans="1:9">
      <c r="A5597" s="2">
        <v>2000</v>
      </c>
      <c r="B5597">
        <v>43</v>
      </c>
      <c r="C5597">
        <v>7.5300000000000002E-3</v>
      </c>
      <c r="D5597">
        <v>7.5100000000000002E-3</v>
      </c>
      <c r="E5597">
        <v>0.5</v>
      </c>
      <c r="F5597">
        <v>92800</v>
      </c>
      <c r="G5597">
        <v>697</v>
      </c>
      <c r="H5597">
        <v>92451</v>
      </c>
      <c r="I5597">
        <v>2552650</v>
      </c>
    </row>
    <row r="5598" spans="1:9">
      <c r="A5598" s="2">
        <v>2000</v>
      </c>
      <c r="B5598">
        <v>44</v>
      </c>
      <c r="C5598">
        <v>8.8599999999999998E-3</v>
      </c>
      <c r="D5598">
        <v>8.8199999999999997E-3</v>
      </c>
      <c r="E5598">
        <v>0.5</v>
      </c>
      <c r="F5598">
        <v>92103</v>
      </c>
      <c r="G5598">
        <v>812</v>
      </c>
      <c r="H5598">
        <v>91697</v>
      </c>
      <c r="I5598">
        <v>2460199</v>
      </c>
    </row>
    <row r="5599" spans="1:9">
      <c r="A5599" s="2">
        <v>2000</v>
      </c>
      <c r="B5599">
        <v>45</v>
      </c>
      <c r="C5599">
        <v>9.5399999999999999E-3</v>
      </c>
      <c r="D5599">
        <v>9.4900000000000002E-3</v>
      </c>
      <c r="E5599">
        <v>0.5</v>
      </c>
      <c r="F5599">
        <v>91291</v>
      </c>
      <c r="G5599">
        <v>866</v>
      </c>
      <c r="H5599">
        <v>90858</v>
      </c>
      <c r="I5599">
        <v>2368502</v>
      </c>
    </row>
    <row r="5600" spans="1:9">
      <c r="A5600" s="2">
        <v>2000</v>
      </c>
      <c r="B5600">
        <v>46</v>
      </c>
      <c r="C5600">
        <v>9.6500000000000006E-3</v>
      </c>
      <c r="D5600">
        <v>9.5999999999999992E-3</v>
      </c>
      <c r="E5600">
        <v>0.5</v>
      </c>
      <c r="F5600">
        <v>90424</v>
      </c>
      <c r="G5600">
        <v>868</v>
      </c>
      <c r="H5600">
        <v>89990</v>
      </c>
      <c r="I5600">
        <v>2277644</v>
      </c>
    </row>
    <row r="5601" spans="1:9">
      <c r="A5601" s="2">
        <v>2000</v>
      </c>
      <c r="B5601">
        <v>47</v>
      </c>
      <c r="C5601">
        <v>1.077E-2</v>
      </c>
      <c r="D5601">
        <v>1.0710000000000001E-2</v>
      </c>
      <c r="E5601">
        <v>0.5</v>
      </c>
      <c r="F5601">
        <v>89556</v>
      </c>
      <c r="G5601">
        <v>959</v>
      </c>
      <c r="H5601">
        <v>89077</v>
      </c>
      <c r="I5601">
        <v>2187654</v>
      </c>
    </row>
    <row r="5602" spans="1:9">
      <c r="A5602" s="2">
        <v>2000</v>
      </c>
      <c r="B5602">
        <v>48</v>
      </c>
      <c r="C5602">
        <v>1.2800000000000001E-2</v>
      </c>
      <c r="D5602">
        <v>1.2710000000000001E-2</v>
      </c>
      <c r="E5602">
        <v>0.5</v>
      </c>
      <c r="F5602">
        <v>88597</v>
      </c>
      <c r="G5602">
        <v>1126</v>
      </c>
      <c r="H5602">
        <v>88034</v>
      </c>
      <c r="I5602">
        <v>2098577</v>
      </c>
    </row>
    <row r="5603" spans="1:9">
      <c r="A5603" s="2">
        <v>2000</v>
      </c>
      <c r="B5603">
        <v>49</v>
      </c>
      <c r="C5603">
        <v>1.281E-2</v>
      </c>
      <c r="D5603">
        <v>1.273E-2</v>
      </c>
      <c r="E5603">
        <v>0.5</v>
      </c>
      <c r="F5603">
        <v>87471</v>
      </c>
      <c r="G5603">
        <v>1114</v>
      </c>
      <c r="H5603">
        <v>86914</v>
      </c>
      <c r="I5603">
        <v>2010543</v>
      </c>
    </row>
    <row r="5604" spans="1:9">
      <c r="A5604" s="2">
        <v>2000</v>
      </c>
      <c r="B5604">
        <v>50</v>
      </c>
      <c r="C5604">
        <v>1.355E-2</v>
      </c>
      <c r="D5604">
        <v>1.346E-2</v>
      </c>
      <c r="E5604">
        <v>0.5</v>
      </c>
      <c r="F5604">
        <v>86357</v>
      </c>
      <c r="G5604">
        <v>1163</v>
      </c>
      <c r="H5604">
        <v>85776</v>
      </c>
      <c r="I5604">
        <v>1923628</v>
      </c>
    </row>
    <row r="5605" spans="1:9">
      <c r="A5605" s="2">
        <v>2000</v>
      </c>
      <c r="B5605">
        <v>51</v>
      </c>
      <c r="C5605">
        <v>1.401E-2</v>
      </c>
      <c r="D5605">
        <v>1.391E-2</v>
      </c>
      <c r="E5605">
        <v>0.5</v>
      </c>
      <c r="F5605">
        <v>85195</v>
      </c>
      <c r="G5605">
        <v>1185</v>
      </c>
      <c r="H5605">
        <v>84602</v>
      </c>
      <c r="I5605">
        <v>1837852</v>
      </c>
    </row>
    <row r="5606" spans="1:9">
      <c r="A5606" s="2">
        <v>2000</v>
      </c>
      <c r="B5606">
        <v>52</v>
      </c>
      <c r="C5606">
        <v>1.583E-2</v>
      </c>
      <c r="D5606">
        <v>1.5699999999999999E-2</v>
      </c>
      <c r="E5606">
        <v>0.5</v>
      </c>
      <c r="F5606">
        <v>84009</v>
      </c>
      <c r="G5606">
        <v>1319</v>
      </c>
      <c r="H5606">
        <v>83350</v>
      </c>
      <c r="I5606">
        <v>1753250</v>
      </c>
    </row>
    <row r="5607" spans="1:9">
      <c r="A5607" s="2">
        <v>2000</v>
      </c>
      <c r="B5607">
        <v>53</v>
      </c>
      <c r="C5607">
        <v>1.6899999999999998E-2</v>
      </c>
      <c r="D5607">
        <v>1.6760000000000001E-2</v>
      </c>
      <c r="E5607">
        <v>0.5</v>
      </c>
      <c r="F5607">
        <v>82690</v>
      </c>
      <c r="G5607">
        <v>1386</v>
      </c>
      <c r="H5607">
        <v>81997</v>
      </c>
      <c r="I5607">
        <v>1669901</v>
      </c>
    </row>
    <row r="5608" spans="1:9">
      <c r="A5608" s="2">
        <v>2000</v>
      </c>
      <c r="B5608">
        <v>54</v>
      </c>
      <c r="C5608">
        <v>1.668E-2</v>
      </c>
      <c r="D5608">
        <v>1.6539999999999999E-2</v>
      </c>
      <c r="E5608">
        <v>0.5</v>
      </c>
      <c r="F5608">
        <v>81304</v>
      </c>
      <c r="G5608">
        <v>1345</v>
      </c>
      <c r="H5608">
        <v>80632</v>
      </c>
      <c r="I5608">
        <v>1587903</v>
      </c>
    </row>
    <row r="5609" spans="1:9">
      <c r="A5609" s="2">
        <v>2000</v>
      </c>
      <c r="B5609">
        <v>55</v>
      </c>
      <c r="C5609">
        <v>1.9120000000000002E-2</v>
      </c>
      <c r="D5609">
        <v>1.8939999999999999E-2</v>
      </c>
      <c r="E5609">
        <v>0.5</v>
      </c>
      <c r="F5609">
        <v>79960</v>
      </c>
      <c r="G5609">
        <v>1514</v>
      </c>
      <c r="H5609">
        <v>79203</v>
      </c>
      <c r="I5609">
        <v>1507271</v>
      </c>
    </row>
    <row r="5610" spans="1:9">
      <c r="A5610" s="2">
        <v>2000</v>
      </c>
      <c r="B5610">
        <v>56</v>
      </c>
      <c r="C5610">
        <v>2.052E-2</v>
      </c>
      <c r="D5610">
        <v>2.0310000000000002E-2</v>
      </c>
      <c r="E5610">
        <v>0.5</v>
      </c>
      <c r="F5610">
        <v>78445</v>
      </c>
      <c r="G5610">
        <v>1593</v>
      </c>
      <c r="H5610">
        <v>77649</v>
      </c>
      <c r="I5610">
        <v>1428069</v>
      </c>
    </row>
    <row r="5611" spans="1:9">
      <c r="A5611" s="2">
        <v>2000</v>
      </c>
      <c r="B5611">
        <v>57</v>
      </c>
      <c r="C5611">
        <v>2.0670000000000001E-2</v>
      </c>
      <c r="D5611">
        <v>2.0459999999999999E-2</v>
      </c>
      <c r="E5611">
        <v>0.5</v>
      </c>
      <c r="F5611">
        <v>76852</v>
      </c>
      <c r="G5611">
        <v>1572</v>
      </c>
      <c r="H5611">
        <v>76066</v>
      </c>
      <c r="I5611">
        <v>1350420</v>
      </c>
    </row>
    <row r="5612" spans="1:9">
      <c r="A5612" s="2">
        <v>2000</v>
      </c>
      <c r="B5612">
        <v>58</v>
      </c>
      <c r="C5612">
        <v>2.3720000000000001E-2</v>
      </c>
      <c r="D5612">
        <v>2.3439999999999999E-2</v>
      </c>
      <c r="E5612">
        <v>0.5</v>
      </c>
      <c r="F5612">
        <v>75280</v>
      </c>
      <c r="G5612">
        <v>1764</v>
      </c>
      <c r="H5612">
        <v>74398</v>
      </c>
      <c r="I5612">
        <v>1274354</v>
      </c>
    </row>
    <row r="5613" spans="1:9">
      <c r="A5613" s="2">
        <v>2000</v>
      </c>
      <c r="B5613">
        <v>59</v>
      </c>
      <c r="C5613">
        <v>2.3E-2</v>
      </c>
      <c r="D5613">
        <v>2.274E-2</v>
      </c>
      <c r="E5613">
        <v>0.5</v>
      </c>
      <c r="F5613">
        <v>73515</v>
      </c>
      <c r="G5613">
        <v>1671</v>
      </c>
      <c r="H5613">
        <v>72680</v>
      </c>
      <c r="I5613">
        <v>1199957</v>
      </c>
    </row>
    <row r="5614" spans="1:9">
      <c r="A5614" s="2">
        <v>2000</v>
      </c>
      <c r="B5614">
        <v>60</v>
      </c>
      <c r="C5614">
        <v>2.6450000000000001E-2</v>
      </c>
      <c r="D5614">
        <v>2.6110000000000001E-2</v>
      </c>
      <c r="E5614">
        <v>0.5</v>
      </c>
      <c r="F5614">
        <v>71844</v>
      </c>
      <c r="G5614">
        <v>1876</v>
      </c>
      <c r="H5614">
        <v>70906</v>
      </c>
      <c r="I5614">
        <v>1127277</v>
      </c>
    </row>
    <row r="5615" spans="1:9">
      <c r="A5615" s="2">
        <v>2000</v>
      </c>
      <c r="B5615">
        <v>61</v>
      </c>
      <c r="C5615">
        <v>2.836E-2</v>
      </c>
      <c r="D5615">
        <v>2.7959999999999999E-2</v>
      </c>
      <c r="E5615">
        <v>0.5</v>
      </c>
      <c r="F5615">
        <v>69968</v>
      </c>
      <c r="G5615">
        <v>1957</v>
      </c>
      <c r="H5615">
        <v>68990</v>
      </c>
      <c r="I5615">
        <v>1056371</v>
      </c>
    </row>
    <row r="5616" spans="1:9">
      <c r="A5616" s="2">
        <v>2000</v>
      </c>
      <c r="B5616">
        <v>62</v>
      </c>
      <c r="C5616">
        <v>3.1510000000000003E-2</v>
      </c>
      <c r="D5616">
        <v>3.1019999999999999E-2</v>
      </c>
      <c r="E5616">
        <v>0.5</v>
      </c>
      <c r="F5616">
        <v>68012</v>
      </c>
      <c r="G5616">
        <v>2110</v>
      </c>
      <c r="H5616">
        <v>66957</v>
      </c>
      <c r="I5616">
        <v>987381</v>
      </c>
    </row>
    <row r="5617" spans="1:9">
      <c r="A5617" s="2">
        <v>2000</v>
      </c>
      <c r="B5617">
        <v>63</v>
      </c>
      <c r="C5617">
        <v>3.4070000000000003E-2</v>
      </c>
      <c r="D5617">
        <v>3.3500000000000002E-2</v>
      </c>
      <c r="E5617">
        <v>0.5</v>
      </c>
      <c r="F5617">
        <v>65902</v>
      </c>
      <c r="G5617">
        <v>2208</v>
      </c>
      <c r="H5617">
        <v>64798</v>
      </c>
      <c r="I5617">
        <v>920424</v>
      </c>
    </row>
    <row r="5618" spans="1:9">
      <c r="A5618" s="2">
        <v>2000</v>
      </c>
      <c r="B5618">
        <v>64</v>
      </c>
      <c r="C5618">
        <v>3.3959999999999997E-2</v>
      </c>
      <c r="D5618">
        <v>3.3399999999999999E-2</v>
      </c>
      <c r="E5618">
        <v>0.5</v>
      </c>
      <c r="F5618">
        <v>63694</v>
      </c>
      <c r="G5618">
        <v>2127</v>
      </c>
      <c r="H5618">
        <v>62631</v>
      </c>
      <c r="I5618">
        <v>855626</v>
      </c>
    </row>
    <row r="5619" spans="1:9">
      <c r="A5619" s="2">
        <v>2000</v>
      </c>
      <c r="B5619">
        <v>65</v>
      </c>
      <c r="C5619">
        <v>3.7569999999999999E-2</v>
      </c>
      <c r="D5619">
        <v>3.687E-2</v>
      </c>
      <c r="E5619">
        <v>0.5</v>
      </c>
      <c r="F5619">
        <v>61567</v>
      </c>
      <c r="G5619">
        <v>2270</v>
      </c>
      <c r="H5619">
        <v>60432</v>
      </c>
      <c r="I5619">
        <v>792995</v>
      </c>
    </row>
    <row r="5620" spans="1:9">
      <c r="A5620" s="2">
        <v>2000</v>
      </c>
      <c r="B5620">
        <v>66</v>
      </c>
      <c r="C5620">
        <v>3.909E-2</v>
      </c>
      <c r="D5620">
        <v>3.8339999999999999E-2</v>
      </c>
      <c r="E5620">
        <v>0.5</v>
      </c>
      <c r="F5620">
        <v>59297</v>
      </c>
      <c r="G5620">
        <v>2273</v>
      </c>
      <c r="H5620">
        <v>58160</v>
      </c>
      <c r="I5620">
        <v>732563</v>
      </c>
    </row>
    <row r="5621" spans="1:9">
      <c r="A5621" s="2">
        <v>2000</v>
      </c>
      <c r="B5621">
        <v>67</v>
      </c>
      <c r="C5621">
        <v>4.1549999999999997E-2</v>
      </c>
      <c r="D5621">
        <v>4.07E-2</v>
      </c>
      <c r="E5621">
        <v>0.5</v>
      </c>
      <c r="F5621">
        <v>57023</v>
      </c>
      <c r="G5621">
        <v>2321</v>
      </c>
      <c r="H5621">
        <v>55863</v>
      </c>
      <c r="I5621">
        <v>674403</v>
      </c>
    </row>
    <row r="5622" spans="1:9">
      <c r="A5622" s="2">
        <v>2000</v>
      </c>
      <c r="B5622">
        <v>68</v>
      </c>
      <c r="C5622">
        <v>4.4310000000000002E-2</v>
      </c>
      <c r="D5622">
        <v>4.335E-2</v>
      </c>
      <c r="E5622">
        <v>0.5</v>
      </c>
      <c r="F5622">
        <v>54702</v>
      </c>
      <c r="G5622">
        <v>2371</v>
      </c>
      <c r="H5622">
        <v>53517</v>
      </c>
      <c r="I5622">
        <v>618540</v>
      </c>
    </row>
    <row r="5623" spans="1:9">
      <c r="A5623" s="2">
        <v>2000</v>
      </c>
      <c r="B5623">
        <v>69</v>
      </c>
      <c r="C5623">
        <v>4.7910000000000001E-2</v>
      </c>
      <c r="D5623">
        <v>4.6789999999999998E-2</v>
      </c>
      <c r="E5623">
        <v>0.5</v>
      </c>
      <c r="F5623">
        <v>52331</v>
      </c>
      <c r="G5623">
        <v>2449</v>
      </c>
      <c r="H5623">
        <v>51107</v>
      </c>
      <c r="I5623">
        <v>565023</v>
      </c>
    </row>
    <row r="5624" spans="1:9">
      <c r="A5624" s="2">
        <v>2000</v>
      </c>
      <c r="B5624">
        <v>70</v>
      </c>
      <c r="C5624">
        <v>5.0549999999999998E-2</v>
      </c>
      <c r="D5624">
        <v>4.9299999999999997E-2</v>
      </c>
      <c r="E5624">
        <v>0.5</v>
      </c>
      <c r="F5624">
        <v>49882</v>
      </c>
      <c r="G5624">
        <v>2459</v>
      </c>
      <c r="H5624">
        <v>48653</v>
      </c>
      <c r="I5624">
        <v>513916</v>
      </c>
    </row>
    <row r="5625" spans="1:9">
      <c r="A5625" s="2">
        <v>2000</v>
      </c>
      <c r="B5625">
        <v>71</v>
      </c>
      <c r="C5625">
        <v>5.4359999999999999E-2</v>
      </c>
      <c r="D5625">
        <v>5.2920000000000002E-2</v>
      </c>
      <c r="E5625">
        <v>0.5</v>
      </c>
      <c r="F5625">
        <v>47423</v>
      </c>
      <c r="G5625">
        <v>2510</v>
      </c>
      <c r="H5625">
        <v>46168</v>
      </c>
      <c r="I5625">
        <v>465264</v>
      </c>
    </row>
    <row r="5626" spans="1:9">
      <c r="A5626" s="2">
        <v>2000</v>
      </c>
      <c r="B5626">
        <v>72</v>
      </c>
      <c r="C5626">
        <v>5.7250000000000002E-2</v>
      </c>
      <c r="D5626">
        <v>5.5660000000000001E-2</v>
      </c>
      <c r="E5626">
        <v>0.5</v>
      </c>
      <c r="F5626">
        <v>44913</v>
      </c>
      <c r="G5626">
        <v>2500</v>
      </c>
      <c r="H5626">
        <v>43663</v>
      </c>
      <c r="I5626">
        <v>419096</v>
      </c>
    </row>
    <row r="5627" spans="1:9">
      <c r="A5627" s="2">
        <v>2000</v>
      </c>
      <c r="B5627">
        <v>73</v>
      </c>
      <c r="C5627">
        <v>6.5729999999999997E-2</v>
      </c>
      <c r="D5627">
        <v>6.3630000000000006E-2</v>
      </c>
      <c r="E5627">
        <v>0.5</v>
      </c>
      <c r="F5627">
        <v>42413</v>
      </c>
      <c r="G5627">
        <v>2699</v>
      </c>
      <c r="H5627">
        <v>41064</v>
      </c>
      <c r="I5627">
        <v>375432</v>
      </c>
    </row>
    <row r="5628" spans="1:9">
      <c r="A5628" s="2">
        <v>2000</v>
      </c>
      <c r="B5628">
        <v>74</v>
      </c>
      <c r="C5628">
        <v>6.9839999999999999E-2</v>
      </c>
      <c r="D5628">
        <v>6.7479999999999998E-2</v>
      </c>
      <c r="E5628">
        <v>0.5</v>
      </c>
      <c r="F5628">
        <v>39714</v>
      </c>
      <c r="G5628">
        <v>2680</v>
      </c>
      <c r="H5628">
        <v>38374</v>
      </c>
      <c r="I5628">
        <v>334368</v>
      </c>
    </row>
    <row r="5629" spans="1:9">
      <c r="A5629" s="2">
        <v>2000</v>
      </c>
      <c r="B5629">
        <v>75</v>
      </c>
      <c r="C5629">
        <v>7.4929999999999997E-2</v>
      </c>
      <c r="D5629">
        <v>7.2230000000000003E-2</v>
      </c>
      <c r="E5629">
        <v>0.5</v>
      </c>
      <c r="F5629">
        <v>37034</v>
      </c>
      <c r="G5629">
        <v>2675</v>
      </c>
      <c r="H5629">
        <v>35697</v>
      </c>
      <c r="I5629">
        <v>295994</v>
      </c>
    </row>
    <row r="5630" spans="1:9">
      <c r="A5630" s="2">
        <v>2000</v>
      </c>
      <c r="B5630">
        <v>76</v>
      </c>
      <c r="C5630">
        <v>7.8479999999999994E-2</v>
      </c>
      <c r="D5630">
        <v>7.5520000000000004E-2</v>
      </c>
      <c r="E5630">
        <v>0.5</v>
      </c>
      <c r="F5630">
        <v>34360</v>
      </c>
      <c r="G5630">
        <v>2595</v>
      </c>
      <c r="H5630">
        <v>33062</v>
      </c>
      <c r="I5630">
        <v>260297</v>
      </c>
    </row>
    <row r="5631" spans="1:9">
      <c r="A5631" s="2">
        <v>2000</v>
      </c>
      <c r="B5631">
        <v>77</v>
      </c>
      <c r="C5631">
        <v>8.7720000000000006E-2</v>
      </c>
      <c r="D5631">
        <v>8.4029999999999994E-2</v>
      </c>
      <c r="E5631">
        <v>0.5</v>
      </c>
      <c r="F5631">
        <v>31765</v>
      </c>
      <c r="G5631">
        <v>2669</v>
      </c>
      <c r="H5631">
        <v>30430</v>
      </c>
      <c r="I5631">
        <v>227235</v>
      </c>
    </row>
    <row r="5632" spans="1:9">
      <c r="A5632" s="2">
        <v>2000</v>
      </c>
      <c r="B5632">
        <v>78</v>
      </c>
      <c r="C5632">
        <v>9.5990000000000006E-2</v>
      </c>
      <c r="D5632">
        <v>9.1590000000000005E-2</v>
      </c>
      <c r="E5632">
        <v>0.5</v>
      </c>
      <c r="F5632">
        <v>29096</v>
      </c>
      <c r="G5632">
        <v>2665</v>
      </c>
      <c r="H5632">
        <v>27763</v>
      </c>
      <c r="I5632">
        <v>196804</v>
      </c>
    </row>
    <row r="5633" spans="1:9">
      <c r="A5633" s="2">
        <v>2000</v>
      </c>
      <c r="B5633">
        <v>79</v>
      </c>
      <c r="C5633">
        <v>9.7769999999999996E-2</v>
      </c>
      <c r="D5633">
        <v>9.3210000000000001E-2</v>
      </c>
      <c r="E5633">
        <v>0.5</v>
      </c>
      <c r="F5633">
        <v>26431</v>
      </c>
      <c r="G5633">
        <v>2464</v>
      </c>
      <c r="H5633">
        <v>25199</v>
      </c>
      <c r="I5633">
        <v>169041</v>
      </c>
    </row>
    <row r="5634" spans="1:9">
      <c r="A5634" s="2">
        <v>2000</v>
      </c>
      <c r="B5634">
        <v>80</v>
      </c>
      <c r="C5634">
        <v>0.12762000000000001</v>
      </c>
      <c r="D5634">
        <v>0.11996</v>
      </c>
      <c r="E5634">
        <v>0.5</v>
      </c>
      <c r="F5634">
        <v>23967</v>
      </c>
      <c r="G5634">
        <v>2875</v>
      </c>
      <c r="H5634">
        <v>22530</v>
      </c>
      <c r="I5634">
        <v>143842</v>
      </c>
    </row>
    <row r="5635" spans="1:9">
      <c r="A5635" s="2">
        <v>2000</v>
      </c>
      <c r="B5635">
        <v>81</v>
      </c>
      <c r="C5635">
        <v>0.10734</v>
      </c>
      <c r="D5635">
        <v>0.10187</v>
      </c>
      <c r="E5635">
        <v>0.5</v>
      </c>
      <c r="F5635">
        <v>21092</v>
      </c>
      <c r="G5635">
        <v>2149</v>
      </c>
      <c r="H5635">
        <v>20018</v>
      </c>
      <c r="I5635">
        <v>121313</v>
      </c>
    </row>
    <row r="5636" spans="1:9">
      <c r="A5636" s="2">
        <v>2000</v>
      </c>
      <c r="B5636">
        <v>82</v>
      </c>
      <c r="C5636">
        <v>0.12227</v>
      </c>
      <c r="D5636">
        <v>0.11523</v>
      </c>
      <c r="E5636">
        <v>0.5</v>
      </c>
      <c r="F5636">
        <v>18943</v>
      </c>
      <c r="G5636">
        <v>2183</v>
      </c>
      <c r="H5636">
        <v>17852</v>
      </c>
      <c r="I5636">
        <v>101295</v>
      </c>
    </row>
    <row r="5637" spans="1:9">
      <c r="A5637" s="2">
        <v>2000</v>
      </c>
      <c r="B5637">
        <v>83</v>
      </c>
      <c r="C5637">
        <v>0.14416000000000001</v>
      </c>
      <c r="D5637">
        <v>0.13447000000000001</v>
      </c>
      <c r="E5637">
        <v>0.5</v>
      </c>
      <c r="F5637">
        <v>16760</v>
      </c>
      <c r="G5637">
        <v>2254</v>
      </c>
      <c r="H5637">
        <v>15634</v>
      </c>
      <c r="I5637">
        <v>83443</v>
      </c>
    </row>
    <row r="5638" spans="1:9">
      <c r="A5638" s="2">
        <v>2000</v>
      </c>
      <c r="B5638">
        <v>84</v>
      </c>
      <c r="C5638">
        <v>0.14876</v>
      </c>
      <c r="D5638">
        <v>0.13847000000000001</v>
      </c>
      <c r="E5638">
        <v>0.5</v>
      </c>
      <c r="F5638">
        <v>14507</v>
      </c>
      <c r="G5638">
        <v>2009</v>
      </c>
      <c r="H5638">
        <v>13502</v>
      </c>
      <c r="I5638">
        <v>67810</v>
      </c>
    </row>
    <row r="5639" spans="1:9">
      <c r="A5639" s="2">
        <v>2000</v>
      </c>
      <c r="B5639">
        <v>85</v>
      </c>
      <c r="C5639">
        <v>0.17887</v>
      </c>
      <c r="D5639">
        <v>0.16417999999999999</v>
      </c>
      <c r="E5639">
        <v>0.5</v>
      </c>
      <c r="F5639">
        <v>12498</v>
      </c>
      <c r="G5639">
        <v>2052</v>
      </c>
      <c r="H5639">
        <v>11472</v>
      </c>
      <c r="I5639">
        <v>54307</v>
      </c>
    </row>
    <row r="5640" spans="1:9">
      <c r="A5640" s="2">
        <v>2000</v>
      </c>
      <c r="B5640">
        <v>86</v>
      </c>
      <c r="C5640">
        <v>0.18287</v>
      </c>
      <c r="D5640">
        <v>0.16755</v>
      </c>
      <c r="E5640">
        <v>0.5</v>
      </c>
      <c r="F5640">
        <v>10446</v>
      </c>
      <c r="G5640">
        <v>1750</v>
      </c>
      <c r="H5640">
        <v>9571</v>
      </c>
      <c r="I5640">
        <v>42835</v>
      </c>
    </row>
    <row r="5641" spans="1:9">
      <c r="A5641" s="2">
        <v>2000</v>
      </c>
      <c r="B5641">
        <v>87</v>
      </c>
      <c r="C5641">
        <v>0.20557</v>
      </c>
      <c r="D5641">
        <v>0.18640999999999999</v>
      </c>
      <c r="E5641">
        <v>0.5</v>
      </c>
      <c r="F5641">
        <v>8696</v>
      </c>
      <c r="G5641">
        <v>1621</v>
      </c>
      <c r="H5641">
        <v>7885</v>
      </c>
      <c r="I5641">
        <v>33264</v>
      </c>
    </row>
    <row r="5642" spans="1:9">
      <c r="A5642" s="2">
        <v>2000</v>
      </c>
      <c r="B5642">
        <v>88</v>
      </c>
      <c r="C5642">
        <v>0.21448999999999999</v>
      </c>
      <c r="D5642">
        <v>0.19372</v>
      </c>
      <c r="E5642">
        <v>0.5</v>
      </c>
      <c r="F5642">
        <v>7075</v>
      </c>
      <c r="G5642">
        <v>1371</v>
      </c>
      <c r="H5642">
        <v>6390</v>
      </c>
      <c r="I5642">
        <v>25379</v>
      </c>
    </row>
    <row r="5643" spans="1:9">
      <c r="A5643" s="2">
        <v>2000</v>
      </c>
      <c r="B5643">
        <v>89</v>
      </c>
      <c r="C5643">
        <v>0.23311000000000001</v>
      </c>
      <c r="D5643">
        <v>0.20877999999999999</v>
      </c>
      <c r="E5643">
        <v>0.5</v>
      </c>
      <c r="F5643">
        <v>5704</v>
      </c>
      <c r="G5643">
        <v>1191</v>
      </c>
      <c r="H5643">
        <v>5109</v>
      </c>
      <c r="I5643">
        <v>18989</v>
      </c>
    </row>
    <row r="5644" spans="1:9">
      <c r="A5644" s="2">
        <v>2000</v>
      </c>
      <c r="B5644">
        <v>90</v>
      </c>
      <c r="C5644">
        <v>0.27400000000000002</v>
      </c>
      <c r="D5644">
        <v>0.24098</v>
      </c>
      <c r="E5644">
        <v>0.5</v>
      </c>
      <c r="F5644">
        <v>4513</v>
      </c>
      <c r="G5644">
        <v>1088</v>
      </c>
      <c r="H5644">
        <v>3970</v>
      </c>
      <c r="I5644">
        <v>13880</v>
      </c>
    </row>
    <row r="5645" spans="1:9">
      <c r="A5645" s="2">
        <v>2000</v>
      </c>
      <c r="B5645">
        <v>91</v>
      </c>
      <c r="C5645">
        <v>0.29488999999999999</v>
      </c>
      <c r="D5645">
        <v>0.25700000000000001</v>
      </c>
      <c r="E5645">
        <v>0.5</v>
      </c>
      <c r="F5645">
        <v>3426</v>
      </c>
      <c r="G5645">
        <v>880</v>
      </c>
      <c r="H5645">
        <v>2986</v>
      </c>
      <c r="I5645">
        <v>9911</v>
      </c>
    </row>
    <row r="5646" spans="1:9">
      <c r="A5646" s="2">
        <v>2000</v>
      </c>
      <c r="B5646">
        <v>92</v>
      </c>
      <c r="C5646">
        <v>0.32579000000000002</v>
      </c>
      <c r="D5646">
        <v>0.28016000000000002</v>
      </c>
      <c r="E5646">
        <v>0.5</v>
      </c>
      <c r="F5646">
        <v>2545</v>
      </c>
      <c r="G5646">
        <v>713</v>
      </c>
      <c r="H5646">
        <v>2189</v>
      </c>
      <c r="I5646">
        <v>6925</v>
      </c>
    </row>
    <row r="5647" spans="1:9">
      <c r="A5647" s="2">
        <v>2000</v>
      </c>
      <c r="B5647">
        <v>93</v>
      </c>
      <c r="C5647">
        <v>0.37397999999999998</v>
      </c>
      <c r="D5647">
        <v>0.31507000000000002</v>
      </c>
      <c r="E5647">
        <v>0.5</v>
      </c>
      <c r="F5647">
        <v>1832</v>
      </c>
      <c r="G5647">
        <v>577</v>
      </c>
      <c r="H5647">
        <v>1544</v>
      </c>
      <c r="I5647">
        <v>4736</v>
      </c>
    </row>
    <row r="5648" spans="1:9">
      <c r="A5648" s="2">
        <v>2000</v>
      </c>
      <c r="B5648">
        <v>94</v>
      </c>
      <c r="C5648">
        <v>0.34333999999999998</v>
      </c>
      <c r="D5648">
        <v>0.29303000000000001</v>
      </c>
      <c r="E5648">
        <v>0.5</v>
      </c>
      <c r="F5648">
        <v>1255</v>
      </c>
      <c r="G5648">
        <v>368</v>
      </c>
      <c r="H5648">
        <v>1071</v>
      </c>
      <c r="I5648">
        <v>3193</v>
      </c>
    </row>
    <row r="5649" spans="1:9">
      <c r="A5649" s="2">
        <v>2000</v>
      </c>
      <c r="B5649">
        <v>95</v>
      </c>
      <c r="C5649">
        <v>0.37581999999999999</v>
      </c>
      <c r="D5649">
        <v>0.31636999999999998</v>
      </c>
      <c r="E5649">
        <v>0.5</v>
      </c>
      <c r="F5649">
        <v>887</v>
      </c>
      <c r="G5649">
        <v>281</v>
      </c>
      <c r="H5649">
        <v>747</v>
      </c>
      <c r="I5649">
        <v>2122</v>
      </c>
    </row>
    <row r="5650" spans="1:9">
      <c r="A5650" s="2">
        <v>2000</v>
      </c>
      <c r="B5650">
        <v>96</v>
      </c>
      <c r="C5650">
        <v>0.40077000000000002</v>
      </c>
      <c r="D5650">
        <v>0.33387</v>
      </c>
      <c r="E5650">
        <v>0.5</v>
      </c>
      <c r="F5650">
        <v>607</v>
      </c>
      <c r="G5650">
        <v>202</v>
      </c>
      <c r="H5650">
        <v>505</v>
      </c>
      <c r="I5650">
        <v>1375</v>
      </c>
    </row>
    <row r="5651" spans="1:9">
      <c r="A5651" s="2">
        <v>2000</v>
      </c>
      <c r="B5651">
        <v>97</v>
      </c>
      <c r="C5651">
        <v>0.42624000000000001</v>
      </c>
      <c r="D5651">
        <v>0.35136000000000001</v>
      </c>
      <c r="E5651">
        <v>0.5</v>
      </c>
      <c r="F5651">
        <v>404</v>
      </c>
      <c r="G5651">
        <v>142</v>
      </c>
      <c r="H5651">
        <v>333</v>
      </c>
      <c r="I5651">
        <v>870</v>
      </c>
    </row>
    <row r="5652" spans="1:9">
      <c r="A5652" s="2">
        <v>2000</v>
      </c>
      <c r="B5652">
        <v>98</v>
      </c>
      <c r="C5652">
        <v>0.4521</v>
      </c>
      <c r="D5652">
        <v>0.36875000000000002</v>
      </c>
      <c r="E5652">
        <v>0.5</v>
      </c>
      <c r="F5652">
        <v>262</v>
      </c>
      <c r="G5652">
        <v>97</v>
      </c>
      <c r="H5652">
        <v>214</v>
      </c>
      <c r="I5652">
        <v>537</v>
      </c>
    </row>
    <row r="5653" spans="1:9">
      <c r="A5653" s="2">
        <v>2000</v>
      </c>
      <c r="B5653">
        <v>99</v>
      </c>
      <c r="C5653">
        <v>0.47822999999999999</v>
      </c>
      <c r="D5653">
        <v>0.38595000000000002</v>
      </c>
      <c r="E5653">
        <v>0.5</v>
      </c>
      <c r="F5653">
        <v>165</v>
      </c>
      <c r="G5653">
        <v>64</v>
      </c>
      <c r="H5653">
        <v>134</v>
      </c>
      <c r="I5653">
        <v>323</v>
      </c>
    </row>
    <row r="5654" spans="1:9">
      <c r="A5654" s="2">
        <v>2000</v>
      </c>
      <c r="B5654">
        <v>100</v>
      </c>
      <c r="C5654">
        <v>0.50448000000000004</v>
      </c>
      <c r="D5654">
        <v>0.40286</v>
      </c>
      <c r="E5654">
        <v>0.5</v>
      </c>
      <c r="F5654">
        <v>102</v>
      </c>
      <c r="G5654">
        <v>41</v>
      </c>
      <c r="H5654">
        <v>81</v>
      </c>
      <c r="I5654">
        <v>189</v>
      </c>
    </row>
    <row r="5655" spans="1:9">
      <c r="A5655" s="2">
        <v>2000</v>
      </c>
      <c r="B5655">
        <v>101</v>
      </c>
      <c r="C5655">
        <v>0.53069999999999995</v>
      </c>
      <c r="D5655">
        <v>0.41941000000000001</v>
      </c>
      <c r="E5655">
        <v>0.5</v>
      </c>
      <c r="F5655">
        <v>61</v>
      </c>
      <c r="G5655">
        <v>25</v>
      </c>
      <c r="H5655">
        <v>48</v>
      </c>
      <c r="I5655">
        <v>108</v>
      </c>
    </row>
    <row r="5656" spans="1:9">
      <c r="A5656" s="2">
        <v>2000</v>
      </c>
      <c r="B5656">
        <v>102</v>
      </c>
      <c r="C5656">
        <v>0.55676000000000003</v>
      </c>
      <c r="D5656">
        <v>0.43552000000000002</v>
      </c>
      <c r="E5656">
        <v>0.5</v>
      </c>
      <c r="F5656">
        <v>35</v>
      </c>
      <c r="G5656">
        <v>15</v>
      </c>
      <c r="H5656">
        <v>28</v>
      </c>
      <c r="I5656">
        <v>60</v>
      </c>
    </row>
    <row r="5657" spans="1:9">
      <c r="A5657" s="2">
        <v>2000</v>
      </c>
      <c r="B5657">
        <v>103</v>
      </c>
      <c r="C5657">
        <v>0.58250000000000002</v>
      </c>
      <c r="D5657">
        <v>0.45111000000000001</v>
      </c>
      <c r="E5657">
        <v>0.5</v>
      </c>
      <c r="F5657">
        <v>20</v>
      </c>
      <c r="G5657">
        <v>9</v>
      </c>
      <c r="H5657">
        <v>15</v>
      </c>
      <c r="I5657">
        <v>33</v>
      </c>
    </row>
    <row r="5658" spans="1:9">
      <c r="A5658" s="2">
        <v>2000</v>
      </c>
      <c r="B5658">
        <v>104</v>
      </c>
      <c r="C5658">
        <v>0.60780999999999996</v>
      </c>
      <c r="D5658">
        <v>0.46614</v>
      </c>
      <c r="E5658">
        <v>0.5</v>
      </c>
      <c r="F5658">
        <v>11</v>
      </c>
      <c r="G5658">
        <v>5</v>
      </c>
      <c r="H5658">
        <v>8</v>
      </c>
      <c r="I5658">
        <v>17</v>
      </c>
    </row>
    <row r="5659" spans="1:9">
      <c r="A5659" s="2">
        <v>2000</v>
      </c>
      <c r="B5659">
        <v>105</v>
      </c>
      <c r="C5659">
        <v>0.63253999999999999</v>
      </c>
      <c r="D5659">
        <v>0.48055999999999999</v>
      </c>
      <c r="E5659">
        <v>0.5</v>
      </c>
      <c r="F5659">
        <v>6</v>
      </c>
      <c r="G5659">
        <v>3</v>
      </c>
      <c r="H5659">
        <v>4</v>
      </c>
      <c r="I5659">
        <v>9</v>
      </c>
    </row>
    <row r="5660" spans="1:9">
      <c r="A5660" s="2">
        <v>2000</v>
      </c>
      <c r="B5660">
        <v>106</v>
      </c>
      <c r="C5660">
        <v>0.65659999999999996</v>
      </c>
      <c r="D5660">
        <v>0.49431999999999998</v>
      </c>
      <c r="E5660">
        <v>0.5</v>
      </c>
      <c r="F5660">
        <v>3</v>
      </c>
      <c r="G5660">
        <v>1</v>
      </c>
      <c r="H5660">
        <v>2</v>
      </c>
      <c r="I5660">
        <v>4</v>
      </c>
    </row>
    <row r="5661" spans="1:9">
      <c r="A5661" s="2">
        <v>2000</v>
      </c>
      <c r="B5661">
        <v>107</v>
      </c>
      <c r="C5661">
        <v>0.67988000000000004</v>
      </c>
      <c r="D5661">
        <v>0.50739999999999996</v>
      </c>
      <c r="E5661">
        <v>0.5</v>
      </c>
      <c r="F5661">
        <v>2</v>
      </c>
      <c r="G5661">
        <v>1</v>
      </c>
      <c r="H5661">
        <v>1</v>
      </c>
      <c r="I5661">
        <v>2</v>
      </c>
    </row>
    <row r="5662" spans="1:9">
      <c r="A5662" s="2">
        <v>2000</v>
      </c>
      <c r="B5662">
        <v>108</v>
      </c>
      <c r="C5662">
        <v>0.70230000000000004</v>
      </c>
      <c r="D5662">
        <v>0.51978000000000002</v>
      </c>
      <c r="E5662">
        <v>0.5</v>
      </c>
      <c r="F5662">
        <v>1</v>
      </c>
      <c r="G5662">
        <v>0</v>
      </c>
      <c r="H5662">
        <v>1</v>
      </c>
      <c r="I5662">
        <v>1</v>
      </c>
    </row>
    <row r="5663" spans="1:9">
      <c r="A5663" s="2">
        <v>2000</v>
      </c>
      <c r="B5663">
        <v>109</v>
      </c>
      <c r="C5663">
        <v>0.72379000000000004</v>
      </c>
      <c r="D5663">
        <v>0.53146000000000004</v>
      </c>
      <c r="E5663">
        <v>0.5</v>
      </c>
      <c r="F5663">
        <v>0</v>
      </c>
      <c r="G5663">
        <v>0</v>
      </c>
      <c r="H5663">
        <v>0</v>
      </c>
      <c r="I5663">
        <v>0</v>
      </c>
    </row>
    <row r="5664" spans="1:9">
      <c r="A5664" s="2">
        <v>2000</v>
      </c>
      <c r="B5664" t="s">
        <v>26</v>
      </c>
      <c r="C5664">
        <v>0.74429000000000001</v>
      </c>
      <c r="D5664">
        <v>1</v>
      </c>
      <c r="E5664">
        <v>1.34</v>
      </c>
      <c r="F5664">
        <v>0</v>
      </c>
      <c r="G5664">
        <v>0</v>
      </c>
      <c r="H5664">
        <v>0</v>
      </c>
      <c r="I5664">
        <v>0</v>
      </c>
    </row>
    <row r="5665" spans="1:9">
      <c r="A5665" s="2">
        <v>2001</v>
      </c>
      <c r="B5665">
        <v>0</v>
      </c>
      <c r="C5665">
        <v>8.7399999999999995E-3</v>
      </c>
      <c r="D5665">
        <v>8.6800000000000002E-3</v>
      </c>
      <c r="E5665">
        <v>0.13</v>
      </c>
      <c r="F5665">
        <v>100000</v>
      </c>
      <c r="G5665">
        <v>868</v>
      </c>
      <c r="H5665">
        <v>99247</v>
      </c>
      <c r="I5665">
        <v>6818731</v>
      </c>
    </row>
    <row r="5666" spans="1:9">
      <c r="A5666" s="2">
        <v>2001</v>
      </c>
      <c r="B5666">
        <v>1</v>
      </c>
      <c r="C5666">
        <v>5.5000000000000003E-4</v>
      </c>
      <c r="D5666">
        <v>5.5000000000000003E-4</v>
      </c>
      <c r="E5666">
        <v>0.5</v>
      </c>
      <c r="F5666">
        <v>99132</v>
      </c>
      <c r="G5666">
        <v>55</v>
      </c>
      <c r="H5666">
        <v>99105</v>
      </c>
      <c r="I5666">
        <v>6719484</v>
      </c>
    </row>
    <row r="5667" spans="1:9">
      <c r="A5667" s="2">
        <v>2001</v>
      </c>
      <c r="B5667">
        <v>2</v>
      </c>
      <c r="C5667">
        <v>3.6999999999999999E-4</v>
      </c>
      <c r="D5667">
        <v>3.6999999999999999E-4</v>
      </c>
      <c r="E5667">
        <v>0.5</v>
      </c>
      <c r="F5667">
        <v>99077</v>
      </c>
      <c r="G5667">
        <v>37</v>
      </c>
      <c r="H5667">
        <v>99059</v>
      </c>
      <c r="I5667">
        <v>6620380</v>
      </c>
    </row>
    <row r="5668" spans="1:9">
      <c r="A5668" s="2">
        <v>2001</v>
      </c>
      <c r="B5668">
        <v>3</v>
      </c>
      <c r="C5668">
        <v>3.6000000000000002E-4</v>
      </c>
      <c r="D5668">
        <v>3.6000000000000002E-4</v>
      </c>
      <c r="E5668">
        <v>0.5</v>
      </c>
      <c r="F5668">
        <v>99040</v>
      </c>
      <c r="G5668">
        <v>36</v>
      </c>
      <c r="H5668">
        <v>99022</v>
      </c>
      <c r="I5668">
        <v>6521321</v>
      </c>
    </row>
    <row r="5669" spans="1:9">
      <c r="A5669" s="2">
        <v>2001</v>
      </c>
      <c r="B5669">
        <v>4</v>
      </c>
      <c r="C5669">
        <v>2.5000000000000001E-4</v>
      </c>
      <c r="D5669">
        <v>2.5000000000000001E-4</v>
      </c>
      <c r="E5669">
        <v>0.5</v>
      </c>
      <c r="F5669">
        <v>99004</v>
      </c>
      <c r="G5669">
        <v>25</v>
      </c>
      <c r="H5669">
        <v>98992</v>
      </c>
      <c r="I5669">
        <v>6422298</v>
      </c>
    </row>
    <row r="5670" spans="1:9">
      <c r="A5670" s="2">
        <v>2001</v>
      </c>
      <c r="B5670">
        <v>5</v>
      </c>
      <c r="C5670">
        <v>9.0000000000000006E-5</v>
      </c>
      <c r="D5670">
        <v>9.0000000000000006E-5</v>
      </c>
      <c r="E5670">
        <v>0.5</v>
      </c>
      <c r="F5670">
        <v>98980</v>
      </c>
      <c r="G5670">
        <v>9</v>
      </c>
      <c r="H5670">
        <v>98975</v>
      </c>
      <c r="I5670">
        <v>6323306</v>
      </c>
    </row>
    <row r="5671" spans="1:9">
      <c r="A5671" s="2">
        <v>2001</v>
      </c>
      <c r="B5671">
        <v>6</v>
      </c>
      <c r="C5671">
        <v>2.7999999999999998E-4</v>
      </c>
      <c r="D5671">
        <v>2.7999999999999998E-4</v>
      </c>
      <c r="E5671">
        <v>0.5</v>
      </c>
      <c r="F5671">
        <v>98971</v>
      </c>
      <c r="G5671">
        <v>28</v>
      </c>
      <c r="H5671">
        <v>98957</v>
      </c>
      <c r="I5671">
        <v>6224331</v>
      </c>
    </row>
    <row r="5672" spans="1:9">
      <c r="A5672" s="2">
        <v>2001</v>
      </c>
      <c r="B5672">
        <v>7</v>
      </c>
      <c r="C5672">
        <v>1.3999999999999999E-4</v>
      </c>
      <c r="D5672">
        <v>1.3999999999999999E-4</v>
      </c>
      <c r="E5672">
        <v>0.5</v>
      </c>
      <c r="F5672">
        <v>98943</v>
      </c>
      <c r="G5672">
        <v>13</v>
      </c>
      <c r="H5672">
        <v>98936</v>
      </c>
      <c r="I5672">
        <v>6125375</v>
      </c>
    </row>
    <row r="5673" spans="1:9">
      <c r="A5673" s="2">
        <v>2001</v>
      </c>
      <c r="B5673">
        <v>8</v>
      </c>
      <c r="C5673">
        <v>1.7000000000000001E-4</v>
      </c>
      <c r="D5673">
        <v>1.7000000000000001E-4</v>
      </c>
      <c r="E5673">
        <v>0.5</v>
      </c>
      <c r="F5673">
        <v>98929</v>
      </c>
      <c r="G5673">
        <v>17</v>
      </c>
      <c r="H5673">
        <v>98921</v>
      </c>
      <c r="I5673">
        <v>6026439</v>
      </c>
    </row>
    <row r="5674" spans="1:9">
      <c r="A5674" s="2">
        <v>2001</v>
      </c>
      <c r="B5674">
        <v>9</v>
      </c>
      <c r="C5674">
        <v>1.9000000000000001E-4</v>
      </c>
      <c r="D5674">
        <v>1.9000000000000001E-4</v>
      </c>
      <c r="E5674">
        <v>0.5</v>
      </c>
      <c r="F5674">
        <v>98913</v>
      </c>
      <c r="G5674">
        <v>19</v>
      </c>
      <c r="H5674">
        <v>98903</v>
      </c>
      <c r="I5674">
        <v>5927518</v>
      </c>
    </row>
    <row r="5675" spans="1:9">
      <c r="A5675" s="2">
        <v>2001</v>
      </c>
      <c r="B5675">
        <v>10</v>
      </c>
      <c r="C5675">
        <v>1.1E-4</v>
      </c>
      <c r="D5675">
        <v>1.1E-4</v>
      </c>
      <c r="E5675">
        <v>0.5</v>
      </c>
      <c r="F5675">
        <v>98894</v>
      </c>
      <c r="G5675">
        <v>11</v>
      </c>
      <c r="H5675">
        <v>98888</v>
      </c>
      <c r="I5675">
        <v>5828615</v>
      </c>
    </row>
    <row r="5676" spans="1:9">
      <c r="A5676" s="2">
        <v>2001</v>
      </c>
      <c r="B5676">
        <v>11</v>
      </c>
      <c r="C5676">
        <v>2.9999999999999997E-4</v>
      </c>
      <c r="D5676">
        <v>2.9999999999999997E-4</v>
      </c>
      <c r="E5676">
        <v>0.5</v>
      </c>
      <c r="F5676">
        <v>98883</v>
      </c>
      <c r="G5676">
        <v>30</v>
      </c>
      <c r="H5676">
        <v>98868</v>
      </c>
      <c r="I5676">
        <v>5729727</v>
      </c>
    </row>
    <row r="5677" spans="1:9">
      <c r="A5677" s="2">
        <v>2001</v>
      </c>
      <c r="B5677">
        <v>12</v>
      </c>
      <c r="C5677">
        <v>2.9999999999999997E-4</v>
      </c>
      <c r="D5677">
        <v>2.9999999999999997E-4</v>
      </c>
      <c r="E5677">
        <v>0.5</v>
      </c>
      <c r="F5677">
        <v>98853</v>
      </c>
      <c r="G5677">
        <v>30</v>
      </c>
      <c r="H5677">
        <v>98838</v>
      </c>
      <c r="I5677">
        <v>5630859</v>
      </c>
    </row>
    <row r="5678" spans="1:9">
      <c r="A5678" s="2">
        <v>2001</v>
      </c>
      <c r="B5678">
        <v>13</v>
      </c>
      <c r="C5678">
        <v>2.9999999999999997E-4</v>
      </c>
      <c r="D5678">
        <v>2.9999999999999997E-4</v>
      </c>
      <c r="E5678">
        <v>0.5</v>
      </c>
      <c r="F5678">
        <v>98823</v>
      </c>
      <c r="G5678">
        <v>30</v>
      </c>
      <c r="H5678">
        <v>98808</v>
      </c>
      <c r="I5678">
        <v>5532021</v>
      </c>
    </row>
    <row r="5679" spans="1:9">
      <c r="A5679" s="2">
        <v>2001</v>
      </c>
      <c r="B5679">
        <v>14</v>
      </c>
      <c r="C5679">
        <v>2.0000000000000001E-4</v>
      </c>
      <c r="D5679">
        <v>2.0000000000000001E-4</v>
      </c>
      <c r="E5679">
        <v>0.5</v>
      </c>
      <c r="F5679">
        <v>98794</v>
      </c>
      <c r="G5679">
        <v>20</v>
      </c>
      <c r="H5679">
        <v>98784</v>
      </c>
      <c r="I5679">
        <v>5433212</v>
      </c>
    </row>
    <row r="5680" spans="1:9">
      <c r="A5680" s="2">
        <v>2001</v>
      </c>
      <c r="B5680">
        <v>15</v>
      </c>
      <c r="C5680">
        <v>2.5000000000000001E-4</v>
      </c>
      <c r="D5680">
        <v>2.5000000000000001E-4</v>
      </c>
      <c r="E5680">
        <v>0.5</v>
      </c>
      <c r="F5680">
        <v>98774</v>
      </c>
      <c r="G5680">
        <v>25</v>
      </c>
      <c r="H5680">
        <v>98761</v>
      </c>
      <c r="I5680">
        <v>5334428</v>
      </c>
    </row>
    <row r="5681" spans="1:9">
      <c r="A5681" s="2">
        <v>2001</v>
      </c>
      <c r="B5681">
        <v>16</v>
      </c>
      <c r="C5681">
        <v>2.9999999999999997E-4</v>
      </c>
      <c r="D5681">
        <v>2.9999999999999997E-4</v>
      </c>
      <c r="E5681">
        <v>0.5</v>
      </c>
      <c r="F5681">
        <v>98749</v>
      </c>
      <c r="G5681">
        <v>30</v>
      </c>
      <c r="H5681">
        <v>98734</v>
      </c>
      <c r="I5681">
        <v>5235667</v>
      </c>
    </row>
    <row r="5682" spans="1:9">
      <c r="A5682" s="2">
        <v>2001</v>
      </c>
      <c r="B5682">
        <v>17</v>
      </c>
      <c r="C5682">
        <v>6.8999999999999997E-4</v>
      </c>
      <c r="D5682">
        <v>6.8999999999999997E-4</v>
      </c>
      <c r="E5682">
        <v>0.5</v>
      </c>
      <c r="F5682">
        <v>98719</v>
      </c>
      <c r="G5682">
        <v>68</v>
      </c>
      <c r="H5682">
        <v>98685</v>
      </c>
      <c r="I5682">
        <v>5136933</v>
      </c>
    </row>
    <row r="5683" spans="1:9">
      <c r="A5683" s="2">
        <v>2001</v>
      </c>
      <c r="B5683">
        <v>18</v>
      </c>
      <c r="C5683">
        <v>5.6999999999999998E-4</v>
      </c>
      <c r="D5683">
        <v>5.6999999999999998E-4</v>
      </c>
      <c r="E5683">
        <v>0.5</v>
      </c>
      <c r="F5683">
        <v>98651</v>
      </c>
      <c r="G5683">
        <v>56</v>
      </c>
      <c r="H5683">
        <v>98623</v>
      </c>
      <c r="I5683">
        <v>5038248</v>
      </c>
    </row>
    <row r="5684" spans="1:9">
      <c r="A5684" s="2">
        <v>2001</v>
      </c>
      <c r="B5684">
        <v>19</v>
      </c>
      <c r="C5684">
        <v>8.7000000000000001E-4</v>
      </c>
      <c r="D5684">
        <v>8.7000000000000001E-4</v>
      </c>
      <c r="E5684">
        <v>0.5</v>
      </c>
      <c r="F5684">
        <v>98595</v>
      </c>
      <c r="G5684">
        <v>86</v>
      </c>
      <c r="H5684">
        <v>98552</v>
      </c>
      <c r="I5684">
        <v>4939625</v>
      </c>
    </row>
    <row r="5685" spans="1:9">
      <c r="A5685" s="2">
        <v>2001</v>
      </c>
      <c r="B5685">
        <v>20</v>
      </c>
      <c r="C5685">
        <v>8.8999999999999995E-4</v>
      </c>
      <c r="D5685">
        <v>8.8999999999999995E-4</v>
      </c>
      <c r="E5685">
        <v>0.5</v>
      </c>
      <c r="F5685">
        <v>98509</v>
      </c>
      <c r="G5685">
        <v>88</v>
      </c>
      <c r="H5685">
        <v>98465</v>
      </c>
      <c r="I5685">
        <v>4841073</v>
      </c>
    </row>
    <row r="5686" spans="1:9">
      <c r="A5686" s="2">
        <v>2001</v>
      </c>
      <c r="B5686">
        <v>21</v>
      </c>
      <c r="C5686">
        <v>8.0000000000000004E-4</v>
      </c>
      <c r="D5686">
        <v>8.0000000000000004E-4</v>
      </c>
      <c r="E5686">
        <v>0.5</v>
      </c>
      <c r="F5686">
        <v>98422</v>
      </c>
      <c r="G5686">
        <v>78</v>
      </c>
      <c r="H5686">
        <v>98383</v>
      </c>
      <c r="I5686">
        <v>4742608</v>
      </c>
    </row>
    <row r="5687" spans="1:9">
      <c r="A5687" s="2">
        <v>2001</v>
      </c>
      <c r="B5687">
        <v>22</v>
      </c>
      <c r="C5687">
        <v>8.7000000000000001E-4</v>
      </c>
      <c r="D5687">
        <v>8.7000000000000001E-4</v>
      </c>
      <c r="E5687">
        <v>0.5</v>
      </c>
      <c r="F5687">
        <v>98343</v>
      </c>
      <c r="G5687">
        <v>86</v>
      </c>
      <c r="H5687">
        <v>98300</v>
      </c>
      <c r="I5687">
        <v>4644225</v>
      </c>
    </row>
    <row r="5688" spans="1:9">
      <c r="A5688" s="2">
        <v>2001</v>
      </c>
      <c r="B5688">
        <v>23</v>
      </c>
      <c r="C5688">
        <v>8.5999999999999998E-4</v>
      </c>
      <c r="D5688">
        <v>8.5999999999999998E-4</v>
      </c>
      <c r="E5688">
        <v>0.5</v>
      </c>
      <c r="F5688">
        <v>98258</v>
      </c>
      <c r="G5688">
        <v>85</v>
      </c>
      <c r="H5688">
        <v>98215</v>
      </c>
      <c r="I5688">
        <v>4545925</v>
      </c>
    </row>
    <row r="5689" spans="1:9">
      <c r="A5689" s="2">
        <v>2001</v>
      </c>
      <c r="B5689">
        <v>24</v>
      </c>
      <c r="C5689">
        <v>1.0200000000000001E-3</v>
      </c>
      <c r="D5689">
        <v>1.01E-3</v>
      </c>
      <c r="E5689">
        <v>0.5</v>
      </c>
      <c r="F5689">
        <v>98173</v>
      </c>
      <c r="G5689">
        <v>100</v>
      </c>
      <c r="H5689">
        <v>98123</v>
      </c>
      <c r="I5689">
        <v>4447709</v>
      </c>
    </row>
    <row r="5690" spans="1:9">
      <c r="A5690" s="2">
        <v>2001</v>
      </c>
      <c r="B5690">
        <v>25</v>
      </c>
      <c r="C5690">
        <v>8.4999999999999995E-4</v>
      </c>
      <c r="D5690">
        <v>8.4999999999999995E-4</v>
      </c>
      <c r="E5690">
        <v>0.5</v>
      </c>
      <c r="F5690">
        <v>98073</v>
      </c>
      <c r="G5690">
        <v>84</v>
      </c>
      <c r="H5690">
        <v>98031</v>
      </c>
      <c r="I5690">
        <v>4349586</v>
      </c>
    </row>
    <row r="5691" spans="1:9">
      <c r="A5691" s="2">
        <v>2001</v>
      </c>
      <c r="B5691">
        <v>26</v>
      </c>
      <c r="C5691">
        <v>8.4999999999999995E-4</v>
      </c>
      <c r="D5691">
        <v>8.4999999999999995E-4</v>
      </c>
      <c r="E5691">
        <v>0.5</v>
      </c>
      <c r="F5691">
        <v>97990</v>
      </c>
      <c r="G5691">
        <v>84</v>
      </c>
      <c r="H5691">
        <v>97948</v>
      </c>
      <c r="I5691">
        <v>4251555</v>
      </c>
    </row>
    <row r="5692" spans="1:9">
      <c r="A5692" s="2">
        <v>2001</v>
      </c>
      <c r="B5692">
        <v>27</v>
      </c>
      <c r="C5692">
        <v>1.25E-3</v>
      </c>
      <c r="D5692">
        <v>1.25E-3</v>
      </c>
      <c r="E5692">
        <v>0.5</v>
      </c>
      <c r="F5692">
        <v>97906</v>
      </c>
      <c r="G5692">
        <v>123</v>
      </c>
      <c r="H5692">
        <v>97845</v>
      </c>
      <c r="I5692">
        <v>4153607</v>
      </c>
    </row>
    <row r="5693" spans="1:9">
      <c r="A5693" s="2">
        <v>2001</v>
      </c>
      <c r="B5693">
        <v>28</v>
      </c>
      <c r="C5693">
        <v>1.07E-3</v>
      </c>
      <c r="D5693">
        <v>1.07E-3</v>
      </c>
      <c r="E5693">
        <v>0.5</v>
      </c>
      <c r="F5693">
        <v>97783</v>
      </c>
      <c r="G5693">
        <v>105</v>
      </c>
      <c r="H5693">
        <v>97731</v>
      </c>
      <c r="I5693">
        <v>4055763</v>
      </c>
    </row>
    <row r="5694" spans="1:9">
      <c r="A5694" s="2">
        <v>2001</v>
      </c>
      <c r="B5694">
        <v>29</v>
      </c>
      <c r="C5694">
        <v>1.1199999999999999E-3</v>
      </c>
      <c r="D5694">
        <v>1.1199999999999999E-3</v>
      </c>
      <c r="E5694">
        <v>0.5</v>
      </c>
      <c r="F5694">
        <v>97679</v>
      </c>
      <c r="G5694">
        <v>110</v>
      </c>
      <c r="H5694">
        <v>97624</v>
      </c>
      <c r="I5694">
        <v>3958032</v>
      </c>
    </row>
    <row r="5695" spans="1:9">
      <c r="A5695" s="2">
        <v>2001</v>
      </c>
      <c r="B5695">
        <v>30</v>
      </c>
      <c r="C5695">
        <v>1.5499999999999999E-3</v>
      </c>
      <c r="D5695">
        <v>1.5499999999999999E-3</v>
      </c>
      <c r="E5695">
        <v>0.5</v>
      </c>
      <c r="F5695">
        <v>97569</v>
      </c>
      <c r="G5695">
        <v>152</v>
      </c>
      <c r="H5695">
        <v>97493</v>
      </c>
      <c r="I5695">
        <v>3860408</v>
      </c>
    </row>
    <row r="5696" spans="1:9">
      <c r="A5696" s="2">
        <v>2001</v>
      </c>
      <c r="B5696">
        <v>31</v>
      </c>
      <c r="C5696">
        <v>1.6000000000000001E-3</v>
      </c>
      <c r="D5696">
        <v>1.6000000000000001E-3</v>
      </c>
      <c r="E5696">
        <v>0.5</v>
      </c>
      <c r="F5696">
        <v>97417</v>
      </c>
      <c r="G5696">
        <v>156</v>
      </c>
      <c r="H5696">
        <v>97340</v>
      </c>
      <c r="I5696">
        <v>3762915</v>
      </c>
    </row>
    <row r="5697" spans="1:9">
      <c r="A5697" s="2">
        <v>2001</v>
      </c>
      <c r="B5697">
        <v>32</v>
      </c>
      <c r="C5697">
        <v>1.73E-3</v>
      </c>
      <c r="D5697">
        <v>1.73E-3</v>
      </c>
      <c r="E5697">
        <v>0.5</v>
      </c>
      <c r="F5697">
        <v>97262</v>
      </c>
      <c r="G5697">
        <v>168</v>
      </c>
      <c r="H5697">
        <v>97178</v>
      </c>
      <c r="I5697">
        <v>3665575</v>
      </c>
    </row>
    <row r="5698" spans="1:9">
      <c r="A5698" s="2">
        <v>2001</v>
      </c>
      <c r="B5698">
        <v>33</v>
      </c>
      <c r="C5698">
        <v>1.5200000000000001E-3</v>
      </c>
      <c r="D5698">
        <v>1.5200000000000001E-3</v>
      </c>
      <c r="E5698">
        <v>0.5</v>
      </c>
      <c r="F5698">
        <v>97094</v>
      </c>
      <c r="G5698">
        <v>148</v>
      </c>
      <c r="H5698">
        <v>97020</v>
      </c>
      <c r="I5698">
        <v>3568397</v>
      </c>
    </row>
    <row r="5699" spans="1:9">
      <c r="A5699" s="2">
        <v>2001</v>
      </c>
      <c r="B5699">
        <v>34</v>
      </c>
      <c r="C5699">
        <v>2.2100000000000002E-3</v>
      </c>
      <c r="D5699">
        <v>2.2100000000000002E-3</v>
      </c>
      <c r="E5699">
        <v>0.5</v>
      </c>
      <c r="F5699">
        <v>96946</v>
      </c>
      <c r="G5699">
        <v>214</v>
      </c>
      <c r="H5699">
        <v>96839</v>
      </c>
      <c r="I5699">
        <v>3471377</v>
      </c>
    </row>
    <row r="5700" spans="1:9">
      <c r="A5700" s="2">
        <v>2001</v>
      </c>
      <c r="B5700">
        <v>35</v>
      </c>
      <c r="C5700">
        <v>2.4599999999999999E-3</v>
      </c>
      <c r="D5700">
        <v>2.4599999999999999E-3</v>
      </c>
      <c r="E5700">
        <v>0.5</v>
      </c>
      <c r="F5700">
        <v>96732</v>
      </c>
      <c r="G5700">
        <v>238</v>
      </c>
      <c r="H5700">
        <v>96613</v>
      </c>
      <c r="I5700">
        <v>3374538</v>
      </c>
    </row>
    <row r="5701" spans="1:9">
      <c r="A5701" s="2">
        <v>2001</v>
      </c>
      <c r="B5701">
        <v>36</v>
      </c>
      <c r="C5701">
        <v>2.1800000000000001E-3</v>
      </c>
      <c r="D5701">
        <v>2.1800000000000001E-3</v>
      </c>
      <c r="E5701">
        <v>0.5</v>
      </c>
      <c r="F5701">
        <v>96494</v>
      </c>
      <c r="G5701">
        <v>210</v>
      </c>
      <c r="H5701">
        <v>96389</v>
      </c>
      <c r="I5701">
        <v>3277925</v>
      </c>
    </row>
    <row r="5702" spans="1:9">
      <c r="A5702" s="2">
        <v>2001</v>
      </c>
      <c r="B5702">
        <v>37</v>
      </c>
      <c r="C5702">
        <v>2.7699999999999999E-3</v>
      </c>
      <c r="D5702">
        <v>2.7599999999999999E-3</v>
      </c>
      <c r="E5702">
        <v>0.5</v>
      </c>
      <c r="F5702">
        <v>96284</v>
      </c>
      <c r="G5702">
        <v>266</v>
      </c>
      <c r="H5702">
        <v>96151</v>
      </c>
      <c r="I5702">
        <v>3181536</v>
      </c>
    </row>
    <row r="5703" spans="1:9">
      <c r="A5703" s="2">
        <v>2001</v>
      </c>
      <c r="B5703">
        <v>38</v>
      </c>
      <c r="C5703">
        <v>3.9300000000000003E-3</v>
      </c>
      <c r="D5703">
        <v>3.9199999999999999E-3</v>
      </c>
      <c r="E5703">
        <v>0.5</v>
      </c>
      <c r="F5703">
        <v>96018</v>
      </c>
      <c r="G5703">
        <v>376</v>
      </c>
      <c r="H5703">
        <v>95830</v>
      </c>
      <c r="I5703">
        <v>3085385</v>
      </c>
    </row>
    <row r="5704" spans="1:9">
      <c r="A5704" s="2">
        <v>2001</v>
      </c>
      <c r="B5704">
        <v>39</v>
      </c>
      <c r="C5704">
        <v>4.2399999999999998E-3</v>
      </c>
      <c r="D5704">
        <v>4.2300000000000003E-3</v>
      </c>
      <c r="E5704">
        <v>0.5</v>
      </c>
      <c r="F5704">
        <v>95641</v>
      </c>
      <c r="G5704">
        <v>405</v>
      </c>
      <c r="H5704">
        <v>95439</v>
      </c>
      <c r="I5704">
        <v>2989556</v>
      </c>
    </row>
    <row r="5705" spans="1:9">
      <c r="A5705" s="2">
        <v>2001</v>
      </c>
      <c r="B5705">
        <v>40</v>
      </c>
      <c r="C5705">
        <v>5.8999999999999999E-3</v>
      </c>
      <c r="D5705">
        <v>5.8799999999999998E-3</v>
      </c>
      <c r="E5705">
        <v>0.5</v>
      </c>
      <c r="F5705">
        <v>95237</v>
      </c>
      <c r="G5705">
        <v>560</v>
      </c>
      <c r="H5705">
        <v>94957</v>
      </c>
      <c r="I5705">
        <v>2894117</v>
      </c>
    </row>
    <row r="5706" spans="1:9">
      <c r="A5706" s="2">
        <v>2001</v>
      </c>
      <c r="B5706">
        <v>41</v>
      </c>
      <c r="C5706">
        <v>5.5199999999999997E-3</v>
      </c>
      <c r="D5706">
        <v>5.4999999999999997E-3</v>
      </c>
      <c r="E5706">
        <v>0.5</v>
      </c>
      <c r="F5706">
        <v>94677</v>
      </c>
      <c r="G5706">
        <v>521</v>
      </c>
      <c r="H5706">
        <v>94416</v>
      </c>
      <c r="I5706">
        <v>2799160</v>
      </c>
    </row>
    <row r="5707" spans="1:9">
      <c r="A5707" s="2">
        <v>2001</v>
      </c>
      <c r="B5707">
        <v>42</v>
      </c>
      <c r="C5707">
        <v>7.0899999999999999E-3</v>
      </c>
      <c r="D5707">
        <v>7.0699999999999999E-3</v>
      </c>
      <c r="E5707">
        <v>0.5</v>
      </c>
      <c r="F5707">
        <v>94156</v>
      </c>
      <c r="G5707">
        <v>666</v>
      </c>
      <c r="H5707">
        <v>93823</v>
      </c>
      <c r="I5707">
        <v>2704744</v>
      </c>
    </row>
    <row r="5708" spans="1:9">
      <c r="A5708" s="2">
        <v>2001</v>
      </c>
      <c r="B5708">
        <v>43</v>
      </c>
      <c r="C5708">
        <v>7.3200000000000001E-3</v>
      </c>
      <c r="D5708">
        <v>7.2899999999999996E-3</v>
      </c>
      <c r="E5708">
        <v>0.5</v>
      </c>
      <c r="F5708">
        <v>93490</v>
      </c>
      <c r="G5708">
        <v>682</v>
      </c>
      <c r="H5708">
        <v>93149</v>
      </c>
      <c r="I5708">
        <v>2610921</v>
      </c>
    </row>
    <row r="5709" spans="1:9">
      <c r="A5709" s="2">
        <v>2001</v>
      </c>
      <c r="B5709">
        <v>44</v>
      </c>
      <c r="C5709">
        <v>8.26E-3</v>
      </c>
      <c r="D5709">
        <v>8.2299999999999995E-3</v>
      </c>
      <c r="E5709">
        <v>0.5</v>
      </c>
      <c r="F5709">
        <v>92808</v>
      </c>
      <c r="G5709">
        <v>764</v>
      </c>
      <c r="H5709">
        <v>92426</v>
      </c>
      <c r="I5709">
        <v>2517772</v>
      </c>
    </row>
    <row r="5710" spans="1:9">
      <c r="A5710" s="2">
        <v>2001</v>
      </c>
      <c r="B5710">
        <v>45</v>
      </c>
      <c r="C5710">
        <v>9.4000000000000004E-3</v>
      </c>
      <c r="D5710">
        <v>9.3500000000000007E-3</v>
      </c>
      <c r="E5710">
        <v>0.5</v>
      </c>
      <c r="F5710">
        <v>92044</v>
      </c>
      <c r="G5710">
        <v>861</v>
      </c>
      <c r="H5710">
        <v>91614</v>
      </c>
      <c r="I5710">
        <v>2425346</v>
      </c>
    </row>
    <row r="5711" spans="1:9">
      <c r="A5711" s="2">
        <v>2001</v>
      </c>
      <c r="B5711">
        <v>46</v>
      </c>
      <c r="C5711">
        <v>9.6900000000000007E-3</v>
      </c>
      <c r="D5711">
        <v>9.6399999999999993E-3</v>
      </c>
      <c r="E5711">
        <v>0.5</v>
      </c>
      <c r="F5711">
        <v>91184</v>
      </c>
      <c r="G5711">
        <v>879</v>
      </c>
      <c r="H5711">
        <v>90744</v>
      </c>
      <c r="I5711">
        <v>2333732</v>
      </c>
    </row>
    <row r="5712" spans="1:9">
      <c r="A5712" s="2">
        <v>2001</v>
      </c>
      <c r="B5712">
        <v>47</v>
      </c>
      <c r="C5712">
        <v>1.03E-2</v>
      </c>
      <c r="D5712">
        <v>1.025E-2</v>
      </c>
      <c r="E5712">
        <v>0.5</v>
      </c>
      <c r="F5712">
        <v>90304</v>
      </c>
      <c r="G5712">
        <v>925</v>
      </c>
      <c r="H5712">
        <v>89841</v>
      </c>
      <c r="I5712">
        <v>2242988</v>
      </c>
    </row>
    <row r="5713" spans="1:9">
      <c r="A5713" s="2">
        <v>2001</v>
      </c>
      <c r="B5713">
        <v>48</v>
      </c>
      <c r="C5713">
        <v>1.1220000000000001E-2</v>
      </c>
      <c r="D5713">
        <v>1.116E-2</v>
      </c>
      <c r="E5713">
        <v>0.5</v>
      </c>
      <c r="F5713">
        <v>89379</v>
      </c>
      <c r="G5713">
        <v>997</v>
      </c>
      <c r="H5713">
        <v>88880</v>
      </c>
      <c r="I5713">
        <v>2153147</v>
      </c>
    </row>
    <row r="5714" spans="1:9">
      <c r="A5714" s="2">
        <v>2001</v>
      </c>
      <c r="B5714">
        <v>49</v>
      </c>
      <c r="C5714">
        <v>1.264E-2</v>
      </c>
      <c r="D5714">
        <v>1.256E-2</v>
      </c>
      <c r="E5714">
        <v>0.5</v>
      </c>
      <c r="F5714">
        <v>88381</v>
      </c>
      <c r="G5714">
        <v>1110</v>
      </c>
      <c r="H5714">
        <v>87827</v>
      </c>
      <c r="I5714">
        <v>2064266</v>
      </c>
    </row>
    <row r="5715" spans="1:9">
      <c r="A5715" s="2">
        <v>2001</v>
      </c>
      <c r="B5715">
        <v>50</v>
      </c>
      <c r="C5715">
        <v>1.3270000000000001E-2</v>
      </c>
      <c r="D5715">
        <v>1.3180000000000001E-2</v>
      </c>
      <c r="E5715">
        <v>0.5</v>
      </c>
      <c r="F5715">
        <v>87272</v>
      </c>
      <c r="G5715">
        <v>1150</v>
      </c>
      <c r="H5715">
        <v>86697</v>
      </c>
      <c r="I5715">
        <v>1976440</v>
      </c>
    </row>
    <row r="5716" spans="1:9">
      <c r="A5716" s="2">
        <v>2001</v>
      </c>
      <c r="B5716">
        <v>51</v>
      </c>
      <c r="C5716">
        <v>1.421E-2</v>
      </c>
      <c r="D5716">
        <v>1.4109999999999999E-2</v>
      </c>
      <c r="E5716">
        <v>0.5</v>
      </c>
      <c r="F5716">
        <v>86121</v>
      </c>
      <c r="G5716">
        <v>1215</v>
      </c>
      <c r="H5716">
        <v>85514</v>
      </c>
      <c r="I5716">
        <v>1889743</v>
      </c>
    </row>
    <row r="5717" spans="1:9">
      <c r="A5717" s="2">
        <v>2001</v>
      </c>
      <c r="B5717">
        <v>52</v>
      </c>
      <c r="C5717">
        <v>1.507E-2</v>
      </c>
      <c r="D5717">
        <v>1.4959999999999999E-2</v>
      </c>
      <c r="E5717">
        <v>0.5</v>
      </c>
      <c r="F5717">
        <v>84906</v>
      </c>
      <c r="G5717">
        <v>1270</v>
      </c>
      <c r="H5717">
        <v>84271</v>
      </c>
      <c r="I5717">
        <v>1804230</v>
      </c>
    </row>
    <row r="5718" spans="1:9">
      <c r="A5718" s="2">
        <v>2001</v>
      </c>
      <c r="B5718">
        <v>53</v>
      </c>
      <c r="C5718">
        <v>1.6400000000000001E-2</v>
      </c>
      <c r="D5718">
        <v>1.627E-2</v>
      </c>
      <c r="E5718">
        <v>0.5</v>
      </c>
      <c r="F5718">
        <v>83636</v>
      </c>
      <c r="G5718">
        <v>1361</v>
      </c>
      <c r="H5718">
        <v>82955</v>
      </c>
      <c r="I5718">
        <v>1719959</v>
      </c>
    </row>
    <row r="5719" spans="1:9">
      <c r="A5719" s="2">
        <v>2001</v>
      </c>
      <c r="B5719">
        <v>54</v>
      </c>
      <c r="C5719">
        <v>1.754E-2</v>
      </c>
      <c r="D5719">
        <v>1.7389999999999999E-2</v>
      </c>
      <c r="E5719">
        <v>0.5</v>
      </c>
      <c r="F5719">
        <v>82275</v>
      </c>
      <c r="G5719">
        <v>1431</v>
      </c>
      <c r="H5719">
        <v>81560</v>
      </c>
      <c r="I5719">
        <v>1637003</v>
      </c>
    </row>
    <row r="5720" spans="1:9">
      <c r="A5720" s="2">
        <v>2001</v>
      </c>
      <c r="B5720">
        <v>55</v>
      </c>
      <c r="C5720">
        <v>1.687E-2</v>
      </c>
      <c r="D5720">
        <v>1.6729999999999998E-2</v>
      </c>
      <c r="E5720">
        <v>0.5</v>
      </c>
      <c r="F5720">
        <v>80844</v>
      </c>
      <c r="G5720">
        <v>1353</v>
      </c>
      <c r="H5720">
        <v>80168</v>
      </c>
      <c r="I5720">
        <v>1555444</v>
      </c>
    </row>
    <row r="5721" spans="1:9">
      <c r="A5721" s="2">
        <v>2001</v>
      </c>
      <c r="B5721">
        <v>56</v>
      </c>
      <c r="C5721">
        <v>2.077E-2</v>
      </c>
      <c r="D5721">
        <v>2.0559999999999998E-2</v>
      </c>
      <c r="E5721">
        <v>0.5</v>
      </c>
      <c r="F5721">
        <v>79491</v>
      </c>
      <c r="G5721">
        <v>1634</v>
      </c>
      <c r="H5721">
        <v>78674</v>
      </c>
      <c r="I5721">
        <v>1475276</v>
      </c>
    </row>
    <row r="5722" spans="1:9">
      <c r="A5722" s="2">
        <v>2001</v>
      </c>
      <c r="B5722">
        <v>57</v>
      </c>
      <c r="C5722">
        <v>1.9279999999999999E-2</v>
      </c>
      <c r="D5722">
        <v>1.9089999999999999E-2</v>
      </c>
      <c r="E5722">
        <v>0.5</v>
      </c>
      <c r="F5722">
        <v>77857</v>
      </c>
      <c r="G5722">
        <v>1487</v>
      </c>
      <c r="H5722">
        <v>77114</v>
      </c>
      <c r="I5722">
        <v>1396602</v>
      </c>
    </row>
    <row r="5723" spans="1:9">
      <c r="A5723" s="2">
        <v>2001</v>
      </c>
      <c r="B5723">
        <v>58</v>
      </c>
      <c r="C5723">
        <v>2.0809999999999999E-2</v>
      </c>
      <c r="D5723">
        <v>2.0590000000000001E-2</v>
      </c>
      <c r="E5723">
        <v>0.5</v>
      </c>
      <c r="F5723">
        <v>76371</v>
      </c>
      <c r="G5723">
        <v>1573</v>
      </c>
      <c r="H5723">
        <v>75584</v>
      </c>
      <c r="I5723">
        <v>1319488</v>
      </c>
    </row>
    <row r="5724" spans="1:9">
      <c r="A5724" s="2">
        <v>2001</v>
      </c>
      <c r="B5724">
        <v>59</v>
      </c>
      <c r="C5724">
        <v>2.3890000000000002E-2</v>
      </c>
      <c r="D5724">
        <v>2.3609999999999999E-2</v>
      </c>
      <c r="E5724">
        <v>0.5</v>
      </c>
      <c r="F5724">
        <v>74798</v>
      </c>
      <c r="G5724">
        <v>1766</v>
      </c>
      <c r="H5724">
        <v>73915</v>
      </c>
      <c r="I5724">
        <v>1243903</v>
      </c>
    </row>
    <row r="5725" spans="1:9">
      <c r="A5725" s="2">
        <v>2001</v>
      </c>
      <c r="B5725">
        <v>60</v>
      </c>
      <c r="C5725">
        <v>2.579E-2</v>
      </c>
      <c r="D5725">
        <v>2.547E-2</v>
      </c>
      <c r="E5725">
        <v>0.5</v>
      </c>
      <c r="F5725">
        <v>73032</v>
      </c>
      <c r="G5725">
        <v>1860</v>
      </c>
      <c r="H5725">
        <v>72102</v>
      </c>
      <c r="I5725">
        <v>1169988</v>
      </c>
    </row>
    <row r="5726" spans="1:9">
      <c r="A5726" s="2">
        <v>2001</v>
      </c>
      <c r="B5726">
        <v>61</v>
      </c>
      <c r="C5726">
        <v>2.6190000000000001E-2</v>
      </c>
      <c r="D5726">
        <v>2.5850000000000001E-2</v>
      </c>
      <c r="E5726">
        <v>0.5</v>
      </c>
      <c r="F5726">
        <v>71172</v>
      </c>
      <c r="G5726">
        <v>1840</v>
      </c>
      <c r="H5726">
        <v>70252</v>
      </c>
      <c r="I5726">
        <v>1097886</v>
      </c>
    </row>
    <row r="5727" spans="1:9">
      <c r="A5727" s="2">
        <v>2001</v>
      </c>
      <c r="B5727">
        <v>62</v>
      </c>
      <c r="C5727">
        <v>2.828E-2</v>
      </c>
      <c r="D5727">
        <v>2.7890000000000002E-2</v>
      </c>
      <c r="E5727">
        <v>0.5</v>
      </c>
      <c r="F5727">
        <v>69332</v>
      </c>
      <c r="G5727">
        <v>1933</v>
      </c>
      <c r="H5727">
        <v>68366</v>
      </c>
      <c r="I5727">
        <v>1027634</v>
      </c>
    </row>
    <row r="5728" spans="1:9">
      <c r="A5728" s="2">
        <v>2001</v>
      </c>
      <c r="B5728">
        <v>63</v>
      </c>
      <c r="C5728">
        <v>3.0190000000000002E-2</v>
      </c>
      <c r="D5728">
        <v>2.9739999999999999E-2</v>
      </c>
      <c r="E5728">
        <v>0.5</v>
      </c>
      <c r="F5728">
        <v>67399</v>
      </c>
      <c r="G5728">
        <v>2004</v>
      </c>
      <c r="H5728">
        <v>66397</v>
      </c>
      <c r="I5728">
        <v>959268</v>
      </c>
    </row>
    <row r="5729" spans="1:9">
      <c r="A5729" s="2">
        <v>2001</v>
      </c>
      <c r="B5729">
        <v>64</v>
      </c>
      <c r="C5729">
        <v>3.211E-2</v>
      </c>
      <c r="D5729">
        <v>3.1600000000000003E-2</v>
      </c>
      <c r="E5729">
        <v>0.5</v>
      </c>
      <c r="F5729">
        <v>65394</v>
      </c>
      <c r="G5729">
        <v>2067</v>
      </c>
      <c r="H5729">
        <v>64361</v>
      </c>
      <c r="I5729">
        <v>892871</v>
      </c>
    </row>
    <row r="5730" spans="1:9">
      <c r="A5730" s="2">
        <v>2001</v>
      </c>
      <c r="B5730">
        <v>65</v>
      </c>
      <c r="C5730">
        <v>3.5700000000000003E-2</v>
      </c>
      <c r="D5730">
        <v>3.5069999999999997E-2</v>
      </c>
      <c r="E5730">
        <v>0.5</v>
      </c>
      <c r="F5730">
        <v>63328</v>
      </c>
      <c r="G5730">
        <v>2221</v>
      </c>
      <c r="H5730">
        <v>62217</v>
      </c>
      <c r="I5730">
        <v>828510</v>
      </c>
    </row>
    <row r="5731" spans="1:9">
      <c r="A5731" s="2">
        <v>2001</v>
      </c>
      <c r="B5731">
        <v>66</v>
      </c>
      <c r="C5731">
        <v>3.78E-2</v>
      </c>
      <c r="D5731">
        <v>3.7100000000000001E-2</v>
      </c>
      <c r="E5731">
        <v>0.5</v>
      </c>
      <c r="F5731">
        <v>61107</v>
      </c>
      <c r="G5731">
        <v>2267</v>
      </c>
      <c r="H5731">
        <v>59973</v>
      </c>
      <c r="I5731">
        <v>766293</v>
      </c>
    </row>
    <row r="5732" spans="1:9">
      <c r="A5732" s="2">
        <v>2001</v>
      </c>
      <c r="B5732">
        <v>67</v>
      </c>
      <c r="C5732">
        <v>4.045E-2</v>
      </c>
      <c r="D5732">
        <v>3.9649999999999998E-2</v>
      </c>
      <c r="E5732">
        <v>0.5</v>
      </c>
      <c r="F5732">
        <v>58840</v>
      </c>
      <c r="G5732">
        <v>2333</v>
      </c>
      <c r="H5732">
        <v>57673</v>
      </c>
      <c r="I5732">
        <v>706320</v>
      </c>
    </row>
    <row r="5733" spans="1:9">
      <c r="A5733" s="2">
        <v>2001</v>
      </c>
      <c r="B5733">
        <v>68</v>
      </c>
      <c r="C5733">
        <v>4.2340000000000003E-2</v>
      </c>
      <c r="D5733">
        <v>4.1459999999999997E-2</v>
      </c>
      <c r="E5733">
        <v>0.5</v>
      </c>
      <c r="F5733">
        <v>56507</v>
      </c>
      <c r="G5733">
        <v>2343</v>
      </c>
      <c r="H5733">
        <v>55335</v>
      </c>
      <c r="I5733">
        <v>648647</v>
      </c>
    </row>
    <row r="5734" spans="1:9">
      <c r="A5734" s="2">
        <v>2001</v>
      </c>
      <c r="B5734">
        <v>69</v>
      </c>
      <c r="C5734">
        <v>4.4720000000000003E-2</v>
      </c>
      <c r="D5734">
        <v>4.3749999999999997E-2</v>
      </c>
      <c r="E5734">
        <v>0.5</v>
      </c>
      <c r="F5734">
        <v>54164</v>
      </c>
      <c r="G5734">
        <v>2369</v>
      </c>
      <c r="H5734">
        <v>52979</v>
      </c>
      <c r="I5734">
        <v>593312</v>
      </c>
    </row>
    <row r="5735" spans="1:9">
      <c r="A5735" s="2">
        <v>2001</v>
      </c>
      <c r="B5735">
        <v>70</v>
      </c>
      <c r="C5735">
        <v>5.1310000000000001E-2</v>
      </c>
      <c r="D5735">
        <v>5.0029999999999998E-2</v>
      </c>
      <c r="E5735">
        <v>0.5</v>
      </c>
      <c r="F5735">
        <v>51794</v>
      </c>
      <c r="G5735">
        <v>2591</v>
      </c>
      <c r="H5735">
        <v>50499</v>
      </c>
      <c r="I5735">
        <v>540332</v>
      </c>
    </row>
    <row r="5736" spans="1:9">
      <c r="A5736" s="2">
        <v>2001</v>
      </c>
      <c r="B5736">
        <v>71</v>
      </c>
      <c r="C5736">
        <v>5.2609999999999997E-2</v>
      </c>
      <c r="D5736">
        <v>5.1270000000000003E-2</v>
      </c>
      <c r="E5736">
        <v>0.5</v>
      </c>
      <c r="F5736">
        <v>49203</v>
      </c>
      <c r="G5736">
        <v>2522</v>
      </c>
      <c r="H5736">
        <v>47942</v>
      </c>
      <c r="I5736">
        <v>489834</v>
      </c>
    </row>
    <row r="5737" spans="1:9">
      <c r="A5737" s="2">
        <v>2001</v>
      </c>
      <c r="B5737">
        <v>72</v>
      </c>
      <c r="C5737">
        <v>5.6779999999999997E-2</v>
      </c>
      <c r="D5737">
        <v>5.5210000000000002E-2</v>
      </c>
      <c r="E5737">
        <v>0.5</v>
      </c>
      <c r="F5737">
        <v>46681</v>
      </c>
      <c r="G5737">
        <v>2577</v>
      </c>
      <c r="H5737">
        <v>45392</v>
      </c>
      <c r="I5737">
        <v>441892</v>
      </c>
    </row>
    <row r="5738" spans="1:9">
      <c r="A5738" s="2">
        <v>2001</v>
      </c>
      <c r="B5738">
        <v>73</v>
      </c>
      <c r="C5738">
        <v>6.1760000000000002E-2</v>
      </c>
      <c r="D5738">
        <v>5.9909999999999998E-2</v>
      </c>
      <c r="E5738">
        <v>0.5</v>
      </c>
      <c r="F5738">
        <v>44103</v>
      </c>
      <c r="G5738">
        <v>2642</v>
      </c>
      <c r="H5738">
        <v>42782</v>
      </c>
      <c r="I5738">
        <v>396500</v>
      </c>
    </row>
    <row r="5739" spans="1:9">
      <c r="A5739" s="2">
        <v>2001</v>
      </c>
      <c r="B5739">
        <v>74</v>
      </c>
      <c r="C5739">
        <v>6.6830000000000001E-2</v>
      </c>
      <c r="D5739">
        <v>6.4670000000000005E-2</v>
      </c>
      <c r="E5739">
        <v>0.5</v>
      </c>
      <c r="F5739">
        <v>41461</v>
      </c>
      <c r="G5739">
        <v>2681</v>
      </c>
      <c r="H5739">
        <v>40121</v>
      </c>
      <c r="I5739">
        <v>353718</v>
      </c>
    </row>
    <row r="5740" spans="1:9">
      <c r="A5740" s="2">
        <v>2001</v>
      </c>
      <c r="B5740">
        <v>75</v>
      </c>
      <c r="C5740">
        <v>7.5929999999999997E-2</v>
      </c>
      <c r="D5740">
        <v>7.3150000000000007E-2</v>
      </c>
      <c r="E5740">
        <v>0.5</v>
      </c>
      <c r="F5740">
        <v>38780</v>
      </c>
      <c r="G5740">
        <v>2837</v>
      </c>
      <c r="H5740">
        <v>37362</v>
      </c>
      <c r="I5740">
        <v>313597</v>
      </c>
    </row>
    <row r="5741" spans="1:9">
      <c r="A5741" s="2">
        <v>2001</v>
      </c>
      <c r="B5741">
        <v>76</v>
      </c>
      <c r="C5741">
        <v>8.0399999999999999E-2</v>
      </c>
      <c r="D5741">
        <v>7.7289999999999998E-2</v>
      </c>
      <c r="E5741">
        <v>0.5</v>
      </c>
      <c r="F5741">
        <v>35943</v>
      </c>
      <c r="G5741">
        <v>2778</v>
      </c>
      <c r="H5741">
        <v>34554</v>
      </c>
      <c r="I5741">
        <v>276235</v>
      </c>
    </row>
    <row r="5742" spans="1:9">
      <c r="A5742" s="2">
        <v>2001</v>
      </c>
      <c r="B5742">
        <v>77</v>
      </c>
      <c r="C5742">
        <v>8.8289999999999993E-2</v>
      </c>
      <c r="D5742">
        <v>8.4559999999999996E-2</v>
      </c>
      <c r="E5742">
        <v>0.5</v>
      </c>
      <c r="F5742">
        <v>33165</v>
      </c>
      <c r="G5742">
        <v>2804</v>
      </c>
      <c r="H5742">
        <v>31763</v>
      </c>
      <c r="I5742">
        <v>241681</v>
      </c>
    </row>
    <row r="5743" spans="1:9">
      <c r="A5743" s="2">
        <v>2001</v>
      </c>
      <c r="B5743">
        <v>78</v>
      </c>
      <c r="C5743">
        <v>8.974E-2</v>
      </c>
      <c r="D5743">
        <v>8.5889999999999994E-2</v>
      </c>
      <c r="E5743">
        <v>0.5</v>
      </c>
      <c r="F5743">
        <v>30361</v>
      </c>
      <c r="G5743">
        <v>2608</v>
      </c>
      <c r="H5743">
        <v>29057</v>
      </c>
      <c r="I5743">
        <v>209918</v>
      </c>
    </row>
    <row r="5744" spans="1:9">
      <c r="A5744" s="2">
        <v>2001</v>
      </c>
      <c r="B5744">
        <v>79</v>
      </c>
      <c r="C5744">
        <v>9.8299999999999998E-2</v>
      </c>
      <c r="D5744">
        <v>9.3700000000000006E-2</v>
      </c>
      <c r="E5744">
        <v>0.5</v>
      </c>
      <c r="F5744">
        <v>27753</v>
      </c>
      <c r="G5744">
        <v>2600</v>
      </c>
      <c r="H5744">
        <v>26453</v>
      </c>
      <c r="I5744">
        <v>180861</v>
      </c>
    </row>
    <row r="5745" spans="1:9">
      <c r="A5745" s="2">
        <v>2001</v>
      </c>
      <c r="B5745">
        <v>80</v>
      </c>
      <c r="C5745">
        <v>0.10435</v>
      </c>
      <c r="D5745">
        <v>9.9180000000000004E-2</v>
      </c>
      <c r="E5745">
        <v>0.5</v>
      </c>
      <c r="F5745">
        <v>25153</v>
      </c>
      <c r="G5745">
        <v>2495</v>
      </c>
      <c r="H5745">
        <v>23905</v>
      </c>
      <c r="I5745">
        <v>154409</v>
      </c>
    </row>
    <row r="5746" spans="1:9">
      <c r="A5746" s="2">
        <v>2001</v>
      </c>
      <c r="B5746">
        <v>81</v>
      </c>
      <c r="C5746">
        <v>0.13184000000000001</v>
      </c>
      <c r="D5746">
        <v>0.12368</v>
      </c>
      <c r="E5746">
        <v>0.5</v>
      </c>
      <c r="F5746">
        <v>22658</v>
      </c>
      <c r="G5746">
        <v>2802</v>
      </c>
      <c r="H5746">
        <v>21257</v>
      </c>
      <c r="I5746">
        <v>130503</v>
      </c>
    </row>
    <row r="5747" spans="1:9">
      <c r="A5747" s="2">
        <v>2001</v>
      </c>
      <c r="B5747">
        <v>82</v>
      </c>
      <c r="C5747">
        <v>0.12089</v>
      </c>
      <c r="D5747">
        <v>0.114</v>
      </c>
      <c r="E5747">
        <v>0.5</v>
      </c>
      <c r="F5747">
        <v>19856</v>
      </c>
      <c r="G5747">
        <v>2263</v>
      </c>
      <c r="H5747">
        <v>18724</v>
      </c>
      <c r="I5747">
        <v>109247</v>
      </c>
    </row>
    <row r="5748" spans="1:9">
      <c r="A5748" s="2">
        <v>2001</v>
      </c>
      <c r="B5748">
        <v>83</v>
      </c>
      <c r="C5748">
        <v>0.13972000000000001</v>
      </c>
      <c r="D5748">
        <v>0.13059999999999999</v>
      </c>
      <c r="E5748">
        <v>0.5</v>
      </c>
      <c r="F5748">
        <v>17592</v>
      </c>
      <c r="G5748">
        <v>2298</v>
      </c>
      <c r="H5748">
        <v>16443</v>
      </c>
      <c r="I5748">
        <v>90523</v>
      </c>
    </row>
    <row r="5749" spans="1:9">
      <c r="A5749" s="2">
        <v>2001</v>
      </c>
      <c r="B5749">
        <v>84</v>
      </c>
      <c r="C5749">
        <v>0.14651</v>
      </c>
      <c r="D5749">
        <v>0.13650999999999999</v>
      </c>
      <c r="E5749">
        <v>0.5</v>
      </c>
      <c r="F5749">
        <v>15295</v>
      </c>
      <c r="G5749">
        <v>2088</v>
      </c>
      <c r="H5749">
        <v>14251</v>
      </c>
      <c r="I5749">
        <v>74079</v>
      </c>
    </row>
    <row r="5750" spans="1:9">
      <c r="A5750" s="2">
        <v>2001</v>
      </c>
      <c r="B5750">
        <v>85</v>
      </c>
      <c r="C5750">
        <v>0.14319000000000001</v>
      </c>
      <c r="D5750">
        <v>0.13361999999999999</v>
      </c>
      <c r="E5750">
        <v>0.5</v>
      </c>
      <c r="F5750">
        <v>13207</v>
      </c>
      <c r="G5750">
        <v>1765</v>
      </c>
      <c r="H5750">
        <v>12324</v>
      </c>
      <c r="I5750">
        <v>59829</v>
      </c>
    </row>
    <row r="5751" spans="1:9">
      <c r="A5751" s="2">
        <v>2001</v>
      </c>
      <c r="B5751">
        <v>86</v>
      </c>
      <c r="C5751">
        <v>0.20571999999999999</v>
      </c>
      <c r="D5751">
        <v>0.18653</v>
      </c>
      <c r="E5751">
        <v>0.5</v>
      </c>
      <c r="F5751">
        <v>11442</v>
      </c>
      <c r="G5751">
        <v>2134</v>
      </c>
      <c r="H5751">
        <v>10375</v>
      </c>
      <c r="I5751">
        <v>47504</v>
      </c>
    </row>
    <row r="5752" spans="1:9">
      <c r="A5752" s="2">
        <v>2001</v>
      </c>
      <c r="B5752">
        <v>87</v>
      </c>
      <c r="C5752">
        <v>0.19636000000000001</v>
      </c>
      <c r="D5752">
        <v>0.17879999999999999</v>
      </c>
      <c r="E5752">
        <v>0.5</v>
      </c>
      <c r="F5752">
        <v>9308</v>
      </c>
      <c r="G5752">
        <v>1664</v>
      </c>
      <c r="H5752">
        <v>8476</v>
      </c>
      <c r="I5752">
        <v>37129</v>
      </c>
    </row>
    <row r="5753" spans="1:9">
      <c r="A5753" s="2">
        <v>2001</v>
      </c>
      <c r="B5753">
        <v>88</v>
      </c>
      <c r="C5753">
        <v>0.20666000000000001</v>
      </c>
      <c r="D5753">
        <v>0.18731</v>
      </c>
      <c r="E5753">
        <v>0.5</v>
      </c>
      <c r="F5753">
        <v>7643</v>
      </c>
      <c r="G5753">
        <v>1432</v>
      </c>
      <c r="H5753">
        <v>6928</v>
      </c>
      <c r="I5753">
        <v>28654</v>
      </c>
    </row>
    <row r="5754" spans="1:9">
      <c r="A5754" s="2">
        <v>2001</v>
      </c>
      <c r="B5754">
        <v>89</v>
      </c>
      <c r="C5754">
        <v>0.24437999999999999</v>
      </c>
      <c r="D5754">
        <v>0.21776999999999999</v>
      </c>
      <c r="E5754">
        <v>0.5</v>
      </c>
      <c r="F5754">
        <v>6212</v>
      </c>
      <c r="G5754">
        <v>1353</v>
      </c>
      <c r="H5754">
        <v>5535</v>
      </c>
      <c r="I5754">
        <v>21726</v>
      </c>
    </row>
    <row r="5755" spans="1:9">
      <c r="A5755" s="2">
        <v>2001</v>
      </c>
      <c r="B5755">
        <v>90</v>
      </c>
      <c r="C5755">
        <v>0.23743</v>
      </c>
      <c r="D5755">
        <v>0.21224000000000001</v>
      </c>
      <c r="E5755">
        <v>0.5</v>
      </c>
      <c r="F5755">
        <v>4859</v>
      </c>
      <c r="G5755">
        <v>1031</v>
      </c>
      <c r="H5755">
        <v>4343</v>
      </c>
      <c r="I5755">
        <v>16191</v>
      </c>
    </row>
    <row r="5756" spans="1:9">
      <c r="A5756" s="2">
        <v>2001</v>
      </c>
      <c r="B5756">
        <v>91</v>
      </c>
      <c r="C5756">
        <v>0.24998999999999999</v>
      </c>
      <c r="D5756">
        <v>0.22220999999999999</v>
      </c>
      <c r="E5756">
        <v>0.5</v>
      </c>
      <c r="F5756">
        <v>3828</v>
      </c>
      <c r="G5756">
        <v>851</v>
      </c>
      <c r="H5756">
        <v>3402</v>
      </c>
      <c r="I5756">
        <v>11847</v>
      </c>
    </row>
    <row r="5757" spans="1:9">
      <c r="A5757" s="2">
        <v>2001</v>
      </c>
      <c r="B5757">
        <v>92</v>
      </c>
      <c r="C5757">
        <v>0.30609999999999998</v>
      </c>
      <c r="D5757">
        <v>0.26546999999999998</v>
      </c>
      <c r="E5757">
        <v>0.5</v>
      </c>
      <c r="F5757">
        <v>2977</v>
      </c>
      <c r="G5757">
        <v>790</v>
      </c>
      <c r="H5757">
        <v>2582</v>
      </c>
      <c r="I5757">
        <v>8445</v>
      </c>
    </row>
    <row r="5758" spans="1:9">
      <c r="A5758" s="2">
        <v>2001</v>
      </c>
      <c r="B5758">
        <v>93</v>
      </c>
      <c r="C5758">
        <v>0.33848</v>
      </c>
      <c r="D5758">
        <v>0.28949000000000003</v>
      </c>
      <c r="E5758">
        <v>0.5</v>
      </c>
      <c r="F5758">
        <v>2187</v>
      </c>
      <c r="G5758">
        <v>633</v>
      </c>
      <c r="H5758">
        <v>1870</v>
      </c>
      <c r="I5758">
        <v>5863</v>
      </c>
    </row>
    <row r="5759" spans="1:9">
      <c r="A5759" s="2">
        <v>2001</v>
      </c>
      <c r="B5759">
        <v>94</v>
      </c>
      <c r="C5759">
        <v>0.35405999999999999</v>
      </c>
      <c r="D5759">
        <v>0.30081000000000002</v>
      </c>
      <c r="E5759">
        <v>0.5</v>
      </c>
      <c r="F5759">
        <v>1554</v>
      </c>
      <c r="G5759">
        <v>467</v>
      </c>
      <c r="H5759">
        <v>1320</v>
      </c>
      <c r="I5759">
        <v>3993</v>
      </c>
    </row>
    <row r="5760" spans="1:9">
      <c r="A5760" s="2">
        <v>2001</v>
      </c>
      <c r="B5760">
        <v>95</v>
      </c>
      <c r="C5760">
        <v>0.36359000000000002</v>
      </c>
      <c r="D5760">
        <v>0.30765999999999999</v>
      </c>
      <c r="E5760">
        <v>0.5</v>
      </c>
      <c r="F5760">
        <v>1086</v>
      </c>
      <c r="G5760">
        <v>334</v>
      </c>
      <c r="H5760">
        <v>919</v>
      </c>
      <c r="I5760">
        <v>2672</v>
      </c>
    </row>
    <row r="5761" spans="1:9">
      <c r="A5761" s="2">
        <v>2001</v>
      </c>
      <c r="B5761">
        <v>96</v>
      </c>
      <c r="C5761">
        <v>0.38796999999999998</v>
      </c>
      <c r="D5761">
        <v>0.32494000000000001</v>
      </c>
      <c r="E5761">
        <v>0.5</v>
      </c>
      <c r="F5761">
        <v>752</v>
      </c>
      <c r="G5761">
        <v>244</v>
      </c>
      <c r="H5761">
        <v>630</v>
      </c>
      <c r="I5761">
        <v>1753</v>
      </c>
    </row>
    <row r="5762" spans="1:9">
      <c r="A5762" s="2">
        <v>2001</v>
      </c>
      <c r="B5762">
        <v>97</v>
      </c>
      <c r="C5762">
        <v>0.41293000000000002</v>
      </c>
      <c r="D5762">
        <v>0.34226000000000001</v>
      </c>
      <c r="E5762">
        <v>0.5</v>
      </c>
      <c r="F5762">
        <v>508</v>
      </c>
      <c r="G5762">
        <v>174</v>
      </c>
      <c r="H5762">
        <v>421</v>
      </c>
      <c r="I5762">
        <v>1123</v>
      </c>
    </row>
    <row r="5763" spans="1:9">
      <c r="A5763" s="2">
        <v>2001</v>
      </c>
      <c r="B5763">
        <v>98</v>
      </c>
      <c r="C5763">
        <v>0.43834000000000001</v>
      </c>
      <c r="D5763">
        <v>0.35954000000000003</v>
      </c>
      <c r="E5763">
        <v>0.5</v>
      </c>
      <c r="F5763">
        <v>334</v>
      </c>
      <c r="G5763">
        <v>120</v>
      </c>
      <c r="H5763">
        <v>274</v>
      </c>
      <c r="I5763">
        <v>702</v>
      </c>
    </row>
    <row r="5764" spans="1:9">
      <c r="A5764" s="2">
        <v>2001</v>
      </c>
      <c r="B5764">
        <v>99</v>
      </c>
      <c r="C5764">
        <v>0.46407999999999999</v>
      </c>
      <c r="D5764">
        <v>0.37668000000000001</v>
      </c>
      <c r="E5764">
        <v>0.5</v>
      </c>
      <c r="F5764">
        <v>214</v>
      </c>
      <c r="G5764">
        <v>81</v>
      </c>
      <c r="H5764">
        <v>174</v>
      </c>
      <c r="I5764">
        <v>428</v>
      </c>
    </row>
    <row r="5765" spans="1:9">
      <c r="A5765" s="2">
        <v>2001</v>
      </c>
      <c r="B5765">
        <v>100</v>
      </c>
      <c r="C5765">
        <v>0.49001</v>
      </c>
      <c r="D5765">
        <v>0.39357999999999999</v>
      </c>
      <c r="E5765">
        <v>0.5</v>
      </c>
      <c r="F5765">
        <v>133</v>
      </c>
      <c r="G5765">
        <v>52</v>
      </c>
      <c r="H5765">
        <v>107</v>
      </c>
      <c r="I5765">
        <v>255</v>
      </c>
    </row>
    <row r="5766" spans="1:9">
      <c r="A5766" s="2">
        <v>2001</v>
      </c>
      <c r="B5766">
        <v>101</v>
      </c>
      <c r="C5766">
        <v>0.51600000000000001</v>
      </c>
      <c r="D5766">
        <v>0.41017999999999999</v>
      </c>
      <c r="E5766">
        <v>0.5</v>
      </c>
      <c r="F5766">
        <v>81</v>
      </c>
      <c r="G5766">
        <v>33</v>
      </c>
      <c r="H5766">
        <v>64</v>
      </c>
      <c r="I5766">
        <v>148</v>
      </c>
    </row>
    <row r="5767" spans="1:9">
      <c r="A5767" s="2">
        <v>2001</v>
      </c>
      <c r="B5767">
        <v>102</v>
      </c>
      <c r="C5767">
        <v>0.54190000000000005</v>
      </c>
      <c r="D5767">
        <v>0.42637000000000003</v>
      </c>
      <c r="E5767">
        <v>0.5</v>
      </c>
      <c r="F5767">
        <v>48</v>
      </c>
      <c r="G5767">
        <v>20</v>
      </c>
      <c r="H5767">
        <v>38</v>
      </c>
      <c r="I5767">
        <v>84</v>
      </c>
    </row>
    <row r="5768" spans="1:9">
      <c r="A5768" s="2">
        <v>2001</v>
      </c>
      <c r="B5768">
        <v>103</v>
      </c>
      <c r="C5768">
        <v>0.56757999999999997</v>
      </c>
      <c r="D5768">
        <v>0.44211</v>
      </c>
      <c r="E5768">
        <v>0.5</v>
      </c>
      <c r="F5768">
        <v>27</v>
      </c>
      <c r="G5768">
        <v>12</v>
      </c>
      <c r="H5768">
        <v>21</v>
      </c>
      <c r="I5768">
        <v>46</v>
      </c>
    </row>
    <row r="5769" spans="1:9">
      <c r="A5769" s="2">
        <v>2001</v>
      </c>
      <c r="B5769">
        <v>104</v>
      </c>
      <c r="C5769">
        <v>0.59289000000000003</v>
      </c>
      <c r="D5769">
        <v>0.45732</v>
      </c>
      <c r="E5769">
        <v>0.5</v>
      </c>
      <c r="F5769">
        <v>15</v>
      </c>
      <c r="G5769">
        <v>7</v>
      </c>
      <c r="H5769">
        <v>12</v>
      </c>
      <c r="I5769">
        <v>25</v>
      </c>
    </row>
    <row r="5770" spans="1:9">
      <c r="A5770" s="2">
        <v>2001</v>
      </c>
      <c r="B5770">
        <v>105</v>
      </c>
      <c r="C5770">
        <v>0.61773</v>
      </c>
      <c r="D5770">
        <v>0.47195999999999999</v>
      </c>
      <c r="E5770">
        <v>0.5</v>
      </c>
      <c r="F5770">
        <v>8</v>
      </c>
      <c r="G5770">
        <v>4</v>
      </c>
      <c r="H5770">
        <v>6</v>
      </c>
      <c r="I5770">
        <v>13</v>
      </c>
    </row>
    <row r="5771" spans="1:9">
      <c r="A5771" s="2">
        <v>2001</v>
      </c>
      <c r="B5771">
        <v>106</v>
      </c>
      <c r="C5771">
        <v>0.64195999999999998</v>
      </c>
      <c r="D5771">
        <v>0.48597000000000001</v>
      </c>
      <c r="E5771">
        <v>0.5</v>
      </c>
      <c r="F5771">
        <v>4</v>
      </c>
      <c r="G5771">
        <v>2</v>
      </c>
      <c r="H5771">
        <v>3</v>
      </c>
      <c r="I5771">
        <v>7</v>
      </c>
    </row>
    <row r="5772" spans="1:9">
      <c r="A5772" s="2">
        <v>2001</v>
      </c>
      <c r="B5772">
        <v>107</v>
      </c>
      <c r="C5772">
        <v>0.66549000000000003</v>
      </c>
      <c r="D5772">
        <v>0.49934000000000001</v>
      </c>
      <c r="E5772">
        <v>0.5</v>
      </c>
      <c r="F5772">
        <v>2</v>
      </c>
      <c r="G5772">
        <v>1</v>
      </c>
      <c r="H5772">
        <v>2</v>
      </c>
      <c r="I5772">
        <v>3</v>
      </c>
    </row>
    <row r="5773" spans="1:9">
      <c r="A5773" s="2">
        <v>2001</v>
      </c>
      <c r="B5773">
        <v>108</v>
      </c>
      <c r="C5773">
        <v>0.68822000000000005</v>
      </c>
      <c r="D5773">
        <v>0.51202999999999999</v>
      </c>
      <c r="E5773">
        <v>0.5</v>
      </c>
      <c r="F5773">
        <v>1</v>
      </c>
      <c r="G5773">
        <v>1</v>
      </c>
      <c r="H5773">
        <v>1</v>
      </c>
      <c r="I5773">
        <v>2</v>
      </c>
    </row>
    <row r="5774" spans="1:9">
      <c r="A5774" s="2">
        <v>2001</v>
      </c>
      <c r="B5774">
        <v>109</v>
      </c>
      <c r="C5774">
        <v>0.71009</v>
      </c>
      <c r="D5774">
        <v>0.52403</v>
      </c>
      <c r="E5774">
        <v>0.5</v>
      </c>
      <c r="F5774">
        <v>1</v>
      </c>
      <c r="G5774">
        <v>0</v>
      </c>
      <c r="H5774">
        <v>0</v>
      </c>
      <c r="I5774">
        <v>1</v>
      </c>
    </row>
    <row r="5775" spans="1:9">
      <c r="A5775" s="2">
        <v>2001</v>
      </c>
      <c r="B5775" t="s">
        <v>26</v>
      </c>
      <c r="C5775">
        <v>0.73101000000000005</v>
      </c>
      <c r="D5775">
        <v>1</v>
      </c>
      <c r="E5775">
        <v>1.37</v>
      </c>
      <c r="F5775">
        <v>0</v>
      </c>
      <c r="G5775">
        <v>0</v>
      </c>
      <c r="H5775">
        <v>0</v>
      </c>
      <c r="I5775">
        <v>0</v>
      </c>
    </row>
    <row r="5776" spans="1:9">
      <c r="A5776" s="2">
        <v>2002</v>
      </c>
      <c r="B5776">
        <v>0</v>
      </c>
      <c r="C5776">
        <v>7.4400000000000004E-3</v>
      </c>
      <c r="D5776">
        <v>7.3899999999999999E-3</v>
      </c>
      <c r="E5776">
        <v>0.13</v>
      </c>
      <c r="F5776">
        <v>100000</v>
      </c>
      <c r="G5776">
        <v>739</v>
      </c>
      <c r="H5776">
        <v>99360</v>
      </c>
      <c r="I5776">
        <v>6828478</v>
      </c>
    </row>
    <row r="5777" spans="1:9">
      <c r="A5777" s="2">
        <v>2002</v>
      </c>
      <c r="B5777">
        <v>1</v>
      </c>
      <c r="C5777">
        <v>5.5999999999999995E-4</v>
      </c>
      <c r="D5777">
        <v>5.5999999999999995E-4</v>
      </c>
      <c r="E5777">
        <v>0.5</v>
      </c>
      <c r="F5777">
        <v>99261</v>
      </c>
      <c r="G5777">
        <v>56</v>
      </c>
      <c r="H5777">
        <v>99233</v>
      </c>
      <c r="I5777">
        <v>6729118</v>
      </c>
    </row>
    <row r="5778" spans="1:9">
      <c r="A5778" s="2">
        <v>2002</v>
      </c>
      <c r="B5778">
        <v>2</v>
      </c>
      <c r="C5778">
        <v>3.6999999999999999E-4</v>
      </c>
      <c r="D5778">
        <v>3.6999999999999999E-4</v>
      </c>
      <c r="E5778">
        <v>0.5</v>
      </c>
      <c r="F5778">
        <v>99205</v>
      </c>
      <c r="G5778">
        <v>37</v>
      </c>
      <c r="H5778">
        <v>99186</v>
      </c>
      <c r="I5778">
        <v>6629885</v>
      </c>
    </row>
    <row r="5779" spans="1:9">
      <c r="A5779" s="2">
        <v>2002</v>
      </c>
      <c r="B5779">
        <v>3</v>
      </c>
      <c r="C5779">
        <v>3.5E-4</v>
      </c>
      <c r="D5779">
        <v>3.5E-4</v>
      </c>
      <c r="E5779">
        <v>0.5</v>
      </c>
      <c r="F5779">
        <v>99168</v>
      </c>
      <c r="G5779">
        <v>35</v>
      </c>
      <c r="H5779">
        <v>99151</v>
      </c>
      <c r="I5779">
        <v>6530699</v>
      </c>
    </row>
    <row r="5780" spans="1:9">
      <c r="A5780" s="2">
        <v>2002</v>
      </c>
      <c r="B5780">
        <v>4</v>
      </c>
      <c r="C5780">
        <v>3.2000000000000003E-4</v>
      </c>
      <c r="D5780">
        <v>3.2000000000000003E-4</v>
      </c>
      <c r="E5780">
        <v>0.5</v>
      </c>
      <c r="F5780">
        <v>99133</v>
      </c>
      <c r="G5780">
        <v>32</v>
      </c>
      <c r="H5780">
        <v>99117</v>
      </c>
      <c r="I5780">
        <v>6431548</v>
      </c>
    </row>
    <row r="5781" spans="1:9">
      <c r="A5781" s="2">
        <v>2002</v>
      </c>
      <c r="B5781">
        <v>5</v>
      </c>
      <c r="C5781">
        <v>2.5000000000000001E-4</v>
      </c>
      <c r="D5781">
        <v>2.5000000000000001E-4</v>
      </c>
      <c r="E5781">
        <v>0.5</v>
      </c>
      <c r="F5781">
        <v>99101</v>
      </c>
      <c r="G5781">
        <v>25</v>
      </c>
      <c r="H5781">
        <v>99089</v>
      </c>
      <c r="I5781">
        <v>6332431</v>
      </c>
    </row>
    <row r="5782" spans="1:9">
      <c r="A5782" s="2">
        <v>2002</v>
      </c>
      <c r="B5782">
        <v>6</v>
      </c>
      <c r="C5782">
        <v>1.3999999999999999E-4</v>
      </c>
      <c r="D5782">
        <v>1.3999999999999999E-4</v>
      </c>
      <c r="E5782">
        <v>0.5</v>
      </c>
      <c r="F5782">
        <v>99076</v>
      </c>
      <c r="G5782">
        <v>14</v>
      </c>
      <c r="H5782">
        <v>99069</v>
      </c>
      <c r="I5782">
        <v>6233342</v>
      </c>
    </row>
    <row r="5783" spans="1:9">
      <c r="A5783" s="2">
        <v>2002</v>
      </c>
      <c r="B5783">
        <v>7</v>
      </c>
      <c r="C5783">
        <v>2.5000000000000001E-4</v>
      </c>
      <c r="D5783">
        <v>2.5000000000000001E-4</v>
      </c>
      <c r="E5783">
        <v>0.5</v>
      </c>
      <c r="F5783">
        <v>99062</v>
      </c>
      <c r="G5783">
        <v>25</v>
      </c>
      <c r="H5783">
        <v>99050</v>
      </c>
      <c r="I5783">
        <v>6134273</v>
      </c>
    </row>
    <row r="5784" spans="1:9">
      <c r="A5784" s="2">
        <v>2002</v>
      </c>
      <c r="B5784">
        <v>8</v>
      </c>
      <c r="C5784">
        <v>1.4999999999999999E-4</v>
      </c>
      <c r="D5784">
        <v>1.4999999999999999E-4</v>
      </c>
      <c r="E5784">
        <v>0.5</v>
      </c>
      <c r="F5784">
        <v>99037</v>
      </c>
      <c r="G5784">
        <v>15</v>
      </c>
      <c r="H5784">
        <v>99030</v>
      </c>
      <c r="I5784">
        <v>6035223</v>
      </c>
    </row>
    <row r="5785" spans="1:9">
      <c r="A5785" s="2">
        <v>2002</v>
      </c>
      <c r="B5785">
        <v>9</v>
      </c>
      <c r="C5785">
        <v>2.5000000000000001E-4</v>
      </c>
      <c r="D5785">
        <v>2.5000000000000001E-4</v>
      </c>
      <c r="E5785">
        <v>0.5</v>
      </c>
      <c r="F5785">
        <v>99022</v>
      </c>
      <c r="G5785">
        <v>25</v>
      </c>
      <c r="H5785">
        <v>99010</v>
      </c>
      <c r="I5785">
        <v>5936193</v>
      </c>
    </row>
    <row r="5786" spans="1:9">
      <c r="A5786" s="2">
        <v>2002</v>
      </c>
      <c r="B5786">
        <v>10</v>
      </c>
      <c r="C5786">
        <v>1.6000000000000001E-4</v>
      </c>
      <c r="D5786">
        <v>1.6000000000000001E-4</v>
      </c>
      <c r="E5786">
        <v>0.5</v>
      </c>
      <c r="F5786">
        <v>98997</v>
      </c>
      <c r="G5786">
        <v>16</v>
      </c>
      <c r="H5786">
        <v>98989</v>
      </c>
      <c r="I5786">
        <v>5837184</v>
      </c>
    </row>
    <row r="5787" spans="1:9">
      <c r="A5787" s="2">
        <v>2002</v>
      </c>
      <c r="B5787">
        <v>11</v>
      </c>
      <c r="C5787">
        <v>1.9000000000000001E-4</v>
      </c>
      <c r="D5787">
        <v>1.9000000000000001E-4</v>
      </c>
      <c r="E5787">
        <v>0.5</v>
      </c>
      <c r="F5787">
        <v>98982</v>
      </c>
      <c r="G5787">
        <v>18</v>
      </c>
      <c r="H5787">
        <v>98972</v>
      </c>
      <c r="I5787">
        <v>5738194</v>
      </c>
    </row>
    <row r="5788" spans="1:9">
      <c r="A5788" s="2">
        <v>2002</v>
      </c>
      <c r="B5788">
        <v>12</v>
      </c>
      <c r="C5788">
        <v>2.9999999999999997E-4</v>
      </c>
      <c r="D5788">
        <v>2.9999999999999997E-4</v>
      </c>
      <c r="E5788">
        <v>0.5</v>
      </c>
      <c r="F5788">
        <v>98963</v>
      </c>
      <c r="G5788">
        <v>30</v>
      </c>
      <c r="H5788">
        <v>98948</v>
      </c>
      <c r="I5788">
        <v>5639222</v>
      </c>
    </row>
    <row r="5789" spans="1:9">
      <c r="A5789" s="2">
        <v>2002</v>
      </c>
      <c r="B5789">
        <v>13</v>
      </c>
      <c r="C5789">
        <v>2.4000000000000001E-4</v>
      </c>
      <c r="D5789">
        <v>2.4000000000000001E-4</v>
      </c>
      <c r="E5789">
        <v>0.5</v>
      </c>
      <c r="F5789">
        <v>98933</v>
      </c>
      <c r="G5789">
        <v>24</v>
      </c>
      <c r="H5789">
        <v>98921</v>
      </c>
      <c r="I5789">
        <v>5540274</v>
      </c>
    </row>
    <row r="5790" spans="1:9">
      <c r="A5790" s="2">
        <v>2002</v>
      </c>
      <c r="B5790">
        <v>14</v>
      </c>
      <c r="C5790">
        <v>4.2999999999999999E-4</v>
      </c>
      <c r="D5790">
        <v>4.2999999999999999E-4</v>
      </c>
      <c r="E5790">
        <v>0.5</v>
      </c>
      <c r="F5790">
        <v>98910</v>
      </c>
      <c r="G5790">
        <v>42</v>
      </c>
      <c r="H5790">
        <v>98889</v>
      </c>
      <c r="I5790">
        <v>5441352</v>
      </c>
    </row>
    <row r="5791" spans="1:9">
      <c r="A5791" s="2">
        <v>2002</v>
      </c>
      <c r="B5791">
        <v>15</v>
      </c>
      <c r="C5791">
        <v>4.2999999999999999E-4</v>
      </c>
      <c r="D5791">
        <v>4.2999999999999999E-4</v>
      </c>
      <c r="E5791">
        <v>0.5</v>
      </c>
      <c r="F5791">
        <v>98868</v>
      </c>
      <c r="G5791">
        <v>43</v>
      </c>
      <c r="H5791">
        <v>98846</v>
      </c>
      <c r="I5791">
        <v>5342464</v>
      </c>
    </row>
    <row r="5792" spans="1:9">
      <c r="A5792" s="2">
        <v>2002</v>
      </c>
      <c r="B5792">
        <v>16</v>
      </c>
      <c r="C5792">
        <v>2.9999999999999997E-4</v>
      </c>
      <c r="D5792">
        <v>2.9999999999999997E-4</v>
      </c>
      <c r="E5792">
        <v>0.5</v>
      </c>
      <c r="F5792">
        <v>98825</v>
      </c>
      <c r="G5792">
        <v>29</v>
      </c>
      <c r="H5792">
        <v>98810</v>
      </c>
      <c r="I5792">
        <v>5243618</v>
      </c>
    </row>
    <row r="5793" spans="1:9">
      <c r="A5793" s="2">
        <v>2002</v>
      </c>
      <c r="B5793">
        <v>17</v>
      </c>
      <c r="C5793">
        <v>4.8000000000000001E-4</v>
      </c>
      <c r="D5793">
        <v>4.8000000000000001E-4</v>
      </c>
      <c r="E5793">
        <v>0.5</v>
      </c>
      <c r="F5793">
        <v>98795</v>
      </c>
      <c r="G5793">
        <v>48</v>
      </c>
      <c r="H5793">
        <v>98771</v>
      </c>
      <c r="I5793">
        <v>5144808</v>
      </c>
    </row>
    <row r="5794" spans="1:9">
      <c r="A5794" s="2">
        <v>2002</v>
      </c>
      <c r="B5794">
        <v>18</v>
      </c>
      <c r="C5794">
        <v>7.5000000000000002E-4</v>
      </c>
      <c r="D5794">
        <v>7.5000000000000002E-4</v>
      </c>
      <c r="E5794">
        <v>0.5</v>
      </c>
      <c r="F5794">
        <v>98747</v>
      </c>
      <c r="G5794">
        <v>74</v>
      </c>
      <c r="H5794">
        <v>98710</v>
      </c>
      <c r="I5794">
        <v>5046036</v>
      </c>
    </row>
    <row r="5795" spans="1:9">
      <c r="A5795" s="2">
        <v>2002</v>
      </c>
      <c r="B5795">
        <v>19</v>
      </c>
      <c r="C5795">
        <v>7.2999999999999996E-4</v>
      </c>
      <c r="D5795">
        <v>7.2999999999999996E-4</v>
      </c>
      <c r="E5795">
        <v>0.5</v>
      </c>
      <c r="F5795">
        <v>98673</v>
      </c>
      <c r="G5795">
        <v>72</v>
      </c>
      <c r="H5795">
        <v>98637</v>
      </c>
      <c r="I5795">
        <v>4947326</v>
      </c>
    </row>
    <row r="5796" spans="1:9">
      <c r="A5796" s="2">
        <v>2002</v>
      </c>
      <c r="B5796">
        <v>20</v>
      </c>
      <c r="C5796">
        <v>7.9000000000000001E-4</v>
      </c>
      <c r="D5796">
        <v>7.9000000000000001E-4</v>
      </c>
      <c r="E5796">
        <v>0.5</v>
      </c>
      <c r="F5796">
        <v>98601</v>
      </c>
      <c r="G5796">
        <v>78</v>
      </c>
      <c r="H5796">
        <v>98562</v>
      </c>
      <c r="I5796">
        <v>4848689</v>
      </c>
    </row>
    <row r="5797" spans="1:9">
      <c r="A5797" s="2">
        <v>2002</v>
      </c>
      <c r="B5797">
        <v>21</v>
      </c>
      <c r="C5797">
        <v>9.2000000000000003E-4</v>
      </c>
      <c r="D5797">
        <v>9.1E-4</v>
      </c>
      <c r="E5797">
        <v>0.5</v>
      </c>
      <c r="F5797">
        <v>98524</v>
      </c>
      <c r="G5797">
        <v>90</v>
      </c>
      <c r="H5797">
        <v>98479</v>
      </c>
      <c r="I5797">
        <v>4750126</v>
      </c>
    </row>
    <row r="5798" spans="1:9">
      <c r="A5798" s="2">
        <v>2002</v>
      </c>
      <c r="B5798">
        <v>22</v>
      </c>
      <c r="C5798">
        <v>1.0300000000000001E-3</v>
      </c>
      <c r="D5798">
        <v>1.0300000000000001E-3</v>
      </c>
      <c r="E5798">
        <v>0.5</v>
      </c>
      <c r="F5798">
        <v>98434</v>
      </c>
      <c r="G5798">
        <v>101</v>
      </c>
      <c r="H5798">
        <v>98383</v>
      </c>
      <c r="I5798">
        <v>4651648</v>
      </c>
    </row>
    <row r="5799" spans="1:9">
      <c r="A5799" s="2">
        <v>2002</v>
      </c>
      <c r="B5799">
        <v>23</v>
      </c>
      <c r="C5799">
        <v>1.01E-3</v>
      </c>
      <c r="D5799">
        <v>1.01E-3</v>
      </c>
      <c r="E5799">
        <v>0.5</v>
      </c>
      <c r="F5799">
        <v>98333</v>
      </c>
      <c r="G5799">
        <v>99</v>
      </c>
      <c r="H5799">
        <v>98283</v>
      </c>
      <c r="I5799">
        <v>4553265</v>
      </c>
    </row>
    <row r="5800" spans="1:9">
      <c r="A5800" s="2">
        <v>2002</v>
      </c>
      <c r="B5800">
        <v>24</v>
      </c>
      <c r="C5800">
        <v>9.7000000000000005E-4</v>
      </c>
      <c r="D5800">
        <v>9.7000000000000005E-4</v>
      </c>
      <c r="E5800">
        <v>0.5</v>
      </c>
      <c r="F5800">
        <v>98234</v>
      </c>
      <c r="G5800">
        <v>95</v>
      </c>
      <c r="H5800">
        <v>98186</v>
      </c>
      <c r="I5800">
        <v>4454982</v>
      </c>
    </row>
    <row r="5801" spans="1:9">
      <c r="A5801" s="2">
        <v>2002</v>
      </c>
      <c r="B5801">
        <v>25</v>
      </c>
      <c r="C5801">
        <v>1.1299999999999999E-3</v>
      </c>
      <c r="D5801">
        <v>1.1299999999999999E-3</v>
      </c>
      <c r="E5801">
        <v>0.5</v>
      </c>
      <c r="F5801">
        <v>98138</v>
      </c>
      <c r="G5801">
        <v>111</v>
      </c>
      <c r="H5801">
        <v>98083</v>
      </c>
      <c r="I5801">
        <v>4356796</v>
      </c>
    </row>
    <row r="5802" spans="1:9">
      <c r="A5802" s="2">
        <v>2002</v>
      </c>
      <c r="B5802">
        <v>26</v>
      </c>
      <c r="C5802">
        <v>9.5E-4</v>
      </c>
      <c r="D5802">
        <v>9.5E-4</v>
      </c>
      <c r="E5802">
        <v>0.5</v>
      </c>
      <c r="F5802">
        <v>98027</v>
      </c>
      <c r="G5802">
        <v>93</v>
      </c>
      <c r="H5802">
        <v>97981</v>
      </c>
      <c r="I5802">
        <v>4258713</v>
      </c>
    </row>
    <row r="5803" spans="1:9">
      <c r="A5803" s="2">
        <v>2002</v>
      </c>
      <c r="B5803">
        <v>27</v>
      </c>
      <c r="C5803">
        <v>9.3999999999999997E-4</v>
      </c>
      <c r="D5803">
        <v>9.3999999999999997E-4</v>
      </c>
      <c r="E5803">
        <v>0.5</v>
      </c>
      <c r="F5803">
        <v>97934</v>
      </c>
      <c r="G5803">
        <v>92</v>
      </c>
      <c r="H5803">
        <v>97888</v>
      </c>
      <c r="I5803">
        <v>4160732</v>
      </c>
    </row>
    <row r="5804" spans="1:9">
      <c r="A5804" s="2">
        <v>2002</v>
      </c>
      <c r="B5804">
        <v>28</v>
      </c>
      <c r="C5804">
        <v>1.25E-3</v>
      </c>
      <c r="D5804">
        <v>1.24E-3</v>
      </c>
      <c r="E5804">
        <v>0.5</v>
      </c>
      <c r="F5804">
        <v>97842</v>
      </c>
      <c r="G5804">
        <v>122</v>
      </c>
      <c r="H5804">
        <v>97781</v>
      </c>
      <c r="I5804">
        <v>4062844</v>
      </c>
    </row>
    <row r="5805" spans="1:9">
      <c r="A5805" s="2">
        <v>2002</v>
      </c>
      <c r="B5805">
        <v>29</v>
      </c>
      <c r="C5805">
        <v>1.0200000000000001E-3</v>
      </c>
      <c r="D5805">
        <v>1.0200000000000001E-3</v>
      </c>
      <c r="E5805">
        <v>0.5</v>
      </c>
      <c r="F5805">
        <v>97720</v>
      </c>
      <c r="G5805">
        <v>99</v>
      </c>
      <c r="H5805">
        <v>97671</v>
      </c>
      <c r="I5805">
        <v>3965063</v>
      </c>
    </row>
    <row r="5806" spans="1:9">
      <c r="A5806" s="2">
        <v>2002</v>
      </c>
      <c r="B5806">
        <v>30</v>
      </c>
      <c r="C5806">
        <v>1.2999999999999999E-3</v>
      </c>
      <c r="D5806">
        <v>1.2999999999999999E-3</v>
      </c>
      <c r="E5806">
        <v>0.5</v>
      </c>
      <c r="F5806">
        <v>97621</v>
      </c>
      <c r="G5806">
        <v>127</v>
      </c>
      <c r="H5806">
        <v>97557</v>
      </c>
      <c r="I5806">
        <v>3867393</v>
      </c>
    </row>
    <row r="5807" spans="1:9">
      <c r="A5807" s="2">
        <v>2002</v>
      </c>
      <c r="B5807">
        <v>31</v>
      </c>
      <c r="C5807">
        <v>1.47E-3</v>
      </c>
      <c r="D5807">
        <v>1.47E-3</v>
      </c>
      <c r="E5807">
        <v>0.5</v>
      </c>
      <c r="F5807">
        <v>97494</v>
      </c>
      <c r="G5807">
        <v>143</v>
      </c>
      <c r="H5807">
        <v>97422</v>
      </c>
      <c r="I5807">
        <v>3769835</v>
      </c>
    </row>
    <row r="5808" spans="1:9">
      <c r="A5808" s="2">
        <v>2002</v>
      </c>
      <c r="B5808">
        <v>32</v>
      </c>
      <c r="C5808">
        <v>1.6199999999999999E-3</v>
      </c>
      <c r="D5808">
        <v>1.6199999999999999E-3</v>
      </c>
      <c r="E5808">
        <v>0.5</v>
      </c>
      <c r="F5808">
        <v>97351</v>
      </c>
      <c r="G5808">
        <v>158</v>
      </c>
      <c r="H5808">
        <v>97272</v>
      </c>
      <c r="I5808">
        <v>3672413</v>
      </c>
    </row>
    <row r="5809" spans="1:9">
      <c r="A5809" s="2">
        <v>2002</v>
      </c>
      <c r="B5809">
        <v>33</v>
      </c>
      <c r="C5809">
        <v>1.6800000000000001E-3</v>
      </c>
      <c r="D5809">
        <v>1.6800000000000001E-3</v>
      </c>
      <c r="E5809">
        <v>0.5</v>
      </c>
      <c r="F5809">
        <v>97193</v>
      </c>
      <c r="G5809">
        <v>163</v>
      </c>
      <c r="H5809">
        <v>97111</v>
      </c>
      <c r="I5809">
        <v>3575141</v>
      </c>
    </row>
    <row r="5810" spans="1:9">
      <c r="A5810" s="2">
        <v>2002</v>
      </c>
      <c r="B5810">
        <v>34</v>
      </c>
      <c r="C5810">
        <v>1.9400000000000001E-3</v>
      </c>
      <c r="D5810">
        <v>1.9400000000000001E-3</v>
      </c>
      <c r="E5810">
        <v>0.5</v>
      </c>
      <c r="F5810">
        <v>97030</v>
      </c>
      <c r="G5810">
        <v>188</v>
      </c>
      <c r="H5810">
        <v>96936</v>
      </c>
      <c r="I5810">
        <v>3478029</v>
      </c>
    </row>
    <row r="5811" spans="1:9">
      <c r="A5811" s="2">
        <v>2002</v>
      </c>
      <c r="B5811">
        <v>35</v>
      </c>
      <c r="C5811">
        <v>1.8699999999999999E-3</v>
      </c>
      <c r="D5811">
        <v>1.8699999999999999E-3</v>
      </c>
      <c r="E5811">
        <v>0.5</v>
      </c>
      <c r="F5811">
        <v>96842</v>
      </c>
      <c r="G5811">
        <v>181</v>
      </c>
      <c r="H5811">
        <v>96751</v>
      </c>
      <c r="I5811">
        <v>3381094</v>
      </c>
    </row>
    <row r="5812" spans="1:9">
      <c r="A5812" s="2">
        <v>2002</v>
      </c>
      <c r="B5812">
        <v>36</v>
      </c>
      <c r="C5812">
        <v>2.5699999999999998E-3</v>
      </c>
      <c r="D5812">
        <v>2.5699999999999998E-3</v>
      </c>
      <c r="E5812">
        <v>0.5</v>
      </c>
      <c r="F5812">
        <v>96660</v>
      </c>
      <c r="G5812">
        <v>248</v>
      </c>
      <c r="H5812">
        <v>96536</v>
      </c>
      <c r="I5812">
        <v>3284343</v>
      </c>
    </row>
    <row r="5813" spans="1:9">
      <c r="A5813" s="2">
        <v>2002</v>
      </c>
      <c r="B5813">
        <v>37</v>
      </c>
      <c r="C5813">
        <v>3.2499999999999999E-3</v>
      </c>
      <c r="D5813">
        <v>3.2399999999999998E-3</v>
      </c>
      <c r="E5813">
        <v>0.5</v>
      </c>
      <c r="F5813">
        <v>96412</v>
      </c>
      <c r="G5813">
        <v>312</v>
      </c>
      <c r="H5813">
        <v>96256</v>
      </c>
      <c r="I5813">
        <v>3187806</v>
      </c>
    </row>
    <row r="5814" spans="1:9">
      <c r="A5814" s="2">
        <v>2002</v>
      </c>
      <c r="B5814">
        <v>38</v>
      </c>
      <c r="C5814">
        <v>3.7200000000000002E-3</v>
      </c>
      <c r="D5814">
        <v>3.7100000000000002E-3</v>
      </c>
      <c r="E5814">
        <v>0.5</v>
      </c>
      <c r="F5814">
        <v>96100</v>
      </c>
      <c r="G5814">
        <v>356</v>
      </c>
      <c r="H5814">
        <v>95921</v>
      </c>
      <c r="I5814">
        <v>3091550</v>
      </c>
    </row>
    <row r="5815" spans="1:9">
      <c r="A5815" s="2">
        <v>2002</v>
      </c>
      <c r="B5815">
        <v>39</v>
      </c>
      <c r="C5815">
        <v>5.3499999999999997E-3</v>
      </c>
      <c r="D5815">
        <v>5.3400000000000001E-3</v>
      </c>
      <c r="E5815">
        <v>0.5</v>
      </c>
      <c r="F5815">
        <v>95743</v>
      </c>
      <c r="G5815">
        <v>511</v>
      </c>
      <c r="H5815">
        <v>95488</v>
      </c>
      <c r="I5815">
        <v>2995629</v>
      </c>
    </row>
    <row r="5816" spans="1:9">
      <c r="A5816" s="2">
        <v>2002</v>
      </c>
      <c r="B5816">
        <v>40</v>
      </c>
      <c r="C5816">
        <v>4.9500000000000004E-3</v>
      </c>
      <c r="D5816">
        <v>4.9399999999999999E-3</v>
      </c>
      <c r="E5816">
        <v>0.5</v>
      </c>
      <c r="F5816">
        <v>95232</v>
      </c>
      <c r="G5816">
        <v>470</v>
      </c>
      <c r="H5816">
        <v>94997</v>
      </c>
      <c r="I5816">
        <v>2900141</v>
      </c>
    </row>
    <row r="5817" spans="1:9">
      <c r="A5817" s="2">
        <v>2002</v>
      </c>
      <c r="B5817">
        <v>41</v>
      </c>
      <c r="C5817">
        <v>5.9199999999999999E-3</v>
      </c>
      <c r="D5817">
        <v>5.8999999999999999E-3</v>
      </c>
      <c r="E5817">
        <v>0.5</v>
      </c>
      <c r="F5817">
        <v>94762</v>
      </c>
      <c r="G5817">
        <v>559</v>
      </c>
      <c r="H5817">
        <v>94482</v>
      </c>
      <c r="I5817">
        <v>2805145</v>
      </c>
    </row>
    <row r="5818" spans="1:9">
      <c r="A5818" s="2">
        <v>2002</v>
      </c>
      <c r="B5818">
        <v>42</v>
      </c>
      <c r="C5818">
        <v>6.1700000000000001E-3</v>
      </c>
      <c r="D5818">
        <v>6.1500000000000001E-3</v>
      </c>
      <c r="E5818">
        <v>0.5</v>
      </c>
      <c r="F5818">
        <v>94203</v>
      </c>
      <c r="G5818">
        <v>580</v>
      </c>
      <c r="H5818">
        <v>93913</v>
      </c>
      <c r="I5818">
        <v>2710663</v>
      </c>
    </row>
    <row r="5819" spans="1:9">
      <c r="A5819" s="2">
        <v>2002</v>
      </c>
      <c r="B5819">
        <v>43</v>
      </c>
      <c r="C5819">
        <v>7.7400000000000004E-3</v>
      </c>
      <c r="D5819">
        <v>7.7099999999999998E-3</v>
      </c>
      <c r="E5819">
        <v>0.5</v>
      </c>
      <c r="F5819">
        <v>93623</v>
      </c>
      <c r="G5819">
        <v>721</v>
      </c>
      <c r="H5819">
        <v>93262</v>
      </c>
      <c r="I5819">
        <v>2616750</v>
      </c>
    </row>
    <row r="5820" spans="1:9">
      <c r="A5820" s="2">
        <v>2002</v>
      </c>
      <c r="B5820">
        <v>44</v>
      </c>
      <c r="C5820">
        <v>8.1700000000000002E-3</v>
      </c>
      <c r="D5820">
        <v>8.1399999999999997E-3</v>
      </c>
      <c r="E5820">
        <v>0.5</v>
      </c>
      <c r="F5820">
        <v>92901</v>
      </c>
      <c r="G5820">
        <v>756</v>
      </c>
      <c r="H5820">
        <v>92523</v>
      </c>
      <c r="I5820">
        <v>2523488</v>
      </c>
    </row>
    <row r="5821" spans="1:9">
      <c r="A5821" s="2">
        <v>2002</v>
      </c>
      <c r="B5821">
        <v>45</v>
      </c>
      <c r="C5821">
        <v>9.1000000000000004E-3</v>
      </c>
      <c r="D5821">
        <v>9.0600000000000003E-3</v>
      </c>
      <c r="E5821">
        <v>0.5</v>
      </c>
      <c r="F5821">
        <v>92145</v>
      </c>
      <c r="G5821">
        <v>834</v>
      </c>
      <c r="H5821">
        <v>91728</v>
      </c>
      <c r="I5821">
        <v>2430964</v>
      </c>
    </row>
    <row r="5822" spans="1:9">
      <c r="A5822" s="2">
        <v>2002</v>
      </c>
      <c r="B5822">
        <v>46</v>
      </c>
      <c r="C5822">
        <v>9.5300000000000003E-3</v>
      </c>
      <c r="D5822">
        <v>9.4800000000000006E-3</v>
      </c>
      <c r="E5822">
        <v>0.5</v>
      </c>
      <c r="F5822">
        <v>91311</v>
      </c>
      <c r="G5822">
        <v>866</v>
      </c>
      <c r="H5822">
        <v>90878</v>
      </c>
      <c r="I5822">
        <v>2339236</v>
      </c>
    </row>
    <row r="5823" spans="1:9">
      <c r="A5823" s="2">
        <v>2002</v>
      </c>
      <c r="B5823">
        <v>47</v>
      </c>
      <c r="C5823">
        <v>1.0330000000000001E-2</v>
      </c>
      <c r="D5823">
        <v>1.0279999999999999E-2</v>
      </c>
      <c r="E5823">
        <v>0.5</v>
      </c>
      <c r="F5823">
        <v>90445</v>
      </c>
      <c r="G5823">
        <v>929</v>
      </c>
      <c r="H5823">
        <v>89980</v>
      </c>
      <c r="I5823">
        <v>2248358</v>
      </c>
    </row>
    <row r="5824" spans="1:9">
      <c r="A5824" s="2">
        <v>2002</v>
      </c>
      <c r="B5824">
        <v>48</v>
      </c>
      <c r="C5824">
        <v>1.103E-2</v>
      </c>
      <c r="D5824">
        <v>1.0970000000000001E-2</v>
      </c>
      <c r="E5824">
        <v>0.5</v>
      </c>
      <c r="F5824">
        <v>89516</v>
      </c>
      <c r="G5824">
        <v>982</v>
      </c>
      <c r="H5824">
        <v>89025</v>
      </c>
      <c r="I5824">
        <v>2158378</v>
      </c>
    </row>
    <row r="5825" spans="1:9">
      <c r="A5825" s="2">
        <v>2002</v>
      </c>
      <c r="B5825">
        <v>49</v>
      </c>
      <c r="C5825">
        <v>1.2030000000000001E-2</v>
      </c>
      <c r="D5825">
        <v>1.196E-2</v>
      </c>
      <c r="E5825">
        <v>0.5</v>
      </c>
      <c r="F5825">
        <v>88534</v>
      </c>
      <c r="G5825">
        <v>1059</v>
      </c>
      <c r="H5825">
        <v>88005</v>
      </c>
      <c r="I5825">
        <v>2069353</v>
      </c>
    </row>
    <row r="5826" spans="1:9">
      <c r="A5826" s="2">
        <v>2002</v>
      </c>
      <c r="B5826">
        <v>50</v>
      </c>
      <c r="C5826">
        <v>1.2930000000000001E-2</v>
      </c>
      <c r="D5826">
        <v>1.2840000000000001E-2</v>
      </c>
      <c r="E5826">
        <v>0.5</v>
      </c>
      <c r="F5826">
        <v>87475</v>
      </c>
      <c r="G5826">
        <v>1124</v>
      </c>
      <c r="H5826">
        <v>86913</v>
      </c>
      <c r="I5826">
        <v>1981348</v>
      </c>
    </row>
    <row r="5827" spans="1:9">
      <c r="A5827" s="2">
        <v>2002</v>
      </c>
      <c r="B5827">
        <v>51</v>
      </c>
      <c r="C5827">
        <v>1.426E-2</v>
      </c>
      <c r="D5827">
        <v>1.4149999999999999E-2</v>
      </c>
      <c r="E5827">
        <v>0.5</v>
      </c>
      <c r="F5827">
        <v>86352</v>
      </c>
      <c r="G5827">
        <v>1222</v>
      </c>
      <c r="H5827">
        <v>85740</v>
      </c>
      <c r="I5827">
        <v>1894435</v>
      </c>
    </row>
    <row r="5828" spans="1:9">
      <c r="A5828" s="2">
        <v>2002</v>
      </c>
      <c r="B5828">
        <v>52</v>
      </c>
      <c r="C5828">
        <v>1.549E-2</v>
      </c>
      <c r="D5828">
        <v>1.537E-2</v>
      </c>
      <c r="E5828">
        <v>0.5</v>
      </c>
      <c r="F5828">
        <v>85129</v>
      </c>
      <c r="G5828">
        <v>1308</v>
      </c>
      <c r="H5828">
        <v>84475</v>
      </c>
      <c r="I5828">
        <v>1808695</v>
      </c>
    </row>
    <row r="5829" spans="1:9">
      <c r="A5829" s="2">
        <v>2002</v>
      </c>
      <c r="B5829">
        <v>53</v>
      </c>
      <c r="C5829">
        <v>1.5869999999999999E-2</v>
      </c>
      <c r="D5829">
        <v>1.575E-2</v>
      </c>
      <c r="E5829">
        <v>0.5</v>
      </c>
      <c r="F5829">
        <v>83821</v>
      </c>
      <c r="G5829">
        <v>1320</v>
      </c>
      <c r="H5829">
        <v>83161</v>
      </c>
      <c r="I5829">
        <v>1724220</v>
      </c>
    </row>
    <row r="5830" spans="1:9">
      <c r="A5830" s="2">
        <v>2002</v>
      </c>
      <c r="B5830">
        <v>54</v>
      </c>
      <c r="C5830">
        <v>1.6709999999999999E-2</v>
      </c>
      <c r="D5830">
        <v>1.6570000000000001E-2</v>
      </c>
      <c r="E5830">
        <v>0.5</v>
      </c>
      <c r="F5830">
        <v>82501</v>
      </c>
      <c r="G5830">
        <v>1367</v>
      </c>
      <c r="H5830">
        <v>81817</v>
      </c>
      <c r="I5830">
        <v>1641059</v>
      </c>
    </row>
    <row r="5831" spans="1:9">
      <c r="A5831" s="2">
        <v>2002</v>
      </c>
      <c r="B5831">
        <v>55</v>
      </c>
      <c r="C5831">
        <v>1.6760000000000001E-2</v>
      </c>
      <c r="D5831">
        <v>1.6629999999999999E-2</v>
      </c>
      <c r="E5831">
        <v>0.5</v>
      </c>
      <c r="F5831">
        <v>81134</v>
      </c>
      <c r="G5831">
        <v>1349</v>
      </c>
      <c r="H5831">
        <v>80459</v>
      </c>
      <c r="I5831">
        <v>1559241</v>
      </c>
    </row>
    <row r="5832" spans="1:9">
      <c r="A5832" s="2">
        <v>2002</v>
      </c>
      <c r="B5832">
        <v>56</v>
      </c>
      <c r="C5832">
        <v>1.8710000000000001E-2</v>
      </c>
      <c r="D5832">
        <v>1.8540000000000001E-2</v>
      </c>
      <c r="E5832">
        <v>0.5</v>
      </c>
      <c r="F5832">
        <v>79785</v>
      </c>
      <c r="G5832">
        <v>1479</v>
      </c>
      <c r="H5832">
        <v>79045</v>
      </c>
      <c r="I5832">
        <v>1478782</v>
      </c>
    </row>
    <row r="5833" spans="1:9">
      <c r="A5833" s="2">
        <v>2002</v>
      </c>
      <c r="B5833">
        <v>57</v>
      </c>
      <c r="C5833">
        <v>2.2020000000000001E-2</v>
      </c>
      <c r="D5833">
        <v>2.1780000000000001E-2</v>
      </c>
      <c r="E5833">
        <v>0.5</v>
      </c>
      <c r="F5833">
        <v>78306</v>
      </c>
      <c r="G5833">
        <v>1706</v>
      </c>
      <c r="H5833">
        <v>77453</v>
      </c>
      <c r="I5833">
        <v>1399737</v>
      </c>
    </row>
    <row r="5834" spans="1:9">
      <c r="A5834" s="2">
        <v>2002</v>
      </c>
      <c r="B5834">
        <v>58</v>
      </c>
      <c r="C5834">
        <v>2.2259999999999999E-2</v>
      </c>
      <c r="D5834">
        <v>2.2009999999999998E-2</v>
      </c>
      <c r="E5834">
        <v>0.5</v>
      </c>
      <c r="F5834">
        <v>76600</v>
      </c>
      <c r="G5834">
        <v>1686</v>
      </c>
      <c r="H5834">
        <v>75757</v>
      </c>
      <c r="I5834">
        <v>1322284</v>
      </c>
    </row>
    <row r="5835" spans="1:9">
      <c r="A5835" s="2">
        <v>2002</v>
      </c>
      <c r="B5835">
        <v>59</v>
      </c>
      <c r="C5835">
        <v>2.2349999999999998E-2</v>
      </c>
      <c r="D5835">
        <v>2.2110000000000001E-2</v>
      </c>
      <c r="E5835">
        <v>0.5</v>
      </c>
      <c r="F5835">
        <v>74914</v>
      </c>
      <c r="G5835">
        <v>1656</v>
      </c>
      <c r="H5835">
        <v>74086</v>
      </c>
      <c r="I5835">
        <v>1246526</v>
      </c>
    </row>
    <row r="5836" spans="1:9">
      <c r="A5836" s="2">
        <v>2002</v>
      </c>
      <c r="B5836">
        <v>60</v>
      </c>
      <c r="C5836">
        <v>2.486E-2</v>
      </c>
      <c r="D5836">
        <v>2.4549999999999999E-2</v>
      </c>
      <c r="E5836">
        <v>0.5</v>
      </c>
      <c r="F5836">
        <v>73258</v>
      </c>
      <c r="G5836">
        <v>1799</v>
      </c>
      <c r="H5836">
        <v>72359</v>
      </c>
      <c r="I5836">
        <v>1172440</v>
      </c>
    </row>
    <row r="5837" spans="1:9">
      <c r="A5837" s="2">
        <v>2002</v>
      </c>
      <c r="B5837">
        <v>61</v>
      </c>
      <c r="C5837">
        <v>2.6169999999999999E-2</v>
      </c>
      <c r="D5837">
        <v>2.5839999999999998E-2</v>
      </c>
      <c r="E5837">
        <v>0.5</v>
      </c>
      <c r="F5837">
        <v>71459</v>
      </c>
      <c r="G5837">
        <v>1846</v>
      </c>
      <c r="H5837">
        <v>70536</v>
      </c>
      <c r="I5837">
        <v>1100081</v>
      </c>
    </row>
    <row r="5838" spans="1:9">
      <c r="A5838" s="2">
        <v>2002</v>
      </c>
      <c r="B5838">
        <v>62</v>
      </c>
      <c r="C5838">
        <v>2.9329999999999998E-2</v>
      </c>
      <c r="D5838">
        <v>2.8910000000000002E-2</v>
      </c>
      <c r="E5838">
        <v>0.5</v>
      </c>
      <c r="F5838">
        <v>69613</v>
      </c>
      <c r="G5838">
        <v>2013</v>
      </c>
      <c r="H5838">
        <v>68607</v>
      </c>
      <c r="I5838">
        <v>1029545</v>
      </c>
    </row>
    <row r="5839" spans="1:9">
      <c r="A5839" s="2">
        <v>2002</v>
      </c>
      <c r="B5839">
        <v>63</v>
      </c>
      <c r="C5839">
        <v>3.066E-2</v>
      </c>
      <c r="D5839">
        <v>3.0200000000000001E-2</v>
      </c>
      <c r="E5839">
        <v>0.5</v>
      </c>
      <c r="F5839">
        <v>67601</v>
      </c>
      <c r="G5839">
        <v>2042</v>
      </c>
      <c r="H5839">
        <v>66580</v>
      </c>
      <c r="I5839">
        <v>960938</v>
      </c>
    </row>
    <row r="5840" spans="1:9">
      <c r="A5840" s="2">
        <v>2002</v>
      </c>
      <c r="B5840">
        <v>64</v>
      </c>
      <c r="C5840">
        <v>3.2890000000000003E-2</v>
      </c>
      <c r="D5840">
        <v>3.236E-2</v>
      </c>
      <c r="E5840">
        <v>0.5</v>
      </c>
      <c r="F5840">
        <v>65559</v>
      </c>
      <c r="G5840">
        <v>2121</v>
      </c>
      <c r="H5840">
        <v>64499</v>
      </c>
      <c r="I5840">
        <v>894358</v>
      </c>
    </row>
    <row r="5841" spans="1:9">
      <c r="A5841" s="2">
        <v>2002</v>
      </c>
      <c r="B5841">
        <v>65</v>
      </c>
      <c r="C5841">
        <v>3.6150000000000002E-2</v>
      </c>
      <c r="D5841">
        <v>3.551E-2</v>
      </c>
      <c r="E5841">
        <v>0.5</v>
      </c>
      <c r="F5841">
        <v>63438</v>
      </c>
      <c r="G5841">
        <v>2253</v>
      </c>
      <c r="H5841">
        <v>62312</v>
      </c>
      <c r="I5841">
        <v>829859</v>
      </c>
    </row>
    <row r="5842" spans="1:9">
      <c r="A5842" s="2">
        <v>2002</v>
      </c>
      <c r="B5842">
        <v>66</v>
      </c>
      <c r="C5842">
        <v>3.737E-2</v>
      </c>
      <c r="D5842">
        <v>3.6679999999999997E-2</v>
      </c>
      <c r="E5842">
        <v>0.5</v>
      </c>
      <c r="F5842">
        <v>61185</v>
      </c>
      <c r="G5842">
        <v>2245</v>
      </c>
      <c r="H5842">
        <v>60063</v>
      </c>
      <c r="I5842">
        <v>767548</v>
      </c>
    </row>
    <row r="5843" spans="1:9">
      <c r="A5843" s="2">
        <v>2002</v>
      </c>
      <c r="B5843">
        <v>67</v>
      </c>
      <c r="C5843">
        <v>3.8989999999999997E-2</v>
      </c>
      <c r="D5843">
        <v>3.8249999999999999E-2</v>
      </c>
      <c r="E5843">
        <v>0.5</v>
      </c>
      <c r="F5843">
        <v>58941</v>
      </c>
      <c r="G5843">
        <v>2254</v>
      </c>
      <c r="H5843">
        <v>57814</v>
      </c>
      <c r="I5843">
        <v>707484</v>
      </c>
    </row>
    <row r="5844" spans="1:9">
      <c r="A5844" s="2">
        <v>2002</v>
      </c>
      <c r="B5844">
        <v>68</v>
      </c>
      <c r="C5844">
        <v>4.1730000000000003E-2</v>
      </c>
      <c r="D5844">
        <v>4.088E-2</v>
      </c>
      <c r="E5844">
        <v>0.5</v>
      </c>
      <c r="F5844">
        <v>56686</v>
      </c>
      <c r="G5844">
        <v>2317</v>
      </c>
      <c r="H5844">
        <v>55528</v>
      </c>
      <c r="I5844">
        <v>649671</v>
      </c>
    </row>
    <row r="5845" spans="1:9">
      <c r="A5845" s="2">
        <v>2002</v>
      </c>
      <c r="B5845">
        <v>69</v>
      </c>
      <c r="C5845">
        <v>4.4970000000000003E-2</v>
      </c>
      <c r="D5845">
        <v>4.3990000000000001E-2</v>
      </c>
      <c r="E5845">
        <v>0.5</v>
      </c>
      <c r="F5845">
        <v>54369</v>
      </c>
      <c r="G5845">
        <v>2391</v>
      </c>
      <c r="H5845">
        <v>53174</v>
      </c>
      <c r="I5845">
        <v>594143</v>
      </c>
    </row>
    <row r="5846" spans="1:9">
      <c r="A5846" s="2">
        <v>2002</v>
      </c>
      <c r="B5846">
        <v>70</v>
      </c>
      <c r="C5846">
        <v>4.8590000000000001E-2</v>
      </c>
      <c r="D5846">
        <v>4.743E-2</v>
      </c>
      <c r="E5846">
        <v>0.5</v>
      </c>
      <c r="F5846">
        <v>51978</v>
      </c>
      <c r="G5846">
        <v>2466</v>
      </c>
      <c r="H5846">
        <v>50745</v>
      </c>
      <c r="I5846">
        <v>540969</v>
      </c>
    </row>
    <row r="5847" spans="1:9">
      <c r="A5847" s="2">
        <v>2002</v>
      </c>
      <c r="B5847">
        <v>71</v>
      </c>
      <c r="C5847">
        <v>5.5559999999999998E-2</v>
      </c>
      <c r="D5847">
        <v>5.4050000000000001E-2</v>
      </c>
      <c r="E5847">
        <v>0.5</v>
      </c>
      <c r="F5847">
        <v>49512</v>
      </c>
      <c r="G5847">
        <v>2676</v>
      </c>
      <c r="H5847">
        <v>48174</v>
      </c>
      <c r="I5847">
        <v>490224</v>
      </c>
    </row>
    <row r="5848" spans="1:9">
      <c r="A5848" s="2">
        <v>2002</v>
      </c>
      <c r="B5848">
        <v>72</v>
      </c>
      <c r="C5848">
        <v>5.8779999999999999E-2</v>
      </c>
      <c r="D5848">
        <v>5.7099999999999998E-2</v>
      </c>
      <c r="E5848">
        <v>0.5</v>
      </c>
      <c r="F5848">
        <v>46836</v>
      </c>
      <c r="G5848">
        <v>2674</v>
      </c>
      <c r="H5848">
        <v>45499</v>
      </c>
      <c r="I5848">
        <v>442050</v>
      </c>
    </row>
    <row r="5849" spans="1:9">
      <c r="A5849" s="2">
        <v>2002</v>
      </c>
      <c r="B5849">
        <v>73</v>
      </c>
      <c r="C5849">
        <v>6.4060000000000006E-2</v>
      </c>
      <c r="D5849">
        <v>6.207E-2</v>
      </c>
      <c r="E5849">
        <v>0.5</v>
      </c>
      <c r="F5849">
        <v>44162</v>
      </c>
      <c r="G5849">
        <v>2741</v>
      </c>
      <c r="H5849">
        <v>42791</v>
      </c>
      <c r="I5849">
        <v>396551</v>
      </c>
    </row>
    <row r="5850" spans="1:9">
      <c r="A5850" s="2">
        <v>2002</v>
      </c>
      <c r="B5850">
        <v>74</v>
      </c>
      <c r="C5850">
        <v>6.5610000000000002E-2</v>
      </c>
      <c r="D5850">
        <v>6.3530000000000003E-2</v>
      </c>
      <c r="E5850">
        <v>0.5</v>
      </c>
      <c r="F5850">
        <v>41420</v>
      </c>
      <c r="G5850">
        <v>2631</v>
      </c>
      <c r="H5850">
        <v>40105</v>
      </c>
      <c r="I5850">
        <v>353760</v>
      </c>
    </row>
    <row r="5851" spans="1:9">
      <c r="A5851" s="2">
        <v>2002</v>
      </c>
      <c r="B5851">
        <v>75</v>
      </c>
      <c r="C5851">
        <v>7.2029999999999997E-2</v>
      </c>
      <c r="D5851">
        <v>6.9529999999999995E-2</v>
      </c>
      <c r="E5851">
        <v>0.5</v>
      </c>
      <c r="F5851">
        <v>38789</v>
      </c>
      <c r="G5851">
        <v>2697</v>
      </c>
      <c r="H5851">
        <v>37440</v>
      </c>
      <c r="I5851">
        <v>313656</v>
      </c>
    </row>
    <row r="5852" spans="1:9">
      <c r="A5852" s="2">
        <v>2002</v>
      </c>
      <c r="B5852">
        <v>76</v>
      </c>
      <c r="C5852">
        <v>8.0269999999999994E-2</v>
      </c>
      <c r="D5852">
        <v>7.7170000000000002E-2</v>
      </c>
      <c r="E5852">
        <v>0.5</v>
      </c>
      <c r="F5852">
        <v>36092</v>
      </c>
      <c r="G5852">
        <v>2785</v>
      </c>
      <c r="H5852">
        <v>34699</v>
      </c>
      <c r="I5852">
        <v>276215</v>
      </c>
    </row>
    <row r="5853" spans="1:9">
      <c r="A5853" s="2">
        <v>2002</v>
      </c>
      <c r="B5853">
        <v>77</v>
      </c>
      <c r="C5853">
        <v>8.2040000000000002E-2</v>
      </c>
      <c r="D5853">
        <v>7.8810000000000005E-2</v>
      </c>
      <c r="E5853">
        <v>0.5</v>
      </c>
      <c r="F5853">
        <v>33307</v>
      </c>
      <c r="G5853">
        <v>2625</v>
      </c>
      <c r="H5853">
        <v>31994</v>
      </c>
      <c r="I5853">
        <v>241516</v>
      </c>
    </row>
    <row r="5854" spans="1:9">
      <c r="A5854" s="2">
        <v>2002</v>
      </c>
      <c r="B5854">
        <v>78</v>
      </c>
      <c r="C5854">
        <v>9.5990000000000006E-2</v>
      </c>
      <c r="D5854">
        <v>9.1590000000000005E-2</v>
      </c>
      <c r="E5854">
        <v>0.5</v>
      </c>
      <c r="F5854">
        <v>30682</v>
      </c>
      <c r="G5854">
        <v>2810</v>
      </c>
      <c r="H5854">
        <v>29276</v>
      </c>
      <c r="I5854">
        <v>209522</v>
      </c>
    </row>
    <row r="5855" spans="1:9">
      <c r="A5855" s="2">
        <v>2002</v>
      </c>
      <c r="B5855">
        <v>79</v>
      </c>
      <c r="C5855">
        <v>9.7659999999999997E-2</v>
      </c>
      <c r="D5855">
        <v>9.3119999999999994E-2</v>
      </c>
      <c r="E5855">
        <v>0.5</v>
      </c>
      <c r="F5855">
        <v>27871</v>
      </c>
      <c r="G5855">
        <v>2595</v>
      </c>
      <c r="H5855">
        <v>26574</v>
      </c>
      <c r="I5855">
        <v>180245</v>
      </c>
    </row>
    <row r="5856" spans="1:9">
      <c r="A5856" s="2">
        <v>2002</v>
      </c>
      <c r="B5856">
        <v>80</v>
      </c>
      <c r="C5856">
        <v>0.10990999999999999</v>
      </c>
      <c r="D5856">
        <v>0.10419</v>
      </c>
      <c r="E5856">
        <v>0.5</v>
      </c>
      <c r="F5856">
        <v>25276</v>
      </c>
      <c r="G5856">
        <v>2633</v>
      </c>
      <c r="H5856">
        <v>23959</v>
      </c>
      <c r="I5856">
        <v>153672</v>
      </c>
    </row>
    <row r="5857" spans="1:9">
      <c r="A5857" s="2">
        <v>2002</v>
      </c>
      <c r="B5857">
        <v>81</v>
      </c>
      <c r="C5857">
        <v>0.11808</v>
      </c>
      <c r="D5857">
        <v>0.1115</v>
      </c>
      <c r="E5857">
        <v>0.5</v>
      </c>
      <c r="F5857">
        <v>22643</v>
      </c>
      <c r="G5857">
        <v>2525</v>
      </c>
      <c r="H5857">
        <v>21380</v>
      </c>
      <c r="I5857">
        <v>129712</v>
      </c>
    </row>
    <row r="5858" spans="1:9">
      <c r="A5858" s="2">
        <v>2002</v>
      </c>
      <c r="B5858">
        <v>82</v>
      </c>
      <c r="C5858">
        <v>0.13818</v>
      </c>
      <c r="D5858">
        <v>0.12925</v>
      </c>
      <c r="E5858">
        <v>0.5</v>
      </c>
      <c r="F5858">
        <v>20118</v>
      </c>
      <c r="G5858">
        <v>2600</v>
      </c>
      <c r="H5858">
        <v>18818</v>
      </c>
      <c r="I5858">
        <v>108332</v>
      </c>
    </row>
    <row r="5859" spans="1:9">
      <c r="A5859" s="2">
        <v>2002</v>
      </c>
      <c r="B5859">
        <v>83</v>
      </c>
      <c r="C5859">
        <v>0.12725</v>
      </c>
      <c r="D5859">
        <v>0.11963</v>
      </c>
      <c r="E5859">
        <v>0.5</v>
      </c>
      <c r="F5859">
        <v>17518</v>
      </c>
      <c r="G5859">
        <v>2096</v>
      </c>
      <c r="H5859">
        <v>16470</v>
      </c>
      <c r="I5859">
        <v>89514</v>
      </c>
    </row>
    <row r="5860" spans="1:9">
      <c r="A5860" s="2">
        <v>2002</v>
      </c>
      <c r="B5860">
        <v>84</v>
      </c>
      <c r="C5860">
        <v>0.14371999999999999</v>
      </c>
      <c r="D5860">
        <v>0.13408</v>
      </c>
      <c r="E5860">
        <v>0.5</v>
      </c>
      <c r="F5860">
        <v>15422</v>
      </c>
      <c r="G5860">
        <v>2068</v>
      </c>
      <c r="H5860">
        <v>14388</v>
      </c>
      <c r="I5860">
        <v>73044</v>
      </c>
    </row>
    <row r="5861" spans="1:9">
      <c r="A5861" s="2">
        <v>2002</v>
      </c>
      <c r="B5861">
        <v>85</v>
      </c>
      <c r="C5861">
        <v>0.17458000000000001</v>
      </c>
      <c r="D5861">
        <v>0.16056000000000001</v>
      </c>
      <c r="E5861">
        <v>0.5</v>
      </c>
      <c r="F5861">
        <v>13354</v>
      </c>
      <c r="G5861">
        <v>2144</v>
      </c>
      <c r="H5861">
        <v>12282</v>
      </c>
      <c r="I5861">
        <v>58656</v>
      </c>
    </row>
    <row r="5862" spans="1:9">
      <c r="A5862" s="2">
        <v>2002</v>
      </c>
      <c r="B5862">
        <v>86</v>
      </c>
      <c r="C5862">
        <v>0.17796999999999999</v>
      </c>
      <c r="D5862">
        <v>0.16342999999999999</v>
      </c>
      <c r="E5862">
        <v>0.5</v>
      </c>
      <c r="F5862">
        <v>11210</v>
      </c>
      <c r="G5862">
        <v>1832</v>
      </c>
      <c r="H5862">
        <v>10294</v>
      </c>
      <c r="I5862">
        <v>46374</v>
      </c>
    </row>
    <row r="5863" spans="1:9">
      <c r="A5863" s="2">
        <v>2002</v>
      </c>
      <c r="B5863">
        <v>87</v>
      </c>
      <c r="C5863">
        <v>0.21747</v>
      </c>
      <c r="D5863">
        <v>0.19614000000000001</v>
      </c>
      <c r="E5863">
        <v>0.5</v>
      </c>
      <c r="F5863">
        <v>9378</v>
      </c>
      <c r="G5863">
        <v>1839</v>
      </c>
      <c r="H5863">
        <v>8458</v>
      </c>
      <c r="I5863">
        <v>36080</v>
      </c>
    </row>
    <row r="5864" spans="1:9">
      <c r="A5864" s="2">
        <v>2002</v>
      </c>
      <c r="B5864">
        <v>88</v>
      </c>
      <c r="C5864">
        <v>0.22317000000000001</v>
      </c>
      <c r="D5864">
        <v>0.20077</v>
      </c>
      <c r="E5864">
        <v>0.5</v>
      </c>
      <c r="F5864">
        <v>7539</v>
      </c>
      <c r="G5864">
        <v>1514</v>
      </c>
      <c r="H5864">
        <v>6782</v>
      </c>
      <c r="I5864">
        <v>27622</v>
      </c>
    </row>
    <row r="5865" spans="1:9">
      <c r="A5865" s="2">
        <v>2002</v>
      </c>
      <c r="B5865">
        <v>89</v>
      </c>
      <c r="C5865">
        <v>0.23708000000000001</v>
      </c>
      <c r="D5865">
        <v>0.21196000000000001</v>
      </c>
      <c r="E5865">
        <v>0.5</v>
      </c>
      <c r="F5865">
        <v>6025</v>
      </c>
      <c r="G5865">
        <v>1277</v>
      </c>
      <c r="H5865">
        <v>5387</v>
      </c>
      <c r="I5865">
        <v>20840</v>
      </c>
    </row>
    <row r="5866" spans="1:9">
      <c r="A5866" s="2">
        <v>2002</v>
      </c>
      <c r="B5866">
        <v>90</v>
      </c>
      <c r="C5866">
        <v>0.25808999999999999</v>
      </c>
      <c r="D5866">
        <v>0.22858999999999999</v>
      </c>
      <c r="E5866">
        <v>0.5</v>
      </c>
      <c r="F5866">
        <v>4748</v>
      </c>
      <c r="G5866">
        <v>1085</v>
      </c>
      <c r="H5866">
        <v>4205</v>
      </c>
      <c r="I5866">
        <v>15453</v>
      </c>
    </row>
    <row r="5867" spans="1:9">
      <c r="A5867" s="2">
        <v>2002</v>
      </c>
      <c r="B5867">
        <v>91</v>
      </c>
      <c r="C5867">
        <v>0.27976000000000001</v>
      </c>
      <c r="D5867">
        <v>0.24543000000000001</v>
      </c>
      <c r="E5867">
        <v>0.5</v>
      </c>
      <c r="F5867">
        <v>3663</v>
      </c>
      <c r="G5867">
        <v>899</v>
      </c>
      <c r="H5867">
        <v>3213</v>
      </c>
      <c r="I5867">
        <v>11248</v>
      </c>
    </row>
    <row r="5868" spans="1:9">
      <c r="A5868" s="2">
        <v>2002</v>
      </c>
      <c r="B5868">
        <v>92</v>
      </c>
      <c r="C5868">
        <v>0.29821999999999999</v>
      </c>
      <c r="D5868">
        <v>0.25951999999999997</v>
      </c>
      <c r="E5868">
        <v>0.5</v>
      </c>
      <c r="F5868">
        <v>2764</v>
      </c>
      <c r="G5868">
        <v>717</v>
      </c>
      <c r="H5868">
        <v>2405</v>
      </c>
      <c r="I5868">
        <v>8035</v>
      </c>
    </row>
    <row r="5869" spans="1:9">
      <c r="A5869" s="2">
        <v>2002</v>
      </c>
      <c r="B5869">
        <v>93</v>
      </c>
      <c r="C5869">
        <v>0.27239000000000002</v>
      </c>
      <c r="D5869">
        <v>0.23974000000000001</v>
      </c>
      <c r="E5869">
        <v>0.5</v>
      </c>
      <c r="F5869">
        <v>2046</v>
      </c>
      <c r="G5869">
        <v>491</v>
      </c>
      <c r="H5869">
        <v>1801</v>
      </c>
      <c r="I5869">
        <v>5630</v>
      </c>
    </row>
    <row r="5870" spans="1:9">
      <c r="A5870" s="2">
        <v>2002</v>
      </c>
      <c r="B5870">
        <v>94</v>
      </c>
      <c r="C5870">
        <v>0.39001999999999998</v>
      </c>
      <c r="D5870">
        <v>0.32638</v>
      </c>
      <c r="E5870">
        <v>0.5</v>
      </c>
      <c r="F5870">
        <v>1556</v>
      </c>
      <c r="G5870">
        <v>508</v>
      </c>
      <c r="H5870">
        <v>1302</v>
      </c>
      <c r="I5870">
        <v>3828</v>
      </c>
    </row>
    <row r="5871" spans="1:9">
      <c r="A5871" s="2">
        <v>2002</v>
      </c>
      <c r="B5871">
        <v>95</v>
      </c>
      <c r="C5871">
        <v>0.37191000000000002</v>
      </c>
      <c r="D5871">
        <v>0.31359999999999999</v>
      </c>
      <c r="E5871">
        <v>0.5</v>
      </c>
      <c r="F5871">
        <v>1048</v>
      </c>
      <c r="G5871">
        <v>329</v>
      </c>
      <c r="H5871">
        <v>884</v>
      </c>
      <c r="I5871">
        <v>2526</v>
      </c>
    </row>
    <row r="5872" spans="1:9">
      <c r="A5872" s="2">
        <v>2002</v>
      </c>
      <c r="B5872">
        <v>96</v>
      </c>
      <c r="C5872">
        <v>0.39695999999999998</v>
      </c>
      <c r="D5872">
        <v>0.33122000000000001</v>
      </c>
      <c r="E5872">
        <v>0.5</v>
      </c>
      <c r="F5872">
        <v>719</v>
      </c>
      <c r="G5872">
        <v>238</v>
      </c>
      <c r="H5872">
        <v>600</v>
      </c>
      <c r="I5872">
        <v>1643</v>
      </c>
    </row>
    <row r="5873" spans="1:9">
      <c r="A5873" s="2">
        <v>2002</v>
      </c>
      <c r="B5873">
        <v>97</v>
      </c>
      <c r="C5873">
        <v>0.42257</v>
      </c>
      <c r="D5873">
        <v>0.34886</v>
      </c>
      <c r="E5873">
        <v>0.5</v>
      </c>
      <c r="F5873">
        <v>481</v>
      </c>
      <c r="G5873">
        <v>168</v>
      </c>
      <c r="H5873">
        <v>397</v>
      </c>
      <c r="I5873">
        <v>1042</v>
      </c>
    </row>
    <row r="5874" spans="1:9">
      <c r="A5874" s="2">
        <v>2002</v>
      </c>
      <c r="B5874">
        <v>98</v>
      </c>
      <c r="C5874">
        <v>0.44858999999999999</v>
      </c>
      <c r="D5874">
        <v>0.36641000000000001</v>
      </c>
      <c r="E5874">
        <v>0.5</v>
      </c>
      <c r="F5874">
        <v>313</v>
      </c>
      <c r="G5874">
        <v>115</v>
      </c>
      <c r="H5874">
        <v>256</v>
      </c>
      <c r="I5874">
        <v>645</v>
      </c>
    </row>
    <row r="5875" spans="1:9">
      <c r="A5875" s="2">
        <v>2002</v>
      </c>
      <c r="B5875">
        <v>99</v>
      </c>
      <c r="C5875">
        <v>0.47489999999999999</v>
      </c>
      <c r="D5875">
        <v>0.38378000000000001</v>
      </c>
      <c r="E5875">
        <v>0.5</v>
      </c>
      <c r="F5875">
        <v>198</v>
      </c>
      <c r="G5875">
        <v>76</v>
      </c>
      <c r="H5875">
        <v>160</v>
      </c>
      <c r="I5875">
        <v>389</v>
      </c>
    </row>
    <row r="5876" spans="1:9">
      <c r="A5876" s="2">
        <v>2002</v>
      </c>
      <c r="B5876">
        <v>100</v>
      </c>
      <c r="C5876">
        <v>0.50134999999999996</v>
      </c>
      <c r="D5876">
        <v>0.40087</v>
      </c>
      <c r="E5876">
        <v>0.5</v>
      </c>
      <c r="F5876">
        <v>122</v>
      </c>
      <c r="G5876">
        <v>49</v>
      </c>
      <c r="H5876">
        <v>98</v>
      </c>
      <c r="I5876">
        <v>229</v>
      </c>
    </row>
    <row r="5877" spans="1:9">
      <c r="A5877" s="2">
        <v>2002</v>
      </c>
      <c r="B5877">
        <v>101</v>
      </c>
      <c r="C5877">
        <v>0.52780000000000005</v>
      </c>
      <c r="D5877">
        <v>0.41759000000000002</v>
      </c>
      <c r="E5877">
        <v>0.5</v>
      </c>
      <c r="F5877">
        <v>73</v>
      </c>
      <c r="G5877">
        <v>31</v>
      </c>
      <c r="H5877">
        <v>58</v>
      </c>
      <c r="I5877">
        <v>131</v>
      </c>
    </row>
    <row r="5878" spans="1:9">
      <c r="A5878" s="2">
        <v>2002</v>
      </c>
      <c r="B5878">
        <v>102</v>
      </c>
      <c r="C5878">
        <v>0.55408000000000002</v>
      </c>
      <c r="D5878">
        <v>0.43387999999999999</v>
      </c>
      <c r="E5878">
        <v>0.5</v>
      </c>
      <c r="F5878">
        <v>43</v>
      </c>
      <c r="G5878">
        <v>19</v>
      </c>
      <c r="H5878">
        <v>33</v>
      </c>
      <c r="I5878">
        <v>73</v>
      </c>
    </row>
    <row r="5879" spans="1:9">
      <c r="A5879" s="2">
        <v>2002</v>
      </c>
      <c r="B5879">
        <v>103</v>
      </c>
      <c r="C5879">
        <v>0.58006999999999997</v>
      </c>
      <c r="D5879">
        <v>0.44966</v>
      </c>
      <c r="E5879">
        <v>0.5</v>
      </c>
      <c r="F5879">
        <v>24</v>
      </c>
      <c r="G5879">
        <v>11</v>
      </c>
      <c r="H5879">
        <v>19</v>
      </c>
      <c r="I5879">
        <v>40</v>
      </c>
    </row>
    <row r="5880" spans="1:9">
      <c r="A5880" s="2">
        <v>2002</v>
      </c>
      <c r="B5880">
        <v>104</v>
      </c>
      <c r="C5880">
        <v>0.60562000000000005</v>
      </c>
      <c r="D5880">
        <v>0.46486</v>
      </c>
      <c r="E5880">
        <v>0.5</v>
      </c>
      <c r="F5880">
        <v>13</v>
      </c>
      <c r="G5880">
        <v>6</v>
      </c>
      <c r="H5880">
        <v>10</v>
      </c>
      <c r="I5880">
        <v>21</v>
      </c>
    </row>
    <row r="5881" spans="1:9">
      <c r="A5881" s="2">
        <v>2002</v>
      </c>
      <c r="B5881">
        <v>105</v>
      </c>
      <c r="C5881">
        <v>0.63061</v>
      </c>
      <c r="D5881">
        <v>0.47943999999999998</v>
      </c>
      <c r="E5881">
        <v>0.5</v>
      </c>
      <c r="F5881">
        <v>7</v>
      </c>
      <c r="G5881">
        <v>3</v>
      </c>
      <c r="H5881">
        <v>5</v>
      </c>
      <c r="I5881">
        <v>11</v>
      </c>
    </row>
    <row r="5882" spans="1:9">
      <c r="A5882" s="2">
        <v>2002</v>
      </c>
      <c r="B5882">
        <v>106</v>
      </c>
      <c r="C5882">
        <v>0.65491999999999995</v>
      </c>
      <c r="D5882">
        <v>0.49336000000000002</v>
      </c>
      <c r="E5882">
        <v>0.5</v>
      </c>
      <c r="F5882">
        <v>4</v>
      </c>
      <c r="G5882">
        <v>2</v>
      </c>
      <c r="H5882">
        <v>3</v>
      </c>
      <c r="I5882">
        <v>5</v>
      </c>
    </row>
    <row r="5883" spans="1:9">
      <c r="A5883" s="2">
        <v>2002</v>
      </c>
      <c r="B5883">
        <v>107</v>
      </c>
      <c r="C5883">
        <v>0.67844000000000004</v>
      </c>
      <c r="D5883">
        <v>0.50658999999999998</v>
      </c>
      <c r="E5883">
        <v>0.5</v>
      </c>
      <c r="F5883">
        <v>2</v>
      </c>
      <c r="G5883">
        <v>1</v>
      </c>
      <c r="H5883">
        <v>1</v>
      </c>
      <c r="I5883">
        <v>3</v>
      </c>
    </row>
    <row r="5884" spans="1:9">
      <c r="A5884" s="2">
        <v>2002</v>
      </c>
      <c r="B5884">
        <v>108</v>
      </c>
      <c r="C5884">
        <v>0.70108999999999999</v>
      </c>
      <c r="D5884">
        <v>0.51912000000000003</v>
      </c>
      <c r="E5884">
        <v>0.5</v>
      </c>
      <c r="F5884">
        <v>1</v>
      </c>
      <c r="G5884">
        <v>0</v>
      </c>
      <c r="H5884">
        <v>1</v>
      </c>
      <c r="I5884">
        <v>1</v>
      </c>
    </row>
    <row r="5885" spans="1:9">
      <c r="A5885" s="2">
        <v>2002</v>
      </c>
      <c r="B5885">
        <v>109</v>
      </c>
      <c r="C5885">
        <v>0.7228</v>
      </c>
      <c r="D5885">
        <v>0.53091999999999995</v>
      </c>
      <c r="E5885">
        <v>0.5</v>
      </c>
      <c r="F5885">
        <v>0</v>
      </c>
      <c r="G5885">
        <v>0</v>
      </c>
      <c r="H5885">
        <v>0</v>
      </c>
      <c r="I5885">
        <v>1</v>
      </c>
    </row>
    <row r="5886" spans="1:9">
      <c r="A5886" s="2">
        <v>2002</v>
      </c>
      <c r="B5886" t="s">
        <v>26</v>
      </c>
      <c r="C5886">
        <v>0.74351</v>
      </c>
      <c r="D5886">
        <v>1</v>
      </c>
      <c r="E5886">
        <v>1.34</v>
      </c>
      <c r="F5886">
        <v>0</v>
      </c>
      <c r="G5886">
        <v>0</v>
      </c>
      <c r="H5886">
        <v>0</v>
      </c>
      <c r="I5886">
        <v>0</v>
      </c>
    </row>
    <row r="5887" spans="1:9">
      <c r="A5887" s="2">
        <v>2003</v>
      </c>
      <c r="B5887">
        <v>0</v>
      </c>
      <c r="C5887">
        <v>8.0099999999999998E-3</v>
      </c>
      <c r="D5887">
        <v>7.9500000000000005E-3</v>
      </c>
      <c r="E5887">
        <v>0.13</v>
      </c>
      <c r="F5887">
        <v>100000</v>
      </c>
      <c r="G5887">
        <v>795</v>
      </c>
      <c r="H5887">
        <v>99311</v>
      </c>
      <c r="I5887">
        <v>6832307</v>
      </c>
    </row>
    <row r="5888" spans="1:9">
      <c r="A5888" s="2">
        <v>2003</v>
      </c>
      <c r="B5888">
        <v>1</v>
      </c>
      <c r="C5888">
        <v>5.9000000000000003E-4</v>
      </c>
      <c r="D5888">
        <v>5.9000000000000003E-4</v>
      </c>
      <c r="E5888">
        <v>0.5</v>
      </c>
      <c r="F5888">
        <v>99205</v>
      </c>
      <c r="G5888">
        <v>59</v>
      </c>
      <c r="H5888">
        <v>99175</v>
      </c>
      <c r="I5888">
        <v>6732996</v>
      </c>
    </row>
    <row r="5889" spans="1:9">
      <c r="A5889" s="2">
        <v>2003</v>
      </c>
      <c r="B5889">
        <v>2</v>
      </c>
      <c r="C5889">
        <v>3.8000000000000002E-4</v>
      </c>
      <c r="D5889">
        <v>3.8000000000000002E-4</v>
      </c>
      <c r="E5889">
        <v>0.5</v>
      </c>
      <c r="F5889">
        <v>99146</v>
      </c>
      <c r="G5889">
        <v>38</v>
      </c>
      <c r="H5889">
        <v>99127</v>
      </c>
      <c r="I5889">
        <v>6633821</v>
      </c>
    </row>
    <row r="5890" spans="1:9">
      <c r="A5890" s="2">
        <v>2003</v>
      </c>
      <c r="B5890">
        <v>3</v>
      </c>
      <c r="C5890">
        <v>2.9E-4</v>
      </c>
      <c r="D5890">
        <v>2.9E-4</v>
      </c>
      <c r="E5890">
        <v>0.5</v>
      </c>
      <c r="F5890">
        <v>99108</v>
      </c>
      <c r="G5890">
        <v>28</v>
      </c>
      <c r="H5890">
        <v>99094</v>
      </c>
      <c r="I5890">
        <v>6534694</v>
      </c>
    </row>
    <row r="5891" spans="1:9">
      <c r="A5891" s="2">
        <v>2003</v>
      </c>
      <c r="B5891">
        <v>4</v>
      </c>
      <c r="C5891">
        <v>1E-4</v>
      </c>
      <c r="D5891">
        <v>1E-4</v>
      </c>
      <c r="E5891">
        <v>0.5</v>
      </c>
      <c r="F5891">
        <v>99080</v>
      </c>
      <c r="G5891">
        <v>10</v>
      </c>
      <c r="H5891">
        <v>99075</v>
      </c>
      <c r="I5891">
        <v>6435599</v>
      </c>
    </row>
    <row r="5892" spans="1:9">
      <c r="A5892" s="2">
        <v>2003</v>
      </c>
      <c r="B5892">
        <v>5</v>
      </c>
      <c r="C5892">
        <v>2.2000000000000001E-4</v>
      </c>
      <c r="D5892">
        <v>2.2000000000000001E-4</v>
      </c>
      <c r="E5892">
        <v>0.5</v>
      </c>
      <c r="F5892">
        <v>99070</v>
      </c>
      <c r="G5892">
        <v>22</v>
      </c>
      <c r="H5892">
        <v>99059</v>
      </c>
      <c r="I5892">
        <v>6336524</v>
      </c>
    </row>
    <row r="5893" spans="1:9">
      <c r="A5893" s="2">
        <v>2003</v>
      </c>
      <c r="B5893">
        <v>6</v>
      </c>
      <c r="C5893">
        <v>1.2999999999999999E-4</v>
      </c>
      <c r="D5893">
        <v>1.2999999999999999E-4</v>
      </c>
      <c r="E5893">
        <v>0.5</v>
      </c>
      <c r="F5893">
        <v>99048</v>
      </c>
      <c r="G5893">
        <v>13</v>
      </c>
      <c r="H5893">
        <v>99041</v>
      </c>
      <c r="I5893">
        <v>6237466</v>
      </c>
    </row>
    <row r="5894" spans="1:9">
      <c r="A5894" s="2">
        <v>2003</v>
      </c>
      <c r="B5894">
        <v>7</v>
      </c>
      <c r="C5894">
        <v>1.6000000000000001E-4</v>
      </c>
      <c r="D5894">
        <v>1.6000000000000001E-4</v>
      </c>
      <c r="E5894">
        <v>0.5</v>
      </c>
      <c r="F5894">
        <v>99035</v>
      </c>
      <c r="G5894">
        <v>16</v>
      </c>
      <c r="H5894">
        <v>99027</v>
      </c>
      <c r="I5894">
        <v>6138424</v>
      </c>
    </row>
    <row r="5895" spans="1:9">
      <c r="A5895" s="2">
        <v>2003</v>
      </c>
      <c r="B5895">
        <v>8</v>
      </c>
      <c r="C5895">
        <v>1.8000000000000001E-4</v>
      </c>
      <c r="D5895">
        <v>1.8000000000000001E-4</v>
      </c>
      <c r="E5895">
        <v>0.5</v>
      </c>
      <c r="F5895">
        <v>99019</v>
      </c>
      <c r="G5895">
        <v>18</v>
      </c>
      <c r="H5895">
        <v>99010</v>
      </c>
      <c r="I5895">
        <v>6039398</v>
      </c>
    </row>
    <row r="5896" spans="1:9">
      <c r="A5896" s="2">
        <v>2003</v>
      </c>
      <c r="B5896">
        <v>9</v>
      </c>
      <c r="C5896">
        <v>1.7000000000000001E-4</v>
      </c>
      <c r="D5896">
        <v>1.7000000000000001E-4</v>
      </c>
      <c r="E5896">
        <v>0.5</v>
      </c>
      <c r="F5896">
        <v>99001</v>
      </c>
      <c r="G5896">
        <v>17</v>
      </c>
      <c r="H5896">
        <v>98993</v>
      </c>
      <c r="I5896">
        <v>5940388</v>
      </c>
    </row>
    <row r="5897" spans="1:9">
      <c r="A5897" s="2">
        <v>2003</v>
      </c>
      <c r="B5897">
        <v>10</v>
      </c>
      <c r="C5897">
        <v>2.2000000000000001E-4</v>
      </c>
      <c r="D5897">
        <v>2.2000000000000001E-4</v>
      </c>
      <c r="E5897">
        <v>0.5</v>
      </c>
      <c r="F5897">
        <v>98984</v>
      </c>
      <c r="G5897">
        <v>22</v>
      </c>
      <c r="H5897">
        <v>98973</v>
      </c>
      <c r="I5897">
        <v>5841396</v>
      </c>
    </row>
    <row r="5898" spans="1:9">
      <c r="A5898" s="2">
        <v>2003</v>
      </c>
      <c r="B5898">
        <v>11</v>
      </c>
      <c r="C5898">
        <v>1.6000000000000001E-4</v>
      </c>
      <c r="D5898">
        <v>1.6000000000000001E-4</v>
      </c>
      <c r="E5898">
        <v>0.5</v>
      </c>
      <c r="F5898">
        <v>98963</v>
      </c>
      <c r="G5898">
        <v>16</v>
      </c>
      <c r="H5898">
        <v>98955</v>
      </c>
      <c r="I5898">
        <v>5742422</v>
      </c>
    </row>
    <row r="5899" spans="1:9">
      <c r="A5899" s="2">
        <v>2003</v>
      </c>
      <c r="B5899">
        <v>12</v>
      </c>
      <c r="C5899">
        <v>1.9000000000000001E-4</v>
      </c>
      <c r="D5899">
        <v>1.9000000000000001E-4</v>
      </c>
      <c r="E5899">
        <v>0.5</v>
      </c>
      <c r="F5899">
        <v>98947</v>
      </c>
      <c r="G5899">
        <v>18</v>
      </c>
      <c r="H5899">
        <v>98938</v>
      </c>
      <c r="I5899">
        <v>5643468</v>
      </c>
    </row>
    <row r="5900" spans="1:9">
      <c r="A5900" s="2">
        <v>2003</v>
      </c>
      <c r="B5900">
        <v>13</v>
      </c>
      <c r="C5900">
        <v>2.2000000000000001E-4</v>
      </c>
      <c r="D5900">
        <v>2.2000000000000001E-4</v>
      </c>
      <c r="E5900">
        <v>0.5</v>
      </c>
      <c r="F5900">
        <v>98928</v>
      </c>
      <c r="G5900">
        <v>22</v>
      </c>
      <c r="H5900">
        <v>98917</v>
      </c>
      <c r="I5900">
        <v>5544530</v>
      </c>
    </row>
    <row r="5901" spans="1:9">
      <c r="A5901" s="2">
        <v>2003</v>
      </c>
      <c r="B5901">
        <v>14</v>
      </c>
      <c r="C5901">
        <v>3.3E-4</v>
      </c>
      <c r="D5901">
        <v>3.3E-4</v>
      </c>
      <c r="E5901">
        <v>0.5</v>
      </c>
      <c r="F5901">
        <v>98906</v>
      </c>
      <c r="G5901">
        <v>33</v>
      </c>
      <c r="H5901">
        <v>98890</v>
      </c>
      <c r="I5901">
        <v>5445613</v>
      </c>
    </row>
    <row r="5902" spans="1:9">
      <c r="A5902" s="2">
        <v>2003</v>
      </c>
      <c r="B5902">
        <v>15</v>
      </c>
      <c r="C5902">
        <v>2.7999999999999998E-4</v>
      </c>
      <c r="D5902">
        <v>2.7999999999999998E-4</v>
      </c>
      <c r="E5902">
        <v>0.5</v>
      </c>
      <c r="F5902">
        <v>98873</v>
      </c>
      <c r="G5902">
        <v>28</v>
      </c>
      <c r="H5902">
        <v>98859</v>
      </c>
      <c r="I5902">
        <v>5346723</v>
      </c>
    </row>
    <row r="5903" spans="1:9">
      <c r="A5903" s="2">
        <v>2003</v>
      </c>
      <c r="B5903">
        <v>16</v>
      </c>
      <c r="C5903">
        <v>4.2000000000000002E-4</v>
      </c>
      <c r="D5903">
        <v>4.2000000000000002E-4</v>
      </c>
      <c r="E5903">
        <v>0.5</v>
      </c>
      <c r="F5903">
        <v>98845</v>
      </c>
      <c r="G5903">
        <v>41</v>
      </c>
      <c r="H5903">
        <v>98825</v>
      </c>
      <c r="I5903">
        <v>5247864</v>
      </c>
    </row>
    <row r="5904" spans="1:9">
      <c r="A5904" s="2">
        <v>2003</v>
      </c>
      <c r="B5904">
        <v>17</v>
      </c>
      <c r="C5904">
        <v>6.0999999999999997E-4</v>
      </c>
      <c r="D5904">
        <v>6.0999999999999997E-4</v>
      </c>
      <c r="E5904">
        <v>0.5</v>
      </c>
      <c r="F5904">
        <v>98804</v>
      </c>
      <c r="G5904">
        <v>60</v>
      </c>
      <c r="H5904">
        <v>98774</v>
      </c>
      <c r="I5904">
        <v>5149039</v>
      </c>
    </row>
    <row r="5905" spans="1:9">
      <c r="A5905" s="2">
        <v>2003</v>
      </c>
      <c r="B5905">
        <v>18</v>
      </c>
      <c r="C5905">
        <v>5.9000000000000003E-4</v>
      </c>
      <c r="D5905">
        <v>5.9000000000000003E-4</v>
      </c>
      <c r="E5905">
        <v>0.5</v>
      </c>
      <c r="F5905">
        <v>98744</v>
      </c>
      <c r="G5905">
        <v>58</v>
      </c>
      <c r="H5905">
        <v>98715</v>
      </c>
      <c r="I5905">
        <v>5050265</v>
      </c>
    </row>
    <row r="5906" spans="1:9">
      <c r="A5906" s="2">
        <v>2003</v>
      </c>
      <c r="B5906">
        <v>19</v>
      </c>
      <c r="C5906">
        <v>5.6999999999999998E-4</v>
      </c>
      <c r="D5906">
        <v>5.6999999999999998E-4</v>
      </c>
      <c r="E5906">
        <v>0.5</v>
      </c>
      <c r="F5906">
        <v>98686</v>
      </c>
      <c r="G5906">
        <v>56</v>
      </c>
      <c r="H5906">
        <v>98658</v>
      </c>
      <c r="I5906">
        <v>4951550</v>
      </c>
    </row>
    <row r="5907" spans="1:9">
      <c r="A5907" s="2">
        <v>2003</v>
      </c>
      <c r="B5907">
        <v>20</v>
      </c>
      <c r="C5907">
        <v>8.1999999999999998E-4</v>
      </c>
      <c r="D5907">
        <v>8.1999999999999998E-4</v>
      </c>
      <c r="E5907">
        <v>0.5</v>
      </c>
      <c r="F5907">
        <v>98630</v>
      </c>
      <c r="G5907">
        <v>81</v>
      </c>
      <c r="H5907">
        <v>98589</v>
      </c>
      <c r="I5907">
        <v>4852893</v>
      </c>
    </row>
    <row r="5908" spans="1:9">
      <c r="A5908" s="2">
        <v>2003</v>
      </c>
      <c r="B5908">
        <v>21</v>
      </c>
      <c r="C5908">
        <v>7.5000000000000002E-4</v>
      </c>
      <c r="D5908">
        <v>7.5000000000000002E-4</v>
      </c>
      <c r="E5908">
        <v>0.5</v>
      </c>
      <c r="F5908">
        <v>98549</v>
      </c>
      <c r="G5908">
        <v>74</v>
      </c>
      <c r="H5908">
        <v>98512</v>
      </c>
      <c r="I5908">
        <v>4754304</v>
      </c>
    </row>
    <row r="5909" spans="1:9">
      <c r="A5909" s="2">
        <v>2003</v>
      </c>
      <c r="B5909">
        <v>22</v>
      </c>
      <c r="C5909">
        <v>6.6E-4</v>
      </c>
      <c r="D5909">
        <v>6.6E-4</v>
      </c>
      <c r="E5909">
        <v>0.5</v>
      </c>
      <c r="F5909">
        <v>98476</v>
      </c>
      <c r="G5909">
        <v>65</v>
      </c>
      <c r="H5909">
        <v>98443</v>
      </c>
      <c r="I5909">
        <v>4655791</v>
      </c>
    </row>
    <row r="5910" spans="1:9">
      <c r="A5910" s="2">
        <v>2003</v>
      </c>
      <c r="B5910">
        <v>23</v>
      </c>
      <c r="C5910">
        <v>8.4999999999999995E-4</v>
      </c>
      <c r="D5910">
        <v>8.4999999999999995E-4</v>
      </c>
      <c r="E5910">
        <v>0.5</v>
      </c>
      <c r="F5910">
        <v>98410</v>
      </c>
      <c r="G5910">
        <v>84</v>
      </c>
      <c r="H5910">
        <v>98368</v>
      </c>
      <c r="I5910">
        <v>4557348</v>
      </c>
    </row>
    <row r="5911" spans="1:9">
      <c r="A5911" s="2">
        <v>2003</v>
      </c>
      <c r="B5911">
        <v>24</v>
      </c>
      <c r="C5911">
        <v>1.09E-3</v>
      </c>
      <c r="D5911">
        <v>1.09E-3</v>
      </c>
      <c r="E5911">
        <v>0.5</v>
      </c>
      <c r="F5911">
        <v>98327</v>
      </c>
      <c r="G5911">
        <v>107</v>
      </c>
      <c r="H5911">
        <v>98273</v>
      </c>
      <c r="I5911">
        <v>4458980</v>
      </c>
    </row>
    <row r="5912" spans="1:9">
      <c r="A5912" s="2">
        <v>2003</v>
      </c>
      <c r="B5912">
        <v>25</v>
      </c>
      <c r="C5912">
        <v>1E-3</v>
      </c>
      <c r="D5912">
        <v>1E-3</v>
      </c>
      <c r="E5912">
        <v>0.5</v>
      </c>
      <c r="F5912">
        <v>98219</v>
      </c>
      <c r="G5912">
        <v>98</v>
      </c>
      <c r="H5912">
        <v>98170</v>
      </c>
      <c r="I5912">
        <v>4360707</v>
      </c>
    </row>
    <row r="5913" spans="1:9">
      <c r="A5913" s="2">
        <v>2003</v>
      </c>
      <c r="B5913">
        <v>26</v>
      </c>
      <c r="C5913">
        <v>1.01E-3</v>
      </c>
      <c r="D5913">
        <v>1.01E-3</v>
      </c>
      <c r="E5913">
        <v>0.5</v>
      </c>
      <c r="F5913">
        <v>98122</v>
      </c>
      <c r="G5913">
        <v>99</v>
      </c>
      <c r="H5913">
        <v>98072</v>
      </c>
      <c r="I5913">
        <v>4262537</v>
      </c>
    </row>
    <row r="5914" spans="1:9">
      <c r="A5914" s="2">
        <v>2003</v>
      </c>
      <c r="B5914">
        <v>27</v>
      </c>
      <c r="C5914">
        <v>1.01E-3</v>
      </c>
      <c r="D5914">
        <v>1.01E-3</v>
      </c>
      <c r="E5914">
        <v>0.5</v>
      </c>
      <c r="F5914">
        <v>98023</v>
      </c>
      <c r="G5914">
        <v>99</v>
      </c>
      <c r="H5914">
        <v>97974</v>
      </c>
      <c r="I5914">
        <v>4164464</v>
      </c>
    </row>
    <row r="5915" spans="1:9">
      <c r="A5915" s="2">
        <v>2003</v>
      </c>
      <c r="B5915">
        <v>28</v>
      </c>
      <c r="C5915">
        <v>9.8999999999999999E-4</v>
      </c>
      <c r="D5915">
        <v>9.8999999999999999E-4</v>
      </c>
      <c r="E5915">
        <v>0.5</v>
      </c>
      <c r="F5915">
        <v>97924</v>
      </c>
      <c r="G5915">
        <v>96</v>
      </c>
      <c r="H5915">
        <v>97876</v>
      </c>
      <c r="I5915">
        <v>4066491</v>
      </c>
    </row>
    <row r="5916" spans="1:9">
      <c r="A5916" s="2">
        <v>2003</v>
      </c>
      <c r="B5916">
        <v>29</v>
      </c>
      <c r="C5916">
        <v>1.1999999999999999E-3</v>
      </c>
      <c r="D5916">
        <v>1.1999999999999999E-3</v>
      </c>
      <c r="E5916">
        <v>0.5</v>
      </c>
      <c r="F5916">
        <v>97828</v>
      </c>
      <c r="G5916">
        <v>117</v>
      </c>
      <c r="H5916">
        <v>97769</v>
      </c>
      <c r="I5916">
        <v>3968615</v>
      </c>
    </row>
    <row r="5917" spans="1:9">
      <c r="A5917" s="2">
        <v>2003</v>
      </c>
      <c r="B5917">
        <v>30</v>
      </c>
      <c r="C5917">
        <v>1.25E-3</v>
      </c>
      <c r="D5917">
        <v>1.25E-3</v>
      </c>
      <c r="E5917">
        <v>0.5</v>
      </c>
      <c r="F5917">
        <v>97711</v>
      </c>
      <c r="G5917">
        <v>122</v>
      </c>
      <c r="H5917">
        <v>97650</v>
      </c>
      <c r="I5917">
        <v>3870845</v>
      </c>
    </row>
    <row r="5918" spans="1:9">
      <c r="A5918" s="2">
        <v>2003</v>
      </c>
      <c r="B5918">
        <v>31</v>
      </c>
      <c r="C5918">
        <v>1.3799999999999999E-3</v>
      </c>
      <c r="D5918">
        <v>1.3799999999999999E-3</v>
      </c>
      <c r="E5918">
        <v>0.5</v>
      </c>
      <c r="F5918">
        <v>97589</v>
      </c>
      <c r="G5918">
        <v>135</v>
      </c>
      <c r="H5918">
        <v>97522</v>
      </c>
      <c r="I5918">
        <v>3773195</v>
      </c>
    </row>
    <row r="5919" spans="1:9">
      <c r="A5919" s="2">
        <v>2003</v>
      </c>
      <c r="B5919">
        <v>32</v>
      </c>
      <c r="C5919">
        <v>1.48E-3</v>
      </c>
      <c r="D5919">
        <v>1.48E-3</v>
      </c>
      <c r="E5919">
        <v>0.5</v>
      </c>
      <c r="F5919">
        <v>97454</v>
      </c>
      <c r="G5919">
        <v>144</v>
      </c>
      <c r="H5919">
        <v>97382</v>
      </c>
      <c r="I5919">
        <v>3675674</v>
      </c>
    </row>
    <row r="5920" spans="1:9">
      <c r="A5920" s="2">
        <v>2003</v>
      </c>
      <c r="B5920">
        <v>33</v>
      </c>
      <c r="C5920">
        <v>1.81E-3</v>
      </c>
      <c r="D5920">
        <v>1.81E-3</v>
      </c>
      <c r="E5920">
        <v>0.5</v>
      </c>
      <c r="F5920">
        <v>97310</v>
      </c>
      <c r="G5920">
        <v>176</v>
      </c>
      <c r="H5920">
        <v>97221</v>
      </c>
      <c r="I5920">
        <v>3578292</v>
      </c>
    </row>
    <row r="5921" spans="1:9">
      <c r="A5921" s="2">
        <v>2003</v>
      </c>
      <c r="B5921">
        <v>34</v>
      </c>
      <c r="C5921">
        <v>2.2000000000000001E-3</v>
      </c>
      <c r="D5921">
        <v>2.2000000000000001E-3</v>
      </c>
      <c r="E5921">
        <v>0.5</v>
      </c>
      <c r="F5921">
        <v>97133</v>
      </c>
      <c r="G5921">
        <v>214</v>
      </c>
      <c r="H5921">
        <v>97026</v>
      </c>
      <c r="I5921">
        <v>3481071</v>
      </c>
    </row>
    <row r="5922" spans="1:9">
      <c r="A5922" s="2">
        <v>2003</v>
      </c>
      <c r="B5922">
        <v>35</v>
      </c>
      <c r="C5922">
        <v>2.0899999999999998E-3</v>
      </c>
      <c r="D5922">
        <v>2.0899999999999998E-3</v>
      </c>
      <c r="E5922">
        <v>0.5</v>
      </c>
      <c r="F5922">
        <v>96920</v>
      </c>
      <c r="G5922">
        <v>203</v>
      </c>
      <c r="H5922">
        <v>96818</v>
      </c>
      <c r="I5922">
        <v>3384044</v>
      </c>
    </row>
    <row r="5923" spans="1:9">
      <c r="A5923" s="2">
        <v>2003</v>
      </c>
      <c r="B5923">
        <v>36</v>
      </c>
      <c r="C5923">
        <v>2.5799999999999998E-3</v>
      </c>
      <c r="D5923">
        <v>2.5799999999999998E-3</v>
      </c>
      <c r="E5923">
        <v>0.5</v>
      </c>
      <c r="F5923">
        <v>96717</v>
      </c>
      <c r="G5923">
        <v>249</v>
      </c>
      <c r="H5923">
        <v>96592</v>
      </c>
      <c r="I5923">
        <v>3287226</v>
      </c>
    </row>
    <row r="5924" spans="1:9">
      <c r="A5924" s="2">
        <v>2003</v>
      </c>
      <c r="B5924">
        <v>37</v>
      </c>
      <c r="C5924">
        <v>2.5300000000000001E-3</v>
      </c>
      <c r="D5924">
        <v>2.5300000000000001E-3</v>
      </c>
      <c r="E5924">
        <v>0.5</v>
      </c>
      <c r="F5924">
        <v>96468</v>
      </c>
      <c r="G5924">
        <v>244</v>
      </c>
      <c r="H5924">
        <v>96346</v>
      </c>
      <c r="I5924">
        <v>3190633</v>
      </c>
    </row>
    <row r="5925" spans="1:9">
      <c r="A5925" s="2">
        <v>2003</v>
      </c>
      <c r="B5925">
        <v>38</v>
      </c>
      <c r="C5925">
        <v>3.1900000000000001E-3</v>
      </c>
      <c r="D5925">
        <v>3.1800000000000001E-3</v>
      </c>
      <c r="E5925">
        <v>0.5</v>
      </c>
      <c r="F5925">
        <v>96224</v>
      </c>
      <c r="G5925">
        <v>306</v>
      </c>
      <c r="H5925">
        <v>96071</v>
      </c>
      <c r="I5925">
        <v>3094288</v>
      </c>
    </row>
    <row r="5926" spans="1:9">
      <c r="A5926" s="2">
        <v>2003</v>
      </c>
      <c r="B5926">
        <v>39</v>
      </c>
      <c r="C5926">
        <v>3.65E-3</v>
      </c>
      <c r="D5926">
        <v>3.64E-3</v>
      </c>
      <c r="E5926">
        <v>0.5</v>
      </c>
      <c r="F5926">
        <v>95917</v>
      </c>
      <c r="G5926">
        <v>349</v>
      </c>
      <c r="H5926">
        <v>95743</v>
      </c>
      <c r="I5926">
        <v>2998217</v>
      </c>
    </row>
    <row r="5927" spans="1:9">
      <c r="A5927" s="2">
        <v>2003</v>
      </c>
      <c r="B5927">
        <v>40</v>
      </c>
      <c r="C5927">
        <v>4.4099999999999999E-3</v>
      </c>
      <c r="D5927">
        <v>4.4000000000000003E-3</v>
      </c>
      <c r="E5927">
        <v>0.5</v>
      </c>
      <c r="F5927">
        <v>95568</v>
      </c>
      <c r="G5927">
        <v>420</v>
      </c>
      <c r="H5927">
        <v>95358</v>
      </c>
      <c r="I5927">
        <v>2902474</v>
      </c>
    </row>
    <row r="5928" spans="1:9">
      <c r="A5928" s="2">
        <v>2003</v>
      </c>
      <c r="B5928">
        <v>41</v>
      </c>
      <c r="C5928">
        <v>5.0600000000000003E-3</v>
      </c>
      <c r="D5928">
        <v>5.0499999999999998E-3</v>
      </c>
      <c r="E5928">
        <v>0.5</v>
      </c>
      <c r="F5928">
        <v>95148</v>
      </c>
      <c r="G5928">
        <v>480</v>
      </c>
      <c r="H5928">
        <v>94908</v>
      </c>
      <c r="I5928">
        <v>2807116</v>
      </c>
    </row>
    <row r="5929" spans="1:9">
      <c r="A5929" s="2">
        <v>2003</v>
      </c>
      <c r="B5929">
        <v>42</v>
      </c>
      <c r="C5929">
        <v>5.6499999999999996E-3</v>
      </c>
      <c r="D5929">
        <v>5.6299999999999996E-3</v>
      </c>
      <c r="E5929">
        <v>0.5</v>
      </c>
      <c r="F5929">
        <v>94668</v>
      </c>
      <c r="G5929">
        <v>533</v>
      </c>
      <c r="H5929">
        <v>94401</v>
      </c>
      <c r="I5929">
        <v>2712208</v>
      </c>
    </row>
    <row r="5930" spans="1:9">
      <c r="A5930" s="2">
        <v>2003</v>
      </c>
      <c r="B5930">
        <v>43</v>
      </c>
      <c r="C5930">
        <v>6.7200000000000003E-3</v>
      </c>
      <c r="D5930">
        <v>6.7000000000000002E-3</v>
      </c>
      <c r="E5930">
        <v>0.5</v>
      </c>
      <c r="F5930">
        <v>94134</v>
      </c>
      <c r="G5930">
        <v>631</v>
      </c>
      <c r="H5930">
        <v>93819</v>
      </c>
      <c r="I5930">
        <v>2617807</v>
      </c>
    </row>
    <row r="5931" spans="1:9">
      <c r="A5931" s="2">
        <v>2003</v>
      </c>
      <c r="B5931">
        <v>44</v>
      </c>
      <c r="C5931">
        <v>8.3300000000000006E-3</v>
      </c>
      <c r="D5931">
        <v>8.3000000000000001E-3</v>
      </c>
      <c r="E5931">
        <v>0.5</v>
      </c>
      <c r="F5931">
        <v>93504</v>
      </c>
      <c r="G5931">
        <v>776</v>
      </c>
      <c r="H5931">
        <v>93116</v>
      </c>
      <c r="I5931">
        <v>2523988</v>
      </c>
    </row>
    <row r="5932" spans="1:9">
      <c r="A5932" s="2">
        <v>2003</v>
      </c>
      <c r="B5932">
        <v>45</v>
      </c>
      <c r="C5932">
        <v>9.1299999999999992E-3</v>
      </c>
      <c r="D5932">
        <v>9.0799999999999995E-3</v>
      </c>
      <c r="E5932">
        <v>0.5</v>
      </c>
      <c r="F5932">
        <v>92728</v>
      </c>
      <c r="G5932">
        <v>842</v>
      </c>
      <c r="H5932">
        <v>92307</v>
      </c>
      <c r="I5932">
        <v>2430872</v>
      </c>
    </row>
    <row r="5933" spans="1:9">
      <c r="A5933" s="2">
        <v>2003</v>
      </c>
      <c r="B5933">
        <v>46</v>
      </c>
      <c r="C5933">
        <v>9.0900000000000009E-3</v>
      </c>
      <c r="D5933">
        <v>9.0500000000000008E-3</v>
      </c>
      <c r="E5933">
        <v>0.5</v>
      </c>
      <c r="F5933">
        <v>91886</v>
      </c>
      <c r="G5933">
        <v>831</v>
      </c>
      <c r="H5933">
        <v>91470</v>
      </c>
      <c r="I5933">
        <v>2338565</v>
      </c>
    </row>
    <row r="5934" spans="1:9">
      <c r="A5934" s="2">
        <v>2003</v>
      </c>
      <c r="B5934">
        <v>47</v>
      </c>
      <c r="C5934">
        <v>1.04E-2</v>
      </c>
      <c r="D5934">
        <v>1.035E-2</v>
      </c>
      <c r="E5934">
        <v>0.5</v>
      </c>
      <c r="F5934">
        <v>91054</v>
      </c>
      <c r="G5934">
        <v>942</v>
      </c>
      <c r="H5934">
        <v>90583</v>
      </c>
      <c r="I5934">
        <v>2247095</v>
      </c>
    </row>
    <row r="5935" spans="1:9">
      <c r="A5935" s="2">
        <v>2003</v>
      </c>
      <c r="B5935">
        <v>48</v>
      </c>
      <c r="C5935">
        <v>1.2120000000000001E-2</v>
      </c>
      <c r="D5935">
        <v>1.205E-2</v>
      </c>
      <c r="E5935">
        <v>0.5</v>
      </c>
      <c r="F5935">
        <v>90112</v>
      </c>
      <c r="G5935">
        <v>1086</v>
      </c>
      <c r="H5935">
        <v>89569</v>
      </c>
      <c r="I5935">
        <v>2156512</v>
      </c>
    </row>
    <row r="5936" spans="1:9">
      <c r="A5936" s="2">
        <v>2003</v>
      </c>
      <c r="B5936">
        <v>49</v>
      </c>
      <c r="C5936">
        <v>1.157E-2</v>
      </c>
      <c r="D5936">
        <v>1.15E-2</v>
      </c>
      <c r="E5936">
        <v>0.5</v>
      </c>
      <c r="F5936">
        <v>89026</v>
      </c>
      <c r="G5936">
        <v>1024</v>
      </c>
      <c r="H5936">
        <v>88514</v>
      </c>
      <c r="I5936">
        <v>2066943</v>
      </c>
    </row>
    <row r="5937" spans="1:9">
      <c r="A5937" s="2">
        <v>2003</v>
      </c>
      <c r="B5937">
        <v>50</v>
      </c>
      <c r="C5937">
        <v>1.261E-2</v>
      </c>
      <c r="D5937">
        <v>1.2529999999999999E-2</v>
      </c>
      <c r="E5937">
        <v>0.5</v>
      </c>
      <c r="F5937">
        <v>88002</v>
      </c>
      <c r="G5937">
        <v>1103</v>
      </c>
      <c r="H5937">
        <v>87451</v>
      </c>
      <c r="I5937">
        <v>1978428</v>
      </c>
    </row>
    <row r="5938" spans="1:9">
      <c r="A5938" s="2">
        <v>2003</v>
      </c>
      <c r="B5938">
        <v>51</v>
      </c>
      <c r="C5938">
        <v>1.4250000000000001E-2</v>
      </c>
      <c r="D5938">
        <v>1.4149999999999999E-2</v>
      </c>
      <c r="E5938">
        <v>0.5</v>
      </c>
      <c r="F5938">
        <v>86900</v>
      </c>
      <c r="G5938">
        <v>1230</v>
      </c>
      <c r="H5938">
        <v>86285</v>
      </c>
      <c r="I5938">
        <v>1890977</v>
      </c>
    </row>
    <row r="5939" spans="1:9">
      <c r="A5939" s="2">
        <v>2003</v>
      </c>
      <c r="B5939">
        <v>52</v>
      </c>
      <c r="C5939">
        <v>1.4670000000000001E-2</v>
      </c>
      <c r="D5939">
        <v>1.456E-2</v>
      </c>
      <c r="E5939">
        <v>0.5</v>
      </c>
      <c r="F5939">
        <v>85670</v>
      </c>
      <c r="G5939">
        <v>1247</v>
      </c>
      <c r="H5939">
        <v>85046</v>
      </c>
      <c r="I5939">
        <v>1804692</v>
      </c>
    </row>
    <row r="5940" spans="1:9">
      <c r="A5940" s="2">
        <v>2003</v>
      </c>
      <c r="B5940">
        <v>53</v>
      </c>
      <c r="C5940">
        <v>1.5939999999999999E-2</v>
      </c>
      <c r="D5940">
        <v>1.5810000000000001E-2</v>
      </c>
      <c r="E5940">
        <v>0.5</v>
      </c>
      <c r="F5940">
        <v>84423</v>
      </c>
      <c r="G5940">
        <v>1335</v>
      </c>
      <c r="H5940">
        <v>83755</v>
      </c>
      <c r="I5940">
        <v>1719646</v>
      </c>
    </row>
    <row r="5941" spans="1:9">
      <c r="A5941" s="2">
        <v>2003</v>
      </c>
      <c r="B5941">
        <v>54</v>
      </c>
      <c r="C5941">
        <v>1.6580000000000001E-2</v>
      </c>
      <c r="D5941">
        <v>1.6449999999999999E-2</v>
      </c>
      <c r="E5941">
        <v>0.5</v>
      </c>
      <c r="F5941">
        <v>83088</v>
      </c>
      <c r="G5941">
        <v>1366</v>
      </c>
      <c r="H5941">
        <v>82404</v>
      </c>
      <c r="I5941">
        <v>1635891</v>
      </c>
    </row>
    <row r="5942" spans="1:9">
      <c r="A5942" s="2">
        <v>2003</v>
      </c>
      <c r="B5942">
        <v>55</v>
      </c>
      <c r="C5942">
        <v>1.8450000000000001E-2</v>
      </c>
      <c r="D5942">
        <v>1.8280000000000001E-2</v>
      </c>
      <c r="E5942">
        <v>0.5</v>
      </c>
      <c r="F5942">
        <v>81721</v>
      </c>
      <c r="G5942">
        <v>1494</v>
      </c>
      <c r="H5942">
        <v>80974</v>
      </c>
      <c r="I5942">
        <v>1553486</v>
      </c>
    </row>
    <row r="5943" spans="1:9">
      <c r="A5943" s="2">
        <v>2003</v>
      </c>
      <c r="B5943">
        <v>56</v>
      </c>
      <c r="C5943">
        <v>2.035E-2</v>
      </c>
      <c r="D5943">
        <v>2.0140000000000002E-2</v>
      </c>
      <c r="E5943">
        <v>0.5</v>
      </c>
      <c r="F5943">
        <v>80228</v>
      </c>
      <c r="G5943">
        <v>1616</v>
      </c>
      <c r="H5943">
        <v>79420</v>
      </c>
      <c r="I5943">
        <v>1472512</v>
      </c>
    </row>
    <row r="5944" spans="1:9">
      <c r="A5944" s="2">
        <v>2003</v>
      </c>
      <c r="B5944">
        <v>57</v>
      </c>
      <c r="C5944">
        <v>1.9720000000000001E-2</v>
      </c>
      <c r="D5944">
        <v>1.9519999999999999E-2</v>
      </c>
      <c r="E5944">
        <v>0.5</v>
      </c>
      <c r="F5944">
        <v>78612</v>
      </c>
      <c r="G5944">
        <v>1535</v>
      </c>
      <c r="H5944">
        <v>77844</v>
      </c>
      <c r="I5944">
        <v>1393092</v>
      </c>
    </row>
    <row r="5945" spans="1:9">
      <c r="A5945" s="2">
        <v>2003</v>
      </c>
      <c r="B5945">
        <v>58</v>
      </c>
      <c r="C5945">
        <v>2.2929999999999999E-2</v>
      </c>
      <c r="D5945">
        <v>2.2669999999999999E-2</v>
      </c>
      <c r="E5945">
        <v>0.5</v>
      </c>
      <c r="F5945">
        <v>77077</v>
      </c>
      <c r="G5945">
        <v>1747</v>
      </c>
      <c r="H5945">
        <v>76203</v>
      </c>
      <c r="I5945">
        <v>1315248</v>
      </c>
    </row>
    <row r="5946" spans="1:9">
      <c r="A5946" s="2">
        <v>2003</v>
      </c>
      <c r="B5946">
        <v>59</v>
      </c>
      <c r="C5946">
        <v>2.5159999999999998E-2</v>
      </c>
      <c r="D5946">
        <v>2.4840000000000001E-2</v>
      </c>
      <c r="E5946">
        <v>0.5</v>
      </c>
      <c r="F5946">
        <v>75330</v>
      </c>
      <c r="G5946">
        <v>1872</v>
      </c>
      <c r="H5946">
        <v>74394</v>
      </c>
      <c r="I5946">
        <v>1239045</v>
      </c>
    </row>
    <row r="5947" spans="1:9">
      <c r="A5947" s="2">
        <v>2003</v>
      </c>
      <c r="B5947">
        <v>60</v>
      </c>
      <c r="C5947">
        <v>2.5190000000000001E-2</v>
      </c>
      <c r="D5947">
        <v>2.487E-2</v>
      </c>
      <c r="E5947">
        <v>0.5</v>
      </c>
      <c r="F5947">
        <v>73458</v>
      </c>
      <c r="G5947">
        <v>1827</v>
      </c>
      <c r="H5947">
        <v>72545</v>
      </c>
      <c r="I5947">
        <v>1164651</v>
      </c>
    </row>
    <row r="5948" spans="1:9">
      <c r="A5948" s="2">
        <v>2003</v>
      </c>
      <c r="B5948">
        <v>61</v>
      </c>
      <c r="C5948">
        <v>2.7490000000000001E-2</v>
      </c>
      <c r="D5948">
        <v>2.7109999999999999E-2</v>
      </c>
      <c r="E5948">
        <v>0.5</v>
      </c>
      <c r="F5948">
        <v>71631</v>
      </c>
      <c r="G5948">
        <v>1942</v>
      </c>
      <c r="H5948">
        <v>70660</v>
      </c>
      <c r="I5948">
        <v>1092106</v>
      </c>
    </row>
    <row r="5949" spans="1:9">
      <c r="A5949" s="2">
        <v>2003</v>
      </c>
      <c r="B5949">
        <v>62</v>
      </c>
      <c r="C5949">
        <v>2.954E-2</v>
      </c>
      <c r="D5949">
        <v>2.911E-2</v>
      </c>
      <c r="E5949">
        <v>0.5</v>
      </c>
      <c r="F5949">
        <v>69689</v>
      </c>
      <c r="G5949">
        <v>2028</v>
      </c>
      <c r="H5949">
        <v>68675</v>
      </c>
      <c r="I5949">
        <v>1021446</v>
      </c>
    </row>
    <row r="5950" spans="1:9">
      <c r="A5950" s="2">
        <v>2003</v>
      </c>
      <c r="B5950">
        <v>63</v>
      </c>
      <c r="C5950">
        <v>3.0419999999999999E-2</v>
      </c>
      <c r="D5950">
        <v>2.997E-2</v>
      </c>
      <c r="E5950">
        <v>0.5</v>
      </c>
      <c r="F5950">
        <v>67661</v>
      </c>
      <c r="G5950">
        <v>2028</v>
      </c>
      <c r="H5950">
        <v>66647</v>
      </c>
      <c r="I5950">
        <v>952771</v>
      </c>
    </row>
    <row r="5951" spans="1:9">
      <c r="A5951" s="2">
        <v>2003</v>
      </c>
      <c r="B5951">
        <v>64</v>
      </c>
      <c r="C5951">
        <v>3.3779999999999998E-2</v>
      </c>
      <c r="D5951">
        <v>3.322E-2</v>
      </c>
      <c r="E5951">
        <v>0.5</v>
      </c>
      <c r="F5951">
        <v>65633</v>
      </c>
      <c r="G5951">
        <v>2180</v>
      </c>
      <c r="H5951">
        <v>64543</v>
      </c>
      <c r="I5951">
        <v>886124</v>
      </c>
    </row>
    <row r="5952" spans="1:9">
      <c r="A5952" s="2">
        <v>2003</v>
      </c>
      <c r="B5952">
        <v>65</v>
      </c>
      <c r="C5952">
        <v>3.4419999999999999E-2</v>
      </c>
      <c r="D5952">
        <v>3.3829999999999999E-2</v>
      </c>
      <c r="E5952">
        <v>0.5</v>
      </c>
      <c r="F5952">
        <v>63453</v>
      </c>
      <c r="G5952">
        <v>2147</v>
      </c>
      <c r="H5952">
        <v>62379</v>
      </c>
      <c r="I5952">
        <v>821582</v>
      </c>
    </row>
    <row r="5953" spans="1:9">
      <c r="A5953" s="2">
        <v>2003</v>
      </c>
      <c r="B5953">
        <v>66</v>
      </c>
      <c r="C5953">
        <v>3.7620000000000001E-2</v>
      </c>
      <c r="D5953">
        <v>3.6929999999999998E-2</v>
      </c>
      <c r="E5953">
        <v>0.5</v>
      </c>
      <c r="F5953">
        <v>61306</v>
      </c>
      <c r="G5953">
        <v>2264</v>
      </c>
      <c r="H5953">
        <v>60174</v>
      </c>
      <c r="I5953">
        <v>759202</v>
      </c>
    </row>
    <row r="5954" spans="1:9">
      <c r="A5954" s="2">
        <v>2003</v>
      </c>
      <c r="B5954">
        <v>67</v>
      </c>
      <c r="C5954">
        <v>4.0050000000000002E-2</v>
      </c>
      <c r="D5954">
        <v>3.9269999999999999E-2</v>
      </c>
      <c r="E5954">
        <v>0.5</v>
      </c>
      <c r="F5954">
        <v>59042</v>
      </c>
      <c r="G5954">
        <v>2318</v>
      </c>
      <c r="H5954">
        <v>57883</v>
      </c>
      <c r="I5954">
        <v>699029</v>
      </c>
    </row>
    <row r="5955" spans="1:9">
      <c r="A5955" s="2">
        <v>2003</v>
      </c>
      <c r="B5955">
        <v>68</v>
      </c>
      <c r="C5955">
        <v>4.5530000000000001E-2</v>
      </c>
      <c r="D5955">
        <v>4.4510000000000001E-2</v>
      </c>
      <c r="E5955">
        <v>0.5</v>
      </c>
      <c r="F5955">
        <v>56724</v>
      </c>
      <c r="G5955">
        <v>2525</v>
      </c>
      <c r="H5955">
        <v>55461</v>
      </c>
      <c r="I5955">
        <v>641146</v>
      </c>
    </row>
    <row r="5956" spans="1:9">
      <c r="A5956" s="2">
        <v>2003</v>
      </c>
      <c r="B5956">
        <v>69</v>
      </c>
      <c r="C5956">
        <v>4.8710000000000003E-2</v>
      </c>
      <c r="D5956">
        <v>4.7550000000000002E-2</v>
      </c>
      <c r="E5956">
        <v>0.5</v>
      </c>
      <c r="F5956">
        <v>54199</v>
      </c>
      <c r="G5956">
        <v>2577</v>
      </c>
      <c r="H5956">
        <v>52910</v>
      </c>
      <c r="I5956">
        <v>585685</v>
      </c>
    </row>
    <row r="5957" spans="1:9">
      <c r="A5957" s="2">
        <v>2003</v>
      </c>
      <c r="B5957">
        <v>70</v>
      </c>
      <c r="C5957">
        <v>5.0049999999999997E-2</v>
      </c>
      <c r="D5957">
        <v>4.8829999999999998E-2</v>
      </c>
      <c r="E5957">
        <v>0.5</v>
      </c>
      <c r="F5957">
        <v>51621</v>
      </c>
      <c r="G5957">
        <v>2520</v>
      </c>
      <c r="H5957">
        <v>50361</v>
      </c>
      <c r="I5957">
        <v>532775</v>
      </c>
    </row>
    <row r="5958" spans="1:9">
      <c r="A5958" s="2">
        <v>2003</v>
      </c>
      <c r="B5958">
        <v>71</v>
      </c>
      <c r="C5958">
        <v>5.4199999999999998E-2</v>
      </c>
      <c r="D5958">
        <v>5.2769999999999997E-2</v>
      </c>
      <c r="E5958">
        <v>0.5</v>
      </c>
      <c r="F5958">
        <v>49101</v>
      </c>
      <c r="G5958">
        <v>2591</v>
      </c>
      <c r="H5958">
        <v>47806</v>
      </c>
      <c r="I5958">
        <v>482413</v>
      </c>
    </row>
    <row r="5959" spans="1:9">
      <c r="A5959" s="2">
        <v>2003</v>
      </c>
      <c r="B5959">
        <v>72</v>
      </c>
      <c r="C5959">
        <v>5.951E-2</v>
      </c>
      <c r="D5959">
        <v>5.7790000000000001E-2</v>
      </c>
      <c r="E5959">
        <v>0.5</v>
      </c>
      <c r="F5959">
        <v>46510</v>
      </c>
      <c r="G5959">
        <v>2688</v>
      </c>
      <c r="H5959">
        <v>45166</v>
      </c>
      <c r="I5959">
        <v>434608</v>
      </c>
    </row>
    <row r="5960" spans="1:9">
      <c r="A5960" s="2">
        <v>2003</v>
      </c>
      <c r="B5960">
        <v>73</v>
      </c>
      <c r="C5960">
        <v>6.3769999999999993E-2</v>
      </c>
      <c r="D5960">
        <v>6.1800000000000001E-2</v>
      </c>
      <c r="E5960">
        <v>0.5</v>
      </c>
      <c r="F5960">
        <v>43822</v>
      </c>
      <c r="G5960">
        <v>2708</v>
      </c>
      <c r="H5960">
        <v>42468</v>
      </c>
      <c r="I5960">
        <v>389442</v>
      </c>
    </row>
    <row r="5961" spans="1:9">
      <c r="A5961" s="2">
        <v>2003</v>
      </c>
      <c r="B5961">
        <v>74</v>
      </c>
      <c r="C5961">
        <v>6.794E-2</v>
      </c>
      <c r="D5961">
        <v>6.5710000000000005E-2</v>
      </c>
      <c r="E5961">
        <v>0.5</v>
      </c>
      <c r="F5961">
        <v>41114</v>
      </c>
      <c r="G5961">
        <v>2702</v>
      </c>
      <c r="H5961">
        <v>39763</v>
      </c>
      <c r="I5961">
        <v>346973</v>
      </c>
    </row>
    <row r="5962" spans="1:9">
      <c r="A5962" s="2">
        <v>2003</v>
      </c>
      <c r="B5962">
        <v>75</v>
      </c>
      <c r="C5962">
        <v>7.1410000000000001E-2</v>
      </c>
      <c r="D5962">
        <v>6.8949999999999997E-2</v>
      </c>
      <c r="E5962">
        <v>0.5</v>
      </c>
      <c r="F5962">
        <v>38412</v>
      </c>
      <c r="G5962">
        <v>2648</v>
      </c>
      <c r="H5962">
        <v>37088</v>
      </c>
      <c r="I5962">
        <v>307210</v>
      </c>
    </row>
    <row r="5963" spans="1:9">
      <c r="A5963" s="2">
        <v>2003</v>
      </c>
      <c r="B5963">
        <v>76</v>
      </c>
      <c r="C5963">
        <v>8.0790000000000001E-2</v>
      </c>
      <c r="D5963">
        <v>7.7660000000000007E-2</v>
      </c>
      <c r="E5963">
        <v>0.5</v>
      </c>
      <c r="F5963">
        <v>35764</v>
      </c>
      <c r="G5963">
        <v>2777</v>
      </c>
      <c r="H5963">
        <v>34375</v>
      </c>
      <c r="I5963">
        <v>270122</v>
      </c>
    </row>
    <row r="5964" spans="1:9">
      <c r="A5964" s="2">
        <v>2003</v>
      </c>
      <c r="B5964">
        <v>77</v>
      </c>
      <c r="C5964">
        <v>8.9200000000000002E-2</v>
      </c>
      <c r="D5964">
        <v>8.5389999999999994E-2</v>
      </c>
      <c r="E5964">
        <v>0.5</v>
      </c>
      <c r="F5964">
        <v>32987</v>
      </c>
      <c r="G5964">
        <v>2817</v>
      </c>
      <c r="H5964">
        <v>31578</v>
      </c>
      <c r="I5964">
        <v>235747</v>
      </c>
    </row>
    <row r="5965" spans="1:9">
      <c r="A5965" s="2">
        <v>2003</v>
      </c>
      <c r="B5965">
        <v>78</v>
      </c>
      <c r="C5965">
        <v>9.1370000000000007E-2</v>
      </c>
      <c r="D5965">
        <v>8.7379999999999999E-2</v>
      </c>
      <c r="E5965">
        <v>0.5</v>
      </c>
      <c r="F5965">
        <v>30170</v>
      </c>
      <c r="G5965">
        <v>2636</v>
      </c>
      <c r="H5965">
        <v>28852</v>
      </c>
      <c r="I5965">
        <v>204169</v>
      </c>
    </row>
    <row r="5966" spans="1:9">
      <c r="A5966" s="2">
        <v>2003</v>
      </c>
      <c r="B5966">
        <v>79</v>
      </c>
      <c r="C5966">
        <v>0.10194</v>
      </c>
      <c r="D5966">
        <v>9.7000000000000003E-2</v>
      </c>
      <c r="E5966">
        <v>0.5</v>
      </c>
      <c r="F5966">
        <v>27534</v>
      </c>
      <c r="G5966">
        <v>2671</v>
      </c>
      <c r="H5966">
        <v>26198</v>
      </c>
      <c r="I5966">
        <v>175317</v>
      </c>
    </row>
    <row r="5967" spans="1:9">
      <c r="A5967" s="2">
        <v>2003</v>
      </c>
      <c r="B5967">
        <v>80</v>
      </c>
      <c r="C5967">
        <v>0.11131000000000001</v>
      </c>
      <c r="D5967">
        <v>0.10544000000000001</v>
      </c>
      <c r="E5967">
        <v>0.5</v>
      </c>
      <c r="F5967">
        <v>24863</v>
      </c>
      <c r="G5967">
        <v>2622</v>
      </c>
      <c r="H5967">
        <v>23552</v>
      </c>
      <c r="I5967">
        <v>149119</v>
      </c>
    </row>
    <row r="5968" spans="1:9">
      <c r="A5968" s="2">
        <v>2003</v>
      </c>
      <c r="B5968">
        <v>81</v>
      </c>
      <c r="C5968">
        <v>0.12486999999999999</v>
      </c>
      <c r="D5968">
        <v>0.11753</v>
      </c>
      <c r="E5968">
        <v>0.5</v>
      </c>
      <c r="F5968">
        <v>22241</v>
      </c>
      <c r="G5968">
        <v>2614</v>
      </c>
      <c r="H5968">
        <v>20934</v>
      </c>
      <c r="I5968">
        <v>125567</v>
      </c>
    </row>
    <row r="5969" spans="1:9">
      <c r="A5969" s="2">
        <v>2003</v>
      </c>
      <c r="B5969">
        <v>82</v>
      </c>
      <c r="C5969">
        <v>0.13286999999999999</v>
      </c>
      <c r="D5969">
        <v>0.12459000000000001</v>
      </c>
      <c r="E5969">
        <v>0.5</v>
      </c>
      <c r="F5969">
        <v>19627</v>
      </c>
      <c r="G5969">
        <v>2445</v>
      </c>
      <c r="H5969">
        <v>18404</v>
      </c>
      <c r="I5969">
        <v>104633</v>
      </c>
    </row>
    <row r="5970" spans="1:9">
      <c r="A5970" s="2">
        <v>2003</v>
      </c>
      <c r="B5970">
        <v>83</v>
      </c>
      <c r="C5970">
        <v>0.15619</v>
      </c>
      <c r="D5970">
        <v>0.14487</v>
      </c>
      <c r="E5970">
        <v>0.5</v>
      </c>
      <c r="F5970">
        <v>17182</v>
      </c>
      <c r="G5970">
        <v>2489</v>
      </c>
      <c r="H5970">
        <v>15937</v>
      </c>
      <c r="I5970">
        <v>86228</v>
      </c>
    </row>
    <row r="5971" spans="1:9">
      <c r="A5971" s="2">
        <v>2003</v>
      </c>
      <c r="B5971">
        <v>84</v>
      </c>
      <c r="C5971">
        <v>0.1366</v>
      </c>
      <c r="D5971">
        <v>0.12787000000000001</v>
      </c>
      <c r="E5971">
        <v>0.5</v>
      </c>
      <c r="F5971">
        <v>14693</v>
      </c>
      <c r="G5971">
        <v>1879</v>
      </c>
      <c r="H5971">
        <v>13753</v>
      </c>
      <c r="I5971">
        <v>70291</v>
      </c>
    </row>
    <row r="5972" spans="1:9">
      <c r="A5972" s="2">
        <v>2003</v>
      </c>
      <c r="B5972">
        <v>85</v>
      </c>
      <c r="C5972">
        <v>0.16768</v>
      </c>
      <c r="D5972">
        <v>0.15470999999999999</v>
      </c>
      <c r="E5972">
        <v>0.5</v>
      </c>
      <c r="F5972">
        <v>12814</v>
      </c>
      <c r="G5972">
        <v>1982</v>
      </c>
      <c r="H5972">
        <v>11823</v>
      </c>
      <c r="I5972">
        <v>56538</v>
      </c>
    </row>
    <row r="5973" spans="1:9">
      <c r="A5973" s="2">
        <v>2003</v>
      </c>
      <c r="B5973">
        <v>86</v>
      </c>
      <c r="C5973">
        <v>0.18781</v>
      </c>
      <c r="D5973">
        <v>0.17169000000000001</v>
      </c>
      <c r="E5973">
        <v>0.5</v>
      </c>
      <c r="F5973">
        <v>10831</v>
      </c>
      <c r="G5973">
        <v>1860</v>
      </c>
      <c r="H5973">
        <v>9902</v>
      </c>
      <c r="I5973">
        <v>44715</v>
      </c>
    </row>
    <row r="5974" spans="1:9">
      <c r="A5974" s="2">
        <v>2003</v>
      </c>
      <c r="B5974">
        <v>87</v>
      </c>
      <c r="C5974">
        <v>0.18920999999999999</v>
      </c>
      <c r="D5974">
        <v>0.17286000000000001</v>
      </c>
      <c r="E5974">
        <v>0.5</v>
      </c>
      <c r="F5974">
        <v>8972</v>
      </c>
      <c r="G5974">
        <v>1551</v>
      </c>
      <c r="H5974">
        <v>8196</v>
      </c>
      <c r="I5974">
        <v>34813</v>
      </c>
    </row>
    <row r="5975" spans="1:9">
      <c r="A5975" s="2">
        <v>2003</v>
      </c>
      <c r="B5975">
        <v>88</v>
      </c>
      <c r="C5975">
        <v>0.22838</v>
      </c>
      <c r="D5975">
        <v>0.20497000000000001</v>
      </c>
      <c r="E5975">
        <v>0.5</v>
      </c>
      <c r="F5975">
        <v>7421</v>
      </c>
      <c r="G5975">
        <v>1521</v>
      </c>
      <c r="H5975">
        <v>6660</v>
      </c>
      <c r="I5975">
        <v>26617</v>
      </c>
    </row>
    <row r="5976" spans="1:9">
      <c r="A5976" s="2">
        <v>2003</v>
      </c>
      <c r="B5976">
        <v>89</v>
      </c>
      <c r="C5976">
        <v>0.23085</v>
      </c>
      <c r="D5976">
        <v>0.20696000000000001</v>
      </c>
      <c r="E5976">
        <v>0.5</v>
      </c>
      <c r="F5976">
        <v>5900</v>
      </c>
      <c r="G5976">
        <v>1221</v>
      </c>
      <c r="H5976">
        <v>5289</v>
      </c>
      <c r="I5976">
        <v>19956</v>
      </c>
    </row>
    <row r="5977" spans="1:9">
      <c r="A5977" s="2">
        <v>2003</v>
      </c>
      <c r="B5977">
        <v>90</v>
      </c>
      <c r="C5977">
        <v>0.26246999999999998</v>
      </c>
      <c r="D5977">
        <v>0.23202</v>
      </c>
      <c r="E5977">
        <v>0.5</v>
      </c>
      <c r="F5977">
        <v>4679</v>
      </c>
      <c r="G5977">
        <v>1086</v>
      </c>
      <c r="H5977">
        <v>4136</v>
      </c>
      <c r="I5977">
        <v>14667</v>
      </c>
    </row>
    <row r="5978" spans="1:9">
      <c r="A5978" s="2">
        <v>2003</v>
      </c>
      <c r="B5978">
        <v>91</v>
      </c>
      <c r="C5978">
        <v>0.29843999999999998</v>
      </c>
      <c r="D5978">
        <v>0.25968999999999998</v>
      </c>
      <c r="E5978">
        <v>0.5</v>
      </c>
      <c r="F5978">
        <v>3593</v>
      </c>
      <c r="G5978">
        <v>933</v>
      </c>
      <c r="H5978">
        <v>3127</v>
      </c>
      <c r="I5978">
        <v>10531</v>
      </c>
    </row>
    <row r="5979" spans="1:9">
      <c r="A5979" s="2">
        <v>2003</v>
      </c>
      <c r="B5979">
        <v>92</v>
      </c>
      <c r="C5979">
        <v>0.32084000000000001</v>
      </c>
      <c r="D5979">
        <v>0.27648</v>
      </c>
      <c r="E5979">
        <v>0.5</v>
      </c>
      <c r="F5979">
        <v>2660</v>
      </c>
      <c r="G5979">
        <v>735</v>
      </c>
      <c r="H5979">
        <v>2292</v>
      </c>
      <c r="I5979">
        <v>7404</v>
      </c>
    </row>
    <row r="5980" spans="1:9">
      <c r="A5980" s="2">
        <v>2003</v>
      </c>
      <c r="B5980">
        <v>93</v>
      </c>
      <c r="C5980">
        <v>0.36769000000000002</v>
      </c>
      <c r="D5980">
        <v>0.31058999999999998</v>
      </c>
      <c r="E5980">
        <v>0.5</v>
      </c>
      <c r="F5980">
        <v>1925</v>
      </c>
      <c r="G5980">
        <v>598</v>
      </c>
      <c r="H5980">
        <v>1626</v>
      </c>
      <c r="I5980">
        <v>5112</v>
      </c>
    </row>
    <row r="5981" spans="1:9">
      <c r="A5981" s="2">
        <v>2003</v>
      </c>
      <c r="B5981">
        <v>94</v>
      </c>
      <c r="C5981">
        <v>0.31296000000000002</v>
      </c>
      <c r="D5981">
        <v>0.27061000000000002</v>
      </c>
      <c r="E5981">
        <v>0.5</v>
      </c>
      <c r="F5981">
        <v>1327</v>
      </c>
      <c r="G5981">
        <v>359</v>
      </c>
      <c r="H5981">
        <v>1147</v>
      </c>
      <c r="I5981">
        <v>3486</v>
      </c>
    </row>
    <row r="5982" spans="1:9">
      <c r="A5982" s="2">
        <v>2003</v>
      </c>
      <c r="B5982">
        <v>95</v>
      </c>
      <c r="C5982">
        <v>0.37156</v>
      </c>
      <c r="D5982">
        <v>0.31335000000000002</v>
      </c>
      <c r="E5982">
        <v>0.5</v>
      </c>
      <c r="F5982">
        <v>968</v>
      </c>
      <c r="G5982">
        <v>303</v>
      </c>
      <c r="H5982">
        <v>816</v>
      </c>
      <c r="I5982">
        <v>2339</v>
      </c>
    </row>
    <row r="5983" spans="1:9">
      <c r="A5983" s="2">
        <v>2003</v>
      </c>
      <c r="B5983">
        <v>96</v>
      </c>
      <c r="C5983">
        <v>0.39607999999999999</v>
      </c>
      <c r="D5983">
        <v>0.3306</v>
      </c>
      <c r="E5983">
        <v>0.5</v>
      </c>
      <c r="F5983">
        <v>665</v>
      </c>
      <c r="G5983">
        <v>220</v>
      </c>
      <c r="H5983">
        <v>555</v>
      </c>
      <c r="I5983">
        <v>1523</v>
      </c>
    </row>
    <row r="5984" spans="1:9">
      <c r="A5984" s="2">
        <v>2003</v>
      </c>
      <c r="B5984">
        <v>97</v>
      </c>
      <c r="C5984">
        <v>0.42111999999999999</v>
      </c>
      <c r="D5984">
        <v>0.34787000000000001</v>
      </c>
      <c r="E5984">
        <v>0.5</v>
      </c>
      <c r="F5984">
        <v>445</v>
      </c>
      <c r="G5984">
        <v>155</v>
      </c>
      <c r="H5984">
        <v>367</v>
      </c>
      <c r="I5984">
        <v>968</v>
      </c>
    </row>
    <row r="5985" spans="1:9">
      <c r="A5985" s="2">
        <v>2003</v>
      </c>
      <c r="B5985">
        <v>98</v>
      </c>
      <c r="C5985">
        <v>0.44657999999999998</v>
      </c>
      <c r="D5985">
        <v>0.36507000000000001</v>
      </c>
      <c r="E5985">
        <v>0.5</v>
      </c>
      <c r="F5985">
        <v>290</v>
      </c>
      <c r="G5985">
        <v>106</v>
      </c>
      <c r="H5985">
        <v>237</v>
      </c>
      <c r="I5985">
        <v>601</v>
      </c>
    </row>
    <row r="5986" spans="1:9">
      <c r="A5986" s="2">
        <v>2003</v>
      </c>
      <c r="B5986">
        <v>99</v>
      </c>
      <c r="C5986">
        <v>0.47232000000000002</v>
      </c>
      <c r="D5986">
        <v>0.38208999999999999</v>
      </c>
      <c r="E5986">
        <v>0.5</v>
      </c>
      <c r="F5986">
        <v>184</v>
      </c>
      <c r="G5986">
        <v>70</v>
      </c>
      <c r="H5986">
        <v>149</v>
      </c>
      <c r="I5986">
        <v>364</v>
      </c>
    </row>
    <row r="5987" spans="1:9">
      <c r="A5987" s="2">
        <v>2003</v>
      </c>
      <c r="B5987">
        <v>100</v>
      </c>
      <c r="C5987">
        <v>0.49820999999999999</v>
      </c>
      <c r="D5987">
        <v>0.39885999999999999</v>
      </c>
      <c r="E5987">
        <v>0.5</v>
      </c>
      <c r="F5987">
        <v>114</v>
      </c>
      <c r="G5987">
        <v>45</v>
      </c>
      <c r="H5987">
        <v>91</v>
      </c>
      <c r="I5987">
        <v>215</v>
      </c>
    </row>
    <row r="5988" spans="1:9">
      <c r="A5988" s="2">
        <v>2003</v>
      </c>
      <c r="B5988">
        <v>101</v>
      </c>
      <c r="C5988">
        <v>0.52410999999999996</v>
      </c>
      <c r="D5988">
        <v>0.41528999999999999</v>
      </c>
      <c r="E5988">
        <v>0.5</v>
      </c>
      <c r="F5988">
        <v>68</v>
      </c>
      <c r="G5988">
        <v>28</v>
      </c>
      <c r="H5988">
        <v>54</v>
      </c>
      <c r="I5988">
        <v>123</v>
      </c>
    </row>
    <row r="5989" spans="1:9">
      <c r="A5989" s="2">
        <v>2003</v>
      </c>
      <c r="B5989">
        <v>102</v>
      </c>
      <c r="C5989">
        <v>0.54988999999999999</v>
      </c>
      <c r="D5989">
        <v>0.43130000000000002</v>
      </c>
      <c r="E5989">
        <v>0.5</v>
      </c>
      <c r="F5989">
        <v>40</v>
      </c>
      <c r="G5989">
        <v>17</v>
      </c>
      <c r="H5989">
        <v>31</v>
      </c>
      <c r="I5989">
        <v>69</v>
      </c>
    </row>
    <row r="5990" spans="1:9">
      <c r="A5990" s="2">
        <v>2003</v>
      </c>
      <c r="B5990">
        <v>103</v>
      </c>
      <c r="C5990">
        <v>0.57538999999999996</v>
      </c>
      <c r="D5990">
        <v>0.44684000000000001</v>
      </c>
      <c r="E5990">
        <v>0.5</v>
      </c>
      <c r="F5990">
        <v>23</v>
      </c>
      <c r="G5990">
        <v>10</v>
      </c>
      <c r="H5990">
        <v>18</v>
      </c>
      <c r="I5990">
        <v>38</v>
      </c>
    </row>
    <row r="5991" spans="1:9">
      <c r="A5991" s="2">
        <v>2003</v>
      </c>
      <c r="B5991">
        <v>104</v>
      </c>
      <c r="C5991">
        <v>0.60050000000000003</v>
      </c>
      <c r="D5991">
        <v>0.46183999999999997</v>
      </c>
      <c r="E5991">
        <v>0.5</v>
      </c>
      <c r="F5991">
        <v>13</v>
      </c>
      <c r="G5991">
        <v>6</v>
      </c>
      <c r="H5991">
        <v>10</v>
      </c>
      <c r="I5991">
        <v>20</v>
      </c>
    </row>
    <row r="5992" spans="1:9">
      <c r="A5992" s="2">
        <v>2003</v>
      </c>
      <c r="B5992">
        <v>105</v>
      </c>
      <c r="C5992">
        <v>0.62509000000000003</v>
      </c>
      <c r="D5992">
        <v>0.47625000000000001</v>
      </c>
      <c r="E5992">
        <v>0.5</v>
      </c>
      <c r="F5992">
        <v>7</v>
      </c>
      <c r="G5992">
        <v>3</v>
      </c>
      <c r="H5992">
        <v>5</v>
      </c>
      <c r="I5992">
        <v>10</v>
      </c>
    </row>
    <row r="5993" spans="1:9">
      <c r="A5993" s="2">
        <v>2003</v>
      </c>
      <c r="B5993">
        <v>106</v>
      </c>
      <c r="C5993">
        <v>0.64905999999999997</v>
      </c>
      <c r="D5993">
        <v>0.49003000000000002</v>
      </c>
      <c r="E5993">
        <v>0.5</v>
      </c>
      <c r="F5993">
        <v>4</v>
      </c>
      <c r="G5993">
        <v>2</v>
      </c>
      <c r="H5993">
        <v>3</v>
      </c>
      <c r="I5993">
        <v>5</v>
      </c>
    </row>
    <row r="5994" spans="1:9">
      <c r="A5994" s="2">
        <v>2003</v>
      </c>
      <c r="B5994">
        <v>107</v>
      </c>
      <c r="C5994">
        <v>0.67229000000000005</v>
      </c>
      <c r="D5994">
        <v>0.50316000000000005</v>
      </c>
      <c r="E5994">
        <v>0.5</v>
      </c>
      <c r="F5994">
        <v>2</v>
      </c>
      <c r="G5994">
        <v>1</v>
      </c>
      <c r="H5994">
        <v>1</v>
      </c>
      <c r="I5994">
        <v>3</v>
      </c>
    </row>
    <row r="5995" spans="1:9">
      <c r="A5995" s="2">
        <v>2003</v>
      </c>
      <c r="B5995">
        <v>108</v>
      </c>
      <c r="C5995">
        <v>0.69471000000000005</v>
      </c>
      <c r="D5995">
        <v>0.51561000000000001</v>
      </c>
      <c r="E5995">
        <v>0.5</v>
      </c>
      <c r="F5995">
        <v>1</v>
      </c>
      <c r="G5995">
        <v>0</v>
      </c>
      <c r="H5995">
        <v>1</v>
      </c>
      <c r="I5995">
        <v>1</v>
      </c>
    </row>
    <row r="5996" spans="1:9">
      <c r="A5996" s="2">
        <v>2003</v>
      </c>
      <c r="B5996">
        <v>109</v>
      </c>
      <c r="C5996">
        <v>0.71625000000000005</v>
      </c>
      <c r="D5996">
        <v>0.52737999999999996</v>
      </c>
      <c r="E5996">
        <v>0.5</v>
      </c>
      <c r="F5996">
        <v>0</v>
      </c>
      <c r="G5996">
        <v>0</v>
      </c>
      <c r="H5996">
        <v>0</v>
      </c>
      <c r="I5996">
        <v>1</v>
      </c>
    </row>
    <row r="5997" spans="1:9">
      <c r="A5997" s="2">
        <v>2003</v>
      </c>
      <c r="B5997" t="s">
        <v>26</v>
      </c>
      <c r="C5997">
        <v>0.73684000000000005</v>
      </c>
      <c r="D5997">
        <v>1</v>
      </c>
      <c r="E5997">
        <v>1.36</v>
      </c>
      <c r="F5997">
        <v>0</v>
      </c>
      <c r="G5997">
        <v>0</v>
      </c>
      <c r="H5997">
        <v>0</v>
      </c>
      <c r="I5997">
        <v>0</v>
      </c>
    </row>
    <row r="5998" spans="1:9">
      <c r="A5998" s="2">
        <v>2004</v>
      </c>
      <c r="B5998">
        <v>0</v>
      </c>
      <c r="C5998">
        <v>7.43E-3</v>
      </c>
      <c r="D5998">
        <v>7.3800000000000003E-3</v>
      </c>
      <c r="E5998">
        <v>0.13</v>
      </c>
      <c r="F5998">
        <v>100000</v>
      </c>
      <c r="G5998">
        <v>738</v>
      </c>
      <c r="H5998">
        <v>99361</v>
      </c>
      <c r="I5998">
        <v>6865927</v>
      </c>
    </row>
    <row r="5999" spans="1:9">
      <c r="A5999" s="2">
        <v>2004</v>
      </c>
      <c r="B5999">
        <v>1</v>
      </c>
      <c r="C5999">
        <v>6.3000000000000003E-4</v>
      </c>
      <c r="D5999">
        <v>6.3000000000000003E-4</v>
      </c>
      <c r="E5999">
        <v>0.5</v>
      </c>
      <c r="F5999">
        <v>99262</v>
      </c>
      <c r="G5999">
        <v>63</v>
      </c>
      <c r="H5999">
        <v>99231</v>
      </c>
      <c r="I5999">
        <v>6766565</v>
      </c>
    </row>
    <row r="6000" spans="1:9">
      <c r="A6000" s="2">
        <v>2004</v>
      </c>
      <c r="B6000">
        <v>2</v>
      </c>
      <c r="C6000">
        <v>2.7999999999999998E-4</v>
      </c>
      <c r="D6000">
        <v>2.7999999999999998E-4</v>
      </c>
      <c r="E6000">
        <v>0.5</v>
      </c>
      <c r="F6000">
        <v>99199</v>
      </c>
      <c r="G6000">
        <v>28</v>
      </c>
      <c r="H6000">
        <v>99185</v>
      </c>
      <c r="I6000">
        <v>6667335</v>
      </c>
    </row>
    <row r="6001" spans="1:9">
      <c r="A6001" s="2">
        <v>2004</v>
      </c>
      <c r="B6001">
        <v>3</v>
      </c>
      <c r="C6001">
        <v>2.4000000000000001E-4</v>
      </c>
      <c r="D6001">
        <v>2.4000000000000001E-4</v>
      </c>
      <c r="E6001">
        <v>0.5</v>
      </c>
      <c r="F6001">
        <v>99171</v>
      </c>
      <c r="G6001">
        <v>24</v>
      </c>
      <c r="H6001">
        <v>99159</v>
      </c>
      <c r="I6001">
        <v>6568149</v>
      </c>
    </row>
    <row r="6002" spans="1:9">
      <c r="A6002" s="2">
        <v>2004</v>
      </c>
      <c r="B6002">
        <v>4</v>
      </c>
      <c r="C6002">
        <v>1.8000000000000001E-4</v>
      </c>
      <c r="D6002">
        <v>1.8000000000000001E-4</v>
      </c>
      <c r="E6002">
        <v>0.5</v>
      </c>
      <c r="F6002">
        <v>99147</v>
      </c>
      <c r="G6002">
        <v>18</v>
      </c>
      <c r="H6002">
        <v>99138</v>
      </c>
      <c r="I6002">
        <v>6468990</v>
      </c>
    </row>
    <row r="6003" spans="1:9">
      <c r="A6003" s="2">
        <v>2004</v>
      </c>
      <c r="B6003">
        <v>5</v>
      </c>
      <c r="C6003">
        <v>1.7000000000000001E-4</v>
      </c>
      <c r="D6003">
        <v>1.7000000000000001E-4</v>
      </c>
      <c r="E6003">
        <v>0.5</v>
      </c>
      <c r="F6003">
        <v>99129</v>
      </c>
      <c r="G6003">
        <v>16</v>
      </c>
      <c r="H6003">
        <v>99121</v>
      </c>
      <c r="I6003">
        <v>6369852</v>
      </c>
    </row>
    <row r="6004" spans="1:9">
      <c r="A6004" s="2">
        <v>2004</v>
      </c>
      <c r="B6004">
        <v>6</v>
      </c>
      <c r="C6004">
        <v>1E-4</v>
      </c>
      <c r="D6004">
        <v>1E-4</v>
      </c>
      <c r="E6004">
        <v>0.5</v>
      </c>
      <c r="F6004">
        <v>99113</v>
      </c>
      <c r="G6004">
        <v>10</v>
      </c>
      <c r="H6004">
        <v>99108</v>
      </c>
      <c r="I6004">
        <v>6270731</v>
      </c>
    </row>
    <row r="6005" spans="1:9">
      <c r="A6005" s="2">
        <v>2004</v>
      </c>
      <c r="B6005">
        <v>7</v>
      </c>
      <c r="C6005">
        <v>2.1000000000000001E-4</v>
      </c>
      <c r="D6005">
        <v>2.1000000000000001E-4</v>
      </c>
      <c r="E6005">
        <v>0.5</v>
      </c>
      <c r="F6005">
        <v>99103</v>
      </c>
      <c r="G6005">
        <v>21</v>
      </c>
      <c r="H6005">
        <v>99092</v>
      </c>
      <c r="I6005">
        <v>6171624</v>
      </c>
    </row>
    <row r="6006" spans="1:9">
      <c r="A6006" s="2">
        <v>2004</v>
      </c>
      <c r="B6006">
        <v>8</v>
      </c>
      <c r="C6006">
        <v>2.0000000000000001E-4</v>
      </c>
      <c r="D6006">
        <v>2.0000000000000001E-4</v>
      </c>
      <c r="E6006">
        <v>0.5</v>
      </c>
      <c r="F6006">
        <v>99082</v>
      </c>
      <c r="G6006">
        <v>20</v>
      </c>
      <c r="H6006">
        <v>99072</v>
      </c>
      <c r="I6006">
        <v>6072531</v>
      </c>
    </row>
    <row r="6007" spans="1:9">
      <c r="A6007" s="2">
        <v>2004</v>
      </c>
      <c r="B6007">
        <v>9</v>
      </c>
      <c r="C6007">
        <v>1.9000000000000001E-4</v>
      </c>
      <c r="D6007">
        <v>1.9000000000000001E-4</v>
      </c>
      <c r="E6007">
        <v>0.5</v>
      </c>
      <c r="F6007">
        <v>99062</v>
      </c>
      <c r="G6007">
        <v>19</v>
      </c>
      <c r="H6007">
        <v>99053</v>
      </c>
      <c r="I6007">
        <v>5973459</v>
      </c>
    </row>
    <row r="6008" spans="1:9">
      <c r="A6008" s="2">
        <v>2004</v>
      </c>
      <c r="B6008">
        <v>10</v>
      </c>
      <c r="C6008">
        <v>1.2E-4</v>
      </c>
      <c r="D6008">
        <v>1.2E-4</v>
      </c>
      <c r="E6008">
        <v>0.5</v>
      </c>
      <c r="F6008">
        <v>99043</v>
      </c>
      <c r="G6008">
        <v>12</v>
      </c>
      <c r="H6008">
        <v>99037</v>
      </c>
      <c r="I6008">
        <v>5874407</v>
      </c>
    </row>
    <row r="6009" spans="1:9">
      <c r="A6009" s="2">
        <v>2004</v>
      </c>
      <c r="B6009">
        <v>11</v>
      </c>
      <c r="C6009">
        <v>1.4999999999999999E-4</v>
      </c>
      <c r="D6009">
        <v>1.4999999999999999E-4</v>
      </c>
      <c r="E6009">
        <v>0.5</v>
      </c>
      <c r="F6009">
        <v>99031</v>
      </c>
      <c r="G6009">
        <v>15</v>
      </c>
      <c r="H6009">
        <v>99024</v>
      </c>
      <c r="I6009">
        <v>5775370</v>
      </c>
    </row>
    <row r="6010" spans="1:9">
      <c r="A6010" s="2">
        <v>2004</v>
      </c>
      <c r="B6010">
        <v>12</v>
      </c>
      <c r="C6010">
        <v>1.2999999999999999E-4</v>
      </c>
      <c r="D6010">
        <v>1.2999999999999999E-4</v>
      </c>
      <c r="E6010">
        <v>0.5</v>
      </c>
      <c r="F6010">
        <v>99016</v>
      </c>
      <c r="G6010">
        <v>13</v>
      </c>
      <c r="H6010">
        <v>99010</v>
      </c>
      <c r="I6010">
        <v>5676346</v>
      </c>
    </row>
    <row r="6011" spans="1:9">
      <c r="A6011" s="2">
        <v>2004</v>
      </c>
      <c r="B6011">
        <v>13</v>
      </c>
      <c r="C6011">
        <v>2.7999999999999998E-4</v>
      </c>
      <c r="D6011">
        <v>2.7999999999999998E-4</v>
      </c>
      <c r="E6011">
        <v>0.5</v>
      </c>
      <c r="F6011">
        <v>99004</v>
      </c>
      <c r="G6011">
        <v>28</v>
      </c>
      <c r="H6011">
        <v>98990</v>
      </c>
      <c r="I6011">
        <v>5577336</v>
      </c>
    </row>
    <row r="6012" spans="1:9">
      <c r="A6012" s="2">
        <v>2004</v>
      </c>
      <c r="B6012">
        <v>14</v>
      </c>
      <c r="C6012">
        <v>4.0999999999999999E-4</v>
      </c>
      <c r="D6012">
        <v>4.0999999999999999E-4</v>
      </c>
      <c r="E6012">
        <v>0.5</v>
      </c>
      <c r="F6012">
        <v>98976</v>
      </c>
      <c r="G6012">
        <v>41</v>
      </c>
      <c r="H6012">
        <v>98955</v>
      </c>
      <c r="I6012">
        <v>5478346</v>
      </c>
    </row>
    <row r="6013" spans="1:9">
      <c r="A6013" s="2">
        <v>2004</v>
      </c>
      <c r="B6013">
        <v>15</v>
      </c>
      <c r="C6013">
        <v>3.2000000000000003E-4</v>
      </c>
      <c r="D6013">
        <v>3.2000000000000003E-4</v>
      </c>
      <c r="E6013">
        <v>0.5</v>
      </c>
      <c r="F6013">
        <v>98935</v>
      </c>
      <c r="G6013">
        <v>31</v>
      </c>
      <c r="H6013">
        <v>98919</v>
      </c>
      <c r="I6013">
        <v>5379391</v>
      </c>
    </row>
    <row r="6014" spans="1:9">
      <c r="A6014" s="2">
        <v>2004</v>
      </c>
      <c r="B6014">
        <v>16</v>
      </c>
      <c r="C6014">
        <v>4.6999999999999999E-4</v>
      </c>
      <c r="D6014">
        <v>4.6999999999999999E-4</v>
      </c>
      <c r="E6014">
        <v>0.5</v>
      </c>
      <c r="F6014">
        <v>98904</v>
      </c>
      <c r="G6014">
        <v>47</v>
      </c>
      <c r="H6014">
        <v>98880</v>
      </c>
      <c r="I6014">
        <v>5280472</v>
      </c>
    </row>
    <row r="6015" spans="1:9">
      <c r="A6015" s="2">
        <v>2004</v>
      </c>
      <c r="B6015">
        <v>17</v>
      </c>
      <c r="C6015">
        <v>4.4999999999999999E-4</v>
      </c>
      <c r="D6015">
        <v>4.4999999999999999E-4</v>
      </c>
      <c r="E6015">
        <v>0.5</v>
      </c>
      <c r="F6015">
        <v>98857</v>
      </c>
      <c r="G6015">
        <v>44</v>
      </c>
      <c r="H6015">
        <v>98835</v>
      </c>
      <c r="I6015">
        <v>5181591</v>
      </c>
    </row>
    <row r="6016" spans="1:9">
      <c r="A6016" s="2">
        <v>2004</v>
      </c>
      <c r="B6016">
        <v>18</v>
      </c>
      <c r="C6016">
        <v>6.2E-4</v>
      </c>
      <c r="D6016">
        <v>6.2E-4</v>
      </c>
      <c r="E6016">
        <v>0.5</v>
      </c>
      <c r="F6016">
        <v>98813</v>
      </c>
      <c r="G6016">
        <v>62</v>
      </c>
      <c r="H6016">
        <v>98782</v>
      </c>
      <c r="I6016">
        <v>5082757</v>
      </c>
    </row>
    <row r="6017" spans="1:9">
      <c r="A6017" s="2">
        <v>2004</v>
      </c>
      <c r="B6017">
        <v>19</v>
      </c>
      <c r="C6017">
        <v>9.2000000000000003E-4</v>
      </c>
      <c r="D6017">
        <v>9.2000000000000003E-4</v>
      </c>
      <c r="E6017">
        <v>0.5</v>
      </c>
      <c r="F6017">
        <v>98751</v>
      </c>
      <c r="G6017">
        <v>91</v>
      </c>
      <c r="H6017">
        <v>98706</v>
      </c>
      <c r="I6017">
        <v>4983975</v>
      </c>
    </row>
    <row r="6018" spans="1:9">
      <c r="A6018" s="2">
        <v>2004</v>
      </c>
      <c r="B6018">
        <v>20</v>
      </c>
      <c r="C6018">
        <v>7.5000000000000002E-4</v>
      </c>
      <c r="D6018">
        <v>7.5000000000000002E-4</v>
      </c>
      <c r="E6018">
        <v>0.5</v>
      </c>
      <c r="F6018">
        <v>98660</v>
      </c>
      <c r="G6018">
        <v>74</v>
      </c>
      <c r="H6018">
        <v>98623</v>
      </c>
      <c r="I6018">
        <v>4885269</v>
      </c>
    </row>
    <row r="6019" spans="1:9">
      <c r="A6019" s="2">
        <v>2004</v>
      </c>
      <c r="B6019">
        <v>21</v>
      </c>
      <c r="C6019">
        <v>7.6000000000000004E-4</v>
      </c>
      <c r="D6019">
        <v>7.6000000000000004E-4</v>
      </c>
      <c r="E6019">
        <v>0.5</v>
      </c>
      <c r="F6019">
        <v>98586</v>
      </c>
      <c r="G6019">
        <v>75</v>
      </c>
      <c r="H6019">
        <v>98549</v>
      </c>
      <c r="I6019">
        <v>4786646</v>
      </c>
    </row>
    <row r="6020" spans="1:9">
      <c r="A6020" s="2">
        <v>2004</v>
      </c>
      <c r="B6020">
        <v>22</v>
      </c>
      <c r="C6020">
        <v>8.8999999999999995E-4</v>
      </c>
      <c r="D6020">
        <v>8.8999999999999995E-4</v>
      </c>
      <c r="E6020">
        <v>0.5</v>
      </c>
      <c r="F6020">
        <v>98511</v>
      </c>
      <c r="G6020">
        <v>87</v>
      </c>
      <c r="H6020">
        <v>98468</v>
      </c>
      <c r="I6020">
        <v>4688097</v>
      </c>
    </row>
    <row r="6021" spans="1:9">
      <c r="A6021" s="2">
        <v>2004</v>
      </c>
      <c r="B6021">
        <v>23</v>
      </c>
      <c r="C6021">
        <v>8.4999999999999995E-4</v>
      </c>
      <c r="D6021">
        <v>8.4999999999999995E-4</v>
      </c>
      <c r="E6021">
        <v>0.5</v>
      </c>
      <c r="F6021">
        <v>98424</v>
      </c>
      <c r="G6021">
        <v>83</v>
      </c>
      <c r="H6021">
        <v>98382</v>
      </c>
      <c r="I6021">
        <v>4589629</v>
      </c>
    </row>
    <row r="6022" spans="1:9">
      <c r="A6022" s="2">
        <v>2004</v>
      </c>
      <c r="B6022">
        <v>24</v>
      </c>
      <c r="C6022">
        <v>9.6000000000000002E-4</v>
      </c>
      <c r="D6022">
        <v>9.6000000000000002E-4</v>
      </c>
      <c r="E6022">
        <v>0.5</v>
      </c>
      <c r="F6022">
        <v>98341</v>
      </c>
      <c r="G6022">
        <v>95</v>
      </c>
      <c r="H6022">
        <v>98293</v>
      </c>
      <c r="I6022">
        <v>4491247</v>
      </c>
    </row>
    <row r="6023" spans="1:9">
      <c r="A6023" s="2">
        <v>2004</v>
      </c>
      <c r="B6023">
        <v>25</v>
      </c>
      <c r="C6023">
        <v>1.0200000000000001E-3</v>
      </c>
      <c r="D6023">
        <v>1.0200000000000001E-3</v>
      </c>
      <c r="E6023">
        <v>0.5</v>
      </c>
      <c r="F6023">
        <v>98246</v>
      </c>
      <c r="G6023">
        <v>100</v>
      </c>
      <c r="H6023">
        <v>98196</v>
      </c>
      <c r="I6023">
        <v>4392953</v>
      </c>
    </row>
    <row r="6024" spans="1:9">
      <c r="A6024" s="2">
        <v>2004</v>
      </c>
      <c r="B6024">
        <v>26</v>
      </c>
      <c r="C6024">
        <v>1.0499999999999999E-3</v>
      </c>
      <c r="D6024">
        <v>1.0499999999999999E-3</v>
      </c>
      <c r="E6024">
        <v>0.5</v>
      </c>
      <c r="F6024">
        <v>98146</v>
      </c>
      <c r="G6024">
        <v>103</v>
      </c>
      <c r="H6024">
        <v>98095</v>
      </c>
      <c r="I6024">
        <v>4294757</v>
      </c>
    </row>
    <row r="6025" spans="1:9">
      <c r="A6025" s="2">
        <v>2004</v>
      </c>
      <c r="B6025">
        <v>27</v>
      </c>
      <c r="C6025">
        <v>1.24E-3</v>
      </c>
      <c r="D6025">
        <v>1.24E-3</v>
      </c>
      <c r="E6025">
        <v>0.5</v>
      </c>
      <c r="F6025">
        <v>98043</v>
      </c>
      <c r="G6025">
        <v>122</v>
      </c>
      <c r="H6025">
        <v>97982</v>
      </c>
      <c r="I6025">
        <v>4196663</v>
      </c>
    </row>
    <row r="6026" spans="1:9">
      <c r="A6026" s="2">
        <v>2004</v>
      </c>
      <c r="B6026">
        <v>28</v>
      </c>
      <c r="C6026">
        <v>1.15E-3</v>
      </c>
      <c r="D6026">
        <v>1.15E-3</v>
      </c>
      <c r="E6026">
        <v>0.5</v>
      </c>
      <c r="F6026">
        <v>97921</v>
      </c>
      <c r="G6026">
        <v>112</v>
      </c>
      <c r="H6026">
        <v>97865</v>
      </c>
      <c r="I6026">
        <v>4098681</v>
      </c>
    </row>
    <row r="6027" spans="1:9">
      <c r="A6027" s="2">
        <v>2004</v>
      </c>
      <c r="B6027">
        <v>29</v>
      </c>
      <c r="C6027">
        <v>1.14E-3</v>
      </c>
      <c r="D6027">
        <v>1.1299999999999999E-3</v>
      </c>
      <c r="E6027">
        <v>0.5</v>
      </c>
      <c r="F6027">
        <v>97809</v>
      </c>
      <c r="G6027">
        <v>111</v>
      </c>
      <c r="H6027">
        <v>97753</v>
      </c>
      <c r="I6027">
        <v>4000816</v>
      </c>
    </row>
    <row r="6028" spans="1:9">
      <c r="A6028" s="2">
        <v>2004</v>
      </c>
      <c r="B6028">
        <v>30</v>
      </c>
      <c r="C6028">
        <v>1.2199999999999999E-3</v>
      </c>
      <c r="D6028">
        <v>1.2199999999999999E-3</v>
      </c>
      <c r="E6028">
        <v>0.5</v>
      </c>
      <c r="F6028">
        <v>97698</v>
      </c>
      <c r="G6028">
        <v>119</v>
      </c>
      <c r="H6028">
        <v>97638</v>
      </c>
      <c r="I6028">
        <v>3903063</v>
      </c>
    </row>
    <row r="6029" spans="1:9">
      <c r="A6029" s="2">
        <v>2004</v>
      </c>
      <c r="B6029">
        <v>31</v>
      </c>
      <c r="C6029">
        <v>1.5200000000000001E-3</v>
      </c>
      <c r="D6029">
        <v>1.5100000000000001E-3</v>
      </c>
      <c r="E6029">
        <v>0.5</v>
      </c>
      <c r="F6029">
        <v>97579</v>
      </c>
      <c r="G6029">
        <v>148</v>
      </c>
      <c r="H6029">
        <v>97505</v>
      </c>
      <c r="I6029">
        <v>3805425</v>
      </c>
    </row>
    <row r="6030" spans="1:9">
      <c r="A6030" s="2">
        <v>2004</v>
      </c>
      <c r="B6030">
        <v>32</v>
      </c>
      <c r="C6030">
        <v>1.49E-3</v>
      </c>
      <c r="D6030">
        <v>1.49E-3</v>
      </c>
      <c r="E6030">
        <v>0.5</v>
      </c>
      <c r="F6030">
        <v>97431</v>
      </c>
      <c r="G6030">
        <v>145</v>
      </c>
      <c r="H6030">
        <v>97358</v>
      </c>
      <c r="I6030">
        <v>3707920</v>
      </c>
    </row>
    <row r="6031" spans="1:9">
      <c r="A6031" s="2">
        <v>2004</v>
      </c>
      <c r="B6031">
        <v>33</v>
      </c>
      <c r="C6031">
        <v>1.7600000000000001E-3</v>
      </c>
      <c r="D6031">
        <v>1.7600000000000001E-3</v>
      </c>
      <c r="E6031">
        <v>0.5</v>
      </c>
      <c r="F6031">
        <v>97285</v>
      </c>
      <c r="G6031">
        <v>171</v>
      </c>
      <c r="H6031">
        <v>97200</v>
      </c>
      <c r="I6031">
        <v>3610562</v>
      </c>
    </row>
    <row r="6032" spans="1:9">
      <c r="A6032" s="2">
        <v>2004</v>
      </c>
      <c r="B6032">
        <v>34</v>
      </c>
      <c r="C6032">
        <v>1.6999999999999999E-3</v>
      </c>
      <c r="D6032">
        <v>1.6999999999999999E-3</v>
      </c>
      <c r="E6032">
        <v>0.5</v>
      </c>
      <c r="F6032">
        <v>97114</v>
      </c>
      <c r="G6032">
        <v>165</v>
      </c>
      <c r="H6032">
        <v>97032</v>
      </c>
      <c r="I6032">
        <v>3513362</v>
      </c>
    </row>
    <row r="6033" spans="1:9">
      <c r="A6033" s="2">
        <v>2004</v>
      </c>
      <c r="B6033">
        <v>35</v>
      </c>
      <c r="C6033">
        <v>2.2699999999999999E-3</v>
      </c>
      <c r="D6033">
        <v>2.2699999999999999E-3</v>
      </c>
      <c r="E6033">
        <v>0.5</v>
      </c>
      <c r="F6033">
        <v>96949</v>
      </c>
      <c r="G6033">
        <v>220</v>
      </c>
      <c r="H6033">
        <v>96839</v>
      </c>
      <c r="I6033">
        <v>3416330</v>
      </c>
    </row>
    <row r="6034" spans="1:9">
      <c r="A6034" s="2">
        <v>2004</v>
      </c>
      <c r="B6034">
        <v>36</v>
      </c>
      <c r="C6034">
        <v>2.1700000000000001E-3</v>
      </c>
      <c r="D6034">
        <v>2.1700000000000001E-3</v>
      </c>
      <c r="E6034">
        <v>0.5</v>
      </c>
      <c r="F6034">
        <v>96729</v>
      </c>
      <c r="G6034">
        <v>210</v>
      </c>
      <c r="H6034">
        <v>96624</v>
      </c>
      <c r="I6034">
        <v>3319491</v>
      </c>
    </row>
    <row r="6035" spans="1:9">
      <c r="A6035" s="2">
        <v>2004</v>
      </c>
      <c r="B6035">
        <v>37</v>
      </c>
      <c r="C6035">
        <v>2.5500000000000002E-3</v>
      </c>
      <c r="D6035">
        <v>2.5500000000000002E-3</v>
      </c>
      <c r="E6035">
        <v>0.5</v>
      </c>
      <c r="F6035">
        <v>96519</v>
      </c>
      <c r="G6035">
        <v>246</v>
      </c>
      <c r="H6035">
        <v>96396</v>
      </c>
      <c r="I6035">
        <v>3222866</v>
      </c>
    </row>
    <row r="6036" spans="1:9">
      <c r="A6036" s="2">
        <v>2004</v>
      </c>
      <c r="B6036">
        <v>38</v>
      </c>
      <c r="C6036">
        <v>3.3500000000000001E-3</v>
      </c>
      <c r="D6036">
        <v>3.3400000000000001E-3</v>
      </c>
      <c r="E6036">
        <v>0.5</v>
      </c>
      <c r="F6036">
        <v>96273</v>
      </c>
      <c r="G6036">
        <v>322</v>
      </c>
      <c r="H6036">
        <v>96112</v>
      </c>
      <c r="I6036">
        <v>3126470</v>
      </c>
    </row>
    <row r="6037" spans="1:9">
      <c r="A6037" s="2">
        <v>2004</v>
      </c>
      <c r="B6037">
        <v>39</v>
      </c>
      <c r="C6037">
        <v>3.9199999999999999E-3</v>
      </c>
      <c r="D6037">
        <v>3.9100000000000003E-3</v>
      </c>
      <c r="E6037">
        <v>0.5</v>
      </c>
      <c r="F6037">
        <v>95951</v>
      </c>
      <c r="G6037">
        <v>375</v>
      </c>
      <c r="H6037">
        <v>95764</v>
      </c>
      <c r="I6037">
        <v>3030358</v>
      </c>
    </row>
    <row r="6038" spans="1:9">
      <c r="A6038" s="2">
        <v>2004</v>
      </c>
      <c r="B6038">
        <v>40</v>
      </c>
      <c r="C6038">
        <v>4.4200000000000003E-3</v>
      </c>
      <c r="D6038">
        <v>4.4099999999999999E-3</v>
      </c>
      <c r="E6038">
        <v>0.5</v>
      </c>
      <c r="F6038">
        <v>95576</v>
      </c>
      <c r="G6038">
        <v>422</v>
      </c>
      <c r="H6038">
        <v>95365</v>
      </c>
      <c r="I6038">
        <v>2934594</v>
      </c>
    </row>
    <row r="6039" spans="1:9">
      <c r="A6039" s="2">
        <v>2004</v>
      </c>
      <c r="B6039">
        <v>41</v>
      </c>
      <c r="C6039">
        <v>5.0000000000000001E-3</v>
      </c>
      <c r="D6039">
        <v>4.9899999999999996E-3</v>
      </c>
      <c r="E6039">
        <v>0.5</v>
      </c>
      <c r="F6039">
        <v>95155</v>
      </c>
      <c r="G6039">
        <v>475</v>
      </c>
      <c r="H6039">
        <v>94917</v>
      </c>
      <c r="I6039">
        <v>2839229</v>
      </c>
    </row>
    <row r="6040" spans="1:9">
      <c r="A6040" s="2">
        <v>2004</v>
      </c>
      <c r="B6040">
        <v>42</v>
      </c>
      <c r="C6040">
        <v>5.6899999999999997E-3</v>
      </c>
      <c r="D6040">
        <v>5.6699999999999997E-3</v>
      </c>
      <c r="E6040">
        <v>0.5</v>
      </c>
      <c r="F6040">
        <v>94680</v>
      </c>
      <c r="G6040">
        <v>537</v>
      </c>
      <c r="H6040">
        <v>94412</v>
      </c>
      <c r="I6040">
        <v>2744312</v>
      </c>
    </row>
    <row r="6041" spans="1:9">
      <c r="A6041" s="2">
        <v>2004</v>
      </c>
      <c r="B6041">
        <v>43</v>
      </c>
      <c r="C6041">
        <v>6.5300000000000002E-3</v>
      </c>
      <c r="D6041">
        <v>6.5100000000000002E-3</v>
      </c>
      <c r="E6041">
        <v>0.5</v>
      </c>
      <c r="F6041">
        <v>94143</v>
      </c>
      <c r="G6041">
        <v>613</v>
      </c>
      <c r="H6041">
        <v>93837</v>
      </c>
      <c r="I6041">
        <v>2649900</v>
      </c>
    </row>
    <row r="6042" spans="1:9">
      <c r="A6042" s="2">
        <v>2004</v>
      </c>
      <c r="B6042">
        <v>44</v>
      </c>
      <c r="C6042">
        <v>7.1799999999999998E-3</v>
      </c>
      <c r="D6042">
        <v>7.1599999999999997E-3</v>
      </c>
      <c r="E6042">
        <v>0.5</v>
      </c>
      <c r="F6042">
        <v>93530</v>
      </c>
      <c r="G6042">
        <v>669</v>
      </c>
      <c r="H6042">
        <v>93196</v>
      </c>
      <c r="I6042">
        <v>2556063</v>
      </c>
    </row>
    <row r="6043" spans="1:9">
      <c r="A6043" s="2">
        <v>2004</v>
      </c>
      <c r="B6043">
        <v>45</v>
      </c>
      <c r="C6043">
        <v>8.1899999999999994E-3</v>
      </c>
      <c r="D6043">
        <v>8.1499999999999993E-3</v>
      </c>
      <c r="E6043">
        <v>0.5</v>
      </c>
      <c r="F6043">
        <v>92861</v>
      </c>
      <c r="G6043">
        <v>757</v>
      </c>
      <c r="H6043">
        <v>92483</v>
      </c>
      <c r="I6043">
        <v>2462867</v>
      </c>
    </row>
    <row r="6044" spans="1:9">
      <c r="A6044" s="2">
        <v>2004</v>
      </c>
      <c r="B6044">
        <v>46</v>
      </c>
      <c r="C6044">
        <v>9.4199999999999996E-3</v>
      </c>
      <c r="D6044">
        <v>9.3799999999999994E-3</v>
      </c>
      <c r="E6044">
        <v>0.5</v>
      </c>
      <c r="F6044">
        <v>92104</v>
      </c>
      <c r="G6044">
        <v>864</v>
      </c>
      <c r="H6044">
        <v>91672</v>
      </c>
      <c r="I6044">
        <v>2370385</v>
      </c>
    </row>
    <row r="6045" spans="1:9">
      <c r="A6045" s="2">
        <v>2004</v>
      </c>
      <c r="B6045">
        <v>47</v>
      </c>
      <c r="C6045">
        <v>9.58E-3</v>
      </c>
      <c r="D6045">
        <v>9.5399999999999999E-3</v>
      </c>
      <c r="E6045">
        <v>0.5</v>
      </c>
      <c r="F6045">
        <v>91240</v>
      </c>
      <c r="G6045">
        <v>870</v>
      </c>
      <c r="H6045">
        <v>90805</v>
      </c>
      <c r="I6045">
        <v>2278713</v>
      </c>
    </row>
    <row r="6046" spans="1:9">
      <c r="A6046" s="2">
        <v>2004</v>
      </c>
      <c r="B6046">
        <v>48</v>
      </c>
      <c r="C6046">
        <v>1.095E-2</v>
      </c>
      <c r="D6046">
        <v>1.089E-2</v>
      </c>
      <c r="E6046">
        <v>0.5</v>
      </c>
      <c r="F6046">
        <v>90370</v>
      </c>
      <c r="G6046">
        <v>984</v>
      </c>
      <c r="H6046">
        <v>89878</v>
      </c>
      <c r="I6046">
        <v>2187908</v>
      </c>
    </row>
    <row r="6047" spans="1:9">
      <c r="A6047" s="2">
        <v>2004</v>
      </c>
      <c r="B6047">
        <v>49</v>
      </c>
      <c r="C6047">
        <v>1.2359999999999999E-2</v>
      </c>
      <c r="D6047">
        <v>1.2279999999999999E-2</v>
      </c>
      <c r="E6047">
        <v>0.5</v>
      </c>
      <c r="F6047">
        <v>89386</v>
      </c>
      <c r="G6047">
        <v>1098</v>
      </c>
      <c r="H6047">
        <v>88837</v>
      </c>
      <c r="I6047">
        <v>2098030</v>
      </c>
    </row>
    <row r="6048" spans="1:9">
      <c r="A6048" s="2">
        <v>2004</v>
      </c>
      <c r="B6048">
        <v>50</v>
      </c>
      <c r="C6048">
        <v>1.341E-2</v>
      </c>
      <c r="D6048">
        <v>1.332E-2</v>
      </c>
      <c r="E6048">
        <v>0.5</v>
      </c>
      <c r="F6048">
        <v>88288</v>
      </c>
      <c r="G6048">
        <v>1176</v>
      </c>
      <c r="H6048">
        <v>87700</v>
      </c>
      <c r="I6048">
        <v>2009193</v>
      </c>
    </row>
    <row r="6049" spans="1:9">
      <c r="A6049" s="2">
        <v>2004</v>
      </c>
      <c r="B6049">
        <v>51</v>
      </c>
      <c r="C6049">
        <v>1.362E-2</v>
      </c>
      <c r="D6049">
        <v>1.353E-2</v>
      </c>
      <c r="E6049">
        <v>0.5</v>
      </c>
      <c r="F6049">
        <v>87112</v>
      </c>
      <c r="G6049">
        <v>1179</v>
      </c>
      <c r="H6049">
        <v>86523</v>
      </c>
      <c r="I6049">
        <v>1921493</v>
      </c>
    </row>
    <row r="6050" spans="1:9">
      <c r="A6050" s="2">
        <v>2004</v>
      </c>
      <c r="B6050">
        <v>52</v>
      </c>
      <c r="C6050">
        <v>1.6E-2</v>
      </c>
      <c r="D6050">
        <v>1.5879999999999998E-2</v>
      </c>
      <c r="E6050">
        <v>0.5</v>
      </c>
      <c r="F6050">
        <v>85934</v>
      </c>
      <c r="G6050">
        <v>1364</v>
      </c>
      <c r="H6050">
        <v>85251</v>
      </c>
      <c r="I6050">
        <v>1834970</v>
      </c>
    </row>
    <row r="6051" spans="1:9">
      <c r="A6051" s="2">
        <v>2004</v>
      </c>
      <c r="B6051">
        <v>53</v>
      </c>
      <c r="C6051">
        <v>1.553E-2</v>
      </c>
      <c r="D6051">
        <v>1.541E-2</v>
      </c>
      <c r="E6051">
        <v>0.5</v>
      </c>
      <c r="F6051">
        <v>84569</v>
      </c>
      <c r="G6051">
        <v>1303</v>
      </c>
      <c r="H6051">
        <v>83918</v>
      </c>
      <c r="I6051">
        <v>1749718</v>
      </c>
    </row>
    <row r="6052" spans="1:9">
      <c r="A6052" s="2">
        <v>2004</v>
      </c>
      <c r="B6052">
        <v>54</v>
      </c>
      <c r="C6052">
        <v>1.7239999999999998E-2</v>
      </c>
      <c r="D6052">
        <v>1.7090000000000001E-2</v>
      </c>
      <c r="E6052">
        <v>0.5</v>
      </c>
      <c r="F6052">
        <v>83266</v>
      </c>
      <c r="G6052">
        <v>1423</v>
      </c>
      <c r="H6052">
        <v>82555</v>
      </c>
      <c r="I6052">
        <v>1665801</v>
      </c>
    </row>
    <row r="6053" spans="1:9">
      <c r="A6053" s="2">
        <v>2004</v>
      </c>
      <c r="B6053">
        <v>55</v>
      </c>
      <c r="C6053">
        <v>1.7739999999999999E-2</v>
      </c>
      <c r="D6053">
        <v>1.7579999999999998E-2</v>
      </c>
      <c r="E6053">
        <v>0.5</v>
      </c>
      <c r="F6053">
        <v>81843</v>
      </c>
      <c r="G6053">
        <v>1439</v>
      </c>
      <c r="H6053">
        <v>81124</v>
      </c>
      <c r="I6053">
        <v>1583246</v>
      </c>
    </row>
    <row r="6054" spans="1:9">
      <c r="A6054" s="2">
        <v>2004</v>
      </c>
      <c r="B6054">
        <v>56</v>
      </c>
      <c r="C6054">
        <v>1.9290000000000002E-2</v>
      </c>
      <c r="D6054">
        <v>1.9099999999999999E-2</v>
      </c>
      <c r="E6054">
        <v>0.5</v>
      </c>
      <c r="F6054">
        <v>80404</v>
      </c>
      <c r="G6054">
        <v>1536</v>
      </c>
      <c r="H6054">
        <v>79636</v>
      </c>
      <c r="I6054">
        <v>1502122</v>
      </c>
    </row>
    <row r="6055" spans="1:9">
      <c r="A6055" s="2">
        <v>2004</v>
      </c>
      <c r="B6055">
        <v>57</v>
      </c>
      <c r="C6055">
        <v>2.044E-2</v>
      </c>
      <c r="D6055">
        <v>2.0230000000000001E-2</v>
      </c>
      <c r="E6055">
        <v>0.5</v>
      </c>
      <c r="F6055">
        <v>78868</v>
      </c>
      <c r="G6055">
        <v>1596</v>
      </c>
      <c r="H6055">
        <v>78071</v>
      </c>
      <c r="I6055">
        <v>1422485</v>
      </c>
    </row>
    <row r="6056" spans="1:9">
      <c r="A6056" s="2">
        <v>2004</v>
      </c>
      <c r="B6056">
        <v>58</v>
      </c>
      <c r="C6056">
        <v>2.0799999999999999E-2</v>
      </c>
      <c r="D6056">
        <v>2.0590000000000001E-2</v>
      </c>
      <c r="E6056">
        <v>0.5</v>
      </c>
      <c r="F6056">
        <v>77273</v>
      </c>
      <c r="G6056">
        <v>1591</v>
      </c>
      <c r="H6056">
        <v>76477</v>
      </c>
      <c r="I6056">
        <v>1344415</v>
      </c>
    </row>
    <row r="6057" spans="1:9">
      <c r="A6057" s="2">
        <v>2004</v>
      </c>
      <c r="B6057">
        <v>59</v>
      </c>
      <c r="C6057">
        <v>2.349E-2</v>
      </c>
      <c r="D6057">
        <v>2.3220000000000001E-2</v>
      </c>
      <c r="E6057">
        <v>0.5</v>
      </c>
      <c r="F6057">
        <v>75682</v>
      </c>
      <c r="G6057">
        <v>1757</v>
      </c>
      <c r="H6057">
        <v>74804</v>
      </c>
      <c r="I6057">
        <v>1267937</v>
      </c>
    </row>
    <row r="6058" spans="1:9">
      <c r="A6058" s="2">
        <v>2004</v>
      </c>
      <c r="B6058">
        <v>60</v>
      </c>
      <c r="C6058">
        <v>2.6429999999999999E-2</v>
      </c>
      <c r="D6058">
        <v>2.6089999999999999E-2</v>
      </c>
      <c r="E6058">
        <v>0.5</v>
      </c>
      <c r="F6058">
        <v>73925</v>
      </c>
      <c r="G6058">
        <v>1929</v>
      </c>
      <c r="H6058">
        <v>72961</v>
      </c>
      <c r="I6058">
        <v>1193134</v>
      </c>
    </row>
    <row r="6059" spans="1:9">
      <c r="A6059" s="2">
        <v>2004</v>
      </c>
      <c r="B6059">
        <v>61</v>
      </c>
      <c r="C6059">
        <v>2.632E-2</v>
      </c>
      <c r="D6059">
        <v>2.598E-2</v>
      </c>
      <c r="E6059">
        <v>0.5</v>
      </c>
      <c r="F6059">
        <v>71997</v>
      </c>
      <c r="G6059">
        <v>1870</v>
      </c>
      <c r="H6059">
        <v>71061</v>
      </c>
      <c r="I6059">
        <v>1120173</v>
      </c>
    </row>
    <row r="6060" spans="1:9">
      <c r="A6060" s="2">
        <v>2004</v>
      </c>
      <c r="B6060">
        <v>62</v>
      </c>
      <c r="C6060">
        <v>2.758E-2</v>
      </c>
      <c r="D6060">
        <v>2.7210000000000002E-2</v>
      </c>
      <c r="E6060">
        <v>0.5</v>
      </c>
      <c r="F6060">
        <v>70126</v>
      </c>
      <c r="G6060">
        <v>1908</v>
      </c>
      <c r="H6060">
        <v>69172</v>
      </c>
      <c r="I6060">
        <v>1049112</v>
      </c>
    </row>
    <row r="6061" spans="1:9">
      <c r="A6061" s="2">
        <v>2004</v>
      </c>
      <c r="B6061">
        <v>63</v>
      </c>
      <c r="C6061">
        <v>3.058E-2</v>
      </c>
      <c r="D6061">
        <v>3.0120000000000001E-2</v>
      </c>
      <c r="E6061">
        <v>0.5</v>
      </c>
      <c r="F6061">
        <v>68218</v>
      </c>
      <c r="G6061">
        <v>2055</v>
      </c>
      <c r="H6061">
        <v>67191</v>
      </c>
      <c r="I6061">
        <v>979940</v>
      </c>
    </row>
    <row r="6062" spans="1:9">
      <c r="A6062" s="2">
        <v>2004</v>
      </c>
      <c r="B6062">
        <v>64</v>
      </c>
      <c r="C6062">
        <v>3.3110000000000001E-2</v>
      </c>
      <c r="D6062">
        <v>3.2570000000000002E-2</v>
      </c>
      <c r="E6062">
        <v>0.5</v>
      </c>
      <c r="F6062">
        <v>66163</v>
      </c>
      <c r="G6062">
        <v>2155</v>
      </c>
      <c r="H6062">
        <v>65086</v>
      </c>
      <c r="I6062">
        <v>912749</v>
      </c>
    </row>
    <row r="6063" spans="1:9">
      <c r="A6063" s="2">
        <v>2004</v>
      </c>
      <c r="B6063">
        <v>65</v>
      </c>
      <c r="C6063">
        <v>3.431E-2</v>
      </c>
      <c r="D6063">
        <v>3.3730000000000003E-2</v>
      </c>
      <c r="E6063">
        <v>0.5</v>
      </c>
      <c r="F6063">
        <v>64008</v>
      </c>
      <c r="G6063">
        <v>2159</v>
      </c>
      <c r="H6063">
        <v>62929</v>
      </c>
      <c r="I6063">
        <v>847664</v>
      </c>
    </row>
    <row r="6064" spans="1:9">
      <c r="A6064" s="2">
        <v>2004</v>
      </c>
      <c r="B6064">
        <v>66</v>
      </c>
      <c r="C6064">
        <v>3.7330000000000002E-2</v>
      </c>
      <c r="D6064">
        <v>3.6650000000000002E-2</v>
      </c>
      <c r="E6064">
        <v>0.5</v>
      </c>
      <c r="F6064">
        <v>61849</v>
      </c>
      <c r="G6064">
        <v>2266</v>
      </c>
      <c r="H6064">
        <v>60716</v>
      </c>
      <c r="I6064">
        <v>784735</v>
      </c>
    </row>
    <row r="6065" spans="1:9">
      <c r="A6065" s="2">
        <v>2004</v>
      </c>
      <c r="B6065">
        <v>67</v>
      </c>
      <c r="C6065">
        <v>4.0329999999999998E-2</v>
      </c>
      <c r="D6065">
        <v>3.9530000000000003E-2</v>
      </c>
      <c r="E6065">
        <v>0.5</v>
      </c>
      <c r="F6065">
        <v>59583</v>
      </c>
      <c r="G6065">
        <v>2355</v>
      </c>
      <c r="H6065">
        <v>58405</v>
      </c>
      <c r="I6065">
        <v>724019</v>
      </c>
    </row>
    <row r="6066" spans="1:9">
      <c r="A6066" s="2">
        <v>2004</v>
      </c>
      <c r="B6066">
        <v>68</v>
      </c>
      <c r="C6066">
        <v>4.1680000000000002E-2</v>
      </c>
      <c r="D6066">
        <v>4.0820000000000002E-2</v>
      </c>
      <c r="E6066">
        <v>0.5</v>
      </c>
      <c r="F6066">
        <v>57227</v>
      </c>
      <c r="G6066">
        <v>2336</v>
      </c>
      <c r="H6066">
        <v>56059</v>
      </c>
      <c r="I6066">
        <v>665614</v>
      </c>
    </row>
    <row r="6067" spans="1:9">
      <c r="A6067" s="2">
        <v>2004</v>
      </c>
      <c r="B6067">
        <v>69</v>
      </c>
      <c r="C6067">
        <v>4.5510000000000002E-2</v>
      </c>
      <c r="D6067">
        <v>4.4499999999999998E-2</v>
      </c>
      <c r="E6067">
        <v>0.5</v>
      </c>
      <c r="F6067">
        <v>54891</v>
      </c>
      <c r="G6067">
        <v>2443</v>
      </c>
      <c r="H6067">
        <v>53670</v>
      </c>
      <c r="I6067">
        <v>609554</v>
      </c>
    </row>
    <row r="6068" spans="1:9">
      <c r="A6068" s="2">
        <v>2004</v>
      </c>
      <c r="B6068">
        <v>70</v>
      </c>
      <c r="C6068">
        <v>4.7710000000000002E-2</v>
      </c>
      <c r="D6068">
        <v>4.6600000000000003E-2</v>
      </c>
      <c r="E6068">
        <v>0.5</v>
      </c>
      <c r="F6068">
        <v>52449</v>
      </c>
      <c r="G6068">
        <v>2444</v>
      </c>
      <c r="H6068">
        <v>51227</v>
      </c>
      <c r="I6068">
        <v>555884</v>
      </c>
    </row>
    <row r="6069" spans="1:9">
      <c r="A6069" s="2">
        <v>2004</v>
      </c>
      <c r="B6069">
        <v>71</v>
      </c>
      <c r="C6069">
        <v>5.151E-2</v>
      </c>
      <c r="D6069">
        <v>5.0220000000000001E-2</v>
      </c>
      <c r="E6069">
        <v>0.5</v>
      </c>
      <c r="F6069">
        <v>50005</v>
      </c>
      <c r="G6069">
        <v>2511</v>
      </c>
      <c r="H6069">
        <v>48749</v>
      </c>
      <c r="I6069">
        <v>504658</v>
      </c>
    </row>
    <row r="6070" spans="1:9">
      <c r="A6070" s="2">
        <v>2004</v>
      </c>
      <c r="B6070">
        <v>72</v>
      </c>
      <c r="C6070">
        <v>5.3809999999999997E-2</v>
      </c>
      <c r="D6070">
        <v>5.2400000000000002E-2</v>
      </c>
      <c r="E6070">
        <v>0.5</v>
      </c>
      <c r="F6070">
        <v>47493</v>
      </c>
      <c r="G6070">
        <v>2489</v>
      </c>
      <c r="H6070">
        <v>46249</v>
      </c>
      <c r="I6070">
        <v>455909</v>
      </c>
    </row>
    <row r="6071" spans="1:9">
      <c r="A6071" s="2">
        <v>2004</v>
      </c>
      <c r="B6071">
        <v>73</v>
      </c>
      <c r="C6071">
        <v>6.2859999999999999E-2</v>
      </c>
      <c r="D6071">
        <v>6.0940000000000001E-2</v>
      </c>
      <c r="E6071">
        <v>0.5</v>
      </c>
      <c r="F6071">
        <v>45005</v>
      </c>
      <c r="G6071">
        <v>2743</v>
      </c>
      <c r="H6071">
        <v>43633</v>
      </c>
      <c r="I6071">
        <v>409660</v>
      </c>
    </row>
    <row r="6072" spans="1:9">
      <c r="A6072" s="2">
        <v>2004</v>
      </c>
      <c r="B6072">
        <v>74</v>
      </c>
      <c r="C6072">
        <v>6.404E-2</v>
      </c>
      <c r="D6072">
        <v>6.2050000000000001E-2</v>
      </c>
      <c r="E6072">
        <v>0.5</v>
      </c>
      <c r="F6072">
        <v>42262</v>
      </c>
      <c r="G6072">
        <v>2623</v>
      </c>
      <c r="H6072">
        <v>40951</v>
      </c>
      <c r="I6072">
        <v>366026</v>
      </c>
    </row>
    <row r="6073" spans="1:9">
      <c r="A6073" s="2">
        <v>2004</v>
      </c>
      <c r="B6073">
        <v>75</v>
      </c>
      <c r="C6073">
        <v>7.2720000000000007E-2</v>
      </c>
      <c r="D6073">
        <v>7.0169999999999996E-2</v>
      </c>
      <c r="E6073">
        <v>0.5</v>
      </c>
      <c r="F6073">
        <v>39640</v>
      </c>
      <c r="G6073">
        <v>2781</v>
      </c>
      <c r="H6073">
        <v>38249</v>
      </c>
      <c r="I6073">
        <v>325075</v>
      </c>
    </row>
    <row r="6074" spans="1:9">
      <c r="A6074" s="2">
        <v>2004</v>
      </c>
      <c r="B6074">
        <v>76</v>
      </c>
      <c r="C6074">
        <v>7.7270000000000005E-2</v>
      </c>
      <c r="D6074">
        <v>7.4389999999999998E-2</v>
      </c>
      <c r="E6074">
        <v>0.5</v>
      </c>
      <c r="F6074">
        <v>36858</v>
      </c>
      <c r="G6074">
        <v>2742</v>
      </c>
      <c r="H6074">
        <v>35487</v>
      </c>
      <c r="I6074">
        <v>286826</v>
      </c>
    </row>
    <row r="6075" spans="1:9">
      <c r="A6075" s="2">
        <v>2004</v>
      </c>
      <c r="B6075">
        <v>77</v>
      </c>
      <c r="C6075">
        <v>8.6730000000000002E-2</v>
      </c>
      <c r="D6075">
        <v>8.3119999999999999E-2</v>
      </c>
      <c r="E6075">
        <v>0.5</v>
      </c>
      <c r="F6075">
        <v>34116</v>
      </c>
      <c r="G6075">
        <v>2836</v>
      </c>
      <c r="H6075">
        <v>32698</v>
      </c>
      <c r="I6075">
        <v>251339</v>
      </c>
    </row>
    <row r="6076" spans="1:9">
      <c r="A6076" s="2">
        <v>2004</v>
      </c>
      <c r="B6076">
        <v>78</v>
      </c>
      <c r="C6076">
        <v>8.9749999999999996E-2</v>
      </c>
      <c r="D6076">
        <v>8.5889999999999994E-2</v>
      </c>
      <c r="E6076">
        <v>0.5</v>
      </c>
      <c r="F6076">
        <v>31280</v>
      </c>
      <c r="G6076">
        <v>2687</v>
      </c>
      <c r="H6076">
        <v>29937</v>
      </c>
      <c r="I6076">
        <v>218641</v>
      </c>
    </row>
    <row r="6077" spans="1:9">
      <c r="A6077" s="2">
        <v>2004</v>
      </c>
      <c r="B6077">
        <v>79</v>
      </c>
      <c r="C6077">
        <v>9.4969999999999999E-2</v>
      </c>
      <c r="D6077">
        <v>9.0670000000000001E-2</v>
      </c>
      <c r="E6077">
        <v>0.5</v>
      </c>
      <c r="F6077">
        <v>28594</v>
      </c>
      <c r="G6077">
        <v>2592</v>
      </c>
      <c r="H6077">
        <v>27297</v>
      </c>
      <c r="I6077">
        <v>188704</v>
      </c>
    </row>
    <row r="6078" spans="1:9">
      <c r="A6078" s="2">
        <v>2004</v>
      </c>
      <c r="B6078">
        <v>80</v>
      </c>
      <c r="C6078">
        <v>0.10804</v>
      </c>
      <c r="D6078">
        <v>0.10249999999999999</v>
      </c>
      <c r="E6078">
        <v>0.5</v>
      </c>
      <c r="F6078">
        <v>26001</v>
      </c>
      <c r="G6078">
        <v>2665</v>
      </c>
      <c r="H6078">
        <v>24669</v>
      </c>
      <c r="I6078">
        <v>161407</v>
      </c>
    </row>
    <row r="6079" spans="1:9">
      <c r="A6079" s="2">
        <v>2004</v>
      </c>
      <c r="B6079">
        <v>81</v>
      </c>
      <c r="C6079">
        <v>0.11761000000000001</v>
      </c>
      <c r="D6079">
        <v>0.11108</v>
      </c>
      <c r="E6079">
        <v>0.5</v>
      </c>
      <c r="F6079">
        <v>23336</v>
      </c>
      <c r="G6079">
        <v>2592</v>
      </c>
      <c r="H6079">
        <v>22040</v>
      </c>
      <c r="I6079">
        <v>136739</v>
      </c>
    </row>
    <row r="6080" spans="1:9">
      <c r="A6080" s="2">
        <v>2004</v>
      </c>
      <c r="B6080">
        <v>82</v>
      </c>
      <c r="C6080">
        <v>0.12667999999999999</v>
      </c>
      <c r="D6080">
        <v>0.11914</v>
      </c>
      <c r="E6080">
        <v>0.5</v>
      </c>
      <c r="F6080">
        <v>20744</v>
      </c>
      <c r="G6080">
        <v>2471</v>
      </c>
      <c r="H6080">
        <v>19508</v>
      </c>
      <c r="I6080">
        <v>114699</v>
      </c>
    </row>
    <row r="6081" spans="1:9">
      <c r="A6081" s="2">
        <v>2004</v>
      </c>
      <c r="B6081">
        <v>83</v>
      </c>
      <c r="C6081">
        <v>0.13358</v>
      </c>
      <c r="D6081">
        <v>0.12522</v>
      </c>
      <c r="E6081">
        <v>0.5</v>
      </c>
      <c r="F6081">
        <v>18272</v>
      </c>
      <c r="G6081">
        <v>2288</v>
      </c>
      <c r="H6081">
        <v>17128</v>
      </c>
      <c r="I6081">
        <v>95190</v>
      </c>
    </row>
    <row r="6082" spans="1:9">
      <c r="A6082" s="2">
        <v>2004</v>
      </c>
      <c r="B6082">
        <v>84</v>
      </c>
      <c r="C6082">
        <v>0.16767000000000001</v>
      </c>
      <c r="D6082">
        <v>0.1547</v>
      </c>
      <c r="E6082">
        <v>0.5</v>
      </c>
      <c r="F6082">
        <v>15984</v>
      </c>
      <c r="G6082">
        <v>2473</v>
      </c>
      <c r="H6082">
        <v>14748</v>
      </c>
      <c r="I6082">
        <v>78062</v>
      </c>
    </row>
    <row r="6083" spans="1:9">
      <c r="A6083" s="2">
        <v>2004</v>
      </c>
      <c r="B6083">
        <v>85</v>
      </c>
      <c r="C6083">
        <v>0.14283999999999999</v>
      </c>
      <c r="D6083">
        <v>0.13331999999999999</v>
      </c>
      <c r="E6083">
        <v>0.5</v>
      </c>
      <c r="F6083">
        <v>13512</v>
      </c>
      <c r="G6083">
        <v>1801</v>
      </c>
      <c r="H6083">
        <v>12611</v>
      </c>
      <c r="I6083">
        <v>63314</v>
      </c>
    </row>
    <row r="6084" spans="1:9">
      <c r="A6084" s="2">
        <v>2004</v>
      </c>
      <c r="B6084">
        <v>86</v>
      </c>
      <c r="C6084">
        <v>0.15504000000000001</v>
      </c>
      <c r="D6084">
        <v>0.14388999999999999</v>
      </c>
      <c r="E6084">
        <v>0.5</v>
      </c>
      <c r="F6084">
        <v>11710</v>
      </c>
      <c r="G6084">
        <v>1685</v>
      </c>
      <c r="H6084">
        <v>10868</v>
      </c>
      <c r="I6084">
        <v>50703</v>
      </c>
    </row>
    <row r="6085" spans="1:9">
      <c r="A6085" s="2">
        <v>2004</v>
      </c>
      <c r="B6085">
        <v>87</v>
      </c>
      <c r="C6085">
        <v>0.19131999999999999</v>
      </c>
      <c r="D6085">
        <v>0.17460999999999999</v>
      </c>
      <c r="E6085">
        <v>0.5</v>
      </c>
      <c r="F6085">
        <v>10025</v>
      </c>
      <c r="G6085">
        <v>1751</v>
      </c>
      <c r="H6085">
        <v>9150</v>
      </c>
      <c r="I6085">
        <v>39836</v>
      </c>
    </row>
    <row r="6086" spans="1:9">
      <c r="A6086" s="2">
        <v>2004</v>
      </c>
      <c r="B6086">
        <v>88</v>
      </c>
      <c r="C6086">
        <v>0.19886000000000001</v>
      </c>
      <c r="D6086">
        <v>0.18088000000000001</v>
      </c>
      <c r="E6086">
        <v>0.5</v>
      </c>
      <c r="F6086">
        <v>8275</v>
      </c>
      <c r="G6086">
        <v>1497</v>
      </c>
      <c r="H6086">
        <v>7526</v>
      </c>
      <c r="I6086">
        <v>30686</v>
      </c>
    </row>
    <row r="6087" spans="1:9">
      <c r="A6087" s="2">
        <v>2004</v>
      </c>
      <c r="B6087">
        <v>89</v>
      </c>
      <c r="C6087">
        <v>0.24931</v>
      </c>
      <c r="D6087">
        <v>0.22167000000000001</v>
      </c>
      <c r="E6087">
        <v>0.5</v>
      </c>
      <c r="F6087">
        <v>6778</v>
      </c>
      <c r="G6087">
        <v>1502</v>
      </c>
      <c r="H6087">
        <v>6027</v>
      </c>
      <c r="I6087">
        <v>23159</v>
      </c>
    </row>
    <row r="6088" spans="1:9">
      <c r="A6088" s="2">
        <v>2004</v>
      </c>
      <c r="B6088">
        <v>90</v>
      </c>
      <c r="C6088">
        <v>0.26311000000000001</v>
      </c>
      <c r="D6088">
        <v>0.23252</v>
      </c>
      <c r="E6088">
        <v>0.5</v>
      </c>
      <c r="F6088">
        <v>5275</v>
      </c>
      <c r="G6088">
        <v>1227</v>
      </c>
      <c r="H6088">
        <v>4662</v>
      </c>
      <c r="I6088">
        <v>17133</v>
      </c>
    </row>
    <row r="6089" spans="1:9">
      <c r="A6089" s="2">
        <v>2004</v>
      </c>
      <c r="B6089">
        <v>91</v>
      </c>
      <c r="C6089">
        <v>0.27048</v>
      </c>
      <c r="D6089">
        <v>0.23826</v>
      </c>
      <c r="E6089">
        <v>0.5</v>
      </c>
      <c r="F6089">
        <v>4049</v>
      </c>
      <c r="G6089">
        <v>965</v>
      </c>
      <c r="H6089">
        <v>3566</v>
      </c>
      <c r="I6089">
        <v>12470</v>
      </c>
    </row>
    <row r="6090" spans="1:9">
      <c r="A6090" s="2">
        <v>2004</v>
      </c>
      <c r="B6090">
        <v>92</v>
      </c>
      <c r="C6090">
        <v>0.29321999999999998</v>
      </c>
      <c r="D6090">
        <v>0.25573000000000001</v>
      </c>
      <c r="E6090">
        <v>0.5</v>
      </c>
      <c r="F6090">
        <v>3084</v>
      </c>
      <c r="G6090">
        <v>789</v>
      </c>
      <c r="H6090">
        <v>2690</v>
      </c>
      <c r="I6090">
        <v>8904</v>
      </c>
    </row>
    <row r="6091" spans="1:9">
      <c r="A6091" s="2">
        <v>2004</v>
      </c>
      <c r="B6091">
        <v>93</v>
      </c>
      <c r="C6091">
        <v>0.34155000000000002</v>
      </c>
      <c r="D6091">
        <v>0.29172999999999999</v>
      </c>
      <c r="E6091">
        <v>0.5</v>
      </c>
      <c r="F6091">
        <v>2295</v>
      </c>
      <c r="G6091">
        <v>670</v>
      </c>
      <c r="H6091">
        <v>1961</v>
      </c>
      <c r="I6091">
        <v>6214</v>
      </c>
    </row>
    <row r="6092" spans="1:9">
      <c r="A6092" s="2">
        <v>2004</v>
      </c>
      <c r="B6092">
        <v>94</v>
      </c>
      <c r="C6092">
        <v>0.33610000000000001</v>
      </c>
      <c r="D6092">
        <v>0.28775000000000001</v>
      </c>
      <c r="E6092">
        <v>0.5</v>
      </c>
      <c r="F6092">
        <v>1626</v>
      </c>
      <c r="G6092">
        <v>468</v>
      </c>
      <c r="H6092">
        <v>1392</v>
      </c>
      <c r="I6092">
        <v>4253</v>
      </c>
    </row>
    <row r="6093" spans="1:9">
      <c r="A6093" s="2">
        <v>2004</v>
      </c>
      <c r="B6093">
        <v>95</v>
      </c>
      <c r="C6093">
        <v>0.36133999999999999</v>
      </c>
      <c r="D6093">
        <v>0.30604999999999999</v>
      </c>
      <c r="E6093">
        <v>0.5</v>
      </c>
      <c r="F6093">
        <v>1158</v>
      </c>
      <c r="G6093">
        <v>354</v>
      </c>
      <c r="H6093">
        <v>981</v>
      </c>
      <c r="I6093">
        <v>2862</v>
      </c>
    </row>
    <row r="6094" spans="1:9">
      <c r="A6094" s="2">
        <v>2004</v>
      </c>
      <c r="B6094">
        <v>96</v>
      </c>
      <c r="C6094">
        <v>0.38583000000000001</v>
      </c>
      <c r="D6094">
        <v>0.32343</v>
      </c>
      <c r="E6094">
        <v>0.5</v>
      </c>
      <c r="F6094">
        <v>804</v>
      </c>
      <c r="G6094">
        <v>260</v>
      </c>
      <c r="H6094">
        <v>674</v>
      </c>
      <c r="I6094">
        <v>1881</v>
      </c>
    </row>
    <row r="6095" spans="1:9">
      <c r="A6095" s="2">
        <v>2004</v>
      </c>
      <c r="B6095">
        <v>97</v>
      </c>
      <c r="C6095">
        <v>0.41091</v>
      </c>
      <c r="D6095">
        <v>0.34087000000000001</v>
      </c>
      <c r="E6095">
        <v>0.5</v>
      </c>
      <c r="F6095">
        <v>544</v>
      </c>
      <c r="G6095">
        <v>185</v>
      </c>
      <c r="H6095">
        <v>451</v>
      </c>
      <c r="I6095">
        <v>1207</v>
      </c>
    </row>
    <row r="6096" spans="1:9">
      <c r="A6096" s="2">
        <v>2004</v>
      </c>
      <c r="B6096">
        <v>98</v>
      </c>
      <c r="C6096">
        <v>0.43646000000000001</v>
      </c>
      <c r="D6096">
        <v>0.35826999999999998</v>
      </c>
      <c r="E6096">
        <v>0.5</v>
      </c>
      <c r="F6096">
        <v>358</v>
      </c>
      <c r="G6096">
        <v>128</v>
      </c>
      <c r="H6096">
        <v>294</v>
      </c>
      <c r="I6096">
        <v>756</v>
      </c>
    </row>
    <row r="6097" spans="1:9">
      <c r="A6097" s="2">
        <v>2004</v>
      </c>
      <c r="B6097">
        <v>99</v>
      </c>
      <c r="C6097">
        <v>0.46234999999999998</v>
      </c>
      <c r="D6097">
        <v>0.37553999999999998</v>
      </c>
      <c r="E6097">
        <v>0.5</v>
      </c>
      <c r="F6097">
        <v>230</v>
      </c>
      <c r="G6097">
        <v>86</v>
      </c>
      <c r="H6097">
        <v>187</v>
      </c>
      <c r="I6097">
        <v>462</v>
      </c>
    </row>
    <row r="6098" spans="1:9">
      <c r="A6098" s="2">
        <v>2004</v>
      </c>
      <c r="B6098">
        <v>100</v>
      </c>
      <c r="C6098">
        <v>0.48845</v>
      </c>
      <c r="D6098">
        <v>0.39256999999999997</v>
      </c>
      <c r="E6098">
        <v>0.5</v>
      </c>
      <c r="F6098">
        <v>144</v>
      </c>
      <c r="G6098">
        <v>56</v>
      </c>
      <c r="H6098">
        <v>115</v>
      </c>
      <c r="I6098">
        <v>275</v>
      </c>
    </row>
    <row r="6099" spans="1:9">
      <c r="A6099" s="2">
        <v>2004</v>
      </c>
      <c r="B6099">
        <v>101</v>
      </c>
      <c r="C6099">
        <v>0.51461000000000001</v>
      </c>
      <c r="D6099">
        <v>0.40928999999999999</v>
      </c>
      <c r="E6099">
        <v>0.5</v>
      </c>
      <c r="F6099">
        <v>87</v>
      </c>
      <c r="G6099">
        <v>36</v>
      </c>
      <c r="H6099">
        <v>69</v>
      </c>
      <c r="I6099">
        <v>160</v>
      </c>
    </row>
    <row r="6100" spans="1:9">
      <c r="A6100" s="2">
        <v>2004</v>
      </c>
      <c r="B6100">
        <v>102</v>
      </c>
      <c r="C6100">
        <v>0.54069</v>
      </c>
      <c r="D6100">
        <v>0.42562</v>
      </c>
      <c r="E6100">
        <v>0.5</v>
      </c>
      <c r="F6100">
        <v>52</v>
      </c>
      <c r="G6100">
        <v>22</v>
      </c>
      <c r="H6100">
        <v>41</v>
      </c>
      <c r="I6100">
        <v>90</v>
      </c>
    </row>
    <row r="6101" spans="1:9">
      <c r="A6101" s="2">
        <v>2004</v>
      </c>
      <c r="B6101">
        <v>103</v>
      </c>
      <c r="C6101">
        <v>0.56655</v>
      </c>
      <c r="D6101">
        <v>0.44148999999999999</v>
      </c>
      <c r="E6101">
        <v>0.5</v>
      </c>
      <c r="F6101">
        <v>30</v>
      </c>
      <c r="G6101">
        <v>13</v>
      </c>
      <c r="H6101">
        <v>23</v>
      </c>
      <c r="I6101">
        <v>50</v>
      </c>
    </row>
    <row r="6102" spans="1:9">
      <c r="A6102" s="2">
        <v>2004</v>
      </c>
      <c r="B6102">
        <v>104</v>
      </c>
      <c r="C6102">
        <v>0.59204999999999997</v>
      </c>
      <c r="D6102">
        <v>0.45682</v>
      </c>
      <c r="E6102">
        <v>0.5</v>
      </c>
      <c r="F6102">
        <v>17</v>
      </c>
      <c r="G6102">
        <v>8</v>
      </c>
      <c r="H6102">
        <v>13</v>
      </c>
      <c r="I6102">
        <v>27</v>
      </c>
    </row>
    <row r="6103" spans="1:9">
      <c r="A6103" s="2">
        <v>2004</v>
      </c>
      <c r="B6103">
        <v>105</v>
      </c>
      <c r="C6103">
        <v>0.61707000000000001</v>
      </c>
      <c r="D6103">
        <v>0.47156999999999999</v>
      </c>
      <c r="E6103">
        <v>0.5</v>
      </c>
      <c r="F6103">
        <v>9</v>
      </c>
      <c r="G6103">
        <v>4</v>
      </c>
      <c r="H6103">
        <v>7</v>
      </c>
      <c r="I6103">
        <v>14</v>
      </c>
    </row>
    <row r="6104" spans="1:9">
      <c r="A6104" s="2">
        <v>2004</v>
      </c>
      <c r="B6104">
        <v>106</v>
      </c>
      <c r="C6104">
        <v>0.64148000000000005</v>
      </c>
      <c r="D6104">
        <v>0.48570000000000002</v>
      </c>
      <c r="E6104">
        <v>0.5</v>
      </c>
      <c r="F6104">
        <v>5</v>
      </c>
      <c r="G6104">
        <v>2</v>
      </c>
      <c r="H6104">
        <v>4</v>
      </c>
      <c r="I6104">
        <v>7</v>
      </c>
    </row>
    <row r="6105" spans="1:9">
      <c r="A6105" s="2">
        <v>2004</v>
      </c>
      <c r="B6105">
        <v>107</v>
      </c>
      <c r="C6105">
        <v>0.66517999999999999</v>
      </c>
      <c r="D6105">
        <v>0.49915999999999999</v>
      </c>
      <c r="E6105">
        <v>0.5</v>
      </c>
      <c r="F6105">
        <v>2</v>
      </c>
      <c r="G6105">
        <v>1</v>
      </c>
      <c r="H6105">
        <v>2</v>
      </c>
      <c r="I6105">
        <v>4</v>
      </c>
    </row>
    <row r="6106" spans="1:9">
      <c r="A6106" s="2">
        <v>2004</v>
      </c>
      <c r="B6106">
        <v>108</v>
      </c>
      <c r="C6106">
        <v>0.68806999999999996</v>
      </c>
      <c r="D6106">
        <v>0.51193999999999995</v>
      </c>
      <c r="E6106">
        <v>0.5</v>
      </c>
      <c r="F6106">
        <v>1</v>
      </c>
      <c r="G6106">
        <v>1</v>
      </c>
      <c r="H6106">
        <v>1</v>
      </c>
      <c r="I6106">
        <v>2</v>
      </c>
    </row>
    <row r="6107" spans="1:9">
      <c r="A6107" s="2">
        <v>2004</v>
      </c>
      <c r="B6107">
        <v>109</v>
      </c>
      <c r="C6107">
        <v>0.71008000000000004</v>
      </c>
      <c r="D6107">
        <v>0.52403</v>
      </c>
      <c r="E6107">
        <v>0.5</v>
      </c>
      <c r="F6107">
        <v>1</v>
      </c>
      <c r="G6107">
        <v>0</v>
      </c>
      <c r="H6107">
        <v>0</v>
      </c>
      <c r="I6107">
        <v>1</v>
      </c>
    </row>
    <row r="6108" spans="1:9">
      <c r="A6108" s="2">
        <v>2004</v>
      </c>
      <c r="B6108" t="s">
        <v>26</v>
      </c>
      <c r="C6108">
        <v>0.73114999999999997</v>
      </c>
      <c r="D6108">
        <v>1</v>
      </c>
      <c r="E6108">
        <v>1.37</v>
      </c>
      <c r="F6108">
        <v>0</v>
      </c>
      <c r="G6108">
        <v>0</v>
      </c>
      <c r="H6108">
        <v>0</v>
      </c>
      <c r="I6108">
        <v>0</v>
      </c>
    </row>
    <row r="6109" spans="1:9">
      <c r="A6109" s="2">
        <v>2005</v>
      </c>
      <c r="B6109">
        <v>0</v>
      </c>
      <c r="C6109">
        <v>7.1900000000000002E-3</v>
      </c>
      <c r="D6109">
        <v>7.1399999999999996E-3</v>
      </c>
      <c r="E6109">
        <v>0.13</v>
      </c>
      <c r="F6109">
        <v>100000</v>
      </c>
      <c r="G6109">
        <v>714</v>
      </c>
      <c r="H6109">
        <v>99382</v>
      </c>
      <c r="I6109">
        <v>6861276</v>
      </c>
    </row>
    <row r="6110" spans="1:9">
      <c r="A6110" s="2">
        <v>2005</v>
      </c>
      <c r="B6110">
        <v>1</v>
      </c>
      <c r="C6110">
        <v>6.7000000000000002E-4</v>
      </c>
      <c r="D6110">
        <v>6.7000000000000002E-4</v>
      </c>
      <c r="E6110">
        <v>0.5</v>
      </c>
      <c r="F6110">
        <v>99286</v>
      </c>
      <c r="G6110">
        <v>66</v>
      </c>
      <c r="H6110">
        <v>99253</v>
      </c>
      <c r="I6110">
        <v>6761894</v>
      </c>
    </row>
    <row r="6111" spans="1:9">
      <c r="A6111" s="2">
        <v>2005</v>
      </c>
      <c r="B6111">
        <v>2</v>
      </c>
      <c r="C6111">
        <v>4.0999999999999999E-4</v>
      </c>
      <c r="D6111">
        <v>4.0999999999999999E-4</v>
      </c>
      <c r="E6111">
        <v>0.5</v>
      </c>
      <c r="F6111">
        <v>99220</v>
      </c>
      <c r="G6111">
        <v>40</v>
      </c>
      <c r="H6111">
        <v>99199</v>
      </c>
      <c r="I6111">
        <v>6662641</v>
      </c>
    </row>
    <row r="6112" spans="1:9">
      <c r="A6112" s="2">
        <v>2005</v>
      </c>
      <c r="B6112">
        <v>3</v>
      </c>
      <c r="C6112">
        <v>2.5999999999999998E-4</v>
      </c>
      <c r="D6112">
        <v>2.5999999999999998E-4</v>
      </c>
      <c r="E6112">
        <v>0.5</v>
      </c>
      <c r="F6112">
        <v>99179</v>
      </c>
      <c r="G6112">
        <v>26</v>
      </c>
      <c r="H6112">
        <v>99166</v>
      </c>
      <c r="I6112">
        <v>6563442</v>
      </c>
    </row>
    <row r="6113" spans="1:9">
      <c r="A6113" s="2">
        <v>2005</v>
      </c>
      <c r="B6113">
        <v>4</v>
      </c>
      <c r="C6113">
        <v>1.6000000000000001E-4</v>
      </c>
      <c r="D6113">
        <v>1.6000000000000001E-4</v>
      </c>
      <c r="E6113">
        <v>0.5</v>
      </c>
      <c r="F6113">
        <v>99153</v>
      </c>
      <c r="G6113">
        <v>16</v>
      </c>
      <c r="H6113">
        <v>99145</v>
      </c>
      <c r="I6113">
        <v>6464276</v>
      </c>
    </row>
    <row r="6114" spans="1:9">
      <c r="A6114" s="2">
        <v>2005</v>
      </c>
      <c r="B6114">
        <v>5</v>
      </c>
      <c r="C6114">
        <v>1.2E-4</v>
      </c>
      <c r="D6114">
        <v>1.2E-4</v>
      </c>
      <c r="E6114">
        <v>0.5</v>
      </c>
      <c r="F6114">
        <v>99137</v>
      </c>
      <c r="G6114">
        <v>12</v>
      </c>
      <c r="H6114">
        <v>99131</v>
      </c>
      <c r="I6114">
        <v>6365131</v>
      </c>
    </row>
    <row r="6115" spans="1:9">
      <c r="A6115" s="2">
        <v>2005</v>
      </c>
      <c r="B6115">
        <v>6</v>
      </c>
      <c r="C6115">
        <v>2.3000000000000001E-4</v>
      </c>
      <c r="D6115">
        <v>2.3000000000000001E-4</v>
      </c>
      <c r="E6115">
        <v>0.5</v>
      </c>
      <c r="F6115">
        <v>99125</v>
      </c>
      <c r="G6115">
        <v>23</v>
      </c>
      <c r="H6115">
        <v>99114</v>
      </c>
      <c r="I6115">
        <v>6265999</v>
      </c>
    </row>
    <row r="6116" spans="1:9">
      <c r="A6116" s="2">
        <v>2005</v>
      </c>
      <c r="B6116">
        <v>7</v>
      </c>
      <c r="C6116">
        <v>1.3999999999999999E-4</v>
      </c>
      <c r="D6116">
        <v>1.3999999999999999E-4</v>
      </c>
      <c r="E6116">
        <v>0.5</v>
      </c>
      <c r="F6116">
        <v>99103</v>
      </c>
      <c r="G6116">
        <v>14</v>
      </c>
      <c r="H6116">
        <v>99096</v>
      </c>
      <c r="I6116">
        <v>6166885</v>
      </c>
    </row>
    <row r="6117" spans="1:9">
      <c r="A6117" s="2">
        <v>2005</v>
      </c>
      <c r="B6117">
        <v>8</v>
      </c>
      <c r="C6117">
        <v>2.7E-4</v>
      </c>
      <c r="D6117">
        <v>2.7E-4</v>
      </c>
      <c r="E6117">
        <v>0.5</v>
      </c>
      <c r="F6117">
        <v>99089</v>
      </c>
      <c r="G6117">
        <v>27</v>
      </c>
      <c r="H6117">
        <v>99075</v>
      </c>
      <c r="I6117">
        <v>6067790</v>
      </c>
    </row>
    <row r="6118" spans="1:9">
      <c r="A6118" s="2">
        <v>2005</v>
      </c>
      <c r="B6118">
        <v>9</v>
      </c>
      <c r="C6118">
        <v>1.6000000000000001E-4</v>
      </c>
      <c r="D6118">
        <v>1.6000000000000001E-4</v>
      </c>
      <c r="E6118">
        <v>0.5</v>
      </c>
      <c r="F6118">
        <v>99062</v>
      </c>
      <c r="G6118">
        <v>16</v>
      </c>
      <c r="H6118">
        <v>99054</v>
      </c>
      <c r="I6118">
        <v>5968714</v>
      </c>
    </row>
    <row r="6119" spans="1:9">
      <c r="A6119" s="2">
        <v>2005</v>
      </c>
      <c r="B6119">
        <v>10</v>
      </c>
      <c r="C6119">
        <v>1.1E-4</v>
      </c>
      <c r="D6119">
        <v>1.1E-4</v>
      </c>
      <c r="E6119">
        <v>0.5</v>
      </c>
      <c r="F6119">
        <v>99046</v>
      </c>
      <c r="G6119">
        <v>11</v>
      </c>
      <c r="H6119">
        <v>99041</v>
      </c>
      <c r="I6119">
        <v>5869660</v>
      </c>
    </row>
    <row r="6120" spans="1:9">
      <c r="A6120" s="2">
        <v>2005</v>
      </c>
      <c r="B6120">
        <v>11</v>
      </c>
      <c r="C6120">
        <v>1E-4</v>
      </c>
      <c r="D6120">
        <v>1E-4</v>
      </c>
      <c r="E6120">
        <v>0.5</v>
      </c>
      <c r="F6120">
        <v>99036</v>
      </c>
      <c r="G6120">
        <v>10</v>
      </c>
      <c r="H6120">
        <v>99031</v>
      </c>
      <c r="I6120">
        <v>5770619</v>
      </c>
    </row>
    <row r="6121" spans="1:9">
      <c r="A6121" s="2">
        <v>2005</v>
      </c>
      <c r="B6121">
        <v>12</v>
      </c>
      <c r="C6121">
        <v>8.0000000000000007E-5</v>
      </c>
      <c r="D6121">
        <v>8.0000000000000007E-5</v>
      </c>
      <c r="E6121">
        <v>0.5</v>
      </c>
      <c r="F6121">
        <v>99025</v>
      </c>
      <c r="G6121">
        <v>8</v>
      </c>
      <c r="H6121">
        <v>99021</v>
      </c>
      <c r="I6121">
        <v>5671589</v>
      </c>
    </row>
    <row r="6122" spans="1:9">
      <c r="A6122" s="2">
        <v>2005</v>
      </c>
      <c r="B6122">
        <v>13</v>
      </c>
      <c r="C6122">
        <v>1.3999999999999999E-4</v>
      </c>
      <c r="D6122">
        <v>1.3999999999999999E-4</v>
      </c>
      <c r="E6122">
        <v>0.5</v>
      </c>
      <c r="F6122">
        <v>99017</v>
      </c>
      <c r="G6122">
        <v>14</v>
      </c>
      <c r="H6122">
        <v>99010</v>
      </c>
      <c r="I6122">
        <v>5572567</v>
      </c>
    </row>
    <row r="6123" spans="1:9">
      <c r="A6123" s="2">
        <v>2005</v>
      </c>
      <c r="B6123">
        <v>14</v>
      </c>
      <c r="C6123">
        <v>2.5999999999999998E-4</v>
      </c>
      <c r="D6123">
        <v>2.5999999999999998E-4</v>
      </c>
      <c r="E6123">
        <v>0.5</v>
      </c>
      <c r="F6123">
        <v>99003</v>
      </c>
      <c r="G6123">
        <v>26</v>
      </c>
      <c r="H6123">
        <v>98990</v>
      </c>
      <c r="I6123">
        <v>5473557</v>
      </c>
    </row>
    <row r="6124" spans="1:9">
      <c r="A6124" s="2">
        <v>2005</v>
      </c>
      <c r="B6124">
        <v>15</v>
      </c>
      <c r="C6124">
        <v>2.5000000000000001E-4</v>
      </c>
      <c r="D6124">
        <v>2.5000000000000001E-4</v>
      </c>
      <c r="E6124">
        <v>0.5</v>
      </c>
      <c r="F6124">
        <v>98977</v>
      </c>
      <c r="G6124">
        <v>25</v>
      </c>
      <c r="H6124">
        <v>98964</v>
      </c>
      <c r="I6124">
        <v>5374567</v>
      </c>
    </row>
    <row r="6125" spans="1:9">
      <c r="A6125" s="2">
        <v>2005</v>
      </c>
      <c r="B6125">
        <v>16</v>
      </c>
      <c r="C6125">
        <v>3.8000000000000002E-4</v>
      </c>
      <c r="D6125">
        <v>3.8000000000000002E-4</v>
      </c>
      <c r="E6125">
        <v>0.5</v>
      </c>
      <c r="F6125">
        <v>98952</v>
      </c>
      <c r="G6125">
        <v>38</v>
      </c>
      <c r="H6125">
        <v>98933</v>
      </c>
      <c r="I6125">
        <v>5275603</v>
      </c>
    </row>
    <row r="6126" spans="1:9">
      <c r="A6126" s="2">
        <v>2005</v>
      </c>
      <c r="B6126">
        <v>17</v>
      </c>
      <c r="C6126">
        <v>5.8E-4</v>
      </c>
      <c r="D6126">
        <v>5.8E-4</v>
      </c>
      <c r="E6126">
        <v>0.5</v>
      </c>
      <c r="F6126">
        <v>98914</v>
      </c>
      <c r="G6126">
        <v>57</v>
      </c>
      <c r="H6126">
        <v>98885</v>
      </c>
      <c r="I6126">
        <v>5176670</v>
      </c>
    </row>
    <row r="6127" spans="1:9">
      <c r="A6127" s="2">
        <v>2005</v>
      </c>
      <c r="B6127">
        <v>18</v>
      </c>
      <c r="C6127">
        <v>5.2999999999999998E-4</v>
      </c>
      <c r="D6127">
        <v>5.2999999999999998E-4</v>
      </c>
      <c r="E6127">
        <v>0.5</v>
      </c>
      <c r="F6127">
        <v>98857</v>
      </c>
      <c r="G6127">
        <v>52</v>
      </c>
      <c r="H6127">
        <v>98831</v>
      </c>
      <c r="I6127">
        <v>5077785</v>
      </c>
    </row>
    <row r="6128" spans="1:9">
      <c r="A6128" s="2">
        <v>2005</v>
      </c>
      <c r="B6128">
        <v>19</v>
      </c>
      <c r="C6128">
        <v>8.4999999999999995E-4</v>
      </c>
      <c r="D6128">
        <v>8.4000000000000003E-4</v>
      </c>
      <c r="E6128">
        <v>0.5</v>
      </c>
      <c r="F6128">
        <v>98805</v>
      </c>
      <c r="G6128">
        <v>83</v>
      </c>
      <c r="H6128">
        <v>98763</v>
      </c>
      <c r="I6128">
        <v>4978954</v>
      </c>
    </row>
    <row r="6129" spans="1:9">
      <c r="A6129" s="2">
        <v>2005</v>
      </c>
      <c r="B6129">
        <v>20</v>
      </c>
      <c r="C6129">
        <v>7.7999999999999999E-4</v>
      </c>
      <c r="D6129">
        <v>7.7999999999999999E-4</v>
      </c>
      <c r="E6129">
        <v>0.5</v>
      </c>
      <c r="F6129">
        <v>98721</v>
      </c>
      <c r="G6129">
        <v>77</v>
      </c>
      <c r="H6129">
        <v>98683</v>
      </c>
      <c r="I6129">
        <v>4880191</v>
      </c>
    </row>
    <row r="6130" spans="1:9">
      <c r="A6130" s="2">
        <v>2005</v>
      </c>
      <c r="B6130">
        <v>21</v>
      </c>
      <c r="C6130">
        <v>8.1999999999999998E-4</v>
      </c>
      <c r="D6130">
        <v>8.1999999999999998E-4</v>
      </c>
      <c r="E6130">
        <v>0.5</v>
      </c>
      <c r="F6130">
        <v>98644</v>
      </c>
      <c r="G6130">
        <v>81</v>
      </c>
      <c r="H6130">
        <v>98603</v>
      </c>
      <c r="I6130">
        <v>4781508</v>
      </c>
    </row>
    <row r="6131" spans="1:9">
      <c r="A6131" s="2">
        <v>2005</v>
      </c>
      <c r="B6131">
        <v>22</v>
      </c>
      <c r="C6131">
        <v>7.5000000000000002E-4</v>
      </c>
      <c r="D6131">
        <v>7.5000000000000002E-4</v>
      </c>
      <c r="E6131">
        <v>0.5</v>
      </c>
      <c r="F6131">
        <v>98563</v>
      </c>
      <c r="G6131">
        <v>74</v>
      </c>
      <c r="H6131">
        <v>98526</v>
      </c>
      <c r="I6131">
        <v>4682905</v>
      </c>
    </row>
    <row r="6132" spans="1:9">
      <c r="A6132" s="2">
        <v>2005</v>
      </c>
      <c r="B6132">
        <v>23</v>
      </c>
      <c r="C6132">
        <v>7.6000000000000004E-4</v>
      </c>
      <c r="D6132">
        <v>7.6000000000000004E-4</v>
      </c>
      <c r="E6132">
        <v>0.5</v>
      </c>
      <c r="F6132">
        <v>98488</v>
      </c>
      <c r="G6132">
        <v>74</v>
      </c>
      <c r="H6132">
        <v>98451</v>
      </c>
      <c r="I6132">
        <v>4584379</v>
      </c>
    </row>
    <row r="6133" spans="1:9">
      <c r="A6133" s="2">
        <v>2005</v>
      </c>
      <c r="B6133">
        <v>24</v>
      </c>
      <c r="C6133">
        <v>9.2000000000000003E-4</v>
      </c>
      <c r="D6133">
        <v>9.2000000000000003E-4</v>
      </c>
      <c r="E6133">
        <v>0.5</v>
      </c>
      <c r="F6133">
        <v>98414</v>
      </c>
      <c r="G6133">
        <v>91</v>
      </c>
      <c r="H6133">
        <v>98368</v>
      </c>
      <c r="I6133">
        <v>4485928</v>
      </c>
    </row>
    <row r="6134" spans="1:9">
      <c r="A6134" s="2">
        <v>2005</v>
      </c>
      <c r="B6134">
        <v>25</v>
      </c>
      <c r="C6134">
        <v>9.5E-4</v>
      </c>
      <c r="D6134">
        <v>9.5E-4</v>
      </c>
      <c r="E6134">
        <v>0.5</v>
      </c>
      <c r="F6134">
        <v>98323</v>
      </c>
      <c r="G6134">
        <v>93</v>
      </c>
      <c r="H6134">
        <v>98277</v>
      </c>
      <c r="I6134">
        <v>4387559</v>
      </c>
    </row>
    <row r="6135" spans="1:9">
      <c r="A6135" s="2">
        <v>2005</v>
      </c>
      <c r="B6135">
        <v>26</v>
      </c>
      <c r="C6135">
        <v>9.5E-4</v>
      </c>
      <c r="D6135">
        <v>9.5E-4</v>
      </c>
      <c r="E6135">
        <v>0.5</v>
      </c>
      <c r="F6135">
        <v>98230</v>
      </c>
      <c r="G6135">
        <v>94</v>
      </c>
      <c r="H6135">
        <v>98183</v>
      </c>
      <c r="I6135">
        <v>4289283</v>
      </c>
    </row>
    <row r="6136" spans="1:9">
      <c r="A6136" s="2">
        <v>2005</v>
      </c>
      <c r="B6136">
        <v>27</v>
      </c>
      <c r="C6136">
        <v>1.1299999999999999E-3</v>
      </c>
      <c r="D6136">
        <v>1.1299999999999999E-3</v>
      </c>
      <c r="E6136">
        <v>0.5</v>
      </c>
      <c r="F6136">
        <v>98136</v>
      </c>
      <c r="G6136">
        <v>111</v>
      </c>
      <c r="H6136">
        <v>98081</v>
      </c>
      <c r="I6136">
        <v>4191100</v>
      </c>
    </row>
    <row r="6137" spans="1:9">
      <c r="A6137" s="2">
        <v>2005</v>
      </c>
      <c r="B6137">
        <v>28</v>
      </c>
      <c r="C6137">
        <v>1.16E-3</v>
      </c>
      <c r="D6137">
        <v>1.16E-3</v>
      </c>
      <c r="E6137">
        <v>0.5</v>
      </c>
      <c r="F6137">
        <v>98025</v>
      </c>
      <c r="G6137">
        <v>114</v>
      </c>
      <c r="H6137">
        <v>97968</v>
      </c>
      <c r="I6137">
        <v>4093019</v>
      </c>
    </row>
    <row r="6138" spans="1:9">
      <c r="A6138" s="2">
        <v>2005</v>
      </c>
      <c r="B6138">
        <v>29</v>
      </c>
      <c r="C6138">
        <v>1.1900000000000001E-3</v>
      </c>
      <c r="D6138">
        <v>1.1900000000000001E-3</v>
      </c>
      <c r="E6138">
        <v>0.5</v>
      </c>
      <c r="F6138">
        <v>97911</v>
      </c>
      <c r="G6138">
        <v>116</v>
      </c>
      <c r="H6138">
        <v>97853</v>
      </c>
      <c r="I6138">
        <v>3995050</v>
      </c>
    </row>
    <row r="6139" spans="1:9">
      <c r="A6139" s="2">
        <v>2005</v>
      </c>
      <c r="B6139">
        <v>30</v>
      </c>
      <c r="C6139">
        <v>1.1999999999999999E-3</v>
      </c>
      <c r="D6139">
        <v>1.1999999999999999E-3</v>
      </c>
      <c r="E6139">
        <v>0.5</v>
      </c>
      <c r="F6139">
        <v>97795</v>
      </c>
      <c r="G6139">
        <v>117</v>
      </c>
      <c r="H6139">
        <v>97736</v>
      </c>
      <c r="I6139">
        <v>3897197</v>
      </c>
    </row>
    <row r="6140" spans="1:9">
      <c r="A6140" s="2">
        <v>2005</v>
      </c>
      <c r="B6140">
        <v>31</v>
      </c>
      <c r="C6140">
        <v>1.2199999999999999E-3</v>
      </c>
      <c r="D6140">
        <v>1.2199999999999999E-3</v>
      </c>
      <c r="E6140">
        <v>0.5</v>
      </c>
      <c r="F6140">
        <v>97678</v>
      </c>
      <c r="G6140">
        <v>119</v>
      </c>
      <c r="H6140">
        <v>97619</v>
      </c>
      <c r="I6140">
        <v>3799461</v>
      </c>
    </row>
    <row r="6141" spans="1:9">
      <c r="A6141" s="2">
        <v>2005</v>
      </c>
      <c r="B6141">
        <v>32</v>
      </c>
      <c r="C6141">
        <v>1.2600000000000001E-3</v>
      </c>
      <c r="D6141">
        <v>1.2600000000000001E-3</v>
      </c>
      <c r="E6141">
        <v>0.5</v>
      </c>
      <c r="F6141">
        <v>97559</v>
      </c>
      <c r="G6141">
        <v>122</v>
      </c>
      <c r="H6141">
        <v>97498</v>
      </c>
      <c r="I6141">
        <v>3701842</v>
      </c>
    </row>
    <row r="6142" spans="1:9">
      <c r="A6142" s="2">
        <v>2005</v>
      </c>
      <c r="B6142">
        <v>33</v>
      </c>
      <c r="C6142">
        <v>1.5900000000000001E-3</v>
      </c>
      <c r="D6142">
        <v>1.5900000000000001E-3</v>
      </c>
      <c r="E6142">
        <v>0.5</v>
      </c>
      <c r="F6142">
        <v>97437</v>
      </c>
      <c r="G6142">
        <v>155</v>
      </c>
      <c r="H6142">
        <v>97359</v>
      </c>
      <c r="I6142">
        <v>3604344</v>
      </c>
    </row>
    <row r="6143" spans="1:9">
      <c r="A6143" s="2">
        <v>2005</v>
      </c>
      <c r="B6143">
        <v>34</v>
      </c>
      <c r="C6143">
        <v>1.58E-3</v>
      </c>
      <c r="D6143">
        <v>1.58E-3</v>
      </c>
      <c r="E6143">
        <v>0.5</v>
      </c>
      <c r="F6143">
        <v>97282</v>
      </c>
      <c r="G6143">
        <v>153</v>
      </c>
      <c r="H6143">
        <v>97205</v>
      </c>
      <c r="I6143">
        <v>3506985</v>
      </c>
    </row>
    <row r="6144" spans="1:9">
      <c r="A6144" s="2">
        <v>2005</v>
      </c>
      <c r="B6144">
        <v>35</v>
      </c>
      <c r="C6144">
        <v>1.92E-3</v>
      </c>
      <c r="D6144">
        <v>1.92E-3</v>
      </c>
      <c r="E6144">
        <v>0.5</v>
      </c>
      <c r="F6144">
        <v>97129</v>
      </c>
      <c r="G6144">
        <v>186</v>
      </c>
      <c r="H6144">
        <v>97036</v>
      </c>
      <c r="I6144">
        <v>3409780</v>
      </c>
    </row>
    <row r="6145" spans="1:9">
      <c r="A6145" s="2">
        <v>2005</v>
      </c>
      <c r="B6145">
        <v>36</v>
      </c>
      <c r="C6145">
        <v>2.49E-3</v>
      </c>
      <c r="D6145">
        <v>2.48E-3</v>
      </c>
      <c r="E6145">
        <v>0.5</v>
      </c>
      <c r="F6145">
        <v>96942</v>
      </c>
      <c r="G6145">
        <v>241</v>
      </c>
      <c r="H6145">
        <v>96822</v>
      </c>
      <c r="I6145">
        <v>3312744</v>
      </c>
    </row>
    <row r="6146" spans="1:9">
      <c r="A6146" s="2">
        <v>2005</v>
      </c>
      <c r="B6146">
        <v>37</v>
      </c>
      <c r="C6146">
        <v>2.6800000000000001E-3</v>
      </c>
      <c r="D6146">
        <v>2.6800000000000001E-3</v>
      </c>
      <c r="E6146">
        <v>0.5</v>
      </c>
      <c r="F6146">
        <v>96702</v>
      </c>
      <c r="G6146">
        <v>259</v>
      </c>
      <c r="H6146">
        <v>96572</v>
      </c>
      <c r="I6146">
        <v>3215922</v>
      </c>
    </row>
    <row r="6147" spans="1:9">
      <c r="A6147" s="2">
        <v>2005</v>
      </c>
      <c r="B6147">
        <v>38</v>
      </c>
      <c r="C6147">
        <v>2.9399999999999999E-3</v>
      </c>
      <c r="D6147">
        <v>2.9399999999999999E-3</v>
      </c>
      <c r="E6147">
        <v>0.5</v>
      </c>
      <c r="F6147">
        <v>96442</v>
      </c>
      <c r="G6147">
        <v>284</v>
      </c>
      <c r="H6147">
        <v>96301</v>
      </c>
      <c r="I6147">
        <v>3119350</v>
      </c>
    </row>
    <row r="6148" spans="1:9">
      <c r="A6148" s="2">
        <v>2005</v>
      </c>
      <c r="B6148">
        <v>39</v>
      </c>
      <c r="C6148">
        <v>3.6600000000000001E-3</v>
      </c>
      <c r="D6148">
        <v>3.65E-3</v>
      </c>
      <c r="E6148">
        <v>0.5</v>
      </c>
      <c r="F6148">
        <v>96159</v>
      </c>
      <c r="G6148">
        <v>351</v>
      </c>
      <c r="H6148">
        <v>95983</v>
      </c>
      <c r="I6148">
        <v>3023050</v>
      </c>
    </row>
    <row r="6149" spans="1:9">
      <c r="A6149" s="2">
        <v>2005</v>
      </c>
      <c r="B6149">
        <v>40</v>
      </c>
      <c r="C6149">
        <v>4.1200000000000004E-3</v>
      </c>
      <c r="D6149">
        <v>4.1099999999999999E-3</v>
      </c>
      <c r="E6149">
        <v>0.5</v>
      </c>
      <c r="F6149">
        <v>95808</v>
      </c>
      <c r="G6149">
        <v>394</v>
      </c>
      <c r="H6149">
        <v>95611</v>
      </c>
      <c r="I6149">
        <v>2927066</v>
      </c>
    </row>
    <row r="6150" spans="1:9">
      <c r="A6150" s="2">
        <v>2005</v>
      </c>
      <c r="B6150">
        <v>41</v>
      </c>
      <c r="C6150">
        <v>3.9500000000000004E-3</v>
      </c>
      <c r="D6150">
        <v>3.9399999999999999E-3</v>
      </c>
      <c r="E6150">
        <v>0.5</v>
      </c>
      <c r="F6150">
        <v>95414</v>
      </c>
      <c r="G6150">
        <v>376</v>
      </c>
      <c r="H6150">
        <v>95226</v>
      </c>
      <c r="I6150">
        <v>2831456</v>
      </c>
    </row>
    <row r="6151" spans="1:9">
      <c r="A6151" s="2">
        <v>2005</v>
      </c>
      <c r="B6151">
        <v>42</v>
      </c>
      <c r="C6151">
        <v>5.4400000000000004E-3</v>
      </c>
      <c r="D6151">
        <v>5.4299999999999999E-3</v>
      </c>
      <c r="E6151">
        <v>0.5</v>
      </c>
      <c r="F6151">
        <v>95038</v>
      </c>
      <c r="G6151">
        <v>516</v>
      </c>
      <c r="H6151">
        <v>94780</v>
      </c>
      <c r="I6151">
        <v>2736230</v>
      </c>
    </row>
    <row r="6152" spans="1:9">
      <c r="A6152" s="2">
        <v>2005</v>
      </c>
      <c r="B6152">
        <v>43</v>
      </c>
      <c r="C6152">
        <v>7.1399999999999996E-3</v>
      </c>
      <c r="D6152">
        <v>7.11E-3</v>
      </c>
      <c r="E6152">
        <v>0.5</v>
      </c>
      <c r="F6152">
        <v>94522</v>
      </c>
      <c r="G6152">
        <v>672</v>
      </c>
      <c r="H6152">
        <v>94186</v>
      </c>
      <c r="I6152">
        <v>2641450</v>
      </c>
    </row>
    <row r="6153" spans="1:9">
      <c r="A6153" s="2">
        <v>2005</v>
      </c>
      <c r="B6153">
        <v>44</v>
      </c>
      <c r="C6153">
        <v>7.1500000000000001E-3</v>
      </c>
      <c r="D6153">
        <v>7.1300000000000001E-3</v>
      </c>
      <c r="E6153">
        <v>0.5</v>
      </c>
      <c r="F6153">
        <v>93850</v>
      </c>
      <c r="G6153">
        <v>669</v>
      </c>
      <c r="H6153">
        <v>93515</v>
      </c>
      <c r="I6153">
        <v>2547264</v>
      </c>
    </row>
    <row r="6154" spans="1:9">
      <c r="A6154" s="2">
        <v>2005</v>
      </c>
      <c r="B6154">
        <v>45</v>
      </c>
      <c r="C6154">
        <v>8.9099999999999995E-3</v>
      </c>
      <c r="D6154">
        <v>8.8699999999999994E-3</v>
      </c>
      <c r="E6154">
        <v>0.5</v>
      </c>
      <c r="F6154">
        <v>93181</v>
      </c>
      <c r="G6154">
        <v>827</v>
      </c>
      <c r="H6154">
        <v>92767</v>
      </c>
      <c r="I6154">
        <v>2453749</v>
      </c>
    </row>
    <row r="6155" spans="1:9">
      <c r="A6155" s="2">
        <v>2005</v>
      </c>
      <c r="B6155">
        <v>46</v>
      </c>
      <c r="C6155">
        <v>9.9600000000000001E-3</v>
      </c>
      <c r="D6155">
        <v>9.9100000000000004E-3</v>
      </c>
      <c r="E6155">
        <v>0.5</v>
      </c>
      <c r="F6155">
        <v>92354</v>
      </c>
      <c r="G6155">
        <v>916</v>
      </c>
      <c r="H6155">
        <v>91896</v>
      </c>
      <c r="I6155">
        <v>2360981</v>
      </c>
    </row>
    <row r="6156" spans="1:9">
      <c r="A6156" s="2">
        <v>2005</v>
      </c>
      <c r="B6156">
        <v>47</v>
      </c>
      <c r="C6156">
        <v>1.072E-2</v>
      </c>
      <c r="D6156">
        <v>1.0670000000000001E-2</v>
      </c>
      <c r="E6156">
        <v>0.5</v>
      </c>
      <c r="F6156">
        <v>91438</v>
      </c>
      <c r="G6156">
        <v>975</v>
      </c>
      <c r="H6156">
        <v>90951</v>
      </c>
      <c r="I6156">
        <v>2269085</v>
      </c>
    </row>
    <row r="6157" spans="1:9">
      <c r="A6157" s="2">
        <v>2005</v>
      </c>
      <c r="B6157">
        <v>48</v>
      </c>
      <c r="C6157">
        <v>1.174E-2</v>
      </c>
      <c r="D6157">
        <v>1.167E-2</v>
      </c>
      <c r="E6157">
        <v>0.5</v>
      </c>
      <c r="F6157">
        <v>90463</v>
      </c>
      <c r="G6157">
        <v>1056</v>
      </c>
      <c r="H6157">
        <v>89935</v>
      </c>
      <c r="I6157">
        <v>2178135</v>
      </c>
    </row>
    <row r="6158" spans="1:9">
      <c r="A6158" s="2">
        <v>2005</v>
      </c>
      <c r="B6158">
        <v>49</v>
      </c>
      <c r="C6158">
        <v>1.1979999999999999E-2</v>
      </c>
      <c r="D6158">
        <v>1.191E-2</v>
      </c>
      <c r="E6158">
        <v>0.5</v>
      </c>
      <c r="F6158">
        <v>89407</v>
      </c>
      <c r="G6158">
        <v>1064</v>
      </c>
      <c r="H6158">
        <v>88875</v>
      </c>
      <c r="I6158">
        <v>2088200</v>
      </c>
    </row>
    <row r="6159" spans="1:9">
      <c r="A6159" s="2">
        <v>2005</v>
      </c>
      <c r="B6159">
        <v>50</v>
      </c>
      <c r="C6159">
        <v>1.376E-2</v>
      </c>
      <c r="D6159">
        <v>1.367E-2</v>
      </c>
      <c r="E6159">
        <v>0.5</v>
      </c>
      <c r="F6159">
        <v>88342</v>
      </c>
      <c r="G6159">
        <v>1208</v>
      </c>
      <c r="H6159">
        <v>87739</v>
      </c>
      <c r="I6159">
        <v>1999325</v>
      </c>
    </row>
    <row r="6160" spans="1:9">
      <c r="A6160" s="2">
        <v>2005</v>
      </c>
      <c r="B6160">
        <v>51</v>
      </c>
      <c r="C6160">
        <v>1.409E-2</v>
      </c>
      <c r="D6160">
        <v>1.3990000000000001E-2</v>
      </c>
      <c r="E6160">
        <v>0.5</v>
      </c>
      <c r="F6160">
        <v>87135</v>
      </c>
      <c r="G6160">
        <v>1219</v>
      </c>
      <c r="H6160">
        <v>86525</v>
      </c>
      <c r="I6160">
        <v>1911586</v>
      </c>
    </row>
    <row r="6161" spans="1:9">
      <c r="A6161" s="2">
        <v>2005</v>
      </c>
      <c r="B6161">
        <v>52</v>
      </c>
      <c r="C6161">
        <v>1.5440000000000001E-2</v>
      </c>
      <c r="D6161">
        <v>1.533E-2</v>
      </c>
      <c r="E6161">
        <v>0.5</v>
      </c>
      <c r="F6161">
        <v>85916</v>
      </c>
      <c r="G6161">
        <v>1317</v>
      </c>
      <c r="H6161">
        <v>85257</v>
      </c>
      <c r="I6161">
        <v>1825061</v>
      </c>
    </row>
    <row r="6162" spans="1:9">
      <c r="A6162" s="2">
        <v>2005</v>
      </c>
      <c r="B6162">
        <v>53</v>
      </c>
      <c r="C6162">
        <v>1.7600000000000001E-2</v>
      </c>
      <c r="D6162">
        <v>1.745E-2</v>
      </c>
      <c r="E6162">
        <v>0.5</v>
      </c>
      <c r="F6162">
        <v>84599</v>
      </c>
      <c r="G6162">
        <v>1476</v>
      </c>
      <c r="H6162">
        <v>83861</v>
      </c>
      <c r="I6162">
        <v>1739804</v>
      </c>
    </row>
    <row r="6163" spans="1:9">
      <c r="A6163" s="2">
        <v>2005</v>
      </c>
      <c r="B6163">
        <v>54</v>
      </c>
      <c r="C6163">
        <v>1.7090000000000001E-2</v>
      </c>
      <c r="D6163">
        <v>1.694E-2</v>
      </c>
      <c r="E6163">
        <v>0.5</v>
      </c>
      <c r="F6163">
        <v>83123</v>
      </c>
      <c r="G6163">
        <v>1408</v>
      </c>
      <c r="H6163">
        <v>82419</v>
      </c>
      <c r="I6163">
        <v>1655943</v>
      </c>
    </row>
    <row r="6164" spans="1:9">
      <c r="A6164" s="2">
        <v>2005</v>
      </c>
      <c r="B6164">
        <v>55</v>
      </c>
      <c r="C6164">
        <v>1.864E-2</v>
      </c>
      <c r="D6164">
        <v>1.847E-2</v>
      </c>
      <c r="E6164">
        <v>0.5</v>
      </c>
      <c r="F6164">
        <v>81715</v>
      </c>
      <c r="G6164">
        <v>1509</v>
      </c>
      <c r="H6164">
        <v>80960</v>
      </c>
      <c r="I6164">
        <v>1573524</v>
      </c>
    </row>
    <row r="6165" spans="1:9">
      <c r="A6165" s="2">
        <v>2005</v>
      </c>
      <c r="B6165">
        <v>56</v>
      </c>
      <c r="C6165">
        <v>1.9189999999999999E-2</v>
      </c>
      <c r="D6165">
        <v>1.9009999999999999E-2</v>
      </c>
      <c r="E6165">
        <v>0.5</v>
      </c>
      <c r="F6165">
        <v>80206</v>
      </c>
      <c r="G6165">
        <v>1524</v>
      </c>
      <c r="H6165">
        <v>79443</v>
      </c>
      <c r="I6165">
        <v>1492564</v>
      </c>
    </row>
    <row r="6166" spans="1:9">
      <c r="A6166" s="2">
        <v>2005</v>
      </c>
      <c r="B6166">
        <v>57</v>
      </c>
      <c r="C6166">
        <v>2.1479999999999999E-2</v>
      </c>
      <c r="D6166">
        <v>2.1250000000000002E-2</v>
      </c>
      <c r="E6166">
        <v>0.5</v>
      </c>
      <c r="F6166">
        <v>78681</v>
      </c>
      <c r="G6166">
        <v>1672</v>
      </c>
      <c r="H6166">
        <v>77845</v>
      </c>
      <c r="I6166">
        <v>1413121</v>
      </c>
    </row>
    <row r="6167" spans="1:9">
      <c r="A6167" s="2">
        <v>2005</v>
      </c>
      <c r="B6167">
        <v>58</v>
      </c>
      <c r="C6167">
        <v>2.2579999999999999E-2</v>
      </c>
      <c r="D6167">
        <v>2.2329999999999999E-2</v>
      </c>
      <c r="E6167">
        <v>0.5</v>
      </c>
      <c r="F6167">
        <v>77009</v>
      </c>
      <c r="G6167">
        <v>1719</v>
      </c>
      <c r="H6167">
        <v>76149</v>
      </c>
      <c r="I6167">
        <v>1335276</v>
      </c>
    </row>
    <row r="6168" spans="1:9">
      <c r="A6168" s="2">
        <v>2005</v>
      </c>
      <c r="B6168">
        <v>59</v>
      </c>
      <c r="C6168">
        <v>2.2620000000000001E-2</v>
      </c>
      <c r="D6168">
        <v>2.2370000000000001E-2</v>
      </c>
      <c r="E6168">
        <v>0.5</v>
      </c>
      <c r="F6168">
        <v>75289</v>
      </c>
      <c r="G6168">
        <v>1684</v>
      </c>
      <c r="H6168">
        <v>74447</v>
      </c>
      <c r="I6168">
        <v>1259127</v>
      </c>
    </row>
    <row r="6169" spans="1:9">
      <c r="A6169" s="2">
        <v>2005</v>
      </c>
      <c r="B6169">
        <v>60</v>
      </c>
      <c r="C6169">
        <v>2.4899999999999999E-2</v>
      </c>
      <c r="D6169">
        <v>2.4590000000000001E-2</v>
      </c>
      <c r="E6169">
        <v>0.5</v>
      </c>
      <c r="F6169">
        <v>73605</v>
      </c>
      <c r="G6169">
        <v>1810</v>
      </c>
      <c r="H6169">
        <v>72700</v>
      </c>
      <c r="I6169">
        <v>1184679</v>
      </c>
    </row>
    <row r="6170" spans="1:9">
      <c r="A6170" s="2">
        <v>2005</v>
      </c>
      <c r="B6170">
        <v>61</v>
      </c>
      <c r="C6170">
        <v>2.7890000000000002E-2</v>
      </c>
      <c r="D6170">
        <v>2.75E-2</v>
      </c>
      <c r="E6170">
        <v>0.5</v>
      </c>
      <c r="F6170">
        <v>71795</v>
      </c>
      <c r="G6170">
        <v>1975</v>
      </c>
      <c r="H6170">
        <v>70808</v>
      </c>
      <c r="I6170">
        <v>1111979</v>
      </c>
    </row>
    <row r="6171" spans="1:9">
      <c r="A6171" s="2">
        <v>2005</v>
      </c>
      <c r="B6171">
        <v>62</v>
      </c>
      <c r="C6171">
        <v>2.8459999999999999E-2</v>
      </c>
      <c r="D6171">
        <v>2.8060000000000002E-2</v>
      </c>
      <c r="E6171">
        <v>0.5</v>
      </c>
      <c r="F6171">
        <v>69821</v>
      </c>
      <c r="G6171">
        <v>1959</v>
      </c>
      <c r="H6171">
        <v>68841</v>
      </c>
      <c r="I6171">
        <v>1041171</v>
      </c>
    </row>
    <row r="6172" spans="1:9">
      <c r="A6172" s="2">
        <v>2005</v>
      </c>
      <c r="B6172">
        <v>63</v>
      </c>
      <c r="C6172">
        <v>2.9600000000000001E-2</v>
      </c>
      <c r="D6172">
        <v>2.9170000000000001E-2</v>
      </c>
      <c r="E6172">
        <v>0.5</v>
      </c>
      <c r="F6172">
        <v>67862</v>
      </c>
      <c r="G6172">
        <v>1980</v>
      </c>
      <c r="H6172">
        <v>66872</v>
      </c>
      <c r="I6172">
        <v>972330</v>
      </c>
    </row>
    <row r="6173" spans="1:9">
      <c r="A6173" s="2">
        <v>2005</v>
      </c>
      <c r="B6173">
        <v>64</v>
      </c>
      <c r="C6173">
        <v>3.2259999999999997E-2</v>
      </c>
      <c r="D6173">
        <v>3.175E-2</v>
      </c>
      <c r="E6173">
        <v>0.5</v>
      </c>
      <c r="F6173">
        <v>65882</v>
      </c>
      <c r="G6173">
        <v>2092</v>
      </c>
      <c r="H6173">
        <v>64836</v>
      </c>
      <c r="I6173">
        <v>905458</v>
      </c>
    </row>
    <row r="6174" spans="1:9">
      <c r="A6174" s="2">
        <v>2005</v>
      </c>
      <c r="B6174">
        <v>65</v>
      </c>
      <c r="C6174">
        <v>3.5630000000000002E-2</v>
      </c>
      <c r="D6174">
        <v>3.5009999999999999E-2</v>
      </c>
      <c r="E6174">
        <v>0.5</v>
      </c>
      <c r="F6174">
        <v>63791</v>
      </c>
      <c r="G6174">
        <v>2233</v>
      </c>
      <c r="H6174">
        <v>62674</v>
      </c>
      <c r="I6174">
        <v>840622</v>
      </c>
    </row>
    <row r="6175" spans="1:9">
      <c r="A6175" s="2">
        <v>2005</v>
      </c>
      <c r="B6175">
        <v>66</v>
      </c>
      <c r="C6175">
        <v>3.542E-2</v>
      </c>
      <c r="D6175">
        <v>3.4799999999999998E-2</v>
      </c>
      <c r="E6175">
        <v>0.5</v>
      </c>
      <c r="F6175">
        <v>61557</v>
      </c>
      <c r="G6175">
        <v>2142</v>
      </c>
      <c r="H6175">
        <v>60486</v>
      </c>
      <c r="I6175">
        <v>777948</v>
      </c>
    </row>
    <row r="6176" spans="1:9">
      <c r="A6176" s="2">
        <v>2005</v>
      </c>
      <c r="B6176">
        <v>67</v>
      </c>
      <c r="C6176">
        <v>4.0289999999999999E-2</v>
      </c>
      <c r="D6176">
        <v>3.95E-2</v>
      </c>
      <c r="E6176">
        <v>0.5</v>
      </c>
      <c r="F6176">
        <v>59415</v>
      </c>
      <c r="G6176">
        <v>2347</v>
      </c>
      <c r="H6176">
        <v>58242</v>
      </c>
      <c r="I6176">
        <v>717462</v>
      </c>
    </row>
    <row r="6177" spans="1:9">
      <c r="A6177" s="2">
        <v>2005</v>
      </c>
      <c r="B6177">
        <v>68</v>
      </c>
      <c r="C6177">
        <v>4.095E-2</v>
      </c>
      <c r="D6177">
        <v>4.0129999999999999E-2</v>
      </c>
      <c r="E6177">
        <v>0.5</v>
      </c>
      <c r="F6177">
        <v>57068</v>
      </c>
      <c r="G6177">
        <v>2290</v>
      </c>
      <c r="H6177">
        <v>55923</v>
      </c>
      <c r="I6177">
        <v>659220</v>
      </c>
    </row>
    <row r="6178" spans="1:9">
      <c r="A6178" s="2">
        <v>2005</v>
      </c>
      <c r="B6178">
        <v>69</v>
      </c>
      <c r="C6178">
        <v>4.4909999999999999E-2</v>
      </c>
      <c r="D6178">
        <v>4.3920000000000001E-2</v>
      </c>
      <c r="E6178">
        <v>0.5</v>
      </c>
      <c r="F6178">
        <v>54778</v>
      </c>
      <c r="G6178">
        <v>2406</v>
      </c>
      <c r="H6178">
        <v>53575</v>
      </c>
      <c r="I6178">
        <v>603296</v>
      </c>
    </row>
    <row r="6179" spans="1:9">
      <c r="A6179" s="2">
        <v>2005</v>
      </c>
      <c r="B6179">
        <v>70</v>
      </c>
      <c r="C6179">
        <v>4.8829999999999998E-2</v>
      </c>
      <c r="D6179">
        <v>4.7669999999999997E-2</v>
      </c>
      <c r="E6179">
        <v>0.5</v>
      </c>
      <c r="F6179">
        <v>52372</v>
      </c>
      <c r="G6179">
        <v>2497</v>
      </c>
      <c r="H6179">
        <v>51124</v>
      </c>
      <c r="I6179">
        <v>549721</v>
      </c>
    </row>
    <row r="6180" spans="1:9">
      <c r="A6180" s="2">
        <v>2005</v>
      </c>
      <c r="B6180">
        <v>71</v>
      </c>
      <c r="C6180">
        <v>5.3339999999999999E-2</v>
      </c>
      <c r="D6180">
        <v>5.1950000000000003E-2</v>
      </c>
      <c r="E6180">
        <v>0.5</v>
      </c>
      <c r="F6180">
        <v>49876</v>
      </c>
      <c r="G6180">
        <v>2591</v>
      </c>
      <c r="H6180">
        <v>48580</v>
      </c>
      <c r="I6180">
        <v>498597</v>
      </c>
    </row>
    <row r="6181" spans="1:9">
      <c r="A6181" s="2">
        <v>2005</v>
      </c>
      <c r="B6181">
        <v>72</v>
      </c>
      <c r="C6181">
        <v>5.688E-2</v>
      </c>
      <c r="D6181">
        <v>5.5309999999999998E-2</v>
      </c>
      <c r="E6181">
        <v>0.5</v>
      </c>
      <c r="F6181">
        <v>47284</v>
      </c>
      <c r="G6181">
        <v>2615</v>
      </c>
      <c r="H6181">
        <v>45977</v>
      </c>
      <c r="I6181">
        <v>450017</v>
      </c>
    </row>
    <row r="6182" spans="1:9">
      <c r="A6182" s="2">
        <v>2005</v>
      </c>
      <c r="B6182">
        <v>73</v>
      </c>
      <c r="C6182">
        <v>5.8590000000000003E-2</v>
      </c>
      <c r="D6182">
        <v>5.6919999999999998E-2</v>
      </c>
      <c r="E6182">
        <v>0.5</v>
      </c>
      <c r="F6182">
        <v>44669</v>
      </c>
      <c r="G6182">
        <v>2543</v>
      </c>
      <c r="H6182">
        <v>43398</v>
      </c>
      <c r="I6182">
        <v>404040</v>
      </c>
    </row>
    <row r="6183" spans="1:9">
      <c r="A6183" s="2">
        <v>2005</v>
      </c>
      <c r="B6183">
        <v>74</v>
      </c>
      <c r="C6183">
        <v>6.2969999999999998E-2</v>
      </c>
      <c r="D6183">
        <v>6.105E-2</v>
      </c>
      <c r="E6183">
        <v>0.5</v>
      </c>
      <c r="F6183">
        <v>42127</v>
      </c>
      <c r="G6183">
        <v>2572</v>
      </c>
      <c r="H6183">
        <v>40841</v>
      </c>
      <c r="I6183">
        <v>360642</v>
      </c>
    </row>
    <row r="6184" spans="1:9">
      <c r="A6184" s="2">
        <v>2005</v>
      </c>
      <c r="B6184">
        <v>75</v>
      </c>
      <c r="C6184">
        <v>6.8199999999999997E-2</v>
      </c>
      <c r="D6184">
        <v>6.5949999999999995E-2</v>
      </c>
      <c r="E6184">
        <v>0.5</v>
      </c>
      <c r="F6184">
        <v>39555</v>
      </c>
      <c r="G6184">
        <v>2609</v>
      </c>
      <c r="H6184">
        <v>38251</v>
      </c>
      <c r="I6184">
        <v>319802</v>
      </c>
    </row>
    <row r="6185" spans="1:9">
      <c r="A6185" s="2">
        <v>2005</v>
      </c>
      <c r="B6185">
        <v>76</v>
      </c>
      <c r="C6185">
        <v>7.7799999999999994E-2</v>
      </c>
      <c r="D6185">
        <v>7.4889999999999998E-2</v>
      </c>
      <c r="E6185">
        <v>0.5</v>
      </c>
      <c r="F6185">
        <v>36946</v>
      </c>
      <c r="G6185">
        <v>2767</v>
      </c>
      <c r="H6185">
        <v>35563</v>
      </c>
      <c r="I6185">
        <v>281551</v>
      </c>
    </row>
    <row r="6186" spans="1:9">
      <c r="A6186" s="2">
        <v>2005</v>
      </c>
      <c r="B6186">
        <v>77</v>
      </c>
      <c r="C6186">
        <v>8.702E-2</v>
      </c>
      <c r="D6186">
        <v>8.3390000000000006E-2</v>
      </c>
      <c r="E6186">
        <v>0.5</v>
      </c>
      <c r="F6186">
        <v>34179</v>
      </c>
      <c r="G6186">
        <v>2850</v>
      </c>
      <c r="H6186">
        <v>32754</v>
      </c>
      <c r="I6186">
        <v>245988</v>
      </c>
    </row>
    <row r="6187" spans="1:9">
      <c r="A6187" s="2">
        <v>2005</v>
      </c>
      <c r="B6187">
        <v>78</v>
      </c>
      <c r="C6187">
        <v>9.0160000000000004E-2</v>
      </c>
      <c r="D6187">
        <v>8.6269999999999999E-2</v>
      </c>
      <c r="E6187">
        <v>0.5</v>
      </c>
      <c r="F6187">
        <v>31329</v>
      </c>
      <c r="G6187">
        <v>2703</v>
      </c>
      <c r="H6187">
        <v>29978</v>
      </c>
      <c r="I6187">
        <v>213234</v>
      </c>
    </row>
    <row r="6188" spans="1:9">
      <c r="A6188" s="2">
        <v>2005</v>
      </c>
      <c r="B6188">
        <v>79</v>
      </c>
      <c r="C6188">
        <v>0.10041</v>
      </c>
      <c r="D6188">
        <v>9.5610000000000001E-2</v>
      </c>
      <c r="E6188">
        <v>0.5</v>
      </c>
      <c r="F6188">
        <v>28626</v>
      </c>
      <c r="G6188">
        <v>2737</v>
      </c>
      <c r="H6188">
        <v>27258</v>
      </c>
      <c r="I6188">
        <v>183256</v>
      </c>
    </row>
    <row r="6189" spans="1:9">
      <c r="A6189" s="2">
        <v>2005</v>
      </c>
      <c r="B6189">
        <v>80</v>
      </c>
      <c r="C6189">
        <v>0.11065999999999999</v>
      </c>
      <c r="D6189">
        <v>0.10485999999999999</v>
      </c>
      <c r="E6189">
        <v>0.5</v>
      </c>
      <c r="F6189">
        <v>25889</v>
      </c>
      <c r="G6189">
        <v>2715</v>
      </c>
      <c r="H6189">
        <v>24532</v>
      </c>
      <c r="I6189">
        <v>155998</v>
      </c>
    </row>
    <row r="6190" spans="1:9">
      <c r="A6190" s="2">
        <v>2005</v>
      </c>
      <c r="B6190">
        <v>81</v>
      </c>
      <c r="C6190">
        <v>0.12166</v>
      </c>
      <c r="D6190">
        <v>0.11468</v>
      </c>
      <c r="E6190">
        <v>0.5</v>
      </c>
      <c r="F6190">
        <v>23174</v>
      </c>
      <c r="G6190">
        <v>2658</v>
      </c>
      <c r="H6190">
        <v>21846</v>
      </c>
      <c r="I6190">
        <v>131467</v>
      </c>
    </row>
    <row r="6191" spans="1:9">
      <c r="A6191" s="2">
        <v>2005</v>
      </c>
      <c r="B6191">
        <v>82</v>
      </c>
      <c r="C6191">
        <v>0.12872</v>
      </c>
      <c r="D6191">
        <v>0.12093</v>
      </c>
      <c r="E6191">
        <v>0.5</v>
      </c>
      <c r="F6191">
        <v>20517</v>
      </c>
      <c r="G6191">
        <v>2481</v>
      </c>
      <c r="H6191">
        <v>19276</v>
      </c>
      <c r="I6191">
        <v>109621</v>
      </c>
    </row>
    <row r="6192" spans="1:9">
      <c r="A6192" s="2">
        <v>2005</v>
      </c>
      <c r="B6192">
        <v>83</v>
      </c>
      <c r="C6192">
        <v>0.14727000000000001</v>
      </c>
      <c r="D6192">
        <v>0.13716999999999999</v>
      </c>
      <c r="E6192">
        <v>0.5</v>
      </c>
      <c r="F6192">
        <v>18036</v>
      </c>
      <c r="G6192">
        <v>2474</v>
      </c>
      <c r="H6192">
        <v>16799</v>
      </c>
      <c r="I6192">
        <v>90345</v>
      </c>
    </row>
    <row r="6193" spans="1:9">
      <c r="A6193" s="2">
        <v>2005</v>
      </c>
      <c r="B6193">
        <v>84</v>
      </c>
      <c r="C6193">
        <v>0.15825</v>
      </c>
      <c r="D6193">
        <v>0.14665</v>
      </c>
      <c r="E6193">
        <v>0.5</v>
      </c>
      <c r="F6193">
        <v>15562</v>
      </c>
      <c r="G6193">
        <v>2282</v>
      </c>
      <c r="H6193">
        <v>14421</v>
      </c>
      <c r="I6193">
        <v>73546</v>
      </c>
    </row>
    <row r="6194" spans="1:9">
      <c r="A6194" s="2">
        <v>2005</v>
      </c>
      <c r="B6194">
        <v>85</v>
      </c>
      <c r="C6194">
        <v>0.18815000000000001</v>
      </c>
      <c r="D6194">
        <v>0.17197999999999999</v>
      </c>
      <c r="E6194">
        <v>0.5</v>
      </c>
      <c r="F6194">
        <v>13280</v>
      </c>
      <c r="G6194">
        <v>2284</v>
      </c>
      <c r="H6194">
        <v>12138</v>
      </c>
      <c r="I6194">
        <v>59125</v>
      </c>
    </row>
    <row r="6195" spans="1:9">
      <c r="A6195" s="2">
        <v>2005</v>
      </c>
      <c r="B6195">
        <v>86</v>
      </c>
      <c r="C6195">
        <v>0.16078000000000001</v>
      </c>
      <c r="D6195">
        <v>0.14881</v>
      </c>
      <c r="E6195">
        <v>0.5</v>
      </c>
      <c r="F6195">
        <v>10996</v>
      </c>
      <c r="G6195">
        <v>1636</v>
      </c>
      <c r="H6195">
        <v>10178</v>
      </c>
      <c r="I6195">
        <v>46988</v>
      </c>
    </row>
    <row r="6196" spans="1:9">
      <c r="A6196" s="2">
        <v>2005</v>
      </c>
      <c r="B6196">
        <v>87</v>
      </c>
      <c r="C6196">
        <v>0.19211</v>
      </c>
      <c r="D6196">
        <v>0.17527000000000001</v>
      </c>
      <c r="E6196">
        <v>0.5</v>
      </c>
      <c r="F6196">
        <v>9359</v>
      </c>
      <c r="G6196">
        <v>1640</v>
      </c>
      <c r="H6196">
        <v>8539</v>
      </c>
      <c r="I6196">
        <v>36810</v>
      </c>
    </row>
    <row r="6197" spans="1:9">
      <c r="A6197" s="2">
        <v>2005</v>
      </c>
      <c r="B6197">
        <v>88</v>
      </c>
      <c r="C6197">
        <v>0.22120999999999999</v>
      </c>
      <c r="D6197">
        <v>0.19918</v>
      </c>
      <c r="E6197">
        <v>0.5</v>
      </c>
      <c r="F6197">
        <v>7719</v>
      </c>
      <c r="G6197">
        <v>1537</v>
      </c>
      <c r="H6197">
        <v>6950</v>
      </c>
      <c r="I6197">
        <v>28271</v>
      </c>
    </row>
    <row r="6198" spans="1:9">
      <c r="A6198" s="2">
        <v>2005</v>
      </c>
      <c r="B6198">
        <v>89</v>
      </c>
      <c r="C6198">
        <v>0.22042999999999999</v>
      </c>
      <c r="D6198">
        <v>0.19855</v>
      </c>
      <c r="E6198">
        <v>0.5</v>
      </c>
      <c r="F6198">
        <v>6182</v>
      </c>
      <c r="G6198">
        <v>1227</v>
      </c>
      <c r="H6198">
        <v>5568</v>
      </c>
      <c r="I6198">
        <v>21321</v>
      </c>
    </row>
    <row r="6199" spans="1:9">
      <c r="A6199" s="2">
        <v>2005</v>
      </c>
      <c r="B6199">
        <v>90</v>
      </c>
      <c r="C6199">
        <v>0.27595999999999998</v>
      </c>
      <c r="D6199">
        <v>0.24249999999999999</v>
      </c>
      <c r="E6199">
        <v>0.5</v>
      </c>
      <c r="F6199">
        <v>4954</v>
      </c>
      <c r="G6199">
        <v>1201</v>
      </c>
      <c r="H6199">
        <v>4354</v>
      </c>
      <c r="I6199">
        <v>15753</v>
      </c>
    </row>
    <row r="6200" spans="1:9">
      <c r="A6200" s="2">
        <v>2005</v>
      </c>
      <c r="B6200">
        <v>91</v>
      </c>
      <c r="C6200">
        <v>0.27864</v>
      </c>
      <c r="D6200">
        <v>0.24457000000000001</v>
      </c>
      <c r="E6200">
        <v>0.5</v>
      </c>
      <c r="F6200">
        <v>3753</v>
      </c>
      <c r="G6200">
        <v>918</v>
      </c>
      <c r="H6200">
        <v>3294</v>
      </c>
      <c r="I6200">
        <v>11399</v>
      </c>
    </row>
    <row r="6201" spans="1:9">
      <c r="A6201" s="2">
        <v>2005</v>
      </c>
      <c r="B6201">
        <v>92</v>
      </c>
      <c r="C6201">
        <v>0.31435999999999997</v>
      </c>
      <c r="D6201">
        <v>0.27166000000000001</v>
      </c>
      <c r="E6201">
        <v>0.5</v>
      </c>
      <c r="F6201">
        <v>2835</v>
      </c>
      <c r="G6201">
        <v>770</v>
      </c>
      <c r="H6201">
        <v>2450</v>
      </c>
      <c r="I6201">
        <v>8105</v>
      </c>
    </row>
    <row r="6202" spans="1:9">
      <c r="A6202" s="2">
        <v>2005</v>
      </c>
      <c r="B6202">
        <v>93</v>
      </c>
      <c r="C6202">
        <v>0.32102999999999998</v>
      </c>
      <c r="D6202">
        <v>0.27662999999999999</v>
      </c>
      <c r="E6202">
        <v>0.5</v>
      </c>
      <c r="F6202">
        <v>2065</v>
      </c>
      <c r="G6202">
        <v>571</v>
      </c>
      <c r="H6202">
        <v>1779</v>
      </c>
      <c r="I6202">
        <v>5655</v>
      </c>
    </row>
    <row r="6203" spans="1:9">
      <c r="A6203" s="2">
        <v>2005</v>
      </c>
      <c r="B6203">
        <v>94</v>
      </c>
      <c r="C6203">
        <v>0.32297999999999999</v>
      </c>
      <c r="D6203">
        <v>0.27807999999999999</v>
      </c>
      <c r="E6203">
        <v>0.5</v>
      </c>
      <c r="F6203">
        <v>1494</v>
      </c>
      <c r="G6203">
        <v>415</v>
      </c>
      <c r="H6203">
        <v>1286</v>
      </c>
      <c r="I6203">
        <v>3876</v>
      </c>
    </row>
    <row r="6204" spans="1:9">
      <c r="A6204" s="2">
        <v>2005</v>
      </c>
      <c r="B6204">
        <v>95</v>
      </c>
      <c r="C6204">
        <v>0.37378</v>
      </c>
      <c r="D6204">
        <v>0.31492999999999999</v>
      </c>
      <c r="E6204">
        <v>0.5</v>
      </c>
      <c r="F6204">
        <v>1078</v>
      </c>
      <c r="G6204">
        <v>340</v>
      </c>
      <c r="H6204">
        <v>909</v>
      </c>
      <c r="I6204">
        <v>2590</v>
      </c>
    </row>
    <row r="6205" spans="1:9">
      <c r="A6205" s="2">
        <v>2005</v>
      </c>
      <c r="B6205">
        <v>96</v>
      </c>
      <c r="C6205">
        <v>0.39872000000000002</v>
      </c>
      <c r="D6205">
        <v>0.33245000000000002</v>
      </c>
      <c r="E6205">
        <v>0.5</v>
      </c>
      <c r="F6205">
        <v>739</v>
      </c>
      <c r="G6205">
        <v>246</v>
      </c>
      <c r="H6205">
        <v>616</v>
      </c>
      <c r="I6205">
        <v>1681</v>
      </c>
    </row>
    <row r="6206" spans="1:9">
      <c r="A6206" s="2">
        <v>2005</v>
      </c>
      <c r="B6206">
        <v>97</v>
      </c>
      <c r="C6206">
        <v>0.42420000000000002</v>
      </c>
      <c r="D6206">
        <v>0.34997</v>
      </c>
      <c r="E6206">
        <v>0.5</v>
      </c>
      <c r="F6206">
        <v>493</v>
      </c>
      <c r="G6206">
        <v>173</v>
      </c>
      <c r="H6206">
        <v>407</v>
      </c>
      <c r="I6206">
        <v>1066</v>
      </c>
    </row>
    <row r="6207" spans="1:9">
      <c r="A6207" s="2">
        <v>2005</v>
      </c>
      <c r="B6207">
        <v>98</v>
      </c>
      <c r="C6207">
        <v>0.45008999999999999</v>
      </c>
      <c r="D6207">
        <v>0.36741000000000001</v>
      </c>
      <c r="E6207">
        <v>0.5</v>
      </c>
      <c r="F6207">
        <v>321</v>
      </c>
      <c r="G6207">
        <v>118</v>
      </c>
      <c r="H6207">
        <v>262</v>
      </c>
      <c r="I6207">
        <v>659</v>
      </c>
    </row>
    <row r="6208" spans="1:9">
      <c r="A6208" s="2">
        <v>2005</v>
      </c>
      <c r="B6208">
        <v>99</v>
      </c>
      <c r="C6208">
        <v>0.47625000000000001</v>
      </c>
      <c r="D6208">
        <v>0.38464999999999999</v>
      </c>
      <c r="E6208">
        <v>0.5</v>
      </c>
      <c r="F6208">
        <v>203</v>
      </c>
      <c r="G6208">
        <v>78</v>
      </c>
      <c r="H6208">
        <v>164</v>
      </c>
      <c r="I6208">
        <v>397</v>
      </c>
    </row>
    <row r="6209" spans="1:9">
      <c r="A6209" s="2">
        <v>2005</v>
      </c>
      <c r="B6209">
        <v>100</v>
      </c>
      <c r="C6209">
        <v>0.50253999999999999</v>
      </c>
      <c r="D6209">
        <v>0.40161999999999998</v>
      </c>
      <c r="E6209">
        <v>0.5</v>
      </c>
      <c r="F6209">
        <v>125</v>
      </c>
      <c r="G6209">
        <v>50</v>
      </c>
      <c r="H6209">
        <v>100</v>
      </c>
      <c r="I6209">
        <v>233</v>
      </c>
    </row>
    <row r="6210" spans="1:9">
      <c r="A6210" s="2">
        <v>2005</v>
      </c>
      <c r="B6210">
        <v>101</v>
      </c>
      <c r="C6210">
        <v>0.52881999999999996</v>
      </c>
      <c r="D6210">
        <v>0.41822999999999999</v>
      </c>
      <c r="E6210">
        <v>0.5</v>
      </c>
      <c r="F6210">
        <v>75</v>
      </c>
      <c r="G6210">
        <v>31</v>
      </c>
      <c r="H6210">
        <v>59</v>
      </c>
      <c r="I6210">
        <v>134</v>
      </c>
    </row>
    <row r="6211" spans="1:9">
      <c r="A6211" s="2">
        <v>2005</v>
      </c>
      <c r="B6211">
        <v>102</v>
      </c>
      <c r="C6211">
        <v>0.55493000000000003</v>
      </c>
      <c r="D6211">
        <v>0.43440000000000001</v>
      </c>
      <c r="E6211">
        <v>0.5</v>
      </c>
      <c r="F6211">
        <v>43</v>
      </c>
      <c r="G6211">
        <v>19</v>
      </c>
      <c r="H6211">
        <v>34</v>
      </c>
      <c r="I6211">
        <v>74</v>
      </c>
    </row>
    <row r="6212" spans="1:9">
      <c r="A6212" s="2">
        <v>2005</v>
      </c>
      <c r="B6212">
        <v>103</v>
      </c>
      <c r="C6212">
        <v>0.58074999999999999</v>
      </c>
      <c r="D6212">
        <v>0.45006000000000002</v>
      </c>
      <c r="E6212">
        <v>0.5</v>
      </c>
      <c r="F6212">
        <v>25</v>
      </c>
      <c r="G6212">
        <v>11</v>
      </c>
      <c r="H6212">
        <v>19</v>
      </c>
      <c r="I6212">
        <v>40</v>
      </c>
    </row>
    <row r="6213" spans="1:9">
      <c r="A6213" s="2">
        <v>2005</v>
      </c>
      <c r="B6213">
        <v>104</v>
      </c>
      <c r="C6213">
        <v>0.60614000000000001</v>
      </c>
      <c r="D6213">
        <v>0.46516000000000002</v>
      </c>
      <c r="E6213">
        <v>0.5</v>
      </c>
      <c r="F6213">
        <v>14</v>
      </c>
      <c r="G6213">
        <v>6</v>
      </c>
      <c r="H6213">
        <v>10</v>
      </c>
      <c r="I6213">
        <v>21</v>
      </c>
    </row>
    <row r="6214" spans="1:9">
      <c r="A6214" s="2">
        <v>2005</v>
      </c>
      <c r="B6214">
        <v>105</v>
      </c>
      <c r="C6214">
        <v>0.63095999999999997</v>
      </c>
      <c r="D6214">
        <v>0.47964000000000001</v>
      </c>
      <c r="E6214">
        <v>0.5</v>
      </c>
      <c r="F6214">
        <v>7</v>
      </c>
      <c r="G6214">
        <v>3</v>
      </c>
      <c r="H6214">
        <v>5</v>
      </c>
      <c r="I6214">
        <v>11</v>
      </c>
    </row>
    <row r="6215" spans="1:9">
      <c r="A6215" s="2">
        <v>2005</v>
      </c>
      <c r="B6215">
        <v>106</v>
      </c>
      <c r="C6215">
        <v>0.65510999999999997</v>
      </c>
      <c r="D6215">
        <v>0.49347000000000002</v>
      </c>
      <c r="E6215">
        <v>0.5</v>
      </c>
      <c r="F6215">
        <v>4</v>
      </c>
      <c r="G6215">
        <v>2</v>
      </c>
      <c r="H6215">
        <v>3</v>
      </c>
      <c r="I6215">
        <v>6</v>
      </c>
    </row>
    <row r="6216" spans="1:9">
      <c r="A6216" s="2">
        <v>2005</v>
      </c>
      <c r="B6216">
        <v>107</v>
      </c>
      <c r="C6216">
        <v>0.67847999999999997</v>
      </c>
      <c r="D6216">
        <v>0.50661999999999996</v>
      </c>
      <c r="E6216">
        <v>0.5</v>
      </c>
      <c r="F6216">
        <v>2</v>
      </c>
      <c r="G6216">
        <v>1</v>
      </c>
      <c r="H6216">
        <v>1</v>
      </c>
      <c r="I6216">
        <v>3</v>
      </c>
    </row>
    <row r="6217" spans="1:9">
      <c r="A6217" s="2">
        <v>2005</v>
      </c>
      <c r="B6217">
        <v>108</v>
      </c>
      <c r="C6217">
        <v>0.70099</v>
      </c>
      <c r="D6217">
        <v>0.51905999999999997</v>
      </c>
      <c r="E6217">
        <v>0.5</v>
      </c>
      <c r="F6217">
        <v>1</v>
      </c>
      <c r="G6217">
        <v>0</v>
      </c>
      <c r="H6217">
        <v>1</v>
      </c>
      <c r="I6217">
        <v>1</v>
      </c>
    </row>
    <row r="6218" spans="1:9">
      <c r="A6218" s="2">
        <v>2005</v>
      </c>
      <c r="B6218">
        <v>109</v>
      </c>
      <c r="C6218">
        <v>0.72258</v>
      </c>
      <c r="D6218">
        <v>0.53080000000000005</v>
      </c>
      <c r="E6218">
        <v>0.5</v>
      </c>
      <c r="F6218">
        <v>0</v>
      </c>
      <c r="G6218">
        <v>0</v>
      </c>
      <c r="H6218">
        <v>0</v>
      </c>
      <c r="I6218">
        <v>1</v>
      </c>
    </row>
    <row r="6219" spans="1:9">
      <c r="A6219" s="2">
        <v>2005</v>
      </c>
      <c r="B6219" t="s">
        <v>26</v>
      </c>
      <c r="C6219">
        <v>0.74317</v>
      </c>
      <c r="D6219">
        <v>1</v>
      </c>
      <c r="E6219">
        <v>1.35</v>
      </c>
      <c r="F6219">
        <v>0</v>
      </c>
      <c r="G6219">
        <v>0</v>
      </c>
      <c r="H6219">
        <v>0</v>
      </c>
      <c r="I6219">
        <v>0</v>
      </c>
    </row>
    <row r="6220" spans="1:9">
      <c r="A6220" s="2">
        <v>2006</v>
      </c>
      <c r="B6220">
        <v>0</v>
      </c>
      <c r="C6220">
        <v>6.4599999999999996E-3</v>
      </c>
      <c r="D6220">
        <v>6.43E-3</v>
      </c>
      <c r="E6220">
        <v>0.14000000000000001</v>
      </c>
      <c r="F6220">
        <v>100000</v>
      </c>
      <c r="G6220">
        <v>643</v>
      </c>
      <c r="H6220">
        <v>99445</v>
      </c>
      <c r="I6220">
        <v>6907279</v>
      </c>
    </row>
    <row r="6221" spans="1:9">
      <c r="A6221" s="2">
        <v>2006</v>
      </c>
      <c r="B6221">
        <v>1</v>
      </c>
      <c r="C6221">
        <v>5.8E-4</v>
      </c>
      <c r="D6221">
        <v>5.8E-4</v>
      </c>
      <c r="E6221">
        <v>0.5</v>
      </c>
      <c r="F6221">
        <v>99357</v>
      </c>
      <c r="G6221">
        <v>58</v>
      </c>
      <c r="H6221">
        <v>99328</v>
      </c>
      <c r="I6221">
        <v>6807834</v>
      </c>
    </row>
    <row r="6222" spans="1:9">
      <c r="A6222" s="2">
        <v>2006</v>
      </c>
      <c r="B6222">
        <v>2</v>
      </c>
      <c r="C6222">
        <v>2.9E-4</v>
      </c>
      <c r="D6222">
        <v>2.9E-4</v>
      </c>
      <c r="E6222">
        <v>0.5</v>
      </c>
      <c r="F6222">
        <v>99299</v>
      </c>
      <c r="G6222">
        <v>29</v>
      </c>
      <c r="H6222">
        <v>99285</v>
      </c>
      <c r="I6222">
        <v>6708506</v>
      </c>
    </row>
    <row r="6223" spans="1:9">
      <c r="A6223" s="2">
        <v>2006</v>
      </c>
      <c r="B6223">
        <v>3</v>
      </c>
      <c r="C6223">
        <v>2.2000000000000001E-4</v>
      </c>
      <c r="D6223">
        <v>2.2000000000000001E-4</v>
      </c>
      <c r="E6223">
        <v>0.5</v>
      </c>
      <c r="F6223">
        <v>99271</v>
      </c>
      <c r="G6223">
        <v>22</v>
      </c>
      <c r="H6223">
        <v>99260</v>
      </c>
      <c r="I6223">
        <v>6609221</v>
      </c>
    </row>
    <row r="6224" spans="1:9">
      <c r="A6224" s="2">
        <v>2006</v>
      </c>
      <c r="B6224">
        <v>4</v>
      </c>
      <c r="C6224">
        <v>2.5999999999999998E-4</v>
      </c>
      <c r="D6224">
        <v>2.5999999999999998E-4</v>
      </c>
      <c r="E6224">
        <v>0.5</v>
      </c>
      <c r="F6224">
        <v>99248</v>
      </c>
      <c r="G6224">
        <v>26</v>
      </c>
      <c r="H6224">
        <v>99235</v>
      </c>
      <c r="I6224">
        <v>6509961</v>
      </c>
    </row>
    <row r="6225" spans="1:9">
      <c r="A6225" s="2">
        <v>2006</v>
      </c>
      <c r="B6225">
        <v>5</v>
      </c>
      <c r="C6225">
        <v>1.6000000000000001E-4</v>
      </c>
      <c r="D6225">
        <v>1.6000000000000001E-4</v>
      </c>
      <c r="E6225">
        <v>0.5</v>
      </c>
      <c r="F6225">
        <v>99222</v>
      </c>
      <c r="G6225">
        <v>16</v>
      </c>
      <c r="H6225">
        <v>99214</v>
      </c>
      <c r="I6225">
        <v>6410726</v>
      </c>
    </row>
    <row r="6226" spans="1:9">
      <c r="A6226" s="2">
        <v>2006</v>
      </c>
      <c r="B6226">
        <v>6</v>
      </c>
      <c r="C6226">
        <v>1E-4</v>
      </c>
      <c r="D6226">
        <v>1E-4</v>
      </c>
      <c r="E6226">
        <v>0.5</v>
      </c>
      <c r="F6226">
        <v>99207</v>
      </c>
      <c r="G6226">
        <v>10</v>
      </c>
      <c r="H6226">
        <v>99201</v>
      </c>
      <c r="I6226">
        <v>6311511</v>
      </c>
    </row>
    <row r="6227" spans="1:9">
      <c r="A6227" s="2">
        <v>2006</v>
      </c>
      <c r="B6227">
        <v>7</v>
      </c>
      <c r="C6227">
        <v>1.2E-4</v>
      </c>
      <c r="D6227">
        <v>1.2E-4</v>
      </c>
      <c r="E6227">
        <v>0.5</v>
      </c>
      <c r="F6227">
        <v>99196</v>
      </c>
      <c r="G6227">
        <v>12</v>
      </c>
      <c r="H6227">
        <v>99190</v>
      </c>
      <c r="I6227">
        <v>6212310</v>
      </c>
    </row>
    <row r="6228" spans="1:9">
      <c r="A6228" s="2">
        <v>2006</v>
      </c>
      <c r="B6228">
        <v>8</v>
      </c>
      <c r="C6228">
        <v>1.6000000000000001E-4</v>
      </c>
      <c r="D6228">
        <v>1.6000000000000001E-4</v>
      </c>
      <c r="E6228">
        <v>0.5</v>
      </c>
      <c r="F6228">
        <v>99184</v>
      </c>
      <c r="G6228">
        <v>16</v>
      </c>
      <c r="H6228">
        <v>99176</v>
      </c>
      <c r="I6228">
        <v>6113120</v>
      </c>
    </row>
    <row r="6229" spans="1:9">
      <c r="A6229" s="2">
        <v>2006</v>
      </c>
      <c r="B6229">
        <v>9</v>
      </c>
      <c r="C6229">
        <v>1.1E-4</v>
      </c>
      <c r="D6229">
        <v>1.1E-4</v>
      </c>
      <c r="E6229">
        <v>0.5</v>
      </c>
      <c r="F6229">
        <v>99168</v>
      </c>
      <c r="G6229">
        <v>11</v>
      </c>
      <c r="H6229">
        <v>99162</v>
      </c>
      <c r="I6229">
        <v>6013944</v>
      </c>
    </row>
    <row r="6230" spans="1:9">
      <c r="A6230" s="2">
        <v>2006</v>
      </c>
      <c r="B6230">
        <v>10</v>
      </c>
      <c r="C6230">
        <v>1.8000000000000001E-4</v>
      </c>
      <c r="D6230">
        <v>1.8000000000000001E-4</v>
      </c>
      <c r="E6230">
        <v>0.5</v>
      </c>
      <c r="F6230">
        <v>99157</v>
      </c>
      <c r="G6230">
        <v>18</v>
      </c>
      <c r="H6230">
        <v>99148</v>
      </c>
      <c r="I6230">
        <v>5914781</v>
      </c>
    </row>
    <row r="6231" spans="1:9">
      <c r="A6231" s="2">
        <v>2006</v>
      </c>
      <c r="B6231">
        <v>11</v>
      </c>
      <c r="C6231">
        <v>2.1000000000000001E-4</v>
      </c>
      <c r="D6231">
        <v>2.1000000000000001E-4</v>
      </c>
      <c r="E6231">
        <v>0.5</v>
      </c>
      <c r="F6231">
        <v>99139</v>
      </c>
      <c r="G6231">
        <v>21</v>
      </c>
      <c r="H6231">
        <v>99129</v>
      </c>
      <c r="I6231">
        <v>5815633</v>
      </c>
    </row>
    <row r="6232" spans="1:9">
      <c r="A6232" s="2">
        <v>2006</v>
      </c>
      <c r="B6232">
        <v>12</v>
      </c>
      <c r="C6232">
        <v>3.4000000000000002E-4</v>
      </c>
      <c r="D6232">
        <v>3.4000000000000002E-4</v>
      </c>
      <c r="E6232">
        <v>0.5</v>
      </c>
      <c r="F6232">
        <v>99118</v>
      </c>
      <c r="G6232">
        <v>34</v>
      </c>
      <c r="H6232">
        <v>99101</v>
      </c>
      <c r="I6232">
        <v>5716505</v>
      </c>
    </row>
    <row r="6233" spans="1:9">
      <c r="A6233" s="2">
        <v>2006</v>
      </c>
      <c r="B6233">
        <v>13</v>
      </c>
      <c r="C6233">
        <v>2.7E-4</v>
      </c>
      <c r="D6233">
        <v>2.7E-4</v>
      </c>
      <c r="E6233">
        <v>0.5</v>
      </c>
      <c r="F6233">
        <v>99084</v>
      </c>
      <c r="G6233">
        <v>26</v>
      </c>
      <c r="H6233">
        <v>99071</v>
      </c>
      <c r="I6233">
        <v>5617404</v>
      </c>
    </row>
    <row r="6234" spans="1:9">
      <c r="A6234" s="2">
        <v>2006</v>
      </c>
      <c r="B6234">
        <v>14</v>
      </c>
      <c r="C6234">
        <v>2.9E-4</v>
      </c>
      <c r="D6234">
        <v>2.9E-4</v>
      </c>
      <c r="E6234">
        <v>0.5</v>
      </c>
      <c r="F6234">
        <v>99058</v>
      </c>
      <c r="G6234">
        <v>28</v>
      </c>
      <c r="H6234">
        <v>99044</v>
      </c>
      <c r="I6234">
        <v>5518332</v>
      </c>
    </row>
    <row r="6235" spans="1:9">
      <c r="A6235" s="2">
        <v>2006</v>
      </c>
      <c r="B6235">
        <v>15</v>
      </c>
      <c r="C6235">
        <v>2.9E-4</v>
      </c>
      <c r="D6235">
        <v>2.9E-4</v>
      </c>
      <c r="E6235">
        <v>0.5</v>
      </c>
      <c r="F6235">
        <v>99029</v>
      </c>
      <c r="G6235">
        <v>29</v>
      </c>
      <c r="H6235">
        <v>99015</v>
      </c>
      <c r="I6235">
        <v>5419289</v>
      </c>
    </row>
    <row r="6236" spans="1:9">
      <c r="A6236" s="2">
        <v>2006</v>
      </c>
      <c r="B6236">
        <v>16</v>
      </c>
      <c r="C6236">
        <v>3.8000000000000002E-4</v>
      </c>
      <c r="D6236">
        <v>3.8000000000000002E-4</v>
      </c>
      <c r="E6236">
        <v>0.5</v>
      </c>
      <c r="F6236">
        <v>99000</v>
      </c>
      <c r="G6236">
        <v>38</v>
      </c>
      <c r="H6236">
        <v>98981</v>
      </c>
      <c r="I6236">
        <v>5320274</v>
      </c>
    </row>
    <row r="6237" spans="1:9">
      <c r="A6237" s="2">
        <v>2006</v>
      </c>
      <c r="B6237">
        <v>17</v>
      </c>
      <c r="C6237">
        <v>5.6999999999999998E-4</v>
      </c>
      <c r="D6237">
        <v>5.6999999999999998E-4</v>
      </c>
      <c r="E6237">
        <v>0.5</v>
      </c>
      <c r="F6237">
        <v>98963</v>
      </c>
      <c r="G6237">
        <v>56</v>
      </c>
      <c r="H6237">
        <v>98935</v>
      </c>
      <c r="I6237">
        <v>5221293</v>
      </c>
    </row>
    <row r="6238" spans="1:9">
      <c r="A6238" s="2">
        <v>2006</v>
      </c>
      <c r="B6238">
        <v>18</v>
      </c>
      <c r="C6238">
        <v>8.1999999999999998E-4</v>
      </c>
      <c r="D6238">
        <v>8.1999999999999998E-4</v>
      </c>
      <c r="E6238">
        <v>0.5</v>
      </c>
      <c r="F6238">
        <v>98906</v>
      </c>
      <c r="G6238">
        <v>81</v>
      </c>
      <c r="H6238">
        <v>98866</v>
      </c>
      <c r="I6238">
        <v>5122358</v>
      </c>
    </row>
    <row r="6239" spans="1:9">
      <c r="A6239" s="2">
        <v>2006</v>
      </c>
      <c r="B6239">
        <v>19</v>
      </c>
      <c r="C6239">
        <v>8.8000000000000003E-4</v>
      </c>
      <c r="D6239">
        <v>8.8000000000000003E-4</v>
      </c>
      <c r="E6239">
        <v>0.5</v>
      </c>
      <c r="F6239">
        <v>98826</v>
      </c>
      <c r="G6239">
        <v>87</v>
      </c>
      <c r="H6239">
        <v>98782</v>
      </c>
      <c r="I6239">
        <v>5023492</v>
      </c>
    </row>
    <row r="6240" spans="1:9">
      <c r="A6240" s="2">
        <v>2006</v>
      </c>
      <c r="B6240">
        <v>20</v>
      </c>
      <c r="C6240">
        <v>7.7999999999999999E-4</v>
      </c>
      <c r="D6240">
        <v>7.7999999999999999E-4</v>
      </c>
      <c r="E6240">
        <v>0.5</v>
      </c>
      <c r="F6240">
        <v>98739</v>
      </c>
      <c r="G6240">
        <v>77</v>
      </c>
      <c r="H6240">
        <v>98700</v>
      </c>
      <c r="I6240">
        <v>4924710</v>
      </c>
    </row>
    <row r="6241" spans="1:9">
      <c r="A6241" s="2">
        <v>2006</v>
      </c>
      <c r="B6241">
        <v>21</v>
      </c>
      <c r="C6241">
        <v>6.6E-4</v>
      </c>
      <c r="D6241">
        <v>6.6E-4</v>
      </c>
      <c r="E6241">
        <v>0.5</v>
      </c>
      <c r="F6241">
        <v>98662</v>
      </c>
      <c r="G6241">
        <v>65</v>
      </c>
      <c r="H6241">
        <v>98629</v>
      </c>
      <c r="I6241">
        <v>4826009</v>
      </c>
    </row>
    <row r="6242" spans="1:9">
      <c r="A6242" s="2">
        <v>2006</v>
      </c>
      <c r="B6242">
        <v>22</v>
      </c>
      <c r="C6242">
        <v>7.9000000000000001E-4</v>
      </c>
      <c r="D6242">
        <v>7.9000000000000001E-4</v>
      </c>
      <c r="E6242">
        <v>0.5</v>
      </c>
      <c r="F6242">
        <v>98597</v>
      </c>
      <c r="G6242">
        <v>78</v>
      </c>
      <c r="H6242">
        <v>98558</v>
      </c>
      <c r="I6242">
        <v>4727380</v>
      </c>
    </row>
    <row r="6243" spans="1:9">
      <c r="A6243" s="2">
        <v>2006</v>
      </c>
      <c r="B6243">
        <v>23</v>
      </c>
      <c r="C6243">
        <v>7.3999999999999999E-4</v>
      </c>
      <c r="D6243">
        <v>7.3999999999999999E-4</v>
      </c>
      <c r="E6243">
        <v>0.5</v>
      </c>
      <c r="F6243">
        <v>98519</v>
      </c>
      <c r="G6243">
        <v>73</v>
      </c>
      <c r="H6243">
        <v>98482</v>
      </c>
      <c r="I6243">
        <v>4628823</v>
      </c>
    </row>
    <row r="6244" spans="1:9">
      <c r="A6244" s="2">
        <v>2006</v>
      </c>
      <c r="B6244">
        <v>24</v>
      </c>
      <c r="C6244">
        <v>7.7999999999999999E-4</v>
      </c>
      <c r="D6244">
        <v>7.7999999999999999E-4</v>
      </c>
      <c r="E6244">
        <v>0.5</v>
      </c>
      <c r="F6244">
        <v>98446</v>
      </c>
      <c r="G6244">
        <v>77</v>
      </c>
      <c r="H6244">
        <v>98408</v>
      </c>
      <c r="I6244">
        <v>4530340</v>
      </c>
    </row>
    <row r="6245" spans="1:9">
      <c r="A6245" s="2">
        <v>2006</v>
      </c>
      <c r="B6245">
        <v>25</v>
      </c>
      <c r="C6245">
        <v>8.4000000000000003E-4</v>
      </c>
      <c r="D6245">
        <v>8.4000000000000003E-4</v>
      </c>
      <c r="E6245">
        <v>0.5</v>
      </c>
      <c r="F6245">
        <v>98369</v>
      </c>
      <c r="G6245">
        <v>83</v>
      </c>
      <c r="H6245">
        <v>98328</v>
      </c>
      <c r="I6245">
        <v>4431933</v>
      </c>
    </row>
    <row r="6246" spans="1:9">
      <c r="A6246" s="2">
        <v>2006</v>
      </c>
      <c r="B6246">
        <v>26</v>
      </c>
      <c r="C6246">
        <v>1.1100000000000001E-3</v>
      </c>
      <c r="D6246">
        <v>1.1100000000000001E-3</v>
      </c>
      <c r="E6246">
        <v>0.5</v>
      </c>
      <c r="F6246">
        <v>98286</v>
      </c>
      <c r="G6246">
        <v>109</v>
      </c>
      <c r="H6246">
        <v>98232</v>
      </c>
      <c r="I6246">
        <v>4333605</v>
      </c>
    </row>
    <row r="6247" spans="1:9">
      <c r="A6247" s="2">
        <v>2006</v>
      </c>
      <c r="B6247">
        <v>27</v>
      </c>
      <c r="C6247">
        <v>1.0499999999999999E-3</v>
      </c>
      <c r="D6247">
        <v>1.0499999999999999E-3</v>
      </c>
      <c r="E6247">
        <v>0.5</v>
      </c>
      <c r="F6247">
        <v>98178</v>
      </c>
      <c r="G6247">
        <v>103</v>
      </c>
      <c r="H6247">
        <v>98126</v>
      </c>
      <c r="I6247">
        <v>4235373</v>
      </c>
    </row>
    <row r="6248" spans="1:9">
      <c r="A6248" s="2">
        <v>2006</v>
      </c>
      <c r="B6248">
        <v>28</v>
      </c>
      <c r="C6248">
        <v>9.8999999999999999E-4</v>
      </c>
      <c r="D6248">
        <v>9.8999999999999999E-4</v>
      </c>
      <c r="E6248">
        <v>0.5</v>
      </c>
      <c r="F6248">
        <v>98075</v>
      </c>
      <c r="G6248">
        <v>97</v>
      </c>
      <c r="H6248">
        <v>98026</v>
      </c>
      <c r="I6248">
        <v>4137247</v>
      </c>
    </row>
    <row r="6249" spans="1:9">
      <c r="A6249" s="2">
        <v>2006</v>
      </c>
      <c r="B6249">
        <v>29</v>
      </c>
      <c r="C6249">
        <v>1.06E-3</v>
      </c>
      <c r="D6249">
        <v>1.06E-3</v>
      </c>
      <c r="E6249">
        <v>0.5</v>
      </c>
      <c r="F6249">
        <v>97978</v>
      </c>
      <c r="G6249">
        <v>104</v>
      </c>
      <c r="H6249">
        <v>97926</v>
      </c>
      <c r="I6249">
        <v>4039221</v>
      </c>
    </row>
    <row r="6250" spans="1:9">
      <c r="A6250" s="2">
        <v>2006</v>
      </c>
      <c r="B6250">
        <v>30</v>
      </c>
      <c r="C6250">
        <v>1.1900000000000001E-3</v>
      </c>
      <c r="D6250">
        <v>1.1900000000000001E-3</v>
      </c>
      <c r="E6250">
        <v>0.5</v>
      </c>
      <c r="F6250">
        <v>97874</v>
      </c>
      <c r="G6250">
        <v>116</v>
      </c>
      <c r="H6250">
        <v>97816</v>
      </c>
      <c r="I6250">
        <v>3941295</v>
      </c>
    </row>
    <row r="6251" spans="1:9">
      <c r="A6251" s="2">
        <v>2006</v>
      </c>
      <c r="B6251">
        <v>31</v>
      </c>
      <c r="C6251">
        <v>1.2800000000000001E-3</v>
      </c>
      <c r="D6251">
        <v>1.2800000000000001E-3</v>
      </c>
      <c r="E6251">
        <v>0.5</v>
      </c>
      <c r="F6251">
        <v>97758</v>
      </c>
      <c r="G6251">
        <v>125</v>
      </c>
      <c r="H6251">
        <v>97695</v>
      </c>
      <c r="I6251">
        <v>3843479</v>
      </c>
    </row>
    <row r="6252" spans="1:9">
      <c r="A6252" s="2">
        <v>2006</v>
      </c>
      <c r="B6252">
        <v>32</v>
      </c>
      <c r="C6252">
        <v>1.2899999999999999E-3</v>
      </c>
      <c r="D6252">
        <v>1.2899999999999999E-3</v>
      </c>
      <c r="E6252">
        <v>0.5</v>
      </c>
      <c r="F6252">
        <v>97632</v>
      </c>
      <c r="G6252">
        <v>126</v>
      </c>
      <c r="H6252">
        <v>97569</v>
      </c>
      <c r="I6252">
        <v>3745784</v>
      </c>
    </row>
    <row r="6253" spans="1:9">
      <c r="A6253" s="2">
        <v>2006</v>
      </c>
      <c r="B6253">
        <v>33</v>
      </c>
      <c r="C6253">
        <v>1.56E-3</v>
      </c>
      <c r="D6253">
        <v>1.56E-3</v>
      </c>
      <c r="E6253">
        <v>0.5</v>
      </c>
      <c r="F6253">
        <v>97506</v>
      </c>
      <c r="G6253">
        <v>152</v>
      </c>
      <c r="H6253">
        <v>97430</v>
      </c>
      <c r="I6253">
        <v>3648215</v>
      </c>
    </row>
    <row r="6254" spans="1:9">
      <c r="A6254" s="2">
        <v>2006</v>
      </c>
      <c r="B6254">
        <v>34</v>
      </c>
      <c r="C6254">
        <v>1.82E-3</v>
      </c>
      <c r="D6254">
        <v>1.82E-3</v>
      </c>
      <c r="E6254">
        <v>0.5</v>
      </c>
      <c r="F6254">
        <v>97354</v>
      </c>
      <c r="G6254">
        <v>177</v>
      </c>
      <c r="H6254">
        <v>97265</v>
      </c>
      <c r="I6254">
        <v>3550784</v>
      </c>
    </row>
    <row r="6255" spans="1:9">
      <c r="A6255" s="2">
        <v>2006</v>
      </c>
      <c r="B6255">
        <v>35</v>
      </c>
      <c r="C6255">
        <v>1.98E-3</v>
      </c>
      <c r="D6255">
        <v>1.97E-3</v>
      </c>
      <c r="E6255">
        <v>0.5</v>
      </c>
      <c r="F6255">
        <v>97177</v>
      </c>
      <c r="G6255">
        <v>192</v>
      </c>
      <c r="H6255">
        <v>97081</v>
      </c>
      <c r="I6255">
        <v>3453519</v>
      </c>
    </row>
    <row r="6256" spans="1:9">
      <c r="A6256" s="2">
        <v>2006</v>
      </c>
      <c r="B6256">
        <v>36</v>
      </c>
      <c r="C6256">
        <v>2.3900000000000002E-3</v>
      </c>
      <c r="D6256">
        <v>2.3900000000000002E-3</v>
      </c>
      <c r="E6256">
        <v>0.5</v>
      </c>
      <c r="F6256">
        <v>96985</v>
      </c>
      <c r="G6256">
        <v>232</v>
      </c>
      <c r="H6256">
        <v>96869</v>
      </c>
      <c r="I6256">
        <v>3356438</v>
      </c>
    </row>
    <row r="6257" spans="1:9">
      <c r="A6257" s="2">
        <v>2006</v>
      </c>
      <c r="B6257">
        <v>37</v>
      </c>
      <c r="C6257">
        <v>2.32E-3</v>
      </c>
      <c r="D6257">
        <v>2.32E-3</v>
      </c>
      <c r="E6257">
        <v>0.5</v>
      </c>
      <c r="F6257">
        <v>96753</v>
      </c>
      <c r="G6257">
        <v>224</v>
      </c>
      <c r="H6257">
        <v>96641</v>
      </c>
      <c r="I6257">
        <v>3259569</v>
      </c>
    </row>
    <row r="6258" spans="1:9">
      <c r="A6258" s="2">
        <v>2006</v>
      </c>
      <c r="B6258">
        <v>38</v>
      </c>
      <c r="C6258">
        <v>2.5200000000000001E-3</v>
      </c>
      <c r="D6258">
        <v>2.5100000000000001E-3</v>
      </c>
      <c r="E6258">
        <v>0.5</v>
      </c>
      <c r="F6258">
        <v>96529</v>
      </c>
      <c r="G6258">
        <v>243</v>
      </c>
      <c r="H6258">
        <v>96408</v>
      </c>
      <c r="I6258">
        <v>3162928</v>
      </c>
    </row>
    <row r="6259" spans="1:9">
      <c r="A6259" s="2">
        <v>2006</v>
      </c>
      <c r="B6259">
        <v>39</v>
      </c>
      <c r="C6259">
        <v>3.13E-3</v>
      </c>
      <c r="D6259">
        <v>3.1199999999999999E-3</v>
      </c>
      <c r="E6259">
        <v>0.5</v>
      </c>
      <c r="F6259">
        <v>96286</v>
      </c>
      <c r="G6259">
        <v>300</v>
      </c>
      <c r="H6259">
        <v>96136</v>
      </c>
      <c r="I6259">
        <v>3066520</v>
      </c>
    </row>
    <row r="6260" spans="1:9">
      <c r="A6260" s="2">
        <v>2006</v>
      </c>
      <c r="B6260">
        <v>40</v>
      </c>
      <c r="C6260">
        <v>3.8E-3</v>
      </c>
      <c r="D6260">
        <v>3.8E-3</v>
      </c>
      <c r="E6260">
        <v>0.5</v>
      </c>
      <c r="F6260">
        <v>95986</v>
      </c>
      <c r="G6260">
        <v>365</v>
      </c>
      <c r="H6260">
        <v>95804</v>
      </c>
      <c r="I6260">
        <v>2970384</v>
      </c>
    </row>
    <row r="6261" spans="1:9">
      <c r="A6261" s="2">
        <v>2006</v>
      </c>
      <c r="B6261">
        <v>41</v>
      </c>
      <c r="C6261">
        <v>4.64E-3</v>
      </c>
      <c r="D6261">
        <v>4.6299999999999996E-3</v>
      </c>
      <c r="E6261">
        <v>0.5</v>
      </c>
      <c r="F6261">
        <v>95621</v>
      </c>
      <c r="G6261">
        <v>442</v>
      </c>
      <c r="H6261">
        <v>95400</v>
      </c>
      <c r="I6261">
        <v>2874581</v>
      </c>
    </row>
    <row r="6262" spans="1:9">
      <c r="A6262" s="2">
        <v>2006</v>
      </c>
      <c r="B6262">
        <v>42</v>
      </c>
      <c r="C6262">
        <v>4.8199999999999996E-3</v>
      </c>
      <c r="D6262">
        <v>4.81E-3</v>
      </c>
      <c r="E6262">
        <v>0.5</v>
      </c>
      <c r="F6262">
        <v>95179</v>
      </c>
      <c r="G6262">
        <v>458</v>
      </c>
      <c r="H6262">
        <v>94950</v>
      </c>
      <c r="I6262">
        <v>2779180</v>
      </c>
    </row>
    <row r="6263" spans="1:9">
      <c r="A6263" s="2">
        <v>2006</v>
      </c>
      <c r="B6263">
        <v>43</v>
      </c>
      <c r="C6263">
        <v>5.8399999999999997E-3</v>
      </c>
      <c r="D6263">
        <v>5.8199999999999997E-3</v>
      </c>
      <c r="E6263">
        <v>0.5</v>
      </c>
      <c r="F6263">
        <v>94721</v>
      </c>
      <c r="G6263">
        <v>551</v>
      </c>
      <c r="H6263">
        <v>94445</v>
      </c>
      <c r="I6263">
        <v>2684230</v>
      </c>
    </row>
    <row r="6264" spans="1:9">
      <c r="A6264" s="2">
        <v>2006</v>
      </c>
      <c r="B6264">
        <v>44</v>
      </c>
      <c r="C6264">
        <v>6.8500000000000002E-3</v>
      </c>
      <c r="D6264">
        <v>6.8199999999999997E-3</v>
      </c>
      <c r="E6264">
        <v>0.5</v>
      </c>
      <c r="F6264">
        <v>94170</v>
      </c>
      <c r="G6264">
        <v>643</v>
      </c>
      <c r="H6264">
        <v>93848</v>
      </c>
      <c r="I6264">
        <v>2589785</v>
      </c>
    </row>
    <row r="6265" spans="1:9">
      <c r="A6265" s="2">
        <v>2006</v>
      </c>
      <c r="B6265">
        <v>45</v>
      </c>
      <c r="C6265">
        <v>7.2700000000000004E-3</v>
      </c>
      <c r="D6265">
        <v>7.2399999999999999E-3</v>
      </c>
      <c r="E6265">
        <v>0.5</v>
      </c>
      <c r="F6265">
        <v>93527</v>
      </c>
      <c r="G6265">
        <v>678</v>
      </c>
      <c r="H6265">
        <v>93188</v>
      </c>
      <c r="I6265">
        <v>2495937</v>
      </c>
    </row>
    <row r="6266" spans="1:9">
      <c r="A6266" s="2">
        <v>2006</v>
      </c>
      <c r="B6266">
        <v>46</v>
      </c>
      <c r="C6266">
        <v>8.8000000000000005E-3</v>
      </c>
      <c r="D6266">
        <v>8.7600000000000004E-3</v>
      </c>
      <c r="E6266">
        <v>0.5</v>
      </c>
      <c r="F6266">
        <v>92850</v>
      </c>
      <c r="G6266">
        <v>813</v>
      </c>
      <c r="H6266">
        <v>92443</v>
      </c>
      <c r="I6266">
        <v>2402748</v>
      </c>
    </row>
    <row r="6267" spans="1:9">
      <c r="A6267" s="2">
        <v>2006</v>
      </c>
      <c r="B6267">
        <v>47</v>
      </c>
      <c r="C6267">
        <v>9.7599999999999996E-3</v>
      </c>
      <c r="D6267">
        <v>9.7099999999999999E-3</v>
      </c>
      <c r="E6267">
        <v>0.5</v>
      </c>
      <c r="F6267">
        <v>92036</v>
      </c>
      <c r="G6267">
        <v>894</v>
      </c>
      <c r="H6267">
        <v>91589</v>
      </c>
      <c r="I6267">
        <v>2310305</v>
      </c>
    </row>
    <row r="6268" spans="1:9">
      <c r="A6268" s="2">
        <v>2006</v>
      </c>
      <c r="B6268">
        <v>48</v>
      </c>
      <c r="C6268">
        <v>1.1270000000000001E-2</v>
      </c>
      <c r="D6268">
        <v>1.12E-2</v>
      </c>
      <c r="E6268">
        <v>0.5</v>
      </c>
      <c r="F6268">
        <v>91142</v>
      </c>
      <c r="G6268">
        <v>1021</v>
      </c>
      <c r="H6268">
        <v>90632</v>
      </c>
      <c r="I6268">
        <v>2218716</v>
      </c>
    </row>
    <row r="6269" spans="1:9">
      <c r="A6269" s="2">
        <v>2006</v>
      </c>
      <c r="B6269">
        <v>49</v>
      </c>
      <c r="C6269">
        <v>1.1900000000000001E-2</v>
      </c>
      <c r="D6269">
        <v>1.183E-2</v>
      </c>
      <c r="E6269">
        <v>0.5</v>
      </c>
      <c r="F6269">
        <v>90121</v>
      </c>
      <c r="G6269">
        <v>1066</v>
      </c>
      <c r="H6269">
        <v>89588</v>
      </c>
      <c r="I6269">
        <v>2128084</v>
      </c>
    </row>
    <row r="6270" spans="1:9">
      <c r="A6270" s="2">
        <v>2006</v>
      </c>
      <c r="B6270">
        <v>50</v>
      </c>
      <c r="C6270">
        <v>1.2880000000000001E-2</v>
      </c>
      <c r="D6270">
        <v>1.2800000000000001E-2</v>
      </c>
      <c r="E6270">
        <v>0.5</v>
      </c>
      <c r="F6270">
        <v>89055</v>
      </c>
      <c r="G6270">
        <v>1140</v>
      </c>
      <c r="H6270">
        <v>88485</v>
      </c>
      <c r="I6270">
        <v>2038496</v>
      </c>
    </row>
    <row r="6271" spans="1:9">
      <c r="A6271" s="2">
        <v>2006</v>
      </c>
      <c r="B6271">
        <v>51</v>
      </c>
      <c r="C6271">
        <v>1.457E-2</v>
      </c>
      <c r="D6271">
        <v>1.447E-2</v>
      </c>
      <c r="E6271">
        <v>0.5</v>
      </c>
      <c r="F6271">
        <v>87915</v>
      </c>
      <c r="G6271">
        <v>1272</v>
      </c>
      <c r="H6271">
        <v>87279</v>
      </c>
      <c r="I6271">
        <v>1950011</v>
      </c>
    </row>
    <row r="6272" spans="1:9">
      <c r="A6272" s="2">
        <v>2006</v>
      </c>
      <c r="B6272">
        <v>52</v>
      </c>
      <c r="C6272">
        <v>1.491E-2</v>
      </c>
      <c r="D6272">
        <v>1.4800000000000001E-2</v>
      </c>
      <c r="E6272">
        <v>0.5</v>
      </c>
      <c r="F6272">
        <v>86644</v>
      </c>
      <c r="G6272">
        <v>1283</v>
      </c>
      <c r="H6272">
        <v>86002</v>
      </c>
      <c r="I6272">
        <v>1862732</v>
      </c>
    </row>
    <row r="6273" spans="1:9">
      <c r="A6273" s="2">
        <v>2006</v>
      </c>
      <c r="B6273">
        <v>53</v>
      </c>
      <c r="C6273">
        <v>1.6990000000000002E-2</v>
      </c>
      <c r="D6273">
        <v>1.6840000000000001E-2</v>
      </c>
      <c r="E6273">
        <v>0.5</v>
      </c>
      <c r="F6273">
        <v>85361</v>
      </c>
      <c r="G6273">
        <v>1438</v>
      </c>
      <c r="H6273">
        <v>84642</v>
      </c>
      <c r="I6273">
        <v>1776729</v>
      </c>
    </row>
    <row r="6274" spans="1:9">
      <c r="A6274" s="2">
        <v>2006</v>
      </c>
      <c r="B6274">
        <v>54</v>
      </c>
      <c r="C6274">
        <v>1.753E-2</v>
      </c>
      <c r="D6274">
        <v>1.738E-2</v>
      </c>
      <c r="E6274">
        <v>0.5</v>
      </c>
      <c r="F6274">
        <v>83923</v>
      </c>
      <c r="G6274">
        <v>1459</v>
      </c>
      <c r="H6274">
        <v>83194</v>
      </c>
      <c r="I6274">
        <v>1692087</v>
      </c>
    </row>
    <row r="6275" spans="1:9">
      <c r="A6275" s="2">
        <v>2006</v>
      </c>
      <c r="B6275">
        <v>55</v>
      </c>
      <c r="C6275">
        <v>1.787E-2</v>
      </c>
      <c r="D6275">
        <v>1.771E-2</v>
      </c>
      <c r="E6275">
        <v>0.5</v>
      </c>
      <c r="F6275">
        <v>82464</v>
      </c>
      <c r="G6275">
        <v>1460</v>
      </c>
      <c r="H6275">
        <v>81734</v>
      </c>
      <c r="I6275">
        <v>1608893</v>
      </c>
    </row>
    <row r="6276" spans="1:9">
      <c r="A6276" s="2">
        <v>2006</v>
      </c>
      <c r="B6276">
        <v>56</v>
      </c>
      <c r="C6276">
        <v>1.9210000000000001E-2</v>
      </c>
      <c r="D6276">
        <v>1.9029999999999998E-2</v>
      </c>
      <c r="E6276">
        <v>0.5</v>
      </c>
      <c r="F6276">
        <v>81004</v>
      </c>
      <c r="G6276">
        <v>1541</v>
      </c>
      <c r="H6276">
        <v>80233</v>
      </c>
      <c r="I6276">
        <v>1527159</v>
      </c>
    </row>
    <row r="6277" spans="1:9">
      <c r="A6277" s="2">
        <v>2006</v>
      </c>
      <c r="B6277">
        <v>57</v>
      </c>
      <c r="C6277">
        <v>2.12E-2</v>
      </c>
      <c r="D6277">
        <v>2.0979999999999999E-2</v>
      </c>
      <c r="E6277">
        <v>0.5</v>
      </c>
      <c r="F6277">
        <v>79463</v>
      </c>
      <c r="G6277">
        <v>1667</v>
      </c>
      <c r="H6277">
        <v>78629</v>
      </c>
      <c r="I6277">
        <v>1446926</v>
      </c>
    </row>
    <row r="6278" spans="1:9">
      <c r="A6278" s="2">
        <v>2006</v>
      </c>
      <c r="B6278">
        <v>58</v>
      </c>
      <c r="C6278">
        <v>2.2689999999999998E-2</v>
      </c>
      <c r="D6278">
        <v>2.2429999999999999E-2</v>
      </c>
      <c r="E6278">
        <v>0.5</v>
      </c>
      <c r="F6278">
        <v>77795</v>
      </c>
      <c r="G6278">
        <v>1745</v>
      </c>
      <c r="H6278">
        <v>76923</v>
      </c>
      <c r="I6278">
        <v>1368297</v>
      </c>
    </row>
    <row r="6279" spans="1:9">
      <c r="A6279" s="2">
        <v>2006</v>
      </c>
      <c r="B6279">
        <v>59</v>
      </c>
      <c r="C6279">
        <v>2.351E-2</v>
      </c>
      <c r="D6279">
        <v>2.324E-2</v>
      </c>
      <c r="E6279">
        <v>0.5</v>
      </c>
      <c r="F6279">
        <v>76050</v>
      </c>
      <c r="G6279">
        <v>1767</v>
      </c>
      <c r="H6279">
        <v>75167</v>
      </c>
      <c r="I6279">
        <v>1291374</v>
      </c>
    </row>
    <row r="6280" spans="1:9">
      <c r="A6280" s="2">
        <v>2006</v>
      </c>
      <c r="B6280">
        <v>60</v>
      </c>
      <c r="C6280">
        <v>2.384E-2</v>
      </c>
      <c r="D6280">
        <v>2.3560000000000001E-2</v>
      </c>
      <c r="E6280">
        <v>0.5</v>
      </c>
      <c r="F6280">
        <v>74283</v>
      </c>
      <c r="G6280">
        <v>1750</v>
      </c>
      <c r="H6280">
        <v>73408</v>
      </c>
      <c r="I6280">
        <v>1216207</v>
      </c>
    </row>
    <row r="6281" spans="1:9">
      <c r="A6281" s="2">
        <v>2006</v>
      </c>
      <c r="B6281">
        <v>61</v>
      </c>
      <c r="C6281">
        <v>2.7050000000000001E-2</v>
      </c>
      <c r="D6281">
        <v>2.6689999999999998E-2</v>
      </c>
      <c r="E6281">
        <v>0.5</v>
      </c>
      <c r="F6281">
        <v>72533</v>
      </c>
      <c r="G6281">
        <v>1936</v>
      </c>
      <c r="H6281">
        <v>71565</v>
      </c>
      <c r="I6281">
        <v>1142799</v>
      </c>
    </row>
    <row r="6282" spans="1:9">
      <c r="A6282" s="2">
        <v>2006</v>
      </c>
      <c r="B6282">
        <v>62</v>
      </c>
      <c r="C6282">
        <v>2.8750000000000001E-2</v>
      </c>
      <c r="D6282">
        <v>2.8340000000000001E-2</v>
      </c>
      <c r="E6282">
        <v>0.5</v>
      </c>
      <c r="F6282">
        <v>70597</v>
      </c>
      <c r="G6282">
        <v>2001</v>
      </c>
      <c r="H6282">
        <v>69597</v>
      </c>
      <c r="I6282">
        <v>1071234</v>
      </c>
    </row>
    <row r="6283" spans="1:9">
      <c r="A6283" s="2">
        <v>2006</v>
      </c>
      <c r="B6283">
        <v>63</v>
      </c>
      <c r="C6283">
        <v>2.9729999999999999E-2</v>
      </c>
      <c r="D6283">
        <v>2.93E-2</v>
      </c>
      <c r="E6283">
        <v>0.5</v>
      </c>
      <c r="F6283">
        <v>68597</v>
      </c>
      <c r="G6283">
        <v>2010</v>
      </c>
      <c r="H6283">
        <v>67592</v>
      </c>
      <c r="I6283">
        <v>1001637</v>
      </c>
    </row>
    <row r="6284" spans="1:9">
      <c r="A6284" s="2">
        <v>2006</v>
      </c>
      <c r="B6284">
        <v>64</v>
      </c>
      <c r="C6284">
        <v>3.1109999999999999E-2</v>
      </c>
      <c r="D6284">
        <v>3.0640000000000001E-2</v>
      </c>
      <c r="E6284">
        <v>0.5</v>
      </c>
      <c r="F6284">
        <v>66587</v>
      </c>
      <c r="G6284">
        <v>2040</v>
      </c>
      <c r="H6284">
        <v>65567</v>
      </c>
      <c r="I6284">
        <v>934045</v>
      </c>
    </row>
    <row r="6285" spans="1:9">
      <c r="A6285" s="2">
        <v>2006</v>
      </c>
      <c r="B6285">
        <v>65</v>
      </c>
      <c r="C6285">
        <v>3.4009999999999999E-2</v>
      </c>
      <c r="D6285">
        <v>3.3439999999999998E-2</v>
      </c>
      <c r="E6285">
        <v>0.5</v>
      </c>
      <c r="F6285">
        <v>64547</v>
      </c>
      <c r="G6285">
        <v>2159</v>
      </c>
      <c r="H6285">
        <v>63468</v>
      </c>
      <c r="I6285">
        <v>868478</v>
      </c>
    </row>
    <row r="6286" spans="1:9">
      <c r="A6286" s="2">
        <v>2006</v>
      </c>
      <c r="B6286">
        <v>66</v>
      </c>
      <c r="C6286">
        <v>3.7650000000000003E-2</v>
      </c>
      <c r="D6286">
        <v>3.6949999999999997E-2</v>
      </c>
      <c r="E6286">
        <v>0.5</v>
      </c>
      <c r="F6286">
        <v>62389</v>
      </c>
      <c r="G6286">
        <v>2305</v>
      </c>
      <c r="H6286">
        <v>61236</v>
      </c>
      <c r="I6286">
        <v>805010</v>
      </c>
    </row>
    <row r="6287" spans="1:9">
      <c r="A6287" s="2">
        <v>2006</v>
      </c>
      <c r="B6287">
        <v>67</v>
      </c>
      <c r="C6287">
        <v>3.8330000000000003E-2</v>
      </c>
      <c r="D6287">
        <v>3.7609999999999998E-2</v>
      </c>
      <c r="E6287">
        <v>0.5</v>
      </c>
      <c r="F6287">
        <v>60083</v>
      </c>
      <c r="G6287">
        <v>2259</v>
      </c>
      <c r="H6287">
        <v>58953</v>
      </c>
      <c r="I6287">
        <v>743774</v>
      </c>
    </row>
    <row r="6288" spans="1:9">
      <c r="A6288" s="2">
        <v>2006</v>
      </c>
      <c r="B6288">
        <v>68</v>
      </c>
      <c r="C6288">
        <v>4.3150000000000001E-2</v>
      </c>
      <c r="D6288">
        <v>4.224E-2</v>
      </c>
      <c r="E6288">
        <v>0.5</v>
      </c>
      <c r="F6288">
        <v>57824</v>
      </c>
      <c r="G6288">
        <v>2443</v>
      </c>
      <c r="H6288">
        <v>56602</v>
      </c>
      <c r="I6288">
        <v>684821</v>
      </c>
    </row>
    <row r="6289" spans="1:9">
      <c r="A6289" s="2">
        <v>2006</v>
      </c>
      <c r="B6289">
        <v>69</v>
      </c>
      <c r="C6289">
        <v>4.3029999999999999E-2</v>
      </c>
      <c r="D6289">
        <v>4.2119999999999998E-2</v>
      </c>
      <c r="E6289">
        <v>0.5</v>
      </c>
      <c r="F6289">
        <v>55381</v>
      </c>
      <c r="G6289">
        <v>2333</v>
      </c>
      <c r="H6289">
        <v>54215</v>
      </c>
      <c r="I6289">
        <v>628219</v>
      </c>
    </row>
    <row r="6290" spans="1:9">
      <c r="A6290" s="2">
        <v>2006</v>
      </c>
      <c r="B6290">
        <v>70</v>
      </c>
      <c r="C6290">
        <v>4.5539999999999997E-2</v>
      </c>
      <c r="D6290">
        <v>4.4519999999999997E-2</v>
      </c>
      <c r="E6290">
        <v>0.5</v>
      </c>
      <c r="F6290">
        <v>53048</v>
      </c>
      <c r="G6290">
        <v>2362</v>
      </c>
      <c r="H6290">
        <v>51867</v>
      </c>
      <c r="I6290">
        <v>574004</v>
      </c>
    </row>
    <row r="6291" spans="1:9">
      <c r="A6291" s="2">
        <v>2006</v>
      </c>
      <c r="B6291">
        <v>71</v>
      </c>
      <c r="C6291">
        <v>5.0979999999999998E-2</v>
      </c>
      <c r="D6291">
        <v>4.9709999999999997E-2</v>
      </c>
      <c r="E6291">
        <v>0.5</v>
      </c>
      <c r="F6291">
        <v>50686</v>
      </c>
      <c r="G6291">
        <v>2520</v>
      </c>
      <c r="H6291">
        <v>49427</v>
      </c>
      <c r="I6291">
        <v>522136</v>
      </c>
    </row>
    <row r="6292" spans="1:9">
      <c r="A6292" s="2">
        <v>2006</v>
      </c>
      <c r="B6292">
        <v>72</v>
      </c>
      <c r="C6292">
        <v>5.271E-2</v>
      </c>
      <c r="D6292">
        <v>5.1360000000000003E-2</v>
      </c>
      <c r="E6292">
        <v>0.5</v>
      </c>
      <c r="F6292">
        <v>48167</v>
      </c>
      <c r="G6292">
        <v>2474</v>
      </c>
      <c r="H6292">
        <v>46930</v>
      </c>
      <c r="I6292">
        <v>472710</v>
      </c>
    </row>
    <row r="6293" spans="1:9">
      <c r="A6293" s="2">
        <v>2006</v>
      </c>
      <c r="B6293">
        <v>73</v>
      </c>
      <c r="C6293">
        <v>5.7889999999999997E-2</v>
      </c>
      <c r="D6293">
        <v>5.6270000000000001E-2</v>
      </c>
      <c r="E6293">
        <v>0.5</v>
      </c>
      <c r="F6293">
        <v>45693</v>
      </c>
      <c r="G6293">
        <v>2571</v>
      </c>
      <c r="H6293">
        <v>44407</v>
      </c>
      <c r="I6293">
        <v>425780</v>
      </c>
    </row>
    <row r="6294" spans="1:9">
      <c r="A6294" s="2">
        <v>2006</v>
      </c>
      <c r="B6294">
        <v>74</v>
      </c>
      <c r="C6294">
        <v>6.087E-2</v>
      </c>
      <c r="D6294">
        <v>5.9069999999999998E-2</v>
      </c>
      <c r="E6294">
        <v>0.5</v>
      </c>
      <c r="F6294">
        <v>43122</v>
      </c>
      <c r="G6294">
        <v>2547</v>
      </c>
      <c r="H6294">
        <v>41848</v>
      </c>
      <c r="I6294">
        <v>381373</v>
      </c>
    </row>
    <row r="6295" spans="1:9">
      <c r="A6295" s="2">
        <v>2006</v>
      </c>
      <c r="B6295">
        <v>75</v>
      </c>
      <c r="C6295">
        <v>6.8210000000000007E-2</v>
      </c>
      <c r="D6295">
        <v>6.5960000000000005E-2</v>
      </c>
      <c r="E6295">
        <v>0.5</v>
      </c>
      <c r="F6295">
        <v>40575</v>
      </c>
      <c r="G6295">
        <v>2676</v>
      </c>
      <c r="H6295">
        <v>39237</v>
      </c>
      <c r="I6295">
        <v>339524</v>
      </c>
    </row>
    <row r="6296" spans="1:9">
      <c r="A6296" s="2">
        <v>2006</v>
      </c>
      <c r="B6296">
        <v>76</v>
      </c>
      <c r="C6296">
        <v>7.0239999999999997E-2</v>
      </c>
      <c r="D6296">
        <v>6.7860000000000004E-2</v>
      </c>
      <c r="E6296">
        <v>0.5</v>
      </c>
      <c r="F6296">
        <v>37898</v>
      </c>
      <c r="G6296">
        <v>2572</v>
      </c>
      <c r="H6296">
        <v>36613</v>
      </c>
      <c r="I6296">
        <v>300288</v>
      </c>
    </row>
    <row r="6297" spans="1:9">
      <c r="A6297" s="2">
        <v>2006</v>
      </c>
      <c r="B6297">
        <v>77</v>
      </c>
      <c r="C6297">
        <v>7.7920000000000003E-2</v>
      </c>
      <c r="D6297">
        <v>7.4999999999999997E-2</v>
      </c>
      <c r="E6297">
        <v>0.5</v>
      </c>
      <c r="F6297">
        <v>35327</v>
      </c>
      <c r="G6297">
        <v>2649</v>
      </c>
      <c r="H6297">
        <v>34002</v>
      </c>
      <c r="I6297">
        <v>263675</v>
      </c>
    </row>
    <row r="6298" spans="1:9">
      <c r="A6298" s="2">
        <v>2006</v>
      </c>
      <c r="B6298">
        <v>78</v>
      </c>
      <c r="C6298">
        <v>8.5889999999999994E-2</v>
      </c>
      <c r="D6298">
        <v>8.2360000000000003E-2</v>
      </c>
      <c r="E6298">
        <v>0.5</v>
      </c>
      <c r="F6298">
        <v>32677</v>
      </c>
      <c r="G6298">
        <v>2691</v>
      </c>
      <c r="H6298">
        <v>31332</v>
      </c>
      <c r="I6298">
        <v>229673</v>
      </c>
    </row>
    <row r="6299" spans="1:9">
      <c r="A6299" s="2">
        <v>2006</v>
      </c>
      <c r="B6299">
        <v>79</v>
      </c>
      <c r="C6299">
        <v>9.5460000000000003E-2</v>
      </c>
      <c r="D6299">
        <v>9.1120000000000007E-2</v>
      </c>
      <c r="E6299">
        <v>0.5</v>
      </c>
      <c r="F6299">
        <v>29986</v>
      </c>
      <c r="G6299">
        <v>2732</v>
      </c>
      <c r="H6299">
        <v>28620</v>
      </c>
      <c r="I6299">
        <v>198341</v>
      </c>
    </row>
    <row r="6300" spans="1:9">
      <c r="A6300" s="2">
        <v>2006</v>
      </c>
      <c r="B6300">
        <v>80</v>
      </c>
      <c r="C6300">
        <v>0.10415000000000001</v>
      </c>
      <c r="D6300">
        <v>9.8989999999999995E-2</v>
      </c>
      <c r="E6300">
        <v>0.5</v>
      </c>
      <c r="F6300">
        <v>27254</v>
      </c>
      <c r="G6300">
        <v>2698</v>
      </c>
      <c r="H6300">
        <v>25905</v>
      </c>
      <c r="I6300">
        <v>169721</v>
      </c>
    </row>
    <row r="6301" spans="1:9">
      <c r="A6301" s="2">
        <v>2006</v>
      </c>
      <c r="B6301">
        <v>81</v>
      </c>
      <c r="C6301">
        <v>0.11774</v>
      </c>
      <c r="D6301">
        <v>0.11119</v>
      </c>
      <c r="E6301">
        <v>0.5</v>
      </c>
      <c r="F6301">
        <v>24556</v>
      </c>
      <c r="G6301">
        <v>2730</v>
      </c>
      <c r="H6301">
        <v>23191</v>
      </c>
      <c r="I6301">
        <v>143816</v>
      </c>
    </row>
    <row r="6302" spans="1:9">
      <c r="A6302" s="2">
        <v>2006</v>
      </c>
      <c r="B6302">
        <v>82</v>
      </c>
      <c r="C6302">
        <v>0.12942999999999999</v>
      </c>
      <c r="D6302">
        <v>0.12157</v>
      </c>
      <c r="E6302">
        <v>0.5</v>
      </c>
      <c r="F6302">
        <v>21826</v>
      </c>
      <c r="G6302">
        <v>2653</v>
      </c>
      <c r="H6302">
        <v>20499</v>
      </c>
      <c r="I6302">
        <v>120626</v>
      </c>
    </row>
    <row r="6303" spans="1:9">
      <c r="A6303" s="2">
        <v>2006</v>
      </c>
      <c r="B6303">
        <v>83</v>
      </c>
      <c r="C6303">
        <v>0.13586999999999999</v>
      </c>
      <c r="D6303">
        <v>0.12722</v>
      </c>
      <c r="E6303">
        <v>0.5</v>
      </c>
      <c r="F6303">
        <v>19172</v>
      </c>
      <c r="G6303">
        <v>2439</v>
      </c>
      <c r="H6303">
        <v>17953</v>
      </c>
      <c r="I6303">
        <v>100127</v>
      </c>
    </row>
    <row r="6304" spans="1:9">
      <c r="A6304" s="2">
        <v>2006</v>
      </c>
      <c r="B6304">
        <v>84</v>
      </c>
      <c r="C6304">
        <v>0.15448999999999999</v>
      </c>
      <c r="D6304">
        <v>0.14341000000000001</v>
      </c>
      <c r="E6304">
        <v>0.5</v>
      </c>
      <c r="F6304">
        <v>16733</v>
      </c>
      <c r="G6304">
        <v>2400</v>
      </c>
      <c r="H6304">
        <v>15533</v>
      </c>
      <c r="I6304">
        <v>82174</v>
      </c>
    </row>
    <row r="6305" spans="1:9">
      <c r="A6305" s="2">
        <v>2006</v>
      </c>
      <c r="B6305">
        <v>85</v>
      </c>
      <c r="C6305">
        <v>0.15287000000000001</v>
      </c>
      <c r="D6305">
        <v>0.14201</v>
      </c>
      <c r="E6305">
        <v>0.5</v>
      </c>
      <c r="F6305">
        <v>14333</v>
      </c>
      <c r="G6305">
        <v>2036</v>
      </c>
      <c r="H6305">
        <v>13316</v>
      </c>
      <c r="I6305">
        <v>66641</v>
      </c>
    </row>
    <row r="6306" spans="1:9">
      <c r="A6306" s="2">
        <v>2006</v>
      </c>
      <c r="B6306">
        <v>86</v>
      </c>
      <c r="C6306">
        <v>0.18576999999999999</v>
      </c>
      <c r="D6306">
        <v>0.16997999999999999</v>
      </c>
      <c r="E6306">
        <v>0.5</v>
      </c>
      <c r="F6306">
        <v>12298</v>
      </c>
      <c r="G6306">
        <v>2090</v>
      </c>
      <c r="H6306">
        <v>11253</v>
      </c>
      <c r="I6306">
        <v>53325</v>
      </c>
    </row>
    <row r="6307" spans="1:9">
      <c r="A6307" s="2">
        <v>2006</v>
      </c>
      <c r="B6307">
        <v>87</v>
      </c>
      <c r="C6307">
        <v>0.17993000000000001</v>
      </c>
      <c r="D6307">
        <v>0.16506999999999999</v>
      </c>
      <c r="E6307">
        <v>0.5</v>
      </c>
      <c r="F6307">
        <v>10207</v>
      </c>
      <c r="G6307">
        <v>1685</v>
      </c>
      <c r="H6307">
        <v>9365</v>
      </c>
      <c r="I6307">
        <v>42072</v>
      </c>
    </row>
    <row r="6308" spans="1:9">
      <c r="A6308" s="2">
        <v>2006</v>
      </c>
      <c r="B6308">
        <v>88</v>
      </c>
      <c r="C6308">
        <v>0.20033000000000001</v>
      </c>
      <c r="D6308">
        <v>0.18209</v>
      </c>
      <c r="E6308">
        <v>0.5</v>
      </c>
      <c r="F6308">
        <v>8522</v>
      </c>
      <c r="G6308">
        <v>1552</v>
      </c>
      <c r="H6308">
        <v>7747</v>
      </c>
      <c r="I6308">
        <v>32707</v>
      </c>
    </row>
    <row r="6309" spans="1:9">
      <c r="A6309" s="2">
        <v>2006</v>
      </c>
      <c r="B6309">
        <v>89</v>
      </c>
      <c r="C6309">
        <v>0.21817</v>
      </c>
      <c r="D6309">
        <v>0.19671</v>
      </c>
      <c r="E6309">
        <v>0.5</v>
      </c>
      <c r="F6309">
        <v>6971</v>
      </c>
      <c r="G6309">
        <v>1371</v>
      </c>
      <c r="H6309">
        <v>6285</v>
      </c>
      <c r="I6309">
        <v>24961</v>
      </c>
    </row>
    <row r="6310" spans="1:9">
      <c r="A6310" s="2">
        <v>2006</v>
      </c>
      <c r="B6310">
        <v>90</v>
      </c>
      <c r="C6310">
        <v>0.21576000000000001</v>
      </c>
      <c r="D6310">
        <v>0.19475000000000001</v>
      </c>
      <c r="E6310">
        <v>0.5</v>
      </c>
      <c r="F6310">
        <v>5599</v>
      </c>
      <c r="G6310">
        <v>1090</v>
      </c>
      <c r="H6310">
        <v>5054</v>
      </c>
      <c r="I6310">
        <v>18676</v>
      </c>
    </row>
    <row r="6311" spans="1:9">
      <c r="A6311" s="2">
        <v>2006</v>
      </c>
      <c r="B6311">
        <v>91</v>
      </c>
      <c r="C6311">
        <v>0.31524000000000002</v>
      </c>
      <c r="D6311">
        <v>0.27232000000000001</v>
      </c>
      <c r="E6311">
        <v>0.5</v>
      </c>
      <c r="F6311">
        <v>4509</v>
      </c>
      <c r="G6311">
        <v>1228</v>
      </c>
      <c r="H6311">
        <v>3895</v>
      </c>
      <c r="I6311">
        <v>13621</v>
      </c>
    </row>
    <row r="6312" spans="1:9">
      <c r="A6312" s="2">
        <v>2006</v>
      </c>
      <c r="B6312">
        <v>92</v>
      </c>
      <c r="C6312">
        <v>0.27207999999999999</v>
      </c>
      <c r="D6312">
        <v>0.23949999999999999</v>
      </c>
      <c r="E6312">
        <v>0.5</v>
      </c>
      <c r="F6312">
        <v>3281</v>
      </c>
      <c r="G6312">
        <v>786</v>
      </c>
      <c r="H6312">
        <v>2888</v>
      </c>
      <c r="I6312">
        <v>9726</v>
      </c>
    </row>
    <row r="6313" spans="1:9">
      <c r="A6313" s="2">
        <v>2006</v>
      </c>
      <c r="B6313">
        <v>93</v>
      </c>
      <c r="C6313">
        <v>0.33228000000000002</v>
      </c>
      <c r="D6313">
        <v>0.28494000000000003</v>
      </c>
      <c r="E6313">
        <v>0.5</v>
      </c>
      <c r="F6313">
        <v>2495</v>
      </c>
      <c r="G6313">
        <v>711</v>
      </c>
      <c r="H6313">
        <v>2140</v>
      </c>
      <c r="I6313">
        <v>6838</v>
      </c>
    </row>
    <row r="6314" spans="1:9">
      <c r="A6314" s="2">
        <v>2006</v>
      </c>
      <c r="B6314">
        <v>94</v>
      </c>
      <c r="C6314">
        <v>0.34311999999999998</v>
      </c>
      <c r="D6314">
        <v>0.29287999999999997</v>
      </c>
      <c r="E6314">
        <v>0.5</v>
      </c>
      <c r="F6314">
        <v>1784</v>
      </c>
      <c r="G6314">
        <v>523</v>
      </c>
      <c r="H6314">
        <v>1523</v>
      </c>
      <c r="I6314">
        <v>4699</v>
      </c>
    </row>
    <row r="6315" spans="1:9">
      <c r="A6315" s="2">
        <v>2006</v>
      </c>
      <c r="B6315">
        <v>95</v>
      </c>
      <c r="C6315">
        <v>0.35407</v>
      </c>
      <c r="D6315">
        <v>0.30081000000000002</v>
      </c>
      <c r="E6315">
        <v>0.5</v>
      </c>
      <c r="F6315">
        <v>1262</v>
      </c>
      <c r="G6315">
        <v>380</v>
      </c>
      <c r="H6315">
        <v>1072</v>
      </c>
      <c r="I6315">
        <v>3176</v>
      </c>
    </row>
    <row r="6316" spans="1:9">
      <c r="A6316" s="2">
        <v>2006</v>
      </c>
      <c r="B6316">
        <v>96</v>
      </c>
      <c r="C6316">
        <v>0.37791999999999998</v>
      </c>
      <c r="D6316">
        <v>0.31785999999999998</v>
      </c>
      <c r="E6316">
        <v>0.5</v>
      </c>
      <c r="F6316">
        <v>882</v>
      </c>
      <c r="G6316">
        <v>280</v>
      </c>
      <c r="H6316">
        <v>742</v>
      </c>
      <c r="I6316">
        <v>2104</v>
      </c>
    </row>
    <row r="6317" spans="1:9">
      <c r="A6317" s="2">
        <v>2006</v>
      </c>
      <c r="B6317">
        <v>97</v>
      </c>
      <c r="C6317">
        <v>0.40237000000000001</v>
      </c>
      <c r="D6317">
        <v>0.33498</v>
      </c>
      <c r="E6317">
        <v>0.5</v>
      </c>
      <c r="F6317">
        <v>602</v>
      </c>
      <c r="G6317">
        <v>202</v>
      </c>
      <c r="H6317">
        <v>501</v>
      </c>
      <c r="I6317">
        <v>1362</v>
      </c>
    </row>
    <row r="6318" spans="1:9">
      <c r="A6318" s="2">
        <v>2006</v>
      </c>
      <c r="B6318">
        <v>98</v>
      </c>
      <c r="C6318">
        <v>0.42732999999999999</v>
      </c>
      <c r="D6318">
        <v>0.35210000000000002</v>
      </c>
      <c r="E6318">
        <v>0.5</v>
      </c>
      <c r="F6318">
        <v>400</v>
      </c>
      <c r="G6318">
        <v>141</v>
      </c>
      <c r="H6318">
        <v>330</v>
      </c>
      <c r="I6318">
        <v>861</v>
      </c>
    </row>
    <row r="6319" spans="1:9">
      <c r="A6319" s="2">
        <v>2006</v>
      </c>
      <c r="B6319">
        <v>99</v>
      </c>
      <c r="C6319">
        <v>0.45265</v>
      </c>
      <c r="D6319">
        <v>0.36910999999999999</v>
      </c>
      <c r="E6319">
        <v>0.5</v>
      </c>
      <c r="F6319">
        <v>259</v>
      </c>
      <c r="G6319">
        <v>96</v>
      </c>
      <c r="H6319">
        <v>211</v>
      </c>
      <c r="I6319">
        <v>531</v>
      </c>
    </row>
    <row r="6320" spans="1:9">
      <c r="A6320" s="2">
        <v>2006</v>
      </c>
      <c r="B6320">
        <v>100</v>
      </c>
      <c r="C6320">
        <v>0.47822999999999999</v>
      </c>
      <c r="D6320">
        <v>0.38594000000000001</v>
      </c>
      <c r="E6320">
        <v>0.5</v>
      </c>
      <c r="F6320">
        <v>164</v>
      </c>
      <c r="G6320">
        <v>63</v>
      </c>
      <c r="H6320">
        <v>132</v>
      </c>
      <c r="I6320">
        <v>320</v>
      </c>
    </row>
    <row r="6321" spans="1:9">
      <c r="A6321" s="2">
        <v>2006</v>
      </c>
      <c r="B6321">
        <v>101</v>
      </c>
      <c r="C6321">
        <v>0.50392000000000003</v>
      </c>
      <c r="D6321">
        <v>0.40250000000000002</v>
      </c>
      <c r="E6321">
        <v>0.5</v>
      </c>
      <c r="F6321">
        <v>100</v>
      </c>
      <c r="G6321">
        <v>40</v>
      </c>
      <c r="H6321">
        <v>80</v>
      </c>
      <c r="I6321">
        <v>188</v>
      </c>
    </row>
    <row r="6322" spans="1:9">
      <c r="A6322" s="2">
        <v>2006</v>
      </c>
      <c r="B6322">
        <v>102</v>
      </c>
      <c r="C6322">
        <v>0.52959000000000001</v>
      </c>
      <c r="D6322">
        <v>0.41871000000000003</v>
      </c>
      <c r="E6322">
        <v>0.5</v>
      </c>
      <c r="F6322">
        <v>60</v>
      </c>
      <c r="G6322">
        <v>25</v>
      </c>
      <c r="H6322">
        <v>47</v>
      </c>
      <c r="I6322">
        <v>107</v>
      </c>
    </row>
    <row r="6323" spans="1:9">
      <c r="A6323" s="2">
        <v>2006</v>
      </c>
      <c r="B6323">
        <v>103</v>
      </c>
      <c r="C6323">
        <v>0.55510000000000004</v>
      </c>
      <c r="D6323">
        <v>0.4345</v>
      </c>
      <c r="E6323">
        <v>0.5</v>
      </c>
      <c r="F6323">
        <v>35</v>
      </c>
      <c r="G6323">
        <v>15</v>
      </c>
      <c r="H6323">
        <v>27</v>
      </c>
      <c r="I6323">
        <v>60</v>
      </c>
    </row>
    <row r="6324" spans="1:9">
      <c r="A6324" s="2">
        <v>2006</v>
      </c>
      <c r="B6324">
        <v>104</v>
      </c>
      <c r="C6324">
        <v>0.58033000000000001</v>
      </c>
      <c r="D6324">
        <v>0.44980999999999999</v>
      </c>
      <c r="E6324">
        <v>0.5</v>
      </c>
      <c r="F6324">
        <v>20</v>
      </c>
      <c r="G6324">
        <v>9</v>
      </c>
      <c r="H6324">
        <v>15</v>
      </c>
      <c r="I6324">
        <v>33</v>
      </c>
    </row>
    <row r="6325" spans="1:9">
      <c r="A6325" s="2">
        <v>2006</v>
      </c>
      <c r="B6325">
        <v>105</v>
      </c>
      <c r="C6325">
        <v>0.60514000000000001</v>
      </c>
      <c r="D6325">
        <v>0.46456999999999998</v>
      </c>
      <c r="E6325">
        <v>0.5</v>
      </c>
      <c r="F6325">
        <v>11</v>
      </c>
      <c r="G6325">
        <v>5</v>
      </c>
      <c r="H6325">
        <v>8</v>
      </c>
      <c r="I6325">
        <v>17</v>
      </c>
    </row>
    <row r="6326" spans="1:9">
      <c r="A6326" s="2">
        <v>2006</v>
      </c>
      <c r="B6326">
        <v>106</v>
      </c>
      <c r="C6326">
        <v>0.62941999999999998</v>
      </c>
      <c r="D6326">
        <v>0.47875000000000001</v>
      </c>
      <c r="E6326">
        <v>0.5</v>
      </c>
      <c r="F6326">
        <v>6</v>
      </c>
      <c r="G6326">
        <v>3</v>
      </c>
      <c r="H6326">
        <v>4</v>
      </c>
      <c r="I6326">
        <v>9</v>
      </c>
    </row>
    <row r="6327" spans="1:9">
      <c r="A6327" s="2">
        <v>2006</v>
      </c>
      <c r="B6327">
        <v>107</v>
      </c>
      <c r="C6327">
        <v>0.65307000000000004</v>
      </c>
      <c r="D6327">
        <v>0.49231000000000003</v>
      </c>
      <c r="E6327">
        <v>0.5</v>
      </c>
      <c r="F6327">
        <v>3</v>
      </c>
      <c r="G6327">
        <v>1</v>
      </c>
      <c r="H6327">
        <v>2</v>
      </c>
      <c r="I6327">
        <v>5</v>
      </c>
    </row>
    <row r="6328" spans="1:9">
      <c r="A6328" s="2">
        <v>2006</v>
      </c>
      <c r="B6328">
        <v>108</v>
      </c>
      <c r="C6328">
        <v>0.67598000000000003</v>
      </c>
      <c r="D6328">
        <v>0.50522</v>
      </c>
      <c r="E6328">
        <v>0.5</v>
      </c>
      <c r="F6328">
        <v>2</v>
      </c>
      <c r="G6328">
        <v>1</v>
      </c>
      <c r="H6328">
        <v>1</v>
      </c>
      <c r="I6328">
        <v>2</v>
      </c>
    </row>
    <row r="6329" spans="1:9">
      <c r="A6329" s="2">
        <v>2006</v>
      </c>
      <c r="B6329">
        <v>109</v>
      </c>
      <c r="C6329">
        <v>0.69808000000000003</v>
      </c>
      <c r="D6329">
        <v>0.51746000000000003</v>
      </c>
      <c r="E6329">
        <v>0.5</v>
      </c>
      <c r="F6329">
        <v>1</v>
      </c>
      <c r="G6329">
        <v>0</v>
      </c>
      <c r="H6329">
        <v>1</v>
      </c>
      <c r="I6329">
        <v>1</v>
      </c>
    </row>
    <row r="6330" spans="1:9">
      <c r="A6330" s="2">
        <v>2006</v>
      </c>
      <c r="B6330" t="s">
        <v>26</v>
      </c>
      <c r="C6330">
        <v>0.71930000000000005</v>
      </c>
      <c r="D6330">
        <v>1</v>
      </c>
      <c r="E6330">
        <v>1.39</v>
      </c>
      <c r="F6330">
        <v>0</v>
      </c>
      <c r="G6330">
        <v>0</v>
      </c>
      <c r="H6330">
        <v>1</v>
      </c>
      <c r="I6330">
        <v>1</v>
      </c>
    </row>
    <row r="6331" spans="1:9">
      <c r="A6331" s="2">
        <v>2007</v>
      </c>
      <c r="B6331">
        <v>0</v>
      </c>
      <c r="C6331">
        <v>6.2100000000000002E-3</v>
      </c>
      <c r="D6331">
        <v>6.1799999999999997E-3</v>
      </c>
      <c r="E6331">
        <v>0.14000000000000001</v>
      </c>
      <c r="F6331">
        <v>100000</v>
      </c>
      <c r="G6331">
        <v>618</v>
      </c>
      <c r="H6331">
        <v>99467</v>
      </c>
      <c r="I6331">
        <v>6925469</v>
      </c>
    </row>
    <row r="6332" spans="1:9">
      <c r="A6332" s="2">
        <v>2007</v>
      </c>
      <c r="B6332">
        <v>1</v>
      </c>
      <c r="C6332">
        <v>4.2000000000000002E-4</v>
      </c>
      <c r="D6332">
        <v>4.2000000000000002E-4</v>
      </c>
      <c r="E6332">
        <v>0.5</v>
      </c>
      <c r="F6332">
        <v>99382</v>
      </c>
      <c r="G6332">
        <v>41</v>
      </c>
      <c r="H6332">
        <v>99362</v>
      </c>
      <c r="I6332">
        <v>6826002</v>
      </c>
    </row>
    <row r="6333" spans="1:9">
      <c r="A6333" s="2">
        <v>2007</v>
      </c>
      <c r="B6333">
        <v>2</v>
      </c>
      <c r="C6333">
        <v>3.8000000000000002E-4</v>
      </c>
      <c r="D6333">
        <v>3.8000000000000002E-4</v>
      </c>
      <c r="E6333">
        <v>0.5</v>
      </c>
      <c r="F6333">
        <v>99341</v>
      </c>
      <c r="G6333">
        <v>38</v>
      </c>
      <c r="H6333">
        <v>99322</v>
      </c>
      <c r="I6333">
        <v>6726640</v>
      </c>
    </row>
    <row r="6334" spans="1:9">
      <c r="A6334" s="2">
        <v>2007</v>
      </c>
      <c r="B6334">
        <v>3</v>
      </c>
      <c r="C6334">
        <v>2.3000000000000001E-4</v>
      </c>
      <c r="D6334">
        <v>2.3000000000000001E-4</v>
      </c>
      <c r="E6334">
        <v>0.5</v>
      </c>
      <c r="F6334">
        <v>99303</v>
      </c>
      <c r="G6334">
        <v>23</v>
      </c>
      <c r="H6334">
        <v>99292</v>
      </c>
      <c r="I6334">
        <v>6627318</v>
      </c>
    </row>
    <row r="6335" spans="1:9">
      <c r="A6335" s="2">
        <v>2007</v>
      </c>
      <c r="B6335">
        <v>4</v>
      </c>
      <c r="C6335">
        <v>1.8000000000000001E-4</v>
      </c>
      <c r="D6335">
        <v>1.8000000000000001E-4</v>
      </c>
      <c r="E6335">
        <v>0.5</v>
      </c>
      <c r="F6335">
        <v>99281</v>
      </c>
      <c r="G6335">
        <v>18</v>
      </c>
      <c r="H6335">
        <v>99272</v>
      </c>
      <c r="I6335">
        <v>6528026</v>
      </c>
    </row>
    <row r="6336" spans="1:9">
      <c r="A6336" s="2">
        <v>2007</v>
      </c>
      <c r="B6336">
        <v>5</v>
      </c>
      <c r="C6336">
        <v>1.3999999999999999E-4</v>
      </c>
      <c r="D6336">
        <v>1.3999999999999999E-4</v>
      </c>
      <c r="E6336">
        <v>0.5</v>
      </c>
      <c r="F6336">
        <v>99262</v>
      </c>
      <c r="G6336">
        <v>14</v>
      </c>
      <c r="H6336">
        <v>99255</v>
      </c>
      <c r="I6336">
        <v>6428754</v>
      </c>
    </row>
    <row r="6337" spans="1:9">
      <c r="A6337" s="2">
        <v>2007</v>
      </c>
      <c r="B6337">
        <v>6</v>
      </c>
      <c r="C6337">
        <v>1.6000000000000001E-4</v>
      </c>
      <c r="D6337">
        <v>1.6000000000000001E-4</v>
      </c>
      <c r="E6337">
        <v>0.5</v>
      </c>
      <c r="F6337">
        <v>99248</v>
      </c>
      <c r="G6337">
        <v>16</v>
      </c>
      <c r="H6337">
        <v>99241</v>
      </c>
      <c r="I6337">
        <v>6329499</v>
      </c>
    </row>
    <row r="6338" spans="1:9">
      <c r="A6338" s="2">
        <v>2007</v>
      </c>
      <c r="B6338">
        <v>7</v>
      </c>
      <c r="C6338">
        <v>1E-4</v>
      </c>
      <c r="D6338">
        <v>1E-4</v>
      </c>
      <c r="E6338">
        <v>0.5</v>
      </c>
      <c r="F6338">
        <v>99233</v>
      </c>
      <c r="G6338">
        <v>10</v>
      </c>
      <c r="H6338">
        <v>99228</v>
      </c>
      <c r="I6338">
        <v>6230258</v>
      </c>
    </row>
    <row r="6339" spans="1:9">
      <c r="A6339" s="2">
        <v>2007</v>
      </c>
      <c r="B6339">
        <v>8</v>
      </c>
      <c r="C6339">
        <v>1E-4</v>
      </c>
      <c r="D6339">
        <v>1E-4</v>
      </c>
      <c r="E6339">
        <v>0.5</v>
      </c>
      <c r="F6339">
        <v>99223</v>
      </c>
      <c r="G6339">
        <v>10</v>
      </c>
      <c r="H6339">
        <v>99217</v>
      </c>
      <c r="I6339">
        <v>6131031</v>
      </c>
    </row>
    <row r="6340" spans="1:9">
      <c r="A6340" s="2">
        <v>2007</v>
      </c>
      <c r="B6340">
        <v>9</v>
      </c>
      <c r="C6340">
        <v>1.3999999999999999E-4</v>
      </c>
      <c r="D6340">
        <v>1.3999999999999999E-4</v>
      </c>
      <c r="E6340">
        <v>0.5</v>
      </c>
      <c r="F6340">
        <v>99212</v>
      </c>
      <c r="G6340">
        <v>14</v>
      </c>
      <c r="H6340">
        <v>99205</v>
      </c>
      <c r="I6340">
        <v>6031813</v>
      </c>
    </row>
    <row r="6341" spans="1:9">
      <c r="A6341" s="2">
        <v>2007</v>
      </c>
      <c r="B6341">
        <v>10</v>
      </c>
      <c r="C6341">
        <v>8.0000000000000007E-5</v>
      </c>
      <c r="D6341">
        <v>8.0000000000000007E-5</v>
      </c>
      <c r="E6341">
        <v>0.5</v>
      </c>
      <c r="F6341">
        <v>99198</v>
      </c>
      <c r="G6341">
        <v>8</v>
      </c>
      <c r="H6341">
        <v>99195</v>
      </c>
      <c r="I6341">
        <v>5932608</v>
      </c>
    </row>
    <row r="6342" spans="1:9">
      <c r="A6342" s="2">
        <v>2007</v>
      </c>
      <c r="B6342">
        <v>11</v>
      </c>
      <c r="C6342">
        <v>2.9E-4</v>
      </c>
      <c r="D6342">
        <v>2.9E-4</v>
      </c>
      <c r="E6342">
        <v>0.5</v>
      </c>
      <c r="F6342">
        <v>99191</v>
      </c>
      <c r="G6342">
        <v>28</v>
      </c>
      <c r="H6342">
        <v>99177</v>
      </c>
      <c r="I6342">
        <v>5833413</v>
      </c>
    </row>
    <row r="6343" spans="1:9">
      <c r="A6343" s="2">
        <v>2007</v>
      </c>
      <c r="B6343">
        <v>12</v>
      </c>
      <c r="C6343">
        <v>1.6000000000000001E-4</v>
      </c>
      <c r="D6343">
        <v>1.6000000000000001E-4</v>
      </c>
      <c r="E6343">
        <v>0.5</v>
      </c>
      <c r="F6343">
        <v>99162</v>
      </c>
      <c r="G6343">
        <v>16</v>
      </c>
      <c r="H6343">
        <v>99155</v>
      </c>
      <c r="I6343">
        <v>5734237</v>
      </c>
    </row>
    <row r="6344" spans="1:9">
      <c r="A6344" s="2">
        <v>2007</v>
      </c>
      <c r="B6344">
        <v>13</v>
      </c>
      <c r="C6344">
        <v>2.2000000000000001E-4</v>
      </c>
      <c r="D6344">
        <v>2.2000000000000001E-4</v>
      </c>
      <c r="E6344">
        <v>0.5</v>
      </c>
      <c r="F6344">
        <v>99147</v>
      </c>
      <c r="G6344">
        <v>22</v>
      </c>
      <c r="H6344">
        <v>99136</v>
      </c>
      <c r="I6344">
        <v>5635082</v>
      </c>
    </row>
    <row r="6345" spans="1:9">
      <c r="A6345" s="2">
        <v>2007</v>
      </c>
      <c r="B6345">
        <v>14</v>
      </c>
      <c r="C6345">
        <v>3.6999999999999999E-4</v>
      </c>
      <c r="D6345">
        <v>3.6999999999999999E-4</v>
      </c>
      <c r="E6345">
        <v>0.5</v>
      </c>
      <c r="F6345">
        <v>99125</v>
      </c>
      <c r="G6345">
        <v>36</v>
      </c>
      <c r="H6345">
        <v>99107</v>
      </c>
      <c r="I6345">
        <v>5535947</v>
      </c>
    </row>
    <row r="6346" spans="1:9">
      <c r="A6346" s="2">
        <v>2007</v>
      </c>
      <c r="B6346">
        <v>15</v>
      </c>
      <c r="C6346">
        <v>4.0000000000000002E-4</v>
      </c>
      <c r="D6346">
        <v>4.0000000000000002E-4</v>
      </c>
      <c r="E6346">
        <v>0.5</v>
      </c>
      <c r="F6346">
        <v>99088</v>
      </c>
      <c r="G6346">
        <v>39</v>
      </c>
      <c r="H6346">
        <v>99069</v>
      </c>
      <c r="I6346">
        <v>5436840</v>
      </c>
    </row>
    <row r="6347" spans="1:9">
      <c r="A6347" s="2">
        <v>2007</v>
      </c>
      <c r="B6347">
        <v>16</v>
      </c>
      <c r="C6347">
        <v>4.2000000000000002E-4</v>
      </c>
      <c r="D6347">
        <v>4.2000000000000002E-4</v>
      </c>
      <c r="E6347">
        <v>0.5</v>
      </c>
      <c r="F6347">
        <v>99049</v>
      </c>
      <c r="G6347">
        <v>41</v>
      </c>
      <c r="H6347">
        <v>99028</v>
      </c>
      <c r="I6347">
        <v>5337771</v>
      </c>
    </row>
    <row r="6348" spans="1:9">
      <c r="A6348" s="2">
        <v>2007</v>
      </c>
      <c r="B6348">
        <v>17</v>
      </c>
      <c r="C6348">
        <v>4.4000000000000002E-4</v>
      </c>
      <c r="D6348">
        <v>4.4000000000000002E-4</v>
      </c>
      <c r="E6348">
        <v>0.5</v>
      </c>
      <c r="F6348">
        <v>99008</v>
      </c>
      <c r="G6348">
        <v>44</v>
      </c>
      <c r="H6348">
        <v>98986</v>
      </c>
      <c r="I6348">
        <v>5238743</v>
      </c>
    </row>
    <row r="6349" spans="1:9">
      <c r="A6349" s="2">
        <v>2007</v>
      </c>
      <c r="B6349">
        <v>18</v>
      </c>
      <c r="C6349">
        <v>7.6000000000000004E-4</v>
      </c>
      <c r="D6349">
        <v>7.6000000000000004E-4</v>
      </c>
      <c r="E6349">
        <v>0.5</v>
      </c>
      <c r="F6349">
        <v>98964</v>
      </c>
      <c r="G6349">
        <v>75</v>
      </c>
      <c r="H6349">
        <v>98926</v>
      </c>
      <c r="I6349">
        <v>5139757</v>
      </c>
    </row>
    <row r="6350" spans="1:9">
      <c r="A6350" s="2">
        <v>2007</v>
      </c>
      <c r="B6350">
        <v>19</v>
      </c>
      <c r="C6350">
        <v>7.5000000000000002E-4</v>
      </c>
      <c r="D6350">
        <v>7.5000000000000002E-4</v>
      </c>
      <c r="E6350">
        <v>0.5</v>
      </c>
      <c r="F6350">
        <v>98889</v>
      </c>
      <c r="G6350">
        <v>74</v>
      </c>
      <c r="H6350">
        <v>98852</v>
      </c>
      <c r="I6350">
        <v>5040831</v>
      </c>
    </row>
    <row r="6351" spans="1:9">
      <c r="A6351" s="2">
        <v>2007</v>
      </c>
      <c r="B6351">
        <v>20</v>
      </c>
      <c r="C6351">
        <v>6.8000000000000005E-4</v>
      </c>
      <c r="D6351">
        <v>6.8000000000000005E-4</v>
      </c>
      <c r="E6351">
        <v>0.5</v>
      </c>
      <c r="F6351">
        <v>98815</v>
      </c>
      <c r="G6351">
        <v>67</v>
      </c>
      <c r="H6351">
        <v>98781</v>
      </c>
      <c r="I6351">
        <v>4941979</v>
      </c>
    </row>
    <row r="6352" spans="1:9">
      <c r="A6352" s="2">
        <v>2007</v>
      </c>
      <c r="B6352">
        <v>21</v>
      </c>
      <c r="C6352">
        <v>8.7000000000000001E-4</v>
      </c>
      <c r="D6352">
        <v>8.7000000000000001E-4</v>
      </c>
      <c r="E6352">
        <v>0.5</v>
      </c>
      <c r="F6352">
        <v>98748</v>
      </c>
      <c r="G6352">
        <v>86</v>
      </c>
      <c r="H6352">
        <v>98705</v>
      </c>
      <c r="I6352">
        <v>4843198</v>
      </c>
    </row>
    <row r="6353" spans="1:9">
      <c r="A6353" s="2">
        <v>2007</v>
      </c>
      <c r="B6353">
        <v>22</v>
      </c>
      <c r="C6353">
        <v>7.2000000000000005E-4</v>
      </c>
      <c r="D6353">
        <v>7.2000000000000005E-4</v>
      </c>
      <c r="E6353">
        <v>0.5</v>
      </c>
      <c r="F6353">
        <v>98662</v>
      </c>
      <c r="G6353">
        <v>71</v>
      </c>
      <c r="H6353">
        <v>98627</v>
      </c>
      <c r="I6353">
        <v>4744492</v>
      </c>
    </row>
    <row r="6354" spans="1:9">
      <c r="A6354" s="2">
        <v>2007</v>
      </c>
      <c r="B6354">
        <v>23</v>
      </c>
      <c r="C6354">
        <v>7.3999999999999999E-4</v>
      </c>
      <c r="D6354">
        <v>7.3999999999999999E-4</v>
      </c>
      <c r="E6354">
        <v>0.5</v>
      </c>
      <c r="F6354">
        <v>98592</v>
      </c>
      <c r="G6354">
        <v>73</v>
      </c>
      <c r="H6354">
        <v>98555</v>
      </c>
      <c r="I6354">
        <v>4645865</v>
      </c>
    </row>
    <row r="6355" spans="1:9">
      <c r="A6355" s="2">
        <v>2007</v>
      </c>
      <c r="B6355">
        <v>24</v>
      </c>
      <c r="C6355">
        <v>7.5000000000000002E-4</v>
      </c>
      <c r="D6355">
        <v>7.5000000000000002E-4</v>
      </c>
      <c r="E6355">
        <v>0.5</v>
      </c>
      <c r="F6355">
        <v>98518</v>
      </c>
      <c r="G6355">
        <v>74</v>
      </c>
      <c r="H6355">
        <v>98481</v>
      </c>
      <c r="I6355">
        <v>4547310</v>
      </c>
    </row>
    <row r="6356" spans="1:9">
      <c r="A6356" s="2">
        <v>2007</v>
      </c>
      <c r="B6356">
        <v>25</v>
      </c>
      <c r="C6356">
        <v>8.4999999999999995E-4</v>
      </c>
      <c r="D6356">
        <v>8.4999999999999995E-4</v>
      </c>
      <c r="E6356">
        <v>0.5</v>
      </c>
      <c r="F6356">
        <v>98445</v>
      </c>
      <c r="G6356">
        <v>84</v>
      </c>
      <c r="H6356">
        <v>98403</v>
      </c>
      <c r="I6356">
        <v>4448829</v>
      </c>
    </row>
    <row r="6357" spans="1:9">
      <c r="A6357" s="2">
        <v>2007</v>
      </c>
      <c r="B6357">
        <v>26</v>
      </c>
      <c r="C6357">
        <v>8.4999999999999995E-4</v>
      </c>
      <c r="D6357">
        <v>8.4999999999999995E-4</v>
      </c>
      <c r="E6357">
        <v>0.5</v>
      </c>
      <c r="F6357">
        <v>98361</v>
      </c>
      <c r="G6357">
        <v>84</v>
      </c>
      <c r="H6357">
        <v>98319</v>
      </c>
      <c r="I6357">
        <v>4350426</v>
      </c>
    </row>
    <row r="6358" spans="1:9">
      <c r="A6358" s="2">
        <v>2007</v>
      </c>
      <c r="B6358">
        <v>27</v>
      </c>
      <c r="C6358">
        <v>8.1999999999999998E-4</v>
      </c>
      <c r="D6358">
        <v>8.1999999999999998E-4</v>
      </c>
      <c r="E6358">
        <v>0.5</v>
      </c>
      <c r="F6358">
        <v>98277</v>
      </c>
      <c r="G6358">
        <v>80</v>
      </c>
      <c r="H6358">
        <v>98237</v>
      </c>
      <c r="I6358">
        <v>4252107</v>
      </c>
    </row>
    <row r="6359" spans="1:9">
      <c r="A6359" s="2">
        <v>2007</v>
      </c>
      <c r="B6359">
        <v>28</v>
      </c>
      <c r="C6359">
        <v>8.4999999999999995E-4</v>
      </c>
      <c r="D6359">
        <v>8.4999999999999995E-4</v>
      </c>
      <c r="E6359">
        <v>0.5</v>
      </c>
      <c r="F6359">
        <v>98197</v>
      </c>
      <c r="G6359">
        <v>84</v>
      </c>
      <c r="H6359">
        <v>98155</v>
      </c>
      <c r="I6359">
        <v>4153871</v>
      </c>
    </row>
    <row r="6360" spans="1:9">
      <c r="A6360" s="2">
        <v>2007</v>
      </c>
      <c r="B6360">
        <v>29</v>
      </c>
      <c r="C6360">
        <v>1.1299999999999999E-3</v>
      </c>
      <c r="D6360">
        <v>1.1299999999999999E-3</v>
      </c>
      <c r="E6360">
        <v>0.5</v>
      </c>
      <c r="F6360">
        <v>98113</v>
      </c>
      <c r="G6360">
        <v>111</v>
      </c>
      <c r="H6360">
        <v>98058</v>
      </c>
      <c r="I6360">
        <v>4055716</v>
      </c>
    </row>
    <row r="6361" spans="1:9">
      <c r="A6361" s="2">
        <v>2007</v>
      </c>
      <c r="B6361">
        <v>30</v>
      </c>
      <c r="C6361">
        <v>1.06E-3</v>
      </c>
      <c r="D6361">
        <v>1.06E-3</v>
      </c>
      <c r="E6361">
        <v>0.5</v>
      </c>
      <c r="F6361">
        <v>98002</v>
      </c>
      <c r="G6361">
        <v>103</v>
      </c>
      <c r="H6361">
        <v>97950</v>
      </c>
      <c r="I6361">
        <v>3957658</v>
      </c>
    </row>
    <row r="6362" spans="1:9">
      <c r="A6362" s="2">
        <v>2007</v>
      </c>
      <c r="B6362">
        <v>31</v>
      </c>
      <c r="C6362">
        <v>1.31E-3</v>
      </c>
      <c r="D6362">
        <v>1.31E-3</v>
      </c>
      <c r="E6362">
        <v>0.5</v>
      </c>
      <c r="F6362">
        <v>97899</v>
      </c>
      <c r="G6362">
        <v>128</v>
      </c>
      <c r="H6362">
        <v>97835</v>
      </c>
      <c r="I6362">
        <v>3859708</v>
      </c>
    </row>
    <row r="6363" spans="1:9">
      <c r="A6363" s="2">
        <v>2007</v>
      </c>
      <c r="B6363">
        <v>32</v>
      </c>
      <c r="C6363">
        <v>1.2999999999999999E-3</v>
      </c>
      <c r="D6363">
        <v>1.2999999999999999E-3</v>
      </c>
      <c r="E6363">
        <v>0.5</v>
      </c>
      <c r="F6363">
        <v>97771</v>
      </c>
      <c r="G6363">
        <v>127</v>
      </c>
      <c r="H6363">
        <v>97707</v>
      </c>
      <c r="I6363">
        <v>3761873</v>
      </c>
    </row>
    <row r="6364" spans="1:9">
      <c r="A6364" s="2">
        <v>2007</v>
      </c>
      <c r="B6364">
        <v>33</v>
      </c>
      <c r="C6364">
        <v>1.5E-3</v>
      </c>
      <c r="D6364">
        <v>1.5E-3</v>
      </c>
      <c r="E6364">
        <v>0.5</v>
      </c>
      <c r="F6364">
        <v>97643</v>
      </c>
      <c r="G6364">
        <v>147</v>
      </c>
      <c r="H6364">
        <v>97570</v>
      </c>
      <c r="I6364">
        <v>3664166</v>
      </c>
    </row>
    <row r="6365" spans="1:9">
      <c r="A6365" s="2">
        <v>2007</v>
      </c>
      <c r="B6365">
        <v>34</v>
      </c>
      <c r="C6365">
        <v>1.8600000000000001E-3</v>
      </c>
      <c r="D6365">
        <v>1.8600000000000001E-3</v>
      </c>
      <c r="E6365">
        <v>0.5</v>
      </c>
      <c r="F6365">
        <v>97497</v>
      </c>
      <c r="G6365">
        <v>181</v>
      </c>
      <c r="H6365">
        <v>97406</v>
      </c>
      <c r="I6365">
        <v>3566596</v>
      </c>
    </row>
    <row r="6366" spans="1:9">
      <c r="A6366" s="2">
        <v>2007</v>
      </c>
      <c r="B6366">
        <v>35</v>
      </c>
      <c r="C6366">
        <v>1.83E-3</v>
      </c>
      <c r="D6366">
        <v>1.83E-3</v>
      </c>
      <c r="E6366">
        <v>0.5</v>
      </c>
      <c r="F6366">
        <v>97315</v>
      </c>
      <c r="G6366">
        <v>178</v>
      </c>
      <c r="H6366">
        <v>97226</v>
      </c>
      <c r="I6366">
        <v>3469190</v>
      </c>
    </row>
    <row r="6367" spans="1:9">
      <c r="A6367" s="2">
        <v>2007</v>
      </c>
      <c r="B6367">
        <v>36</v>
      </c>
      <c r="C6367">
        <v>1.91E-3</v>
      </c>
      <c r="D6367">
        <v>1.9E-3</v>
      </c>
      <c r="E6367">
        <v>0.5</v>
      </c>
      <c r="F6367">
        <v>97137</v>
      </c>
      <c r="G6367">
        <v>185</v>
      </c>
      <c r="H6367">
        <v>97045</v>
      </c>
      <c r="I6367">
        <v>3371964</v>
      </c>
    </row>
    <row r="6368" spans="1:9">
      <c r="A6368" s="2">
        <v>2007</v>
      </c>
      <c r="B6368">
        <v>37</v>
      </c>
      <c r="C6368">
        <v>2.3E-3</v>
      </c>
      <c r="D6368">
        <v>2.2899999999999999E-3</v>
      </c>
      <c r="E6368">
        <v>0.5</v>
      </c>
      <c r="F6368">
        <v>96952</v>
      </c>
      <c r="G6368">
        <v>222</v>
      </c>
      <c r="H6368">
        <v>96841</v>
      </c>
      <c r="I6368">
        <v>3274919</v>
      </c>
    </row>
    <row r="6369" spans="1:9">
      <c r="A6369" s="2">
        <v>2007</v>
      </c>
      <c r="B6369">
        <v>38</v>
      </c>
      <c r="C6369">
        <v>2.5400000000000002E-3</v>
      </c>
      <c r="D6369">
        <v>2.5400000000000002E-3</v>
      </c>
      <c r="E6369">
        <v>0.5</v>
      </c>
      <c r="F6369">
        <v>96730</v>
      </c>
      <c r="G6369">
        <v>246</v>
      </c>
      <c r="H6369">
        <v>96607</v>
      </c>
      <c r="I6369">
        <v>3178079</v>
      </c>
    </row>
    <row r="6370" spans="1:9">
      <c r="A6370" s="2">
        <v>2007</v>
      </c>
      <c r="B6370">
        <v>39</v>
      </c>
      <c r="C6370">
        <v>3.2499999999999999E-3</v>
      </c>
      <c r="D6370">
        <v>3.2399999999999998E-3</v>
      </c>
      <c r="E6370">
        <v>0.5</v>
      </c>
      <c r="F6370">
        <v>96484</v>
      </c>
      <c r="G6370">
        <v>313</v>
      </c>
      <c r="H6370">
        <v>96328</v>
      </c>
      <c r="I6370">
        <v>3081472</v>
      </c>
    </row>
    <row r="6371" spans="1:9">
      <c r="A6371" s="2">
        <v>2007</v>
      </c>
      <c r="B6371">
        <v>40</v>
      </c>
      <c r="C6371">
        <v>3.64E-3</v>
      </c>
      <c r="D6371">
        <v>3.64E-3</v>
      </c>
      <c r="E6371">
        <v>0.5</v>
      </c>
      <c r="F6371">
        <v>96171</v>
      </c>
      <c r="G6371">
        <v>350</v>
      </c>
      <c r="H6371">
        <v>95996</v>
      </c>
      <c r="I6371">
        <v>2985144</v>
      </c>
    </row>
    <row r="6372" spans="1:9">
      <c r="A6372" s="2">
        <v>2007</v>
      </c>
      <c r="B6372">
        <v>41</v>
      </c>
      <c r="C6372">
        <v>4.4600000000000004E-3</v>
      </c>
      <c r="D6372">
        <v>4.45E-3</v>
      </c>
      <c r="E6372">
        <v>0.5</v>
      </c>
      <c r="F6372">
        <v>95821</v>
      </c>
      <c r="G6372">
        <v>426</v>
      </c>
      <c r="H6372">
        <v>95608</v>
      </c>
      <c r="I6372">
        <v>2889148</v>
      </c>
    </row>
    <row r="6373" spans="1:9">
      <c r="A6373" s="2">
        <v>2007</v>
      </c>
      <c r="B6373">
        <v>42</v>
      </c>
      <c r="C6373">
        <v>5.0600000000000003E-3</v>
      </c>
      <c r="D6373">
        <v>5.0499999999999998E-3</v>
      </c>
      <c r="E6373">
        <v>0.5</v>
      </c>
      <c r="F6373">
        <v>95395</v>
      </c>
      <c r="G6373">
        <v>482</v>
      </c>
      <c r="H6373">
        <v>95155</v>
      </c>
      <c r="I6373">
        <v>2793540</v>
      </c>
    </row>
    <row r="6374" spans="1:9">
      <c r="A6374" s="2">
        <v>2007</v>
      </c>
      <c r="B6374">
        <v>43</v>
      </c>
      <c r="C6374">
        <v>6.3200000000000001E-3</v>
      </c>
      <c r="D6374">
        <v>6.3E-3</v>
      </c>
      <c r="E6374">
        <v>0.5</v>
      </c>
      <c r="F6374">
        <v>94914</v>
      </c>
      <c r="G6374">
        <v>598</v>
      </c>
      <c r="H6374">
        <v>94615</v>
      </c>
      <c r="I6374">
        <v>2698385</v>
      </c>
    </row>
    <row r="6375" spans="1:9">
      <c r="A6375" s="2">
        <v>2007</v>
      </c>
      <c r="B6375">
        <v>44</v>
      </c>
      <c r="C6375">
        <v>6.7799999999999996E-3</v>
      </c>
      <c r="D6375">
        <v>6.7499999999999999E-3</v>
      </c>
      <c r="E6375">
        <v>0.5</v>
      </c>
      <c r="F6375">
        <v>94316</v>
      </c>
      <c r="G6375">
        <v>637</v>
      </c>
      <c r="H6375">
        <v>93998</v>
      </c>
      <c r="I6375">
        <v>2603770</v>
      </c>
    </row>
    <row r="6376" spans="1:9">
      <c r="A6376" s="2">
        <v>2007</v>
      </c>
      <c r="B6376">
        <v>45</v>
      </c>
      <c r="C6376">
        <v>7.3400000000000002E-3</v>
      </c>
      <c r="D6376">
        <v>7.3200000000000001E-3</v>
      </c>
      <c r="E6376">
        <v>0.5</v>
      </c>
      <c r="F6376">
        <v>93679</v>
      </c>
      <c r="G6376">
        <v>685</v>
      </c>
      <c r="H6376">
        <v>93336</v>
      </c>
      <c r="I6376">
        <v>2509773</v>
      </c>
    </row>
    <row r="6377" spans="1:9">
      <c r="A6377" s="2">
        <v>2007</v>
      </c>
      <c r="B6377">
        <v>46</v>
      </c>
      <c r="C6377">
        <v>8.09E-3</v>
      </c>
      <c r="D6377">
        <v>8.0599999999999995E-3</v>
      </c>
      <c r="E6377">
        <v>0.5</v>
      </c>
      <c r="F6377">
        <v>92994</v>
      </c>
      <c r="G6377">
        <v>749</v>
      </c>
      <c r="H6377">
        <v>92619</v>
      </c>
      <c r="I6377">
        <v>2416436</v>
      </c>
    </row>
    <row r="6378" spans="1:9">
      <c r="A6378" s="2">
        <v>2007</v>
      </c>
      <c r="B6378">
        <v>47</v>
      </c>
      <c r="C6378">
        <v>9.5899999999999996E-3</v>
      </c>
      <c r="D6378">
        <v>9.5499999999999995E-3</v>
      </c>
      <c r="E6378">
        <v>0.5</v>
      </c>
      <c r="F6378">
        <v>92245</v>
      </c>
      <c r="G6378">
        <v>881</v>
      </c>
      <c r="H6378">
        <v>91804</v>
      </c>
      <c r="I6378">
        <v>2323817</v>
      </c>
    </row>
    <row r="6379" spans="1:9">
      <c r="A6379" s="2">
        <v>2007</v>
      </c>
      <c r="B6379">
        <v>48</v>
      </c>
      <c r="C6379">
        <v>1.129E-2</v>
      </c>
      <c r="D6379">
        <v>1.123E-2</v>
      </c>
      <c r="E6379">
        <v>0.5</v>
      </c>
      <c r="F6379">
        <v>91364</v>
      </c>
      <c r="G6379">
        <v>1026</v>
      </c>
      <c r="H6379">
        <v>90851</v>
      </c>
      <c r="I6379">
        <v>2232013</v>
      </c>
    </row>
    <row r="6380" spans="1:9">
      <c r="A6380" s="2">
        <v>2007</v>
      </c>
      <c r="B6380">
        <v>49</v>
      </c>
      <c r="C6380">
        <v>1.154E-2</v>
      </c>
      <c r="D6380">
        <v>1.1469999999999999E-2</v>
      </c>
      <c r="E6380">
        <v>0.5</v>
      </c>
      <c r="F6380">
        <v>90338</v>
      </c>
      <c r="G6380">
        <v>1036</v>
      </c>
      <c r="H6380">
        <v>89820</v>
      </c>
      <c r="I6380">
        <v>2141162</v>
      </c>
    </row>
    <row r="6381" spans="1:9">
      <c r="A6381" s="2">
        <v>2007</v>
      </c>
      <c r="B6381">
        <v>50</v>
      </c>
      <c r="C6381">
        <v>1.2409999999999999E-2</v>
      </c>
      <c r="D6381">
        <v>1.234E-2</v>
      </c>
      <c r="E6381">
        <v>0.5</v>
      </c>
      <c r="F6381">
        <v>89302</v>
      </c>
      <c r="G6381">
        <v>1102</v>
      </c>
      <c r="H6381">
        <v>88751</v>
      </c>
      <c r="I6381">
        <v>2051342</v>
      </c>
    </row>
    <row r="6382" spans="1:9">
      <c r="A6382" s="2">
        <v>2007</v>
      </c>
      <c r="B6382">
        <v>51</v>
      </c>
      <c r="C6382">
        <v>1.431E-2</v>
      </c>
      <c r="D6382">
        <v>1.421E-2</v>
      </c>
      <c r="E6382">
        <v>0.5</v>
      </c>
      <c r="F6382">
        <v>88200</v>
      </c>
      <c r="G6382">
        <v>1253</v>
      </c>
      <c r="H6382">
        <v>87573</v>
      </c>
      <c r="I6382">
        <v>1962591</v>
      </c>
    </row>
    <row r="6383" spans="1:9">
      <c r="A6383" s="2">
        <v>2007</v>
      </c>
      <c r="B6383">
        <v>52</v>
      </c>
      <c r="C6383">
        <v>1.4250000000000001E-2</v>
      </c>
      <c r="D6383">
        <v>1.4149999999999999E-2</v>
      </c>
      <c r="E6383">
        <v>0.5</v>
      </c>
      <c r="F6383">
        <v>86947</v>
      </c>
      <c r="G6383">
        <v>1230</v>
      </c>
      <c r="H6383">
        <v>86332</v>
      </c>
      <c r="I6383">
        <v>1875018</v>
      </c>
    </row>
    <row r="6384" spans="1:9">
      <c r="A6384" s="2">
        <v>2007</v>
      </c>
      <c r="B6384">
        <v>53</v>
      </c>
      <c r="C6384">
        <v>1.6310000000000002E-2</v>
      </c>
      <c r="D6384">
        <v>1.617E-2</v>
      </c>
      <c r="E6384">
        <v>0.5</v>
      </c>
      <c r="F6384">
        <v>85717</v>
      </c>
      <c r="G6384">
        <v>1386</v>
      </c>
      <c r="H6384">
        <v>85024</v>
      </c>
      <c r="I6384">
        <v>1788686</v>
      </c>
    </row>
    <row r="6385" spans="1:9">
      <c r="A6385" s="2">
        <v>2007</v>
      </c>
      <c r="B6385">
        <v>54</v>
      </c>
      <c r="C6385">
        <v>1.6809999999999999E-2</v>
      </c>
      <c r="D6385">
        <v>1.6670000000000001E-2</v>
      </c>
      <c r="E6385">
        <v>0.5</v>
      </c>
      <c r="F6385">
        <v>84330</v>
      </c>
      <c r="G6385">
        <v>1406</v>
      </c>
      <c r="H6385">
        <v>83627</v>
      </c>
      <c r="I6385">
        <v>1703662</v>
      </c>
    </row>
    <row r="6386" spans="1:9">
      <c r="A6386" s="2">
        <v>2007</v>
      </c>
      <c r="B6386">
        <v>55</v>
      </c>
      <c r="C6386">
        <v>1.7930000000000001E-2</v>
      </c>
      <c r="D6386">
        <v>1.7770000000000001E-2</v>
      </c>
      <c r="E6386">
        <v>0.5</v>
      </c>
      <c r="F6386">
        <v>82924</v>
      </c>
      <c r="G6386">
        <v>1474</v>
      </c>
      <c r="H6386">
        <v>82188</v>
      </c>
      <c r="I6386">
        <v>1620035</v>
      </c>
    </row>
    <row r="6387" spans="1:9">
      <c r="A6387" s="2">
        <v>2007</v>
      </c>
      <c r="B6387">
        <v>56</v>
      </c>
      <c r="C6387">
        <v>2.0060000000000001E-2</v>
      </c>
      <c r="D6387">
        <v>1.9859999999999999E-2</v>
      </c>
      <c r="E6387">
        <v>0.5</v>
      </c>
      <c r="F6387">
        <v>81451</v>
      </c>
      <c r="G6387">
        <v>1617</v>
      </c>
      <c r="H6387">
        <v>80642</v>
      </c>
      <c r="I6387">
        <v>1537847</v>
      </c>
    </row>
    <row r="6388" spans="1:9">
      <c r="A6388" s="2">
        <v>2007</v>
      </c>
      <c r="B6388">
        <v>57</v>
      </c>
      <c r="C6388">
        <v>2.0459999999999999E-2</v>
      </c>
      <c r="D6388">
        <v>2.0250000000000001E-2</v>
      </c>
      <c r="E6388">
        <v>0.5</v>
      </c>
      <c r="F6388">
        <v>79833</v>
      </c>
      <c r="G6388">
        <v>1617</v>
      </c>
      <c r="H6388">
        <v>79025</v>
      </c>
      <c r="I6388">
        <v>1457205</v>
      </c>
    </row>
    <row r="6389" spans="1:9">
      <c r="A6389" s="2">
        <v>2007</v>
      </c>
      <c r="B6389">
        <v>58</v>
      </c>
      <c r="C6389">
        <v>2.2280000000000001E-2</v>
      </c>
      <c r="D6389">
        <v>2.2040000000000001E-2</v>
      </c>
      <c r="E6389">
        <v>0.5</v>
      </c>
      <c r="F6389">
        <v>78217</v>
      </c>
      <c r="G6389">
        <v>1724</v>
      </c>
      <c r="H6389">
        <v>77355</v>
      </c>
      <c r="I6389">
        <v>1378180</v>
      </c>
    </row>
    <row r="6390" spans="1:9">
      <c r="A6390" s="2">
        <v>2007</v>
      </c>
      <c r="B6390">
        <v>59</v>
      </c>
      <c r="C6390">
        <v>2.3060000000000001E-2</v>
      </c>
      <c r="D6390">
        <v>2.2800000000000001E-2</v>
      </c>
      <c r="E6390">
        <v>0.5</v>
      </c>
      <c r="F6390">
        <v>76493</v>
      </c>
      <c r="G6390">
        <v>1744</v>
      </c>
      <c r="H6390">
        <v>75621</v>
      </c>
      <c r="I6390">
        <v>1300825</v>
      </c>
    </row>
    <row r="6391" spans="1:9">
      <c r="A6391" s="2">
        <v>2007</v>
      </c>
      <c r="B6391">
        <v>60</v>
      </c>
      <c r="C6391">
        <v>2.443E-2</v>
      </c>
      <c r="D6391">
        <v>2.4129999999999999E-2</v>
      </c>
      <c r="E6391">
        <v>0.5</v>
      </c>
      <c r="F6391">
        <v>74749</v>
      </c>
      <c r="G6391">
        <v>1804</v>
      </c>
      <c r="H6391">
        <v>73847</v>
      </c>
      <c r="I6391">
        <v>1225204</v>
      </c>
    </row>
    <row r="6392" spans="1:9">
      <c r="A6392" s="2">
        <v>2007</v>
      </c>
      <c r="B6392">
        <v>61</v>
      </c>
      <c r="C6392">
        <v>2.496E-2</v>
      </c>
      <c r="D6392">
        <v>2.4649999999999998E-2</v>
      </c>
      <c r="E6392">
        <v>0.5</v>
      </c>
      <c r="F6392">
        <v>72945</v>
      </c>
      <c r="G6392">
        <v>1798</v>
      </c>
      <c r="H6392">
        <v>72046</v>
      </c>
      <c r="I6392">
        <v>1151357</v>
      </c>
    </row>
    <row r="6393" spans="1:9">
      <c r="A6393" s="2">
        <v>2007</v>
      </c>
      <c r="B6393">
        <v>62</v>
      </c>
      <c r="C6393">
        <v>2.8830000000000001E-2</v>
      </c>
      <c r="D6393">
        <v>2.8420000000000001E-2</v>
      </c>
      <c r="E6393">
        <v>0.5</v>
      </c>
      <c r="F6393">
        <v>71147</v>
      </c>
      <c r="G6393">
        <v>2022</v>
      </c>
      <c r="H6393">
        <v>70136</v>
      </c>
      <c r="I6393">
        <v>1079310</v>
      </c>
    </row>
    <row r="6394" spans="1:9">
      <c r="A6394" s="2">
        <v>2007</v>
      </c>
      <c r="B6394">
        <v>63</v>
      </c>
      <c r="C6394">
        <v>3.0980000000000001E-2</v>
      </c>
      <c r="D6394">
        <v>3.0509999999999999E-2</v>
      </c>
      <c r="E6394">
        <v>0.5</v>
      </c>
      <c r="F6394">
        <v>69125</v>
      </c>
      <c r="G6394">
        <v>2109</v>
      </c>
      <c r="H6394">
        <v>68071</v>
      </c>
      <c r="I6394">
        <v>1009174</v>
      </c>
    </row>
    <row r="6395" spans="1:9">
      <c r="A6395" s="2">
        <v>2007</v>
      </c>
      <c r="B6395">
        <v>64</v>
      </c>
      <c r="C6395">
        <v>3.0550000000000001E-2</v>
      </c>
      <c r="D6395">
        <v>3.0089999999999999E-2</v>
      </c>
      <c r="E6395">
        <v>0.5</v>
      </c>
      <c r="F6395">
        <v>67017</v>
      </c>
      <c r="G6395">
        <v>2016</v>
      </c>
      <c r="H6395">
        <v>66008</v>
      </c>
      <c r="I6395">
        <v>941103</v>
      </c>
    </row>
    <row r="6396" spans="1:9">
      <c r="A6396" s="2">
        <v>2007</v>
      </c>
      <c r="B6396">
        <v>65</v>
      </c>
      <c r="C6396">
        <v>3.4079999999999999E-2</v>
      </c>
      <c r="D6396">
        <v>3.3509999999999998E-2</v>
      </c>
      <c r="E6396">
        <v>0.5</v>
      </c>
      <c r="F6396">
        <v>65000</v>
      </c>
      <c r="G6396">
        <v>2178</v>
      </c>
      <c r="H6396">
        <v>63911</v>
      </c>
      <c r="I6396">
        <v>875094</v>
      </c>
    </row>
    <row r="6397" spans="1:9">
      <c r="A6397" s="2">
        <v>2007</v>
      </c>
      <c r="B6397">
        <v>66</v>
      </c>
      <c r="C6397">
        <v>3.3660000000000002E-2</v>
      </c>
      <c r="D6397">
        <v>3.3099999999999997E-2</v>
      </c>
      <c r="E6397">
        <v>0.5</v>
      </c>
      <c r="F6397">
        <v>62822</v>
      </c>
      <c r="G6397">
        <v>2079</v>
      </c>
      <c r="H6397">
        <v>61782</v>
      </c>
      <c r="I6397">
        <v>811183</v>
      </c>
    </row>
    <row r="6398" spans="1:9">
      <c r="A6398" s="2">
        <v>2007</v>
      </c>
      <c r="B6398">
        <v>67</v>
      </c>
      <c r="C6398">
        <v>3.7010000000000001E-2</v>
      </c>
      <c r="D6398">
        <v>3.6339999999999997E-2</v>
      </c>
      <c r="E6398">
        <v>0.5</v>
      </c>
      <c r="F6398">
        <v>60743</v>
      </c>
      <c r="G6398">
        <v>2207</v>
      </c>
      <c r="H6398">
        <v>59639</v>
      </c>
      <c r="I6398">
        <v>749401</v>
      </c>
    </row>
    <row r="6399" spans="1:9">
      <c r="A6399" s="2">
        <v>2007</v>
      </c>
      <c r="B6399">
        <v>68</v>
      </c>
      <c r="C6399">
        <v>4.0550000000000003E-2</v>
      </c>
      <c r="D6399">
        <v>3.9750000000000001E-2</v>
      </c>
      <c r="E6399">
        <v>0.5</v>
      </c>
      <c r="F6399">
        <v>58535</v>
      </c>
      <c r="G6399">
        <v>2327</v>
      </c>
      <c r="H6399">
        <v>57372</v>
      </c>
      <c r="I6399">
        <v>689762</v>
      </c>
    </row>
    <row r="6400" spans="1:9">
      <c r="A6400" s="2">
        <v>2007</v>
      </c>
      <c r="B6400">
        <v>69</v>
      </c>
      <c r="C6400">
        <v>4.3770000000000003E-2</v>
      </c>
      <c r="D6400">
        <v>4.283E-2</v>
      </c>
      <c r="E6400">
        <v>0.5</v>
      </c>
      <c r="F6400">
        <v>56209</v>
      </c>
      <c r="G6400">
        <v>2407</v>
      </c>
      <c r="H6400">
        <v>55005</v>
      </c>
      <c r="I6400">
        <v>632389</v>
      </c>
    </row>
    <row r="6401" spans="1:9">
      <c r="A6401" s="2">
        <v>2007</v>
      </c>
      <c r="B6401">
        <v>70</v>
      </c>
      <c r="C6401">
        <v>4.478E-2</v>
      </c>
      <c r="D6401">
        <v>4.3799999999999999E-2</v>
      </c>
      <c r="E6401">
        <v>0.5</v>
      </c>
      <c r="F6401">
        <v>53802</v>
      </c>
      <c r="G6401">
        <v>2356</v>
      </c>
      <c r="H6401">
        <v>52623</v>
      </c>
      <c r="I6401">
        <v>577384</v>
      </c>
    </row>
    <row r="6402" spans="1:9">
      <c r="A6402" s="2">
        <v>2007</v>
      </c>
      <c r="B6402">
        <v>71</v>
      </c>
      <c r="C6402">
        <v>5.1769999999999997E-2</v>
      </c>
      <c r="D6402">
        <v>5.0459999999999998E-2</v>
      </c>
      <c r="E6402">
        <v>0.5</v>
      </c>
      <c r="F6402">
        <v>51445</v>
      </c>
      <c r="G6402">
        <v>2596</v>
      </c>
      <c r="H6402">
        <v>50147</v>
      </c>
      <c r="I6402">
        <v>524761</v>
      </c>
    </row>
    <row r="6403" spans="1:9">
      <c r="A6403" s="2">
        <v>2007</v>
      </c>
      <c r="B6403">
        <v>72</v>
      </c>
      <c r="C6403">
        <v>5.552E-2</v>
      </c>
      <c r="D6403">
        <v>5.4019999999999999E-2</v>
      </c>
      <c r="E6403">
        <v>0.5</v>
      </c>
      <c r="F6403">
        <v>48849</v>
      </c>
      <c r="G6403">
        <v>2639</v>
      </c>
      <c r="H6403">
        <v>47530</v>
      </c>
      <c r="I6403">
        <v>474614</v>
      </c>
    </row>
    <row r="6404" spans="1:9">
      <c r="A6404" s="2">
        <v>2007</v>
      </c>
      <c r="B6404">
        <v>73</v>
      </c>
      <c r="C6404">
        <v>5.8090000000000003E-2</v>
      </c>
      <c r="D6404">
        <v>5.645E-2</v>
      </c>
      <c r="E6404">
        <v>0.5</v>
      </c>
      <c r="F6404">
        <v>46210</v>
      </c>
      <c r="G6404">
        <v>2609</v>
      </c>
      <c r="H6404">
        <v>44906</v>
      </c>
      <c r="I6404">
        <v>427084</v>
      </c>
    </row>
    <row r="6405" spans="1:9">
      <c r="A6405" s="2">
        <v>2007</v>
      </c>
      <c r="B6405">
        <v>74</v>
      </c>
      <c r="C6405">
        <v>6.1260000000000002E-2</v>
      </c>
      <c r="D6405">
        <v>5.944E-2</v>
      </c>
      <c r="E6405">
        <v>0.5</v>
      </c>
      <c r="F6405">
        <v>43602</v>
      </c>
      <c r="G6405">
        <v>2592</v>
      </c>
      <c r="H6405">
        <v>42306</v>
      </c>
      <c r="I6405">
        <v>382178</v>
      </c>
    </row>
    <row r="6406" spans="1:9">
      <c r="A6406" s="2">
        <v>2007</v>
      </c>
      <c r="B6406">
        <v>75</v>
      </c>
      <c r="C6406">
        <v>6.9120000000000001E-2</v>
      </c>
      <c r="D6406">
        <v>6.6809999999999994E-2</v>
      </c>
      <c r="E6406">
        <v>0.5</v>
      </c>
      <c r="F6406">
        <v>41010</v>
      </c>
      <c r="G6406">
        <v>2740</v>
      </c>
      <c r="H6406">
        <v>39640</v>
      </c>
      <c r="I6406">
        <v>339872</v>
      </c>
    </row>
    <row r="6407" spans="1:9">
      <c r="A6407" s="2">
        <v>2007</v>
      </c>
      <c r="B6407">
        <v>76</v>
      </c>
      <c r="C6407">
        <v>7.5300000000000006E-2</v>
      </c>
      <c r="D6407">
        <v>7.2569999999999996E-2</v>
      </c>
      <c r="E6407">
        <v>0.5</v>
      </c>
      <c r="F6407">
        <v>38270</v>
      </c>
      <c r="G6407">
        <v>2777</v>
      </c>
      <c r="H6407">
        <v>36882</v>
      </c>
      <c r="I6407">
        <v>300232</v>
      </c>
    </row>
    <row r="6408" spans="1:9">
      <c r="A6408" s="2">
        <v>2007</v>
      </c>
      <c r="B6408">
        <v>77</v>
      </c>
      <c r="C6408">
        <v>8.1659999999999996E-2</v>
      </c>
      <c r="D6408">
        <v>7.8460000000000002E-2</v>
      </c>
      <c r="E6408">
        <v>0.5</v>
      </c>
      <c r="F6408">
        <v>35493</v>
      </c>
      <c r="G6408">
        <v>2785</v>
      </c>
      <c r="H6408">
        <v>34101</v>
      </c>
      <c r="I6408">
        <v>263350</v>
      </c>
    </row>
    <row r="6409" spans="1:9">
      <c r="A6409" s="2">
        <v>2007</v>
      </c>
      <c r="B6409">
        <v>78</v>
      </c>
      <c r="C6409">
        <v>8.5510000000000003E-2</v>
      </c>
      <c r="D6409">
        <v>8.201E-2</v>
      </c>
      <c r="E6409">
        <v>0.5</v>
      </c>
      <c r="F6409">
        <v>32708</v>
      </c>
      <c r="G6409">
        <v>2682</v>
      </c>
      <c r="H6409">
        <v>31367</v>
      </c>
      <c r="I6409">
        <v>229250</v>
      </c>
    </row>
    <row r="6410" spans="1:9">
      <c r="A6410" s="2">
        <v>2007</v>
      </c>
      <c r="B6410">
        <v>79</v>
      </c>
      <c r="C6410">
        <v>9.6790000000000001E-2</v>
      </c>
      <c r="D6410">
        <v>9.2319999999999999E-2</v>
      </c>
      <c r="E6410">
        <v>0.5</v>
      </c>
      <c r="F6410">
        <v>30026</v>
      </c>
      <c r="G6410">
        <v>2772</v>
      </c>
      <c r="H6410">
        <v>28640</v>
      </c>
      <c r="I6410">
        <v>197882</v>
      </c>
    </row>
    <row r="6411" spans="1:9">
      <c r="A6411" s="2">
        <v>2007</v>
      </c>
      <c r="B6411">
        <v>80</v>
      </c>
      <c r="C6411">
        <v>0.10489999999999999</v>
      </c>
      <c r="D6411">
        <v>9.9669999999999995E-2</v>
      </c>
      <c r="E6411">
        <v>0.5</v>
      </c>
      <c r="F6411">
        <v>27254</v>
      </c>
      <c r="G6411">
        <v>2716</v>
      </c>
      <c r="H6411">
        <v>25896</v>
      </c>
      <c r="I6411">
        <v>169242</v>
      </c>
    </row>
    <row r="6412" spans="1:9">
      <c r="A6412" s="2">
        <v>2007</v>
      </c>
      <c r="B6412">
        <v>81</v>
      </c>
      <c r="C6412">
        <v>0.11658</v>
      </c>
      <c r="D6412">
        <v>0.11015999999999999</v>
      </c>
      <c r="E6412">
        <v>0.5</v>
      </c>
      <c r="F6412">
        <v>24538</v>
      </c>
      <c r="G6412">
        <v>2703</v>
      </c>
      <c r="H6412">
        <v>23186</v>
      </c>
      <c r="I6412">
        <v>143346</v>
      </c>
    </row>
    <row r="6413" spans="1:9">
      <c r="A6413" s="2">
        <v>2007</v>
      </c>
      <c r="B6413">
        <v>82</v>
      </c>
      <c r="C6413">
        <v>0.12239999999999999</v>
      </c>
      <c r="D6413">
        <v>0.11534</v>
      </c>
      <c r="E6413">
        <v>0.5</v>
      </c>
      <c r="F6413">
        <v>21835</v>
      </c>
      <c r="G6413">
        <v>2518</v>
      </c>
      <c r="H6413">
        <v>20575</v>
      </c>
      <c r="I6413">
        <v>120160</v>
      </c>
    </row>
    <row r="6414" spans="1:9">
      <c r="A6414" s="2">
        <v>2007</v>
      </c>
      <c r="B6414">
        <v>83</v>
      </c>
      <c r="C6414">
        <v>0.14562</v>
      </c>
      <c r="D6414">
        <v>0.13574</v>
      </c>
      <c r="E6414">
        <v>0.5</v>
      </c>
      <c r="F6414">
        <v>19316</v>
      </c>
      <c r="G6414">
        <v>2622</v>
      </c>
      <c r="H6414">
        <v>18005</v>
      </c>
      <c r="I6414">
        <v>99585</v>
      </c>
    </row>
    <row r="6415" spans="1:9">
      <c r="A6415" s="2">
        <v>2007</v>
      </c>
      <c r="B6415">
        <v>84</v>
      </c>
      <c r="C6415">
        <v>0.15307999999999999</v>
      </c>
      <c r="D6415">
        <v>0.14219999999999999</v>
      </c>
      <c r="E6415">
        <v>0.5</v>
      </c>
      <c r="F6415">
        <v>16694</v>
      </c>
      <c r="G6415">
        <v>2374</v>
      </c>
      <c r="H6415">
        <v>15507</v>
      </c>
      <c r="I6415">
        <v>81579</v>
      </c>
    </row>
    <row r="6416" spans="1:9">
      <c r="A6416" s="2">
        <v>2007</v>
      </c>
      <c r="B6416">
        <v>85</v>
      </c>
      <c r="C6416">
        <v>0.15942000000000001</v>
      </c>
      <c r="D6416">
        <v>0.14765</v>
      </c>
      <c r="E6416">
        <v>0.5</v>
      </c>
      <c r="F6416">
        <v>14320</v>
      </c>
      <c r="G6416">
        <v>2114</v>
      </c>
      <c r="H6416">
        <v>13263</v>
      </c>
      <c r="I6416">
        <v>66072</v>
      </c>
    </row>
    <row r="6417" spans="1:9">
      <c r="A6417" s="2">
        <v>2007</v>
      </c>
      <c r="B6417">
        <v>86</v>
      </c>
      <c r="C6417">
        <v>0.1767</v>
      </c>
      <c r="D6417">
        <v>0.16236</v>
      </c>
      <c r="E6417">
        <v>0.5</v>
      </c>
      <c r="F6417">
        <v>12206</v>
      </c>
      <c r="G6417">
        <v>1982</v>
      </c>
      <c r="H6417">
        <v>11215</v>
      </c>
      <c r="I6417">
        <v>52809</v>
      </c>
    </row>
    <row r="6418" spans="1:9">
      <c r="A6418" s="2">
        <v>2007</v>
      </c>
      <c r="B6418">
        <v>87</v>
      </c>
      <c r="C6418">
        <v>0.20995</v>
      </c>
      <c r="D6418">
        <v>0.19</v>
      </c>
      <c r="E6418">
        <v>0.5</v>
      </c>
      <c r="F6418">
        <v>10224</v>
      </c>
      <c r="G6418">
        <v>1943</v>
      </c>
      <c r="H6418">
        <v>9253</v>
      </c>
      <c r="I6418">
        <v>41594</v>
      </c>
    </row>
    <row r="6419" spans="1:9">
      <c r="A6419" s="2">
        <v>2007</v>
      </c>
      <c r="B6419">
        <v>88</v>
      </c>
      <c r="C6419">
        <v>0.17655000000000001</v>
      </c>
      <c r="D6419">
        <v>0.16223000000000001</v>
      </c>
      <c r="E6419">
        <v>0.5</v>
      </c>
      <c r="F6419">
        <v>8282</v>
      </c>
      <c r="G6419">
        <v>1344</v>
      </c>
      <c r="H6419">
        <v>7610</v>
      </c>
      <c r="I6419">
        <v>32341</v>
      </c>
    </row>
    <row r="6420" spans="1:9">
      <c r="A6420" s="2">
        <v>2007</v>
      </c>
      <c r="B6420">
        <v>89</v>
      </c>
      <c r="C6420">
        <v>0.22317999999999999</v>
      </c>
      <c r="D6420">
        <v>0.20077999999999999</v>
      </c>
      <c r="E6420">
        <v>0.5</v>
      </c>
      <c r="F6420">
        <v>6938</v>
      </c>
      <c r="G6420">
        <v>1393</v>
      </c>
      <c r="H6420">
        <v>6242</v>
      </c>
      <c r="I6420">
        <v>24731</v>
      </c>
    </row>
    <row r="6421" spans="1:9">
      <c r="A6421" s="2">
        <v>2007</v>
      </c>
      <c r="B6421">
        <v>90</v>
      </c>
      <c r="C6421">
        <v>0.24493000000000001</v>
      </c>
      <c r="D6421">
        <v>0.21820999999999999</v>
      </c>
      <c r="E6421">
        <v>0.5</v>
      </c>
      <c r="F6421">
        <v>5545</v>
      </c>
      <c r="G6421">
        <v>1210</v>
      </c>
      <c r="H6421">
        <v>4940</v>
      </c>
      <c r="I6421">
        <v>18489</v>
      </c>
    </row>
    <row r="6422" spans="1:9">
      <c r="A6422" s="2">
        <v>2007</v>
      </c>
      <c r="B6422">
        <v>91</v>
      </c>
      <c r="C6422">
        <v>0.23955000000000001</v>
      </c>
      <c r="D6422">
        <v>0.21393000000000001</v>
      </c>
      <c r="E6422">
        <v>0.5</v>
      </c>
      <c r="F6422">
        <v>4335</v>
      </c>
      <c r="G6422">
        <v>927</v>
      </c>
      <c r="H6422">
        <v>3871</v>
      </c>
      <c r="I6422">
        <v>13549</v>
      </c>
    </row>
    <row r="6423" spans="1:9">
      <c r="A6423" s="2">
        <v>2007</v>
      </c>
      <c r="B6423">
        <v>92</v>
      </c>
      <c r="C6423">
        <v>0.30542999999999998</v>
      </c>
      <c r="D6423">
        <v>0.26496999999999998</v>
      </c>
      <c r="E6423">
        <v>0.5</v>
      </c>
      <c r="F6423">
        <v>3408</v>
      </c>
      <c r="G6423">
        <v>903</v>
      </c>
      <c r="H6423">
        <v>2956</v>
      </c>
      <c r="I6423">
        <v>9678</v>
      </c>
    </row>
    <row r="6424" spans="1:9">
      <c r="A6424" s="2">
        <v>2007</v>
      </c>
      <c r="B6424">
        <v>93</v>
      </c>
      <c r="C6424">
        <v>0.33528000000000002</v>
      </c>
      <c r="D6424">
        <v>0.28714000000000001</v>
      </c>
      <c r="E6424">
        <v>0.5</v>
      </c>
      <c r="F6424">
        <v>2505</v>
      </c>
      <c r="G6424">
        <v>719</v>
      </c>
      <c r="H6424">
        <v>2145</v>
      </c>
      <c r="I6424">
        <v>6721</v>
      </c>
    </row>
    <row r="6425" spans="1:9">
      <c r="A6425" s="2">
        <v>2007</v>
      </c>
      <c r="B6425">
        <v>94</v>
      </c>
      <c r="C6425">
        <v>0.35637999999999997</v>
      </c>
      <c r="D6425">
        <v>0.30248000000000003</v>
      </c>
      <c r="E6425">
        <v>0.5</v>
      </c>
      <c r="F6425">
        <v>1786</v>
      </c>
      <c r="G6425">
        <v>540</v>
      </c>
      <c r="H6425">
        <v>1516</v>
      </c>
      <c r="I6425">
        <v>4576</v>
      </c>
    </row>
    <row r="6426" spans="1:9">
      <c r="A6426" s="2">
        <v>2007</v>
      </c>
      <c r="B6426">
        <v>95</v>
      </c>
      <c r="C6426">
        <v>0.36330000000000001</v>
      </c>
      <c r="D6426">
        <v>0.30745</v>
      </c>
      <c r="E6426">
        <v>0.5</v>
      </c>
      <c r="F6426">
        <v>1245</v>
      </c>
      <c r="G6426">
        <v>383</v>
      </c>
      <c r="H6426">
        <v>1054</v>
      </c>
      <c r="I6426">
        <v>3061</v>
      </c>
    </row>
    <row r="6427" spans="1:9">
      <c r="A6427" s="2">
        <v>2007</v>
      </c>
      <c r="B6427">
        <v>96</v>
      </c>
      <c r="C6427">
        <v>0.38813999999999999</v>
      </c>
      <c r="D6427">
        <v>0.32506000000000002</v>
      </c>
      <c r="E6427">
        <v>0.5</v>
      </c>
      <c r="F6427">
        <v>863</v>
      </c>
      <c r="G6427">
        <v>280</v>
      </c>
      <c r="H6427">
        <v>722</v>
      </c>
      <c r="I6427">
        <v>2007</v>
      </c>
    </row>
    <row r="6428" spans="1:9">
      <c r="A6428" s="2">
        <v>2007</v>
      </c>
      <c r="B6428">
        <v>97</v>
      </c>
      <c r="C6428">
        <v>0.41358</v>
      </c>
      <c r="D6428">
        <v>0.34271000000000001</v>
      </c>
      <c r="E6428">
        <v>0.5</v>
      </c>
      <c r="F6428">
        <v>582</v>
      </c>
      <c r="G6428">
        <v>200</v>
      </c>
      <c r="H6428">
        <v>482</v>
      </c>
      <c r="I6428">
        <v>1284</v>
      </c>
    </row>
    <row r="6429" spans="1:9">
      <c r="A6429" s="2">
        <v>2007</v>
      </c>
      <c r="B6429">
        <v>98</v>
      </c>
      <c r="C6429">
        <v>0.43948999999999999</v>
      </c>
      <c r="D6429">
        <v>0.36031999999999997</v>
      </c>
      <c r="E6429">
        <v>0.5</v>
      </c>
      <c r="F6429">
        <v>383</v>
      </c>
      <c r="G6429">
        <v>138</v>
      </c>
      <c r="H6429">
        <v>314</v>
      </c>
      <c r="I6429">
        <v>802</v>
      </c>
    </row>
    <row r="6430" spans="1:9">
      <c r="A6430" s="2">
        <v>2007</v>
      </c>
      <c r="B6430">
        <v>99</v>
      </c>
      <c r="C6430">
        <v>0.46573999999999999</v>
      </c>
      <c r="D6430">
        <v>0.37776999999999999</v>
      </c>
      <c r="E6430">
        <v>0.5</v>
      </c>
      <c r="F6430">
        <v>245</v>
      </c>
      <c r="G6430">
        <v>92</v>
      </c>
      <c r="H6430">
        <v>199</v>
      </c>
      <c r="I6430">
        <v>488</v>
      </c>
    </row>
    <row r="6431" spans="1:9">
      <c r="A6431" s="2">
        <v>2007</v>
      </c>
      <c r="B6431">
        <v>100</v>
      </c>
      <c r="C6431">
        <v>0.49217</v>
      </c>
      <c r="D6431">
        <v>0.39498</v>
      </c>
      <c r="E6431">
        <v>0.5</v>
      </c>
      <c r="F6431">
        <v>152</v>
      </c>
      <c r="G6431">
        <v>60</v>
      </c>
      <c r="H6431">
        <v>122</v>
      </c>
      <c r="I6431">
        <v>290</v>
      </c>
    </row>
    <row r="6432" spans="1:9">
      <c r="A6432" s="2">
        <v>2007</v>
      </c>
      <c r="B6432">
        <v>101</v>
      </c>
      <c r="C6432">
        <v>0.51865000000000006</v>
      </c>
      <c r="D6432">
        <v>0.41184999999999999</v>
      </c>
      <c r="E6432">
        <v>0.5</v>
      </c>
      <c r="F6432">
        <v>92</v>
      </c>
      <c r="G6432">
        <v>38</v>
      </c>
      <c r="H6432">
        <v>73</v>
      </c>
      <c r="I6432">
        <v>168</v>
      </c>
    </row>
    <row r="6433" spans="1:9">
      <c r="A6433" s="2">
        <v>2007</v>
      </c>
      <c r="B6433">
        <v>102</v>
      </c>
      <c r="C6433">
        <v>0.54503000000000001</v>
      </c>
      <c r="D6433">
        <v>0.42831000000000002</v>
      </c>
      <c r="E6433">
        <v>0.5</v>
      </c>
      <c r="F6433">
        <v>54</v>
      </c>
      <c r="G6433">
        <v>23</v>
      </c>
      <c r="H6433">
        <v>43</v>
      </c>
      <c r="I6433">
        <v>94</v>
      </c>
    </row>
    <row r="6434" spans="1:9">
      <c r="A6434" s="2">
        <v>2007</v>
      </c>
      <c r="B6434">
        <v>103</v>
      </c>
      <c r="C6434">
        <v>0.57115000000000005</v>
      </c>
      <c r="D6434">
        <v>0.44428000000000001</v>
      </c>
      <c r="E6434">
        <v>0.5</v>
      </c>
      <c r="F6434">
        <v>31</v>
      </c>
      <c r="G6434">
        <v>14</v>
      </c>
      <c r="H6434">
        <v>24</v>
      </c>
      <c r="I6434">
        <v>52</v>
      </c>
    </row>
    <row r="6435" spans="1:9">
      <c r="A6435" s="2">
        <v>2007</v>
      </c>
      <c r="B6435">
        <v>104</v>
      </c>
      <c r="C6435">
        <v>0.59689000000000003</v>
      </c>
      <c r="D6435">
        <v>0.45968999999999999</v>
      </c>
      <c r="E6435">
        <v>0.5</v>
      </c>
      <c r="F6435">
        <v>17</v>
      </c>
      <c r="G6435">
        <v>8</v>
      </c>
      <c r="H6435">
        <v>13</v>
      </c>
      <c r="I6435">
        <v>28</v>
      </c>
    </row>
    <row r="6436" spans="1:9">
      <c r="A6436" s="2">
        <v>2007</v>
      </c>
      <c r="B6436">
        <v>105</v>
      </c>
      <c r="C6436">
        <v>0.62209999999999999</v>
      </c>
      <c r="D6436">
        <v>0.47449999999999998</v>
      </c>
      <c r="E6436">
        <v>0.5</v>
      </c>
      <c r="F6436">
        <v>9</v>
      </c>
      <c r="G6436">
        <v>4</v>
      </c>
      <c r="H6436">
        <v>7</v>
      </c>
      <c r="I6436">
        <v>14</v>
      </c>
    </row>
    <row r="6437" spans="1:9">
      <c r="A6437" s="2">
        <v>2007</v>
      </c>
      <c r="B6437">
        <v>106</v>
      </c>
      <c r="C6437">
        <v>0.64666999999999997</v>
      </c>
      <c r="D6437">
        <v>0.48866999999999999</v>
      </c>
      <c r="E6437">
        <v>0.5</v>
      </c>
      <c r="F6437">
        <v>5</v>
      </c>
      <c r="G6437">
        <v>2</v>
      </c>
      <c r="H6437">
        <v>4</v>
      </c>
      <c r="I6437">
        <v>7</v>
      </c>
    </row>
    <row r="6438" spans="1:9">
      <c r="A6438" s="2">
        <v>2007</v>
      </c>
      <c r="B6438">
        <v>107</v>
      </c>
      <c r="C6438">
        <v>0.67047999999999996</v>
      </c>
      <c r="D6438">
        <v>0.50214000000000003</v>
      </c>
      <c r="E6438">
        <v>0.5</v>
      </c>
      <c r="F6438">
        <v>2</v>
      </c>
      <c r="G6438">
        <v>1</v>
      </c>
      <c r="H6438">
        <v>2</v>
      </c>
      <c r="I6438">
        <v>4</v>
      </c>
    </row>
    <row r="6439" spans="1:9">
      <c r="A6439" s="2">
        <v>2007</v>
      </c>
      <c r="B6439">
        <v>108</v>
      </c>
      <c r="C6439">
        <v>0.69345999999999997</v>
      </c>
      <c r="D6439">
        <v>0.51492000000000004</v>
      </c>
      <c r="E6439">
        <v>0.5</v>
      </c>
      <c r="F6439">
        <v>1</v>
      </c>
      <c r="G6439">
        <v>1</v>
      </c>
      <c r="H6439">
        <v>1</v>
      </c>
      <c r="I6439">
        <v>2</v>
      </c>
    </row>
    <row r="6440" spans="1:9">
      <c r="A6440" s="2">
        <v>2007</v>
      </c>
      <c r="B6440">
        <v>109</v>
      </c>
      <c r="C6440">
        <v>0.71550999999999998</v>
      </c>
      <c r="D6440">
        <v>0.52698</v>
      </c>
      <c r="E6440">
        <v>0.5</v>
      </c>
      <c r="F6440">
        <v>1</v>
      </c>
      <c r="G6440">
        <v>0</v>
      </c>
      <c r="H6440">
        <v>0</v>
      </c>
      <c r="I6440">
        <v>1</v>
      </c>
    </row>
    <row r="6441" spans="1:9">
      <c r="A6441" s="2">
        <v>2007</v>
      </c>
      <c r="B6441" t="s">
        <v>26</v>
      </c>
      <c r="C6441">
        <v>0.73658000000000001</v>
      </c>
      <c r="D6441">
        <v>1</v>
      </c>
      <c r="E6441">
        <v>1.36</v>
      </c>
      <c r="F6441">
        <v>0</v>
      </c>
      <c r="G6441">
        <v>0</v>
      </c>
      <c r="H6441">
        <v>0</v>
      </c>
      <c r="I6441">
        <v>0</v>
      </c>
    </row>
    <row r="6442" spans="1:9">
      <c r="A6442" s="2">
        <v>2008</v>
      </c>
      <c r="B6442">
        <v>0</v>
      </c>
      <c r="C6442">
        <v>6.3400000000000001E-3</v>
      </c>
      <c r="D6442">
        <v>6.3099999999999996E-3</v>
      </c>
      <c r="E6442">
        <v>0.14000000000000001</v>
      </c>
      <c r="F6442">
        <v>100000</v>
      </c>
      <c r="G6442">
        <v>631</v>
      </c>
      <c r="H6442">
        <v>99455</v>
      </c>
      <c r="I6442">
        <v>6982062</v>
      </c>
    </row>
    <row r="6443" spans="1:9">
      <c r="A6443" s="2">
        <v>2008</v>
      </c>
      <c r="B6443">
        <v>1</v>
      </c>
      <c r="C6443">
        <v>5.0000000000000001E-4</v>
      </c>
      <c r="D6443">
        <v>5.0000000000000001E-4</v>
      </c>
      <c r="E6443">
        <v>0.5</v>
      </c>
      <c r="F6443">
        <v>99369</v>
      </c>
      <c r="G6443">
        <v>49</v>
      </c>
      <c r="H6443">
        <v>99344</v>
      </c>
      <c r="I6443">
        <v>6882607</v>
      </c>
    </row>
    <row r="6444" spans="1:9">
      <c r="A6444" s="2">
        <v>2008</v>
      </c>
      <c r="B6444">
        <v>2</v>
      </c>
      <c r="C6444">
        <v>1.8000000000000001E-4</v>
      </c>
      <c r="D6444">
        <v>1.8000000000000001E-4</v>
      </c>
      <c r="E6444">
        <v>0.5</v>
      </c>
      <c r="F6444">
        <v>99320</v>
      </c>
      <c r="G6444">
        <v>18</v>
      </c>
      <c r="H6444">
        <v>99311</v>
      </c>
      <c r="I6444">
        <v>6783263</v>
      </c>
    </row>
    <row r="6445" spans="1:9">
      <c r="A6445" s="2">
        <v>2008</v>
      </c>
      <c r="B6445">
        <v>3</v>
      </c>
      <c r="C6445">
        <v>2.2000000000000001E-4</v>
      </c>
      <c r="D6445">
        <v>2.2000000000000001E-4</v>
      </c>
      <c r="E6445">
        <v>0.5</v>
      </c>
      <c r="F6445">
        <v>99302</v>
      </c>
      <c r="G6445">
        <v>22</v>
      </c>
      <c r="H6445">
        <v>99291</v>
      </c>
      <c r="I6445">
        <v>6683952</v>
      </c>
    </row>
    <row r="6446" spans="1:9">
      <c r="A6446" s="2">
        <v>2008</v>
      </c>
      <c r="B6446">
        <v>4</v>
      </c>
      <c r="C6446">
        <v>1E-4</v>
      </c>
      <c r="D6446">
        <v>1E-4</v>
      </c>
      <c r="E6446">
        <v>0.5</v>
      </c>
      <c r="F6446">
        <v>99280</v>
      </c>
      <c r="G6446">
        <v>10</v>
      </c>
      <c r="H6446">
        <v>99275</v>
      </c>
      <c r="I6446">
        <v>6584661</v>
      </c>
    </row>
    <row r="6447" spans="1:9">
      <c r="A6447" s="2">
        <v>2008</v>
      </c>
      <c r="B6447">
        <v>5</v>
      </c>
      <c r="C6447">
        <v>1.2E-4</v>
      </c>
      <c r="D6447">
        <v>1.2E-4</v>
      </c>
      <c r="E6447">
        <v>0.5</v>
      </c>
      <c r="F6447">
        <v>99270</v>
      </c>
      <c r="G6447">
        <v>12</v>
      </c>
      <c r="H6447">
        <v>99264</v>
      </c>
      <c r="I6447">
        <v>6485386</v>
      </c>
    </row>
    <row r="6448" spans="1:9">
      <c r="A6448" s="2">
        <v>2008</v>
      </c>
      <c r="B6448">
        <v>6</v>
      </c>
      <c r="C6448">
        <v>2.0000000000000001E-4</v>
      </c>
      <c r="D6448">
        <v>2.0000000000000001E-4</v>
      </c>
      <c r="E6448">
        <v>0.5</v>
      </c>
      <c r="F6448">
        <v>99258</v>
      </c>
      <c r="G6448">
        <v>20</v>
      </c>
      <c r="H6448">
        <v>99248</v>
      </c>
      <c r="I6448">
        <v>6386122</v>
      </c>
    </row>
    <row r="6449" spans="1:9">
      <c r="A6449" s="2">
        <v>2008</v>
      </c>
      <c r="B6449">
        <v>7</v>
      </c>
      <c r="C6449">
        <v>1.2E-4</v>
      </c>
      <c r="D6449">
        <v>1.2E-4</v>
      </c>
      <c r="E6449">
        <v>0.5</v>
      </c>
      <c r="F6449">
        <v>99238</v>
      </c>
      <c r="G6449">
        <v>12</v>
      </c>
      <c r="H6449">
        <v>99232</v>
      </c>
      <c r="I6449">
        <v>6286874</v>
      </c>
    </row>
    <row r="6450" spans="1:9">
      <c r="A6450" s="2">
        <v>2008</v>
      </c>
      <c r="B6450">
        <v>8</v>
      </c>
      <c r="C6450">
        <v>1E-4</v>
      </c>
      <c r="D6450">
        <v>1E-4</v>
      </c>
      <c r="E6450">
        <v>0.5</v>
      </c>
      <c r="F6450">
        <v>99226</v>
      </c>
      <c r="G6450">
        <v>10</v>
      </c>
      <c r="H6450">
        <v>99221</v>
      </c>
      <c r="I6450">
        <v>6187642</v>
      </c>
    </row>
    <row r="6451" spans="1:9">
      <c r="A6451" s="2">
        <v>2008</v>
      </c>
      <c r="B6451">
        <v>9</v>
      </c>
      <c r="C6451">
        <v>1.3999999999999999E-4</v>
      </c>
      <c r="D6451">
        <v>1.3999999999999999E-4</v>
      </c>
      <c r="E6451">
        <v>0.5</v>
      </c>
      <c r="F6451">
        <v>99216</v>
      </c>
      <c r="G6451">
        <v>14</v>
      </c>
      <c r="H6451">
        <v>99209</v>
      </c>
      <c r="I6451">
        <v>6088421</v>
      </c>
    </row>
    <row r="6452" spans="1:9">
      <c r="A6452" s="2">
        <v>2008</v>
      </c>
      <c r="B6452">
        <v>10</v>
      </c>
      <c r="C6452">
        <v>1.6000000000000001E-4</v>
      </c>
      <c r="D6452">
        <v>1.6000000000000001E-4</v>
      </c>
      <c r="E6452">
        <v>0.5</v>
      </c>
      <c r="F6452">
        <v>99202</v>
      </c>
      <c r="G6452">
        <v>16</v>
      </c>
      <c r="H6452">
        <v>99194</v>
      </c>
      <c r="I6452">
        <v>5989213</v>
      </c>
    </row>
    <row r="6453" spans="1:9">
      <c r="A6453" s="2">
        <v>2008</v>
      </c>
      <c r="B6453">
        <v>11</v>
      </c>
      <c r="C6453">
        <v>8.0000000000000007E-5</v>
      </c>
      <c r="D6453">
        <v>8.0000000000000007E-5</v>
      </c>
      <c r="E6453">
        <v>0.5</v>
      </c>
      <c r="F6453">
        <v>99186</v>
      </c>
      <c r="G6453">
        <v>8</v>
      </c>
      <c r="H6453">
        <v>99182</v>
      </c>
      <c r="I6453">
        <v>5890019</v>
      </c>
    </row>
    <row r="6454" spans="1:9">
      <c r="A6454" s="2">
        <v>2008</v>
      </c>
      <c r="B6454">
        <v>12</v>
      </c>
      <c r="C6454">
        <v>1.3999999999999999E-4</v>
      </c>
      <c r="D6454">
        <v>1.3999999999999999E-4</v>
      </c>
      <c r="E6454">
        <v>0.5</v>
      </c>
      <c r="F6454">
        <v>99178</v>
      </c>
      <c r="G6454">
        <v>14</v>
      </c>
      <c r="H6454">
        <v>99171</v>
      </c>
      <c r="I6454">
        <v>5790837</v>
      </c>
    </row>
    <row r="6455" spans="1:9">
      <c r="A6455" s="2">
        <v>2008</v>
      </c>
      <c r="B6455">
        <v>13</v>
      </c>
      <c r="C6455">
        <v>2.5999999999999998E-4</v>
      </c>
      <c r="D6455">
        <v>2.5999999999999998E-4</v>
      </c>
      <c r="E6455">
        <v>0.5</v>
      </c>
      <c r="F6455">
        <v>99164</v>
      </c>
      <c r="G6455">
        <v>26</v>
      </c>
      <c r="H6455">
        <v>99151</v>
      </c>
      <c r="I6455">
        <v>5691666</v>
      </c>
    </row>
    <row r="6456" spans="1:9">
      <c r="A6456" s="2">
        <v>2008</v>
      </c>
      <c r="B6456">
        <v>14</v>
      </c>
      <c r="C6456">
        <v>2.9E-4</v>
      </c>
      <c r="D6456">
        <v>2.9E-4</v>
      </c>
      <c r="E6456">
        <v>0.5</v>
      </c>
      <c r="F6456">
        <v>99138</v>
      </c>
      <c r="G6456">
        <v>29</v>
      </c>
      <c r="H6456">
        <v>99123</v>
      </c>
      <c r="I6456">
        <v>5592515</v>
      </c>
    </row>
    <row r="6457" spans="1:9">
      <c r="A6457" s="2">
        <v>2008</v>
      </c>
      <c r="B6457">
        <v>15</v>
      </c>
      <c r="C6457">
        <v>3.3E-4</v>
      </c>
      <c r="D6457">
        <v>3.3E-4</v>
      </c>
      <c r="E6457">
        <v>0.5</v>
      </c>
      <c r="F6457">
        <v>99109</v>
      </c>
      <c r="G6457">
        <v>33</v>
      </c>
      <c r="H6457">
        <v>99093</v>
      </c>
      <c r="I6457">
        <v>5493392</v>
      </c>
    </row>
    <row r="6458" spans="1:9">
      <c r="A6458" s="2">
        <v>2008</v>
      </c>
      <c r="B6458">
        <v>16</v>
      </c>
      <c r="C6458">
        <v>4.6000000000000001E-4</v>
      </c>
      <c r="D6458">
        <v>4.6000000000000001E-4</v>
      </c>
      <c r="E6458">
        <v>0.5</v>
      </c>
      <c r="F6458">
        <v>99076</v>
      </c>
      <c r="G6458">
        <v>46</v>
      </c>
      <c r="H6458">
        <v>99053</v>
      </c>
      <c r="I6458">
        <v>5394299</v>
      </c>
    </row>
    <row r="6459" spans="1:9">
      <c r="A6459" s="2">
        <v>2008</v>
      </c>
      <c r="B6459">
        <v>17</v>
      </c>
      <c r="C6459">
        <v>7.1000000000000002E-4</v>
      </c>
      <c r="D6459">
        <v>7.1000000000000002E-4</v>
      </c>
      <c r="E6459">
        <v>0.5</v>
      </c>
      <c r="F6459">
        <v>99030</v>
      </c>
      <c r="G6459">
        <v>70</v>
      </c>
      <c r="H6459">
        <v>98995</v>
      </c>
      <c r="I6459">
        <v>5295246</v>
      </c>
    </row>
    <row r="6460" spans="1:9">
      <c r="A6460" s="2">
        <v>2008</v>
      </c>
      <c r="B6460">
        <v>18</v>
      </c>
      <c r="C6460">
        <v>7.3999999999999999E-4</v>
      </c>
      <c r="D6460">
        <v>7.3999999999999999E-4</v>
      </c>
      <c r="E6460">
        <v>0.5</v>
      </c>
      <c r="F6460">
        <v>98960</v>
      </c>
      <c r="G6460">
        <v>73</v>
      </c>
      <c r="H6460">
        <v>98923</v>
      </c>
      <c r="I6460">
        <v>5196251</v>
      </c>
    </row>
    <row r="6461" spans="1:9">
      <c r="A6461" s="2">
        <v>2008</v>
      </c>
      <c r="B6461">
        <v>19</v>
      </c>
      <c r="C6461">
        <v>7.3999999999999999E-4</v>
      </c>
      <c r="D6461">
        <v>7.3999999999999999E-4</v>
      </c>
      <c r="E6461">
        <v>0.5</v>
      </c>
      <c r="F6461">
        <v>98887</v>
      </c>
      <c r="G6461">
        <v>73</v>
      </c>
      <c r="H6461">
        <v>98850</v>
      </c>
      <c r="I6461">
        <v>5097328</v>
      </c>
    </row>
    <row r="6462" spans="1:9">
      <c r="A6462" s="2">
        <v>2008</v>
      </c>
      <c r="B6462">
        <v>20</v>
      </c>
      <c r="C6462">
        <v>4.6999999999999999E-4</v>
      </c>
      <c r="D6462">
        <v>4.6999999999999999E-4</v>
      </c>
      <c r="E6462">
        <v>0.5</v>
      </c>
      <c r="F6462">
        <v>98814</v>
      </c>
      <c r="G6462">
        <v>46</v>
      </c>
      <c r="H6462">
        <v>98790</v>
      </c>
      <c r="I6462">
        <v>4998478</v>
      </c>
    </row>
    <row r="6463" spans="1:9">
      <c r="A6463" s="2">
        <v>2008</v>
      </c>
      <c r="B6463">
        <v>21</v>
      </c>
      <c r="C6463">
        <v>6.7000000000000002E-4</v>
      </c>
      <c r="D6463">
        <v>6.7000000000000002E-4</v>
      </c>
      <c r="E6463">
        <v>0.5</v>
      </c>
      <c r="F6463">
        <v>98767</v>
      </c>
      <c r="G6463">
        <v>66</v>
      </c>
      <c r="H6463">
        <v>98734</v>
      </c>
      <c r="I6463">
        <v>4899687</v>
      </c>
    </row>
    <row r="6464" spans="1:9">
      <c r="A6464" s="2">
        <v>2008</v>
      </c>
      <c r="B6464">
        <v>22</v>
      </c>
      <c r="C6464">
        <v>6.9999999999999999E-4</v>
      </c>
      <c r="D6464">
        <v>6.9999999999999999E-4</v>
      </c>
      <c r="E6464">
        <v>0.5</v>
      </c>
      <c r="F6464">
        <v>98701</v>
      </c>
      <c r="G6464">
        <v>69</v>
      </c>
      <c r="H6464">
        <v>98666</v>
      </c>
      <c r="I6464">
        <v>4800953</v>
      </c>
    </row>
    <row r="6465" spans="1:9">
      <c r="A6465" s="2">
        <v>2008</v>
      </c>
      <c r="B6465">
        <v>23</v>
      </c>
      <c r="C6465">
        <v>7.6000000000000004E-4</v>
      </c>
      <c r="D6465">
        <v>7.6000000000000004E-4</v>
      </c>
      <c r="E6465">
        <v>0.5</v>
      </c>
      <c r="F6465">
        <v>98631</v>
      </c>
      <c r="G6465">
        <v>75</v>
      </c>
      <c r="H6465">
        <v>98594</v>
      </c>
      <c r="I6465">
        <v>4702287</v>
      </c>
    </row>
    <row r="6466" spans="1:9">
      <c r="A6466" s="2">
        <v>2008</v>
      </c>
      <c r="B6466">
        <v>24</v>
      </c>
      <c r="C6466">
        <v>8.8000000000000003E-4</v>
      </c>
      <c r="D6466">
        <v>8.8000000000000003E-4</v>
      </c>
      <c r="E6466">
        <v>0.5</v>
      </c>
      <c r="F6466">
        <v>98557</v>
      </c>
      <c r="G6466">
        <v>86</v>
      </c>
      <c r="H6466">
        <v>98513</v>
      </c>
      <c r="I6466">
        <v>4603693</v>
      </c>
    </row>
    <row r="6467" spans="1:9">
      <c r="A6467" s="2">
        <v>2008</v>
      </c>
      <c r="B6467">
        <v>25</v>
      </c>
      <c r="C6467">
        <v>6.8999999999999997E-4</v>
      </c>
      <c r="D6467">
        <v>6.8999999999999997E-4</v>
      </c>
      <c r="E6467">
        <v>0.5</v>
      </c>
      <c r="F6467">
        <v>98470</v>
      </c>
      <c r="G6467">
        <v>68</v>
      </c>
      <c r="H6467">
        <v>98436</v>
      </c>
      <c r="I6467">
        <v>4505179</v>
      </c>
    </row>
    <row r="6468" spans="1:9">
      <c r="A6468" s="2">
        <v>2008</v>
      </c>
      <c r="B6468">
        <v>26</v>
      </c>
      <c r="C6468">
        <v>1E-3</v>
      </c>
      <c r="D6468">
        <v>1E-3</v>
      </c>
      <c r="E6468">
        <v>0.5</v>
      </c>
      <c r="F6468">
        <v>98402</v>
      </c>
      <c r="G6468">
        <v>98</v>
      </c>
      <c r="H6468">
        <v>98353</v>
      </c>
      <c r="I6468">
        <v>4406743</v>
      </c>
    </row>
    <row r="6469" spans="1:9">
      <c r="A6469" s="2">
        <v>2008</v>
      </c>
      <c r="B6469">
        <v>27</v>
      </c>
      <c r="C6469">
        <v>9.6000000000000002E-4</v>
      </c>
      <c r="D6469">
        <v>9.6000000000000002E-4</v>
      </c>
      <c r="E6469">
        <v>0.5</v>
      </c>
      <c r="F6469">
        <v>98304</v>
      </c>
      <c r="G6469">
        <v>94</v>
      </c>
      <c r="H6469">
        <v>98257</v>
      </c>
      <c r="I6469">
        <v>4308390</v>
      </c>
    </row>
    <row r="6470" spans="1:9">
      <c r="A6470" s="2">
        <v>2008</v>
      </c>
      <c r="B6470">
        <v>28</v>
      </c>
      <c r="C6470">
        <v>7.9000000000000001E-4</v>
      </c>
      <c r="D6470">
        <v>7.9000000000000001E-4</v>
      </c>
      <c r="E6470">
        <v>0.5</v>
      </c>
      <c r="F6470">
        <v>98210</v>
      </c>
      <c r="G6470">
        <v>78</v>
      </c>
      <c r="H6470">
        <v>98171</v>
      </c>
      <c r="I6470">
        <v>4210133</v>
      </c>
    </row>
    <row r="6471" spans="1:9">
      <c r="A6471" s="2">
        <v>2008</v>
      </c>
      <c r="B6471">
        <v>29</v>
      </c>
      <c r="C6471">
        <v>8.4999999999999995E-4</v>
      </c>
      <c r="D6471">
        <v>8.4999999999999995E-4</v>
      </c>
      <c r="E6471">
        <v>0.5</v>
      </c>
      <c r="F6471">
        <v>98132</v>
      </c>
      <c r="G6471">
        <v>84</v>
      </c>
      <c r="H6471">
        <v>98091</v>
      </c>
      <c r="I6471">
        <v>4111962</v>
      </c>
    </row>
    <row r="6472" spans="1:9">
      <c r="A6472" s="2">
        <v>2008</v>
      </c>
      <c r="B6472">
        <v>30</v>
      </c>
      <c r="C6472">
        <v>1.23E-3</v>
      </c>
      <c r="D6472">
        <v>1.23E-3</v>
      </c>
      <c r="E6472">
        <v>0.5</v>
      </c>
      <c r="F6472">
        <v>98049</v>
      </c>
      <c r="G6472">
        <v>121</v>
      </c>
      <c r="H6472">
        <v>97989</v>
      </c>
      <c r="I6472">
        <v>4013871</v>
      </c>
    </row>
    <row r="6473" spans="1:9">
      <c r="A6473" s="2">
        <v>2008</v>
      </c>
      <c r="B6473">
        <v>31</v>
      </c>
      <c r="C6473">
        <v>1.2999999999999999E-3</v>
      </c>
      <c r="D6473">
        <v>1.2999999999999999E-3</v>
      </c>
      <c r="E6473">
        <v>0.5</v>
      </c>
      <c r="F6473">
        <v>97928</v>
      </c>
      <c r="G6473">
        <v>128</v>
      </c>
      <c r="H6473">
        <v>97864</v>
      </c>
      <c r="I6473">
        <v>3915883</v>
      </c>
    </row>
    <row r="6474" spans="1:9">
      <c r="A6474" s="2">
        <v>2008</v>
      </c>
      <c r="B6474">
        <v>32</v>
      </c>
      <c r="C6474">
        <v>1.1000000000000001E-3</v>
      </c>
      <c r="D6474">
        <v>1.1000000000000001E-3</v>
      </c>
      <c r="E6474">
        <v>0.5</v>
      </c>
      <c r="F6474">
        <v>97801</v>
      </c>
      <c r="G6474">
        <v>107</v>
      </c>
      <c r="H6474">
        <v>97747</v>
      </c>
      <c r="I6474">
        <v>3818018</v>
      </c>
    </row>
    <row r="6475" spans="1:9">
      <c r="A6475" s="2">
        <v>2008</v>
      </c>
      <c r="B6475">
        <v>33</v>
      </c>
      <c r="C6475">
        <v>1.2099999999999999E-3</v>
      </c>
      <c r="D6475">
        <v>1.1999999999999999E-3</v>
      </c>
      <c r="E6475">
        <v>0.5</v>
      </c>
      <c r="F6475">
        <v>97693</v>
      </c>
      <c r="G6475">
        <v>118</v>
      </c>
      <c r="H6475">
        <v>97634</v>
      </c>
      <c r="I6475">
        <v>3720271</v>
      </c>
    </row>
    <row r="6476" spans="1:9">
      <c r="A6476" s="2">
        <v>2008</v>
      </c>
      <c r="B6476">
        <v>34</v>
      </c>
      <c r="C6476">
        <v>1.2600000000000001E-3</v>
      </c>
      <c r="D6476">
        <v>1.2600000000000001E-3</v>
      </c>
      <c r="E6476">
        <v>0.5</v>
      </c>
      <c r="F6476">
        <v>97575</v>
      </c>
      <c r="G6476">
        <v>123</v>
      </c>
      <c r="H6476">
        <v>97514</v>
      </c>
      <c r="I6476">
        <v>3622637</v>
      </c>
    </row>
    <row r="6477" spans="1:9">
      <c r="A6477" s="2">
        <v>2008</v>
      </c>
      <c r="B6477">
        <v>35</v>
      </c>
      <c r="C6477">
        <v>1.6299999999999999E-3</v>
      </c>
      <c r="D6477">
        <v>1.6299999999999999E-3</v>
      </c>
      <c r="E6477">
        <v>0.5</v>
      </c>
      <c r="F6477">
        <v>97452</v>
      </c>
      <c r="G6477">
        <v>159</v>
      </c>
      <c r="H6477">
        <v>97373</v>
      </c>
      <c r="I6477">
        <v>3525123</v>
      </c>
    </row>
    <row r="6478" spans="1:9">
      <c r="A6478" s="2">
        <v>2008</v>
      </c>
      <c r="B6478">
        <v>36</v>
      </c>
      <c r="C6478">
        <v>1.8600000000000001E-3</v>
      </c>
      <c r="D6478">
        <v>1.8600000000000001E-3</v>
      </c>
      <c r="E6478">
        <v>0.5</v>
      </c>
      <c r="F6478">
        <v>97293</v>
      </c>
      <c r="G6478">
        <v>181</v>
      </c>
      <c r="H6478">
        <v>97203</v>
      </c>
      <c r="I6478">
        <v>3427750</v>
      </c>
    </row>
    <row r="6479" spans="1:9">
      <c r="A6479" s="2">
        <v>2008</v>
      </c>
      <c r="B6479">
        <v>37</v>
      </c>
      <c r="C6479">
        <v>1.98E-3</v>
      </c>
      <c r="D6479">
        <v>1.97E-3</v>
      </c>
      <c r="E6479">
        <v>0.5</v>
      </c>
      <c r="F6479">
        <v>97112</v>
      </c>
      <c r="G6479">
        <v>192</v>
      </c>
      <c r="H6479">
        <v>97017</v>
      </c>
      <c r="I6479">
        <v>3330547</v>
      </c>
    </row>
    <row r="6480" spans="1:9">
      <c r="A6480" s="2">
        <v>2008</v>
      </c>
      <c r="B6480">
        <v>38</v>
      </c>
      <c r="C6480">
        <v>2.2699999999999999E-3</v>
      </c>
      <c r="D6480">
        <v>2.2699999999999999E-3</v>
      </c>
      <c r="E6480">
        <v>0.5</v>
      </c>
      <c r="F6480">
        <v>96921</v>
      </c>
      <c r="G6480">
        <v>220</v>
      </c>
      <c r="H6480">
        <v>96811</v>
      </c>
      <c r="I6480">
        <v>3233531</v>
      </c>
    </row>
    <row r="6481" spans="1:9">
      <c r="A6481" s="2">
        <v>2008</v>
      </c>
      <c r="B6481">
        <v>39</v>
      </c>
      <c r="C6481">
        <v>2.7000000000000001E-3</v>
      </c>
      <c r="D6481">
        <v>2.6900000000000001E-3</v>
      </c>
      <c r="E6481">
        <v>0.5</v>
      </c>
      <c r="F6481">
        <v>96701</v>
      </c>
      <c r="G6481">
        <v>260</v>
      </c>
      <c r="H6481">
        <v>96571</v>
      </c>
      <c r="I6481">
        <v>3136720</v>
      </c>
    </row>
    <row r="6482" spans="1:9">
      <c r="A6482" s="2">
        <v>2008</v>
      </c>
      <c r="B6482">
        <v>40</v>
      </c>
      <c r="C6482">
        <v>3.0500000000000002E-3</v>
      </c>
      <c r="D6482">
        <v>3.0400000000000002E-3</v>
      </c>
      <c r="E6482">
        <v>0.5</v>
      </c>
      <c r="F6482">
        <v>96441</v>
      </c>
      <c r="G6482">
        <v>293</v>
      </c>
      <c r="H6482">
        <v>96294</v>
      </c>
      <c r="I6482">
        <v>3040149</v>
      </c>
    </row>
    <row r="6483" spans="1:9">
      <c r="A6483" s="2">
        <v>2008</v>
      </c>
      <c r="B6483">
        <v>41</v>
      </c>
      <c r="C6483">
        <v>4.0600000000000002E-3</v>
      </c>
      <c r="D6483">
        <v>4.0499999999999998E-3</v>
      </c>
      <c r="E6483">
        <v>0.5</v>
      </c>
      <c r="F6483">
        <v>96147</v>
      </c>
      <c r="G6483">
        <v>389</v>
      </c>
      <c r="H6483">
        <v>95952</v>
      </c>
      <c r="I6483">
        <v>2943855</v>
      </c>
    </row>
    <row r="6484" spans="1:9">
      <c r="A6484" s="2">
        <v>2008</v>
      </c>
      <c r="B6484">
        <v>42</v>
      </c>
      <c r="C6484">
        <v>4.1799999999999997E-3</v>
      </c>
      <c r="D6484">
        <v>4.1700000000000001E-3</v>
      </c>
      <c r="E6484">
        <v>0.5</v>
      </c>
      <c r="F6484">
        <v>95758</v>
      </c>
      <c r="G6484">
        <v>399</v>
      </c>
      <c r="H6484">
        <v>95558</v>
      </c>
      <c r="I6484">
        <v>2847903</v>
      </c>
    </row>
    <row r="6485" spans="1:9">
      <c r="A6485" s="2">
        <v>2008</v>
      </c>
      <c r="B6485">
        <v>43</v>
      </c>
      <c r="C6485">
        <v>4.6299999999999996E-3</v>
      </c>
      <c r="D6485">
        <v>4.62E-3</v>
      </c>
      <c r="E6485">
        <v>0.5</v>
      </c>
      <c r="F6485">
        <v>95359</v>
      </c>
      <c r="G6485">
        <v>441</v>
      </c>
      <c r="H6485">
        <v>95138</v>
      </c>
      <c r="I6485">
        <v>2752345</v>
      </c>
    </row>
    <row r="6486" spans="1:9">
      <c r="A6486" s="2">
        <v>2008</v>
      </c>
      <c r="B6486">
        <v>44</v>
      </c>
      <c r="C6486">
        <v>5.79E-3</v>
      </c>
      <c r="D6486">
        <v>5.77E-3</v>
      </c>
      <c r="E6486">
        <v>0.5</v>
      </c>
      <c r="F6486">
        <v>94918</v>
      </c>
      <c r="G6486">
        <v>548</v>
      </c>
      <c r="H6486">
        <v>94644</v>
      </c>
      <c r="I6486">
        <v>2657206</v>
      </c>
    </row>
    <row r="6487" spans="1:9">
      <c r="A6487" s="2">
        <v>2008</v>
      </c>
      <c r="B6487">
        <v>45</v>
      </c>
      <c r="C6487">
        <v>7.0499999999999998E-3</v>
      </c>
      <c r="D6487">
        <v>7.0299999999999998E-3</v>
      </c>
      <c r="E6487">
        <v>0.5</v>
      </c>
      <c r="F6487">
        <v>94371</v>
      </c>
      <c r="G6487">
        <v>663</v>
      </c>
      <c r="H6487">
        <v>94039</v>
      </c>
      <c r="I6487">
        <v>2562562</v>
      </c>
    </row>
    <row r="6488" spans="1:9">
      <c r="A6488" s="2">
        <v>2008</v>
      </c>
      <c r="B6488">
        <v>46</v>
      </c>
      <c r="C6488">
        <v>7.4200000000000004E-3</v>
      </c>
      <c r="D6488">
        <v>7.3899999999999999E-3</v>
      </c>
      <c r="E6488">
        <v>0.5</v>
      </c>
      <c r="F6488">
        <v>93707</v>
      </c>
      <c r="G6488">
        <v>693</v>
      </c>
      <c r="H6488">
        <v>93361</v>
      </c>
      <c r="I6488">
        <v>2468523</v>
      </c>
    </row>
    <row r="6489" spans="1:9">
      <c r="A6489" s="2">
        <v>2008</v>
      </c>
      <c r="B6489">
        <v>47</v>
      </c>
      <c r="C6489">
        <v>8.7899999999999992E-3</v>
      </c>
      <c r="D6489">
        <v>8.7500000000000008E-3</v>
      </c>
      <c r="E6489">
        <v>0.5</v>
      </c>
      <c r="F6489">
        <v>93014</v>
      </c>
      <c r="G6489">
        <v>814</v>
      </c>
      <c r="H6489">
        <v>92607</v>
      </c>
      <c r="I6489">
        <v>2375162</v>
      </c>
    </row>
    <row r="6490" spans="1:9">
      <c r="A6490" s="2">
        <v>2008</v>
      </c>
      <c r="B6490">
        <v>48</v>
      </c>
      <c r="C6490">
        <v>1.001E-2</v>
      </c>
      <c r="D6490">
        <v>9.9600000000000001E-3</v>
      </c>
      <c r="E6490">
        <v>0.5</v>
      </c>
      <c r="F6490">
        <v>92200</v>
      </c>
      <c r="G6490">
        <v>918</v>
      </c>
      <c r="H6490">
        <v>91741</v>
      </c>
      <c r="I6490">
        <v>2282555</v>
      </c>
    </row>
    <row r="6491" spans="1:9">
      <c r="A6491" s="2">
        <v>2008</v>
      </c>
      <c r="B6491">
        <v>49</v>
      </c>
      <c r="C6491">
        <v>1.0449999999999999E-2</v>
      </c>
      <c r="D6491">
        <v>1.04E-2</v>
      </c>
      <c r="E6491">
        <v>0.5</v>
      </c>
      <c r="F6491">
        <v>91282</v>
      </c>
      <c r="G6491">
        <v>949</v>
      </c>
      <c r="H6491">
        <v>90807</v>
      </c>
      <c r="I6491">
        <v>2190814</v>
      </c>
    </row>
    <row r="6492" spans="1:9">
      <c r="A6492" s="2">
        <v>2008</v>
      </c>
      <c r="B6492">
        <v>50</v>
      </c>
      <c r="C6492">
        <v>1.2489999999999999E-2</v>
      </c>
      <c r="D6492">
        <v>1.242E-2</v>
      </c>
      <c r="E6492">
        <v>0.5</v>
      </c>
      <c r="F6492">
        <v>90333</v>
      </c>
      <c r="G6492">
        <v>1122</v>
      </c>
      <c r="H6492">
        <v>89772</v>
      </c>
      <c r="I6492">
        <v>2100006</v>
      </c>
    </row>
    <row r="6493" spans="1:9">
      <c r="A6493" s="2">
        <v>2008</v>
      </c>
      <c r="B6493">
        <v>51</v>
      </c>
      <c r="C6493">
        <v>1.405E-2</v>
      </c>
      <c r="D6493">
        <v>1.396E-2</v>
      </c>
      <c r="E6493">
        <v>0.5</v>
      </c>
      <c r="F6493">
        <v>89211</v>
      </c>
      <c r="G6493">
        <v>1245</v>
      </c>
      <c r="H6493">
        <v>88589</v>
      </c>
      <c r="I6493">
        <v>2010234</v>
      </c>
    </row>
    <row r="6494" spans="1:9">
      <c r="A6494" s="2">
        <v>2008</v>
      </c>
      <c r="B6494">
        <v>52</v>
      </c>
      <c r="C6494">
        <v>1.447E-2</v>
      </c>
      <c r="D6494">
        <v>1.4370000000000001E-2</v>
      </c>
      <c r="E6494">
        <v>0.5</v>
      </c>
      <c r="F6494">
        <v>87966</v>
      </c>
      <c r="G6494">
        <v>1264</v>
      </c>
      <c r="H6494">
        <v>87334</v>
      </c>
      <c r="I6494">
        <v>1921646</v>
      </c>
    </row>
    <row r="6495" spans="1:9">
      <c r="A6495" s="2">
        <v>2008</v>
      </c>
      <c r="B6495">
        <v>53</v>
      </c>
      <c r="C6495">
        <v>1.525E-2</v>
      </c>
      <c r="D6495">
        <v>1.5140000000000001E-2</v>
      </c>
      <c r="E6495">
        <v>0.5</v>
      </c>
      <c r="F6495">
        <v>86702</v>
      </c>
      <c r="G6495">
        <v>1312</v>
      </c>
      <c r="H6495">
        <v>86046</v>
      </c>
      <c r="I6495">
        <v>1834312</v>
      </c>
    </row>
    <row r="6496" spans="1:9">
      <c r="A6496" s="2">
        <v>2008</v>
      </c>
      <c r="B6496">
        <v>54</v>
      </c>
      <c r="C6496">
        <v>1.653E-2</v>
      </c>
      <c r="D6496">
        <v>1.6400000000000001E-2</v>
      </c>
      <c r="E6496">
        <v>0.5</v>
      </c>
      <c r="F6496">
        <v>85390</v>
      </c>
      <c r="G6496">
        <v>1400</v>
      </c>
      <c r="H6496">
        <v>84690</v>
      </c>
      <c r="I6496">
        <v>1748266</v>
      </c>
    </row>
    <row r="6497" spans="1:9">
      <c r="A6497" s="2">
        <v>2008</v>
      </c>
      <c r="B6497">
        <v>55</v>
      </c>
      <c r="C6497">
        <v>1.7840000000000002E-2</v>
      </c>
      <c r="D6497">
        <v>1.7680000000000001E-2</v>
      </c>
      <c r="E6497">
        <v>0.5</v>
      </c>
      <c r="F6497">
        <v>83990</v>
      </c>
      <c r="G6497">
        <v>1485</v>
      </c>
      <c r="H6497">
        <v>83247</v>
      </c>
      <c r="I6497">
        <v>1663576</v>
      </c>
    </row>
    <row r="6498" spans="1:9">
      <c r="A6498" s="2">
        <v>2008</v>
      </c>
      <c r="B6498">
        <v>56</v>
      </c>
      <c r="C6498">
        <v>1.9189999999999999E-2</v>
      </c>
      <c r="D6498">
        <v>1.9009999999999999E-2</v>
      </c>
      <c r="E6498">
        <v>0.5</v>
      </c>
      <c r="F6498">
        <v>82505</v>
      </c>
      <c r="G6498">
        <v>1568</v>
      </c>
      <c r="H6498">
        <v>81721</v>
      </c>
      <c r="I6498">
        <v>1580328</v>
      </c>
    </row>
    <row r="6499" spans="1:9">
      <c r="A6499" s="2">
        <v>2008</v>
      </c>
      <c r="B6499">
        <v>57</v>
      </c>
      <c r="C6499">
        <v>1.9800000000000002E-2</v>
      </c>
      <c r="D6499">
        <v>1.9609999999999999E-2</v>
      </c>
      <c r="E6499">
        <v>0.5</v>
      </c>
      <c r="F6499">
        <v>80937</v>
      </c>
      <c r="G6499">
        <v>1587</v>
      </c>
      <c r="H6499">
        <v>80144</v>
      </c>
      <c r="I6499">
        <v>1498607</v>
      </c>
    </row>
    <row r="6500" spans="1:9">
      <c r="A6500" s="2">
        <v>2008</v>
      </c>
      <c r="B6500">
        <v>58</v>
      </c>
      <c r="C6500">
        <v>2.077E-2</v>
      </c>
      <c r="D6500">
        <v>2.0549999999999999E-2</v>
      </c>
      <c r="E6500">
        <v>0.5</v>
      </c>
      <c r="F6500">
        <v>79350</v>
      </c>
      <c r="G6500">
        <v>1631</v>
      </c>
      <c r="H6500">
        <v>78535</v>
      </c>
      <c r="I6500">
        <v>1418464</v>
      </c>
    </row>
    <row r="6501" spans="1:9">
      <c r="A6501" s="2">
        <v>2008</v>
      </c>
      <c r="B6501">
        <v>59</v>
      </c>
      <c r="C6501">
        <v>2.2259999999999999E-2</v>
      </c>
      <c r="D6501">
        <v>2.2020000000000001E-2</v>
      </c>
      <c r="E6501">
        <v>0.5</v>
      </c>
      <c r="F6501">
        <v>77719</v>
      </c>
      <c r="G6501">
        <v>1711</v>
      </c>
      <c r="H6501">
        <v>76864</v>
      </c>
      <c r="I6501">
        <v>1339929</v>
      </c>
    </row>
    <row r="6502" spans="1:9">
      <c r="A6502" s="2">
        <v>2008</v>
      </c>
      <c r="B6502">
        <v>60</v>
      </c>
      <c r="C6502">
        <v>2.4420000000000001E-2</v>
      </c>
      <c r="D6502">
        <v>2.4119999999999999E-2</v>
      </c>
      <c r="E6502">
        <v>0.5</v>
      </c>
      <c r="F6502">
        <v>76008</v>
      </c>
      <c r="G6502">
        <v>1833</v>
      </c>
      <c r="H6502">
        <v>75091</v>
      </c>
      <c r="I6502">
        <v>1263066</v>
      </c>
    </row>
    <row r="6503" spans="1:9">
      <c r="A6503" s="2">
        <v>2008</v>
      </c>
      <c r="B6503">
        <v>61</v>
      </c>
      <c r="C6503">
        <v>2.6509999999999999E-2</v>
      </c>
      <c r="D6503">
        <v>2.6159999999999999E-2</v>
      </c>
      <c r="E6503">
        <v>0.5</v>
      </c>
      <c r="F6503">
        <v>74174</v>
      </c>
      <c r="G6503">
        <v>1940</v>
      </c>
      <c r="H6503">
        <v>73204</v>
      </c>
      <c r="I6503">
        <v>1187974</v>
      </c>
    </row>
    <row r="6504" spans="1:9">
      <c r="A6504" s="2">
        <v>2008</v>
      </c>
      <c r="B6504">
        <v>62</v>
      </c>
      <c r="C6504">
        <v>2.5590000000000002E-2</v>
      </c>
      <c r="D6504">
        <v>2.5270000000000001E-2</v>
      </c>
      <c r="E6504">
        <v>0.5</v>
      </c>
      <c r="F6504">
        <v>72234</v>
      </c>
      <c r="G6504">
        <v>1825</v>
      </c>
      <c r="H6504">
        <v>71321</v>
      </c>
      <c r="I6504">
        <v>1114770</v>
      </c>
    </row>
    <row r="6505" spans="1:9">
      <c r="A6505" s="2">
        <v>2008</v>
      </c>
      <c r="B6505">
        <v>63</v>
      </c>
      <c r="C6505">
        <v>3.0509999999999999E-2</v>
      </c>
      <c r="D6505">
        <v>3.005E-2</v>
      </c>
      <c r="E6505">
        <v>0.5</v>
      </c>
      <c r="F6505">
        <v>70409</v>
      </c>
      <c r="G6505">
        <v>2116</v>
      </c>
      <c r="H6505">
        <v>69351</v>
      </c>
      <c r="I6505">
        <v>1043449</v>
      </c>
    </row>
    <row r="6506" spans="1:9">
      <c r="A6506" s="2">
        <v>2008</v>
      </c>
      <c r="B6506">
        <v>64</v>
      </c>
      <c r="C6506">
        <v>3.1870000000000002E-2</v>
      </c>
      <c r="D6506">
        <v>3.1370000000000002E-2</v>
      </c>
      <c r="E6506">
        <v>0.5</v>
      </c>
      <c r="F6506">
        <v>68293</v>
      </c>
      <c r="G6506">
        <v>2143</v>
      </c>
      <c r="H6506">
        <v>67222</v>
      </c>
      <c r="I6506">
        <v>974098</v>
      </c>
    </row>
    <row r="6507" spans="1:9">
      <c r="A6507" s="2">
        <v>2008</v>
      </c>
      <c r="B6507">
        <v>65</v>
      </c>
      <c r="C6507">
        <v>3.3419999999999998E-2</v>
      </c>
      <c r="D6507">
        <v>3.2870000000000003E-2</v>
      </c>
      <c r="E6507">
        <v>0.5</v>
      </c>
      <c r="F6507">
        <v>66151</v>
      </c>
      <c r="G6507">
        <v>2174</v>
      </c>
      <c r="H6507">
        <v>65064</v>
      </c>
      <c r="I6507">
        <v>906876</v>
      </c>
    </row>
    <row r="6508" spans="1:9">
      <c r="A6508" s="2">
        <v>2008</v>
      </c>
      <c r="B6508">
        <v>66</v>
      </c>
      <c r="C6508">
        <v>3.3500000000000002E-2</v>
      </c>
      <c r="D6508">
        <v>3.295E-2</v>
      </c>
      <c r="E6508">
        <v>0.5</v>
      </c>
      <c r="F6508">
        <v>63977</v>
      </c>
      <c r="G6508">
        <v>2108</v>
      </c>
      <c r="H6508">
        <v>62923</v>
      </c>
      <c r="I6508">
        <v>841812</v>
      </c>
    </row>
    <row r="6509" spans="1:9">
      <c r="A6509" s="2">
        <v>2008</v>
      </c>
      <c r="B6509">
        <v>67</v>
      </c>
      <c r="C6509">
        <v>3.4669999999999999E-2</v>
      </c>
      <c r="D6509">
        <v>3.4079999999999999E-2</v>
      </c>
      <c r="E6509">
        <v>0.5</v>
      </c>
      <c r="F6509">
        <v>61868</v>
      </c>
      <c r="G6509">
        <v>2109</v>
      </c>
      <c r="H6509">
        <v>60814</v>
      </c>
      <c r="I6509">
        <v>778889</v>
      </c>
    </row>
    <row r="6510" spans="1:9">
      <c r="A6510" s="2">
        <v>2008</v>
      </c>
      <c r="B6510">
        <v>68</v>
      </c>
      <c r="C6510">
        <v>3.8850000000000003E-2</v>
      </c>
      <c r="D6510">
        <v>3.8109999999999998E-2</v>
      </c>
      <c r="E6510">
        <v>0.5</v>
      </c>
      <c r="F6510">
        <v>59760</v>
      </c>
      <c r="G6510">
        <v>2278</v>
      </c>
      <c r="H6510">
        <v>58621</v>
      </c>
      <c r="I6510">
        <v>718075</v>
      </c>
    </row>
    <row r="6511" spans="1:9">
      <c r="A6511" s="2">
        <v>2008</v>
      </c>
      <c r="B6511">
        <v>69</v>
      </c>
      <c r="C6511">
        <v>4.3770000000000003E-2</v>
      </c>
      <c r="D6511">
        <v>4.283E-2</v>
      </c>
      <c r="E6511">
        <v>0.5</v>
      </c>
      <c r="F6511">
        <v>57482</v>
      </c>
      <c r="G6511">
        <v>2462</v>
      </c>
      <c r="H6511">
        <v>56251</v>
      </c>
      <c r="I6511">
        <v>659454</v>
      </c>
    </row>
    <row r="6512" spans="1:9">
      <c r="A6512" s="2">
        <v>2008</v>
      </c>
      <c r="B6512">
        <v>70</v>
      </c>
      <c r="C6512">
        <v>4.5280000000000001E-2</v>
      </c>
      <c r="D6512">
        <v>4.428E-2</v>
      </c>
      <c r="E6512">
        <v>0.5</v>
      </c>
      <c r="F6512">
        <v>55020</v>
      </c>
      <c r="G6512">
        <v>2436</v>
      </c>
      <c r="H6512">
        <v>53802</v>
      </c>
      <c r="I6512">
        <v>603203</v>
      </c>
    </row>
    <row r="6513" spans="1:9">
      <c r="A6513" s="2">
        <v>2008</v>
      </c>
      <c r="B6513">
        <v>71</v>
      </c>
      <c r="C6513">
        <v>4.888E-2</v>
      </c>
      <c r="D6513">
        <v>4.7710000000000002E-2</v>
      </c>
      <c r="E6513">
        <v>0.5</v>
      </c>
      <c r="F6513">
        <v>52584</v>
      </c>
      <c r="G6513">
        <v>2509</v>
      </c>
      <c r="H6513">
        <v>51330</v>
      </c>
      <c r="I6513">
        <v>549401</v>
      </c>
    </row>
    <row r="6514" spans="1:9">
      <c r="A6514" s="2">
        <v>2008</v>
      </c>
      <c r="B6514">
        <v>72</v>
      </c>
      <c r="C6514">
        <v>5.3370000000000001E-2</v>
      </c>
      <c r="D6514">
        <v>5.1979999999999998E-2</v>
      </c>
      <c r="E6514">
        <v>0.5</v>
      </c>
      <c r="F6514">
        <v>50075</v>
      </c>
      <c r="G6514">
        <v>2603</v>
      </c>
      <c r="H6514">
        <v>48774</v>
      </c>
      <c r="I6514">
        <v>498071</v>
      </c>
    </row>
    <row r="6515" spans="1:9">
      <c r="A6515" s="2">
        <v>2008</v>
      </c>
      <c r="B6515">
        <v>73</v>
      </c>
      <c r="C6515">
        <v>5.6300000000000003E-2</v>
      </c>
      <c r="D6515">
        <v>5.4760000000000003E-2</v>
      </c>
      <c r="E6515">
        <v>0.5</v>
      </c>
      <c r="F6515">
        <v>47472</v>
      </c>
      <c r="G6515">
        <v>2599</v>
      </c>
      <c r="H6515">
        <v>46172</v>
      </c>
      <c r="I6515">
        <v>449298</v>
      </c>
    </row>
    <row r="6516" spans="1:9">
      <c r="A6516" s="2">
        <v>2008</v>
      </c>
      <c r="B6516">
        <v>74</v>
      </c>
      <c r="C6516">
        <v>6.3570000000000002E-2</v>
      </c>
      <c r="D6516">
        <v>6.1609999999999998E-2</v>
      </c>
      <c r="E6516">
        <v>0.5</v>
      </c>
      <c r="F6516">
        <v>44873</v>
      </c>
      <c r="G6516">
        <v>2765</v>
      </c>
      <c r="H6516">
        <v>43490</v>
      </c>
      <c r="I6516">
        <v>403125</v>
      </c>
    </row>
    <row r="6517" spans="1:9">
      <c r="A6517" s="2">
        <v>2008</v>
      </c>
      <c r="B6517">
        <v>75</v>
      </c>
      <c r="C6517">
        <v>6.368E-2</v>
      </c>
      <c r="D6517">
        <v>6.1719999999999997E-2</v>
      </c>
      <c r="E6517">
        <v>0.5</v>
      </c>
      <c r="F6517">
        <v>42108</v>
      </c>
      <c r="G6517">
        <v>2599</v>
      </c>
      <c r="H6517">
        <v>40809</v>
      </c>
      <c r="I6517">
        <v>359635</v>
      </c>
    </row>
    <row r="6518" spans="1:9">
      <c r="A6518" s="2">
        <v>2008</v>
      </c>
      <c r="B6518">
        <v>76</v>
      </c>
      <c r="C6518">
        <v>6.7809999999999995E-2</v>
      </c>
      <c r="D6518">
        <v>6.5589999999999996E-2</v>
      </c>
      <c r="E6518">
        <v>0.5</v>
      </c>
      <c r="F6518">
        <v>39509</v>
      </c>
      <c r="G6518">
        <v>2591</v>
      </c>
      <c r="H6518">
        <v>38214</v>
      </c>
      <c r="I6518">
        <v>318826</v>
      </c>
    </row>
    <row r="6519" spans="1:9">
      <c r="A6519" s="2">
        <v>2008</v>
      </c>
      <c r="B6519">
        <v>77</v>
      </c>
      <c r="C6519">
        <v>7.6730000000000007E-2</v>
      </c>
      <c r="D6519">
        <v>7.3899999999999993E-2</v>
      </c>
      <c r="E6519">
        <v>0.5</v>
      </c>
      <c r="F6519">
        <v>36918</v>
      </c>
      <c r="G6519">
        <v>2728</v>
      </c>
      <c r="H6519">
        <v>35554</v>
      </c>
      <c r="I6519">
        <v>280612</v>
      </c>
    </row>
    <row r="6520" spans="1:9">
      <c r="A6520" s="2">
        <v>2008</v>
      </c>
      <c r="B6520">
        <v>78</v>
      </c>
      <c r="C6520">
        <v>8.1500000000000003E-2</v>
      </c>
      <c r="D6520">
        <v>7.8310000000000005E-2</v>
      </c>
      <c r="E6520">
        <v>0.5</v>
      </c>
      <c r="F6520">
        <v>34190</v>
      </c>
      <c r="G6520">
        <v>2677</v>
      </c>
      <c r="H6520">
        <v>32851</v>
      </c>
      <c r="I6520">
        <v>245058</v>
      </c>
    </row>
    <row r="6521" spans="1:9">
      <c r="A6521" s="2">
        <v>2008</v>
      </c>
      <c r="B6521">
        <v>79</v>
      </c>
      <c r="C6521">
        <v>9.1050000000000006E-2</v>
      </c>
      <c r="D6521">
        <v>8.7080000000000005E-2</v>
      </c>
      <c r="E6521">
        <v>0.5</v>
      </c>
      <c r="F6521">
        <v>31512</v>
      </c>
      <c r="G6521">
        <v>2744</v>
      </c>
      <c r="H6521">
        <v>30140</v>
      </c>
      <c r="I6521">
        <v>212207</v>
      </c>
    </row>
    <row r="6522" spans="1:9">
      <c r="A6522" s="2">
        <v>2008</v>
      </c>
      <c r="B6522">
        <v>80</v>
      </c>
      <c r="C6522">
        <v>9.7180000000000002E-2</v>
      </c>
      <c r="D6522">
        <v>9.2670000000000002E-2</v>
      </c>
      <c r="E6522">
        <v>0.5</v>
      </c>
      <c r="F6522">
        <v>28768</v>
      </c>
      <c r="G6522">
        <v>2666</v>
      </c>
      <c r="H6522">
        <v>27435</v>
      </c>
      <c r="I6522">
        <v>182067</v>
      </c>
    </row>
    <row r="6523" spans="1:9">
      <c r="A6523" s="2">
        <v>2008</v>
      </c>
      <c r="B6523">
        <v>81</v>
      </c>
      <c r="C6523">
        <v>0.11373</v>
      </c>
      <c r="D6523">
        <v>0.10761</v>
      </c>
      <c r="E6523">
        <v>0.5</v>
      </c>
      <c r="F6523">
        <v>26102</v>
      </c>
      <c r="G6523">
        <v>2809</v>
      </c>
      <c r="H6523">
        <v>24698</v>
      </c>
      <c r="I6523">
        <v>154632</v>
      </c>
    </row>
    <row r="6524" spans="1:9">
      <c r="A6524" s="2">
        <v>2008</v>
      </c>
      <c r="B6524">
        <v>82</v>
      </c>
      <c r="C6524">
        <v>0.12778999999999999</v>
      </c>
      <c r="D6524">
        <v>0.12012</v>
      </c>
      <c r="E6524">
        <v>0.5</v>
      </c>
      <c r="F6524">
        <v>23293</v>
      </c>
      <c r="G6524">
        <v>2798</v>
      </c>
      <c r="H6524">
        <v>21894</v>
      </c>
      <c r="I6524">
        <v>129934</v>
      </c>
    </row>
    <row r="6525" spans="1:9">
      <c r="A6525" s="2">
        <v>2008</v>
      </c>
      <c r="B6525">
        <v>83</v>
      </c>
      <c r="C6525">
        <v>0.13267000000000001</v>
      </c>
      <c r="D6525">
        <v>0.12441000000000001</v>
      </c>
      <c r="E6525">
        <v>0.5</v>
      </c>
      <c r="F6525">
        <v>20495</v>
      </c>
      <c r="G6525">
        <v>2550</v>
      </c>
      <c r="H6525">
        <v>19220</v>
      </c>
      <c r="I6525">
        <v>108040</v>
      </c>
    </row>
    <row r="6526" spans="1:9">
      <c r="A6526" s="2">
        <v>2008</v>
      </c>
      <c r="B6526">
        <v>84</v>
      </c>
      <c r="C6526">
        <v>0.14369999999999999</v>
      </c>
      <c r="D6526">
        <v>0.13406999999999999</v>
      </c>
      <c r="E6526">
        <v>0.5</v>
      </c>
      <c r="F6526">
        <v>17945</v>
      </c>
      <c r="G6526">
        <v>2406</v>
      </c>
      <c r="H6526">
        <v>16742</v>
      </c>
      <c r="I6526">
        <v>88820</v>
      </c>
    </row>
    <row r="6527" spans="1:9">
      <c r="A6527" s="2">
        <v>2008</v>
      </c>
      <c r="B6527">
        <v>85</v>
      </c>
      <c r="C6527">
        <v>0.15440999999999999</v>
      </c>
      <c r="D6527">
        <v>0.14334</v>
      </c>
      <c r="E6527">
        <v>0.5</v>
      </c>
      <c r="F6527">
        <v>15539</v>
      </c>
      <c r="G6527">
        <v>2227</v>
      </c>
      <c r="H6527">
        <v>14426</v>
      </c>
      <c r="I6527">
        <v>72077</v>
      </c>
    </row>
    <row r="6528" spans="1:9">
      <c r="A6528" s="2">
        <v>2008</v>
      </c>
      <c r="B6528">
        <v>86</v>
      </c>
      <c r="C6528">
        <v>0.17185</v>
      </c>
      <c r="D6528">
        <v>0.15825</v>
      </c>
      <c r="E6528">
        <v>0.5</v>
      </c>
      <c r="F6528">
        <v>13312</v>
      </c>
      <c r="G6528">
        <v>2107</v>
      </c>
      <c r="H6528">
        <v>12259</v>
      </c>
      <c r="I6528">
        <v>57651</v>
      </c>
    </row>
    <row r="6529" spans="1:9">
      <c r="A6529" s="2">
        <v>2008</v>
      </c>
      <c r="B6529">
        <v>87</v>
      </c>
      <c r="C6529">
        <v>0.18756</v>
      </c>
      <c r="D6529">
        <v>0.17147999999999999</v>
      </c>
      <c r="E6529">
        <v>0.5</v>
      </c>
      <c r="F6529">
        <v>11205</v>
      </c>
      <c r="G6529">
        <v>1922</v>
      </c>
      <c r="H6529">
        <v>10245</v>
      </c>
      <c r="I6529">
        <v>45393</v>
      </c>
    </row>
    <row r="6530" spans="1:9">
      <c r="A6530" s="2">
        <v>2008</v>
      </c>
      <c r="B6530">
        <v>88</v>
      </c>
      <c r="C6530">
        <v>0.22434000000000001</v>
      </c>
      <c r="D6530">
        <v>0.20171</v>
      </c>
      <c r="E6530">
        <v>0.5</v>
      </c>
      <c r="F6530">
        <v>9284</v>
      </c>
      <c r="G6530">
        <v>1873</v>
      </c>
      <c r="H6530">
        <v>8348</v>
      </c>
      <c r="I6530">
        <v>35148</v>
      </c>
    </row>
    <row r="6531" spans="1:9">
      <c r="A6531" s="2">
        <v>2008</v>
      </c>
      <c r="B6531">
        <v>89</v>
      </c>
      <c r="C6531">
        <v>0.19039</v>
      </c>
      <c r="D6531">
        <v>0.17383999999999999</v>
      </c>
      <c r="E6531">
        <v>0.5</v>
      </c>
      <c r="F6531">
        <v>7411</v>
      </c>
      <c r="G6531">
        <v>1288</v>
      </c>
      <c r="H6531">
        <v>6767</v>
      </c>
      <c r="I6531">
        <v>26801</v>
      </c>
    </row>
    <row r="6532" spans="1:9">
      <c r="A6532" s="2">
        <v>2008</v>
      </c>
      <c r="B6532">
        <v>90</v>
      </c>
      <c r="C6532">
        <v>0.25028</v>
      </c>
      <c r="D6532">
        <v>0.22245000000000001</v>
      </c>
      <c r="E6532">
        <v>0.5</v>
      </c>
      <c r="F6532">
        <v>6123</v>
      </c>
      <c r="G6532">
        <v>1362</v>
      </c>
      <c r="H6532">
        <v>5442</v>
      </c>
      <c r="I6532">
        <v>20034</v>
      </c>
    </row>
    <row r="6533" spans="1:9">
      <c r="A6533" s="2">
        <v>2008</v>
      </c>
      <c r="B6533">
        <v>91</v>
      </c>
      <c r="C6533">
        <v>0.27849000000000002</v>
      </c>
      <c r="D6533">
        <v>0.24445</v>
      </c>
      <c r="E6533">
        <v>0.5</v>
      </c>
      <c r="F6533">
        <v>4761</v>
      </c>
      <c r="G6533">
        <v>1164</v>
      </c>
      <c r="H6533">
        <v>4179</v>
      </c>
      <c r="I6533">
        <v>14592</v>
      </c>
    </row>
    <row r="6534" spans="1:9">
      <c r="A6534" s="2">
        <v>2008</v>
      </c>
      <c r="B6534">
        <v>92</v>
      </c>
      <c r="C6534">
        <v>0.28186</v>
      </c>
      <c r="D6534">
        <v>0.24704000000000001</v>
      </c>
      <c r="E6534">
        <v>0.5</v>
      </c>
      <c r="F6534">
        <v>3597</v>
      </c>
      <c r="G6534">
        <v>889</v>
      </c>
      <c r="H6534">
        <v>3153</v>
      </c>
      <c r="I6534">
        <v>10413</v>
      </c>
    </row>
    <row r="6535" spans="1:9">
      <c r="A6535" s="2">
        <v>2008</v>
      </c>
      <c r="B6535">
        <v>93</v>
      </c>
      <c r="C6535">
        <v>0.34651999999999999</v>
      </c>
      <c r="D6535">
        <v>0.29535</v>
      </c>
      <c r="E6535">
        <v>0.5</v>
      </c>
      <c r="F6535">
        <v>2708</v>
      </c>
      <c r="G6535">
        <v>800</v>
      </c>
      <c r="H6535">
        <v>2308</v>
      </c>
      <c r="I6535">
        <v>7260</v>
      </c>
    </row>
    <row r="6536" spans="1:9">
      <c r="A6536" s="2">
        <v>2008</v>
      </c>
      <c r="B6536">
        <v>94</v>
      </c>
      <c r="C6536">
        <v>0.34370000000000001</v>
      </c>
      <c r="D6536">
        <v>0.29330000000000001</v>
      </c>
      <c r="E6536">
        <v>0.5</v>
      </c>
      <c r="F6536">
        <v>1908</v>
      </c>
      <c r="G6536">
        <v>560</v>
      </c>
      <c r="H6536">
        <v>1629</v>
      </c>
      <c r="I6536">
        <v>4952</v>
      </c>
    </row>
    <row r="6537" spans="1:9">
      <c r="A6537" s="2">
        <v>2008</v>
      </c>
      <c r="B6537">
        <v>95</v>
      </c>
      <c r="C6537">
        <v>0.36120000000000002</v>
      </c>
      <c r="D6537">
        <v>0.30595</v>
      </c>
      <c r="E6537">
        <v>0.5</v>
      </c>
      <c r="F6537">
        <v>1349</v>
      </c>
      <c r="G6537">
        <v>413</v>
      </c>
      <c r="H6537">
        <v>1142</v>
      </c>
      <c r="I6537">
        <v>3323</v>
      </c>
    </row>
    <row r="6538" spans="1:9">
      <c r="A6538" s="2">
        <v>2008</v>
      </c>
      <c r="B6538">
        <v>96</v>
      </c>
      <c r="C6538">
        <v>0.38662000000000002</v>
      </c>
      <c r="D6538">
        <v>0.32399</v>
      </c>
      <c r="E6538">
        <v>0.5</v>
      </c>
      <c r="F6538">
        <v>936</v>
      </c>
      <c r="G6538">
        <v>303</v>
      </c>
      <c r="H6538">
        <v>784</v>
      </c>
      <c r="I6538">
        <v>2181</v>
      </c>
    </row>
    <row r="6539" spans="1:9">
      <c r="A6539" s="2">
        <v>2008</v>
      </c>
      <c r="B6539">
        <v>97</v>
      </c>
      <c r="C6539">
        <v>0.41266999999999998</v>
      </c>
      <c r="D6539">
        <v>0.34209000000000001</v>
      </c>
      <c r="E6539">
        <v>0.5</v>
      </c>
      <c r="F6539">
        <v>633</v>
      </c>
      <c r="G6539">
        <v>216</v>
      </c>
      <c r="H6539">
        <v>525</v>
      </c>
      <c r="I6539">
        <v>1396</v>
      </c>
    </row>
    <row r="6540" spans="1:9">
      <c r="A6540" s="2">
        <v>2008</v>
      </c>
      <c r="B6540">
        <v>98</v>
      </c>
      <c r="C6540">
        <v>0.43922</v>
      </c>
      <c r="D6540">
        <v>0.36013000000000001</v>
      </c>
      <c r="E6540">
        <v>0.5</v>
      </c>
      <c r="F6540">
        <v>416</v>
      </c>
      <c r="G6540">
        <v>150</v>
      </c>
      <c r="H6540">
        <v>341</v>
      </c>
      <c r="I6540">
        <v>872</v>
      </c>
    </row>
    <row r="6541" spans="1:9">
      <c r="A6541" s="2">
        <v>2008</v>
      </c>
      <c r="B6541">
        <v>99</v>
      </c>
      <c r="C6541">
        <v>0.46612999999999999</v>
      </c>
      <c r="D6541">
        <v>0.37802000000000002</v>
      </c>
      <c r="E6541">
        <v>0.5</v>
      </c>
      <c r="F6541">
        <v>266</v>
      </c>
      <c r="G6541">
        <v>101</v>
      </c>
      <c r="H6541">
        <v>216</v>
      </c>
      <c r="I6541">
        <v>530</v>
      </c>
    </row>
    <row r="6542" spans="1:9">
      <c r="A6542" s="2">
        <v>2008</v>
      </c>
      <c r="B6542">
        <v>100</v>
      </c>
      <c r="C6542">
        <v>0.49323</v>
      </c>
      <c r="D6542">
        <v>0.39565</v>
      </c>
      <c r="E6542">
        <v>0.5</v>
      </c>
      <c r="F6542">
        <v>166</v>
      </c>
      <c r="G6542">
        <v>66</v>
      </c>
      <c r="H6542">
        <v>133</v>
      </c>
      <c r="I6542">
        <v>314</v>
      </c>
    </row>
    <row r="6543" spans="1:9">
      <c r="A6543" s="2">
        <v>2008</v>
      </c>
      <c r="B6543">
        <v>101</v>
      </c>
      <c r="C6543">
        <v>0.52037</v>
      </c>
      <c r="D6543">
        <v>0.41293000000000002</v>
      </c>
      <c r="E6543">
        <v>0.5</v>
      </c>
      <c r="F6543">
        <v>100</v>
      </c>
      <c r="G6543">
        <v>41</v>
      </c>
      <c r="H6543">
        <v>79</v>
      </c>
      <c r="I6543">
        <v>181</v>
      </c>
    </row>
    <row r="6544" spans="1:9">
      <c r="A6544" s="2">
        <v>2008</v>
      </c>
      <c r="B6544">
        <v>102</v>
      </c>
      <c r="C6544">
        <v>0.54739000000000004</v>
      </c>
      <c r="D6544">
        <v>0.42976999999999999</v>
      </c>
      <c r="E6544">
        <v>0.5</v>
      </c>
      <c r="F6544">
        <v>59</v>
      </c>
      <c r="G6544">
        <v>25</v>
      </c>
      <c r="H6544">
        <v>46</v>
      </c>
      <c r="I6544">
        <v>102</v>
      </c>
    </row>
    <row r="6545" spans="1:9">
      <c r="A6545" s="2">
        <v>2008</v>
      </c>
      <c r="B6545">
        <v>103</v>
      </c>
      <c r="C6545">
        <v>0.57413999999999998</v>
      </c>
      <c r="D6545">
        <v>0.44607999999999998</v>
      </c>
      <c r="E6545">
        <v>0.5</v>
      </c>
      <c r="F6545">
        <v>34</v>
      </c>
      <c r="G6545">
        <v>15</v>
      </c>
      <c r="H6545">
        <v>26</v>
      </c>
      <c r="I6545">
        <v>56</v>
      </c>
    </row>
    <row r="6546" spans="1:9">
      <c r="A6546" s="2">
        <v>2008</v>
      </c>
      <c r="B6546">
        <v>104</v>
      </c>
      <c r="C6546">
        <v>0.60045999999999999</v>
      </c>
      <c r="D6546">
        <v>0.46181</v>
      </c>
      <c r="E6546">
        <v>0.5</v>
      </c>
      <c r="F6546">
        <v>19</v>
      </c>
      <c r="G6546">
        <v>9</v>
      </c>
      <c r="H6546">
        <v>14</v>
      </c>
      <c r="I6546">
        <v>30</v>
      </c>
    </row>
    <row r="6547" spans="1:9">
      <c r="A6547" s="2">
        <v>2008</v>
      </c>
      <c r="B6547">
        <v>105</v>
      </c>
      <c r="C6547">
        <v>0.62621000000000004</v>
      </c>
      <c r="D6547">
        <v>0.47688999999999998</v>
      </c>
      <c r="E6547">
        <v>0.5</v>
      </c>
      <c r="F6547">
        <v>10</v>
      </c>
      <c r="G6547">
        <v>5</v>
      </c>
      <c r="H6547">
        <v>8</v>
      </c>
      <c r="I6547">
        <v>15</v>
      </c>
    </row>
    <row r="6548" spans="1:9">
      <c r="A6548" s="2">
        <v>2008</v>
      </c>
      <c r="B6548">
        <v>106</v>
      </c>
      <c r="C6548">
        <v>0.65125999999999995</v>
      </c>
      <c r="D6548">
        <v>0.49129</v>
      </c>
      <c r="E6548">
        <v>0.5</v>
      </c>
      <c r="F6548">
        <v>5</v>
      </c>
      <c r="G6548">
        <v>3</v>
      </c>
      <c r="H6548">
        <v>4</v>
      </c>
      <c r="I6548">
        <v>8</v>
      </c>
    </row>
    <row r="6549" spans="1:9">
      <c r="A6549" s="2">
        <v>2008</v>
      </c>
      <c r="B6549">
        <v>107</v>
      </c>
      <c r="C6549">
        <v>0.67551000000000005</v>
      </c>
      <c r="D6549">
        <v>0.50495999999999996</v>
      </c>
      <c r="E6549">
        <v>0.5</v>
      </c>
      <c r="F6549">
        <v>3</v>
      </c>
      <c r="G6549">
        <v>1</v>
      </c>
      <c r="H6549">
        <v>2</v>
      </c>
      <c r="I6549">
        <v>4</v>
      </c>
    </row>
    <row r="6550" spans="1:9">
      <c r="A6550" s="2">
        <v>2008</v>
      </c>
      <c r="B6550">
        <v>108</v>
      </c>
      <c r="C6550">
        <v>0.69884999999999997</v>
      </c>
      <c r="D6550">
        <v>0.51788999999999996</v>
      </c>
      <c r="E6550">
        <v>0.5</v>
      </c>
      <c r="F6550">
        <v>1</v>
      </c>
      <c r="G6550">
        <v>1</v>
      </c>
      <c r="H6550">
        <v>1</v>
      </c>
      <c r="I6550">
        <v>2</v>
      </c>
    </row>
    <row r="6551" spans="1:9">
      <c r="A6551" s="2">
        <v>2008</v>
      </c>
      <c r="B6551">
        <v>109</v>
      </c>
      <c r="C6551">
        <v>0.72119999999999995</v>
      </c>
      <c r="D6551">
        <v>0.53005999999999998</v>
      </c>
      <c r="E6551">
        <v>0.5</v>
      </c>
      <c r="F6551">
        <v>1</v>
      </c>
      <c r="G6551">
        <v>0</v>
      </c>
      <c r="H6551">
        <v>0</v>
      </c>
      <c r="I6551">
        <v>1</v>
      </c>
    </row>
    <row r="6552" spans="1:9">
      <c r="A6552" s="2">
        <v>2008</v>
      </c>
      <c r="B6552" t="s">
        <v>26</v>
      </c>
      <c r="C6552">
        <v>0.74251</v>
      </c>
      <c r="D6552">
        <v>1</v>
      </c>
      <c r="E6552">
        <v>1.35</v>
      </c>
      <c r="F6552">
        <v>0</v>
      </c>
      <c r="G6552">
        <v>0</v>
      </c>
      <c r="H6552">
        <v>0</v>
      </c>
      <c r="I6552">
        <v>0</v>
      </c>
    </row>
    <row r="6553" spans="1:9">
      <c r="A6553" s="2">
        <v>2009</v>
      </c>
      <c r="B6553">
        <v>0</v>
      </c>
      <c r="C6553">
        <v>5.3200000000000001E-3</v>
      </c>
      <c r="D6553">
        <v>5.3E-3</v>
      </c>
      <c r="E6553">
        <v>0.14000000000000001</v>
      </c>
      <c r="F6553">
        <v>100000</v>
      </c>
      <c r="G6553">
        <v>530</v>
      </c>
      <c r="H6553">
        <v>99544</v>
      </c>
      <c r="I6553">
        <v>7010647</v>
      </c>
    </row>
    <row r="6554" spans="1:9">
      <c r="A6554" s="2">
        <v>2009</v>
      </c>
      <c r="B6554">
        <v>1</v>
      </c>
      <c r="C6554">
        <v>3.6000000000000002E-4</v>
      </c>
      <c r="D6554">
        <v>3.6000000000000002E-4</v>
      </c>
      <c r="E6554">
        <v>0.5</v>
      </c>
      <c r="F6554">
        <v>99470</v>
      </c>
      <c r="G6554">
        <v>36</v>
      </c>
      <c r="H6554">
        <v>99453</v>
      </c>
      <c r="I6554">
        <v>6911103</v>
      </c>
    </row>
    <row r="6555" spans="1:9">
      <c r="A6555" s="2">
        <v>2009</v>
      </c>
      <c r="B6555">
        <v>2</v>
      </c>
      <c r="C6555">
        <v>1.6000000000000001E-4</v>
      </c>
      <c r="D6555">
        <v>1.6000000000000001E-4</v>
      </c>
      <c r="E6555">
        <v>0.5</v>
      </c>
      <c r="F6555">
        <v>99435</v>
      </c>
      <c r="G6555">
        <v>16</v>
      </c>
      <c r="H6555">
        <v>99427</v>
      </c>
      <c r="I6555">
        <v>6811650</v>
      </c>
    </row>
    <row r="6556" spans="1:9">
      <c r="A6556" s="2">
        <v>2009</v>
      </c>
      <c r="B6556">
        <v>3</v>
      </c>
      <c r="C6556">
        <v>2.4000000000000001E-4</v>
      </c>
      <c r="D6556">
        <v>2.4000000000000001E-4</v>
      </c>
      <c r="E6556">
        <v>0.5</v>
      </c>
      <c r="F6556">
        <v>99419</v>
      </c>
      <c r="G6556">
        <v>24</v>
      </c>
      <c r="H6556">
        <v>99407</v>
      </c>
      <c r="I6556">
        <v>6712224</v>
      </c>
    </row>
    <row r="6557" spans="1:9">
      <c r="A6557" s="2">
        <v>2009</v>
      </c>
      <c r="B6557">
        <v>4</v>
      </c>
      <c r="C6557">
        <v>1.2E-4</v>
      </c>
      <c r="D6557">
        <v>1.2E-4</v>
      </c>
      <c r="E6557">
        <v>0.5</v>
      </c>
      <c r="F6557">
        <v>99395</v>
      </c>
      <c r="G6557">
        <v>12</v>
      </c>
      <c r="H6557">
        <v>99389</v>
      </c>
      <c r="I6557">
        <v>6612817</v>
      </c>
    </row>
    <row r="6558" spans="1:9">
      <c r="A6558" s="2">
        <v>2009</v>
      </c>
      <c r="B6558">
        <v>5</v>
      </c>
      <c r="C6558">
        <v>1.2E-4</v>
      </c>
      <c r="D6558">
        <v>1.2E-4</v>
      </c>
      <c r="E6558">
        <v>0.5</v>
      </c>
      <c r="F6558">
        <v>99383</v>
      </c>
      <c r="G6558">
        <v>12</v>
      </c>
      <c r="H6558">
        <v>99377</v>
      </c>
      <c r="I6558">
        <v>6513427</v>
      </c>
    </row>
    <row r="6559" spans="1:9">
      <c r="A6559" s="2">
        <v>2009</v>
      </c>
      <c r="B6559">
        <v>6</v>
      </c>
      <c r="C6559">
        <v>1.3999999999999999E-4</v>
      </c>
      <c r="D6559">
        <v>1.3999999999999999E-4</v>
      </c>
      <c r="E6559">
        <v>0.5</v>
      </c>
      <c r="F6559">
        <v>99371</v>
      </c>
      <c r="G6559">
        <v>14</v>
      </c>
      <c r="H6559">
        <v>99364</v>
      </c>
      <c r="I6559">
        <v>6414050</v>
      </c>
    </row>
    <row r="6560" spans="1:9">
      <c r="A6560" s="2">
        <v>2009</v>
      </c>
      <c r="B6560">
        <v>7</v>
      </c>
      <c r="C6560">
        <v>1.3999999999999999E-4</v>
      </c>
      <c r="D6560">
        <v>1.3999999999999999E-4</v>
      </c>
      <c r="E6560">
        <v>0.5</v>
      </c>
      <c r="F6560">
        <v>99357</v>
      </c>
      <c r="G6560">
        <v>14</v>
      </c>
      <c r="H6560">
        <v>99350</v>
      </c>
      <c r="I6560">
        <v>6314686</v>
      </c>
    </row>
    <row r="6561" spans="1:9">
      <c r="A6561" s="2">
        <v>2009</v>
      </c>
      <c r="B6561">
        <v>8</v>
      </c>
      <c r="C6561">
        <v>1.3999999999999999E-4</v>
      </c>
      <c r="D6561">
        <v>1.3999999999999999E-4</v>
      </c>
      <c r="E6561">
        <v>0.5</v>
      </c>
      <c r="F6561">
        <v>99343</v>
      </c>
      <c r="G6561">
        <v>14</v>
      </c>
      <c r="H6561">
        <v>99336</v>
      </c>
      <c r="I6561">
        <v>6215335</v>
      </c>
    </row>
    <row r="6562" spans="1:9">
      <c r="A6562" s="2">
        <v>2009</v>
      </c>
      <c r="B6562">
        <v>9</v>
      </c>
      <c r="C6562">
        <v>1.6000000000000001E-4</v>
      </c>
      <c r="D6562">
        <v>1.6000000000000001E-4</v>
      </c>
      <c r="E6562">
        <v>0.5</v>
      </c>
      <c r="F6562">
        <v>99329</v>
      </c>
      <c r="G6562">
        <v>16</v>
      </c>
      <c r="H6562">
        <v>99321</v>
      </c>
      <c r="I6562">
        <v>6115999</v>
      </c>
    </row>
    <row r="6563" spans="1:9">
      <c r="A6563" s="2">
        <v>2009</v>
      </c>
      <c r="B6563">
        <v>10</v>
      </c>
      <c r="C6563">
        <v>4.0000000000000003E-5</v>
      </c>
      <c r="D6563">
        <v>4.0000000000000003E-5</v>
      </c>
      <c r="E6563">
        <v>0.5</v>
      </c>
      <c r="F6563">
        <v>99313</v>
      </c>
      <c r="G6563">
        <v>4</v>
      </c>
      <c r="H6563">
        <v>99311</v>
      </c>
      <c r="I6563">
        <v>6016678</v>
      </c>
    </row>
    <row r="6564" spans="1:9">
      <c r="A6564" s="2">
        <v>2009</v>
      </c>
      <c r="B6564">
        <v>11</v>
      </c>
      <c r="C6564">
        <v>1.6000000000000001E-4</v>
      </c>
      <c r="D6564">
        <v>1.6000000000000001E-4</v>
      </c>
      <c r="E6564">
        <v>0.5</v>
      </c>
      <c r="F6564">
        <v>99309</v>
      </c>
      <c r="G6564">
        <v>16</v>
      </c>
      <c r="H6564">
        <v>99301</v>
      </c>
      <c r="I6564">
        <v>5917367</v>
      </c>
    </row>
    <row r="6565" spans="1:9">
      <c r="A6565" s="2">
        <v>2009</v>
      </c>
      <c r="B6565">
        <v>12</v>
      </c>
      <c r="C6565">
        <v>1.4999999999999999E-4</v>
      </c>
      <c r="D6565">
        <v>1.4999999999999999E-4</v>
      </c>
      <c r="E6565">
        <v>0.5</v>
      </c>
      <c r="F6565">
        <v>99293</v>
      </c>
      <c r="G6565">
        <v>15</v>
      </c>
      <c r="H6565">
        <v>99286</v>
      </c>
      <c r="I6565">
        <v>5818066</v>
      </c>
    </row>
    <row r="6566" spans="1:9">
      <c r="A6566" s="2">
        <v>2009</v>
      </c>
      <c r="B6566">
        <v>13</v>
      </c>
      <c r="C6566">
        <v>2.9E-4</v>
      </c>
      <c r="D6566">
        <v>2.9E-4</v>
      </c>
      <c r="E6566">
        <v>0.5</v>
      </c>
      <c r="F6566">
        <v>99278</v>
      </c>
      <c r="G6566">
        <v>28</v>
      </c>
      <c r="H6566">
        <v>99264</v>
      </c>
      <c r="I6566">
        <v>5718780</v>
      </c>
    </row>
    <row r="6567" spans="1:9">
      <c r="A6567" s="2">
        <v>2009</v>
      </c>
      <c r="B6567">
        <v>14</v>
      </c>
      <c r="C6567">
        <v>2.5000000000000001E-4</v>
      </c>
      <c r="D6567">
        <v>2.5000000000000001E-4</v>
      </c>
      <c r="E6567">
        <v>0.5</v>
      </c>
      <c r="F6567">
        <v>99250</v>
      </c>
      <c r="G6567">
        <v>25</v>
      </c>
      <c r="H6567">
        <v>99237</v>
      </c>
      <c r="I6567">
        <v>5619517</v>
      </c>
    </row>
    <row r="6568" spans="1:9">
      <c r="A6568" s="2">
        <v>2009</v>
      </c>
      <c r="B6568">
        <v>15</v>
      </c>
      <c r="C6568">
        <v>3.8999999999999999E-4</v>
      </c>
      <c r="D6568">
        <v>3.8999999999999999E-4</v>
      </c>
      <c r="E6568">
        <v>0.5</v>
      </c>
      <c r="F6568">
        <v>99225</v>
      </c>
      <c r="G6568">
        <v>39</v>
      </c>
      <c r="H6568">
        <v>99206</v>
      </c>
      <c r="I6568">
        <v>5520279</v>
      </c>
    </row>
    <row r="6569" spans="1:9">
      <c r="A6569" s="2">
        <v>2009</v>
      </c>
      <c r="B6569">
        <v>16</v>
      </c>
      <c r="C6569">
        <v>3.3E-4</v>
      </c>
      <c r="D6569">
        <v>3.3E-4</v>
      </c>
      <c r="E6569">
        <v>0.5</v>
      </c>
      <c r="F6569">
        <v>99186</v>
      </c>
      <c r="G6569">
        <v>33</v>
      </c>
      <c r="H6569">
        <v>99170</v>
      </c>
      <c r="I6569">
        <v>5421074</v>
      </c>
    </row>
    <row r="6570" spans="1:9">
      <c r="A6570" s="2">
        <v>2009</v>
      </c>
      <c r="B6570">
        <v>17</v>
      </c>
      <c r="C6570">
        <v>4.0999999999999999E-4</v>
      </c>
      <c r="D6570">
        <v>4.0999999999999999E-4</v>
      </c>
      <c r="E6570">
        <v>0.5</v>
      </c>
      <c r="F6570">
        <v>99153</v>
      </c>
      <c r="G6570">
        <v>41</v>
      </c>
      <c r="H6570">
        <v>99133</v>
      </c>
      <c r="I6570">
        <v>5321904</v>
      </c>
    </row>
    <row r="6571" spans="1:9">
      <c r="A6571" s="2">
        <v>2009</v>
      </c>
      <c r="B6571">
        <v>18</v>
      </c>
      <c r="C6571">
        <v>5.6999999999999998E-4</v>
      </c>
      <c r="D6571">
        <v>5.6999999999999998E-4</v>
      </c>
      <c r="E6571">
        <v>0.5</v>
      </c>
      <c r="F6571">
        <v>99112</v>
      </c>
      <c r="G6571">
        <v>56</v>
      </c>
      <c r="H6571">
        <v>99084</v>
      </c>
      <c r="I6571">
        <v>5222771</v>
      </c>
    </row>
    <row r="6572" spans="1:9">
      <c r="A6572" s="2">
        <v>2009</v>
      </c>
      <c r="B6572">
        <v>19</v>
      </c>
      <c r="C6572">
        <v>5.1999999999999995E-4</v>
      </c>
      <c r="D6572">
        <v>5.1999999999999995E-4</v>
      </c>
      <c r="E6572">
        <v>0.5</v>
      </c>
      <c r="F6572">
        <v>99056</v>
      </c>
      <c r="G6572">
        <v>51</v>
      </c>
      <c r="H6572">
        <v>99030</v>
      </c>
      <c r="I6572">
        <v>5123687</v>
      </c>
    </row>
    <row r="6573" spans="1:9">
      <c r="A6573" s="2">
        <v>2009</v>
      </c>
      <c r="B6573">
        <v>20</v>
      </c>
      <c r="C6573">
        <v>8.4000000000000003E-4</v>
      </c>
      <c r="D6573">
        <v>8.4000000000000003E-4</v>
      </c>
      <c r="E6573">
        <v>0.5</v>
      </c>
      <c r="F6573">
        <v>99005</v>
      </c>
      <c r="G6573">
        <v>83</v>
      </c>
      <c r="H6573">
        <v>98963</v>
      </c>
      <c r="I6573">
        <v>5024656</v>
      </c>
    </row>
    <row r="6574" spans="1:9">
      <c r="A6574" s="2">
        <v>2009</v>
      </c>
      <c r="B6574">
        <v>21</v>
      </c>
      <c r="C6574">
        <v>8.1999999999999998E-4</v>
      </c>
      <c r="D6574">
        <v>8.1999999999999998E-4</v>
      </c>
      <c r="E6574">
        <v>0.5</v>
      </c>
      <c r="F6574">
        <v>98921</v>
      </c>
      <c r="G6574">
        <v>81</v>
      </c>
      <c r="H6574">
        <v>98881</v>
      </c>
      <c r="I6574">
        <v>4925693</v>
      </c>
    </row>
    <row r="6575" spans="1:9">
      <c r="A6575" s="2">
        <v>2009</v>
      </c>
      <c r="B6575">
        <v>22</v>
      </c>
      <c r="C6575">
        <v>8.4000000000000003E-4</v>
      </c>
      <c r="D6575">
        <v>8.4000000000000003E-4</v>
      </c>
      <c r="E6575">
        <v>0.5</v>
      </c>
      <c r="F6575">
        <v>98841</v>
      </c>
      <c r="G6575">
        <v>83</v>
      </c>
      <c r="H6575">
        <v>98799</v>
      </c>
      <c r="I6575">
        <v>4826812</v>
      </c>
    </row>
    <row r="6576" spans="1:9">
      <c r="A6576" s="2">
        <v>2009</v>
      </c>
      <c r="B6576">
        <v>23</v>
      </c>
      <c r="C6576">
        <v>6.9999999999999999E-4</v>
      </c>
      <c r="D6576">
        <v>6.9999999999999999E-4</v>
      </c>
      <c r="E6576">
        <v>0.5</v>
      </c>
      <c r="F6576">
        <v>98758</v>
      </c>
      <c r="G6576">
        <v>69</v>
      </c>
      <c r="H6576">
        <v>98723</v>
      </c>
      <c r="I6576">
        <v>4728013</v>
      </c>
    </row>
    <row r="6577" spans="1:9">
      <c r="A6577" s="2">
        <v>2009</v>
      </c>
      <c r="B6577">
        <v>24</v>
      </c>
      <c r="C6577">
        <v>7.6000000000000004E-4</v>
      </c>
      <c r="D6577">
        <v>7.6000000000000004E-4</v>
      </c>
      <c r="E6577">
        <v>0.5</v>
      </c>
      <c r="F6577">
        <v>98689</v>
      </c>
      <c r="G6577">
        <v>75</v>
      </c>
      <c r="H6577">
        <v>98652</v>
      </c>
      <c r="I6577">
        <v>4629290</v>
      </c>
    </row>
    <row r="6578" spans="1:9">
      <c r="A6578" s="2">
        <v>2009</v>
      </c>
      <c r="B6578">
        <v>25</v>
      </c>
      <c r="C6578">
        <v>7.3999999999999999E-4</v>
      </c>
      <c r="D6578">
        <v>7.3999999999999999E-4</v>
      </c>
      <c r="E6578">
        <v>0.5</v>
      </c>
      <c r="F6578">
        <v>98614</v>
      </c>
      <c r="G6578">
        <v>73</v>
      </c>
      <c r="H6578">
        <v>98578</v>
      </c>
      <c r="I6578">
        <v>4530638</v>
      </c>
    </row>
    <row r="6579" spans="1:9">
      <c r="A6579" s="2">
        <v>2009</v>
      </c>
      <c r="B6579">
        <v>26</v>
      </c>
      <c r="C6579">
        <v>7.1000000000000002E-4</v>
      </c>
      <c r="D6579">
        <v>7.1000000000000002E-4</v>
      </c>
      <c r="E6579">
        <v>0.5</v>
      </c>
      <c r="F6579">
        <v>98542</v>
      </c>
      <c r="G6579">
        <v>70</v>
      </c>
      <c r="H6579">
        <v>98507</v>
      </c>
      <c r="I6579">
        <v>4432060</v>
      </c>
    </row>
    <row r="6580" spans="1:9">
      <c r="A6580" s="2">
        <v>2009</v>
      </c>
      <c r="B6580">
        <v>27</v>
      </c>
      <c r="C6580">
        <v>6.4999999999999997E-4</v>
      </c>
      <c r="D6580">
        <v>6.4999999999999997E-4</v>
      </c>
      <c r="E6580">
        <v>0.5</v>
      </c>
      <c r="F6580">
        <v>98471</v>
      </c>
      <c r="G6580">
        <v>64</v>
      </c>
      <c r="H6580">
        <v>98439</v>
      </c>
      <c r="I6580">
        <v>4333553</v>
      </c>
    </row>
    <row r="6581" spans="1:9">
      <c r="A6581" s="2">
        <v>2009</v>
      </c>
      <c r="B6581">
        <v>28</v>
      </c>
      <c r="C6581">
        <v>9.7999999999999997E-4</v>
      </c>
      <c r="D6581">
        <v>9.7999999999999997E-4</v>
      </c>
      <c r="E6581">
        <v>0.5</v>
      </c>
      <c r="F6581">
        <v>98407</v>
      </c>
      <c r="G6581">
        <v>96</v>
      </c>
      <c r="H6581">
        <v>98359</v>
      </c>
      <c r="I6581">
        <v>4235114</v>
      </c>
    </row>
    <row r="6582" spans="1:9">
      <c r="A6582" s="2">
        <v>2009</v>
      </c>
      <c r="B6582">
        <v>29</v>
      </c>
      <c r="C6582">
        <v>1.06E-3</v>
      </c>
      <c r="D6582">
        <v>1.06E-3</v>
      </c>
      <c r="E6582">
        <v>0.5</v>
      </c>
      <c r="F6582">
        <v>98311</v>
      </c>
      <c r="G6582">
        <v>104</v>
      </c>
      <c r="H6582">
        <v>98259</v>
      </c>
      <c r="I6582">
        <v>4136755</v>
      </c>
    </row>
    <row r="6583" spans="1:9">
      <c r="A6583" s="2">
        <v>2009</v>
      </c>
      <c r="B6583">
        <v>30</v>
      </c>
      <c r="C6583">
        <v>1.1199999999999999E-3</v>
      </c>
      <c r="D6583">
        <v>1.1199999999999999E-3</v>
      </c>
      <c r="E6583">
        <v>0.5</v>
      </c>
      <c r="F6583">
        <v>98207</v>
      </c>
      <c r="G6583">
        <v>110</v>
      </c>
      <c r="H6583">
        <v>98152</v>
      </c>
      <c r="I6583">
        <v>4038496</v>
      </c>
    </row>
    <row r="6584" spans="1:9">
      <c r="A6584" s="2">
        <v>2009</v>
      </c>
      <c r="B6584">
        <v>31</v>
      </c>
      <c r="C6584">
        <v>1.0399999999999999E-3</v>
      </c>
      <c r="D6584">
        <v>1.0399999999999999E-3</v>
      </c>
      <c r="E6584">
        <v>0.5</v>
      </c>
      <c r="F6584">
        <v>98097</v>
      </c>
      <c r="G6584">
        <v>102</v>
      </c>
      <c r="H6584">
        <v>98046</v>
      </c>
      <c r="I6584">
        <v>3940344</v>
      </c>
    </row>
    <row r="6585" spans="1:9">
      <c r="A6585" s="2">
        <v>2009</v>
      </c>
      <c r="B6585">
        <v>32</v>
      </c>
      <c r="C6585">
        <v>1.1000000000000001E-3</v>
      </c>
      <c r="D6585">
        <v>1.1000000000000001E-3</v>
      </c>
      <c r="E6585">
        <v>0.5</v>
      </c>
      <c r="F6585">
        <v>97995</v>
      </c>
      <c r="G6585">
        <v>108</v>
      </c>
      <c r="H6585">
        <v>97941</v>
      </c>
      <c r="I6585">
        <v>3842298</v>
      </c>
    </row>
    <row r="6586" spans="1:9">
      <c r="A6586" s="2">
        <v>2009</v>
      </c>
      <c r="B6586">
        <v>33</v>
      </c>
      <c r="C6586">
        <v>1.14E-3</v>
      </c>
      <c r="D6586">
        <v>1.14E-3</v>
      </c>
      <c r="E6586">
        <v>0.5</v>
      </c>
      <c r="F6586">
        <v>97887</v>
      </c>
      <c r="G6586">
        <v>112</v>
      </c>
      <c r="H6586">
        <v>97831</v>
      </c>
      <c r="I6586">
        <v>3744358</v>
      </c>
    </row>
    <row r="6587" spans="1:9">
      <c r="A6587" s="2">
        <v>2009</v>
      </c>
      <c r="B6587">
        <v>34</v>
      </c>
      <c r="C6587">
        <v>1.39E-3</v>
      </c>
      <c r="D6587">
        <v>1.39E-3</v>
      </c>
      <c r="E6587">
        <v>0.5</v>
      </c>
      <c r="F6587">
        <v>97775</v>
      </c>
      <c r="G6587">
        <v>136</v>
      </c>
      <c r="H6587">
        <v>97708</v>
      </c>
      <c r="I6587">
        <v>3646526</v>
      </c>
    </row>
    <row r="6588" spans="1:9">
      <c r="A6588" s="2">
        <v>2009</v>
      </c>
      <c r="B6588">
        <v>35</v>
      </c>
      <c r="C6588">
        <v>1.34E-3</v>
      </c>
      <c r="D6588">
        <v>1.34E-3</v>
      </c>
      <c r="E6588">
        <v>0.5</v>
      </c>
      <c r="F6588">
        <v>97640</v>
      </c>
      <c r="G6588">
        <v>131</v>
      </c>
      <c r="H6588">
        <v>97574</v>
      </c>
      <c r="I6588">
        <v>3548819</v>
      </c>
    </row>
    <row r="6589" spans="1:9">
      <c r="A6589" s="2">
        <v>2009</v>
      </c>
      <c r="B6589">
        <v>36</v>
      </c>
      <c r="C6589">
        <v>1.7899999999999999E-3</v>
      </c>
      <c r="D6589">
        <v>1.7899999999999999E-3</v>
      </c>
      <c r="E6589">
        <v>0.5</v>
      </c>
      <c r="F6589">
        <v>97509</v>
      </c>
      <c r="G6589">
        <v>175</v>
      </c>
      <c r="H6589">
        <v>97422</v>
      </c>
      <c r="I6589">
        <v>3451244</v>
      </c>
    </row>
    <row r="6590" spans="1:9">
      <c r="A6590" s="2">
        <v>2009</v>
      </c>
      <c r="B6590">
        <v>37</v>
      </c>
      <c r="C6590">
        <v>2.1099999999999999E-3</v>
      </c>
      <c r="D6590">
        <v>2.1099999999999999E-3</v>
      </c>
      <c r="E6590">
        <v>0.5</v>
      </c>
      <c r="F6590">
        <v>97335</v>
      </c>
      <c r="G6590">
        <v>205</v>
      </c>
      <c r="H6590">
        <v>97232</v>
      </c>
      <c r="I6590">
        <v>3353823</v>
      </c>
    </row>
    <row r="6591" spans="1:9">
      <c r="A6591" s="2">
        <v>2009</v>
      </c>
      <c r="B6591">
        <v>38</v>
      </c>
      <c r="C6591">
        <v>2.2300000000000002E-3</v>
      </c>
      <c r="D6591">
        <v>2.2200000000000002E-3</v>
      </c>
      <c r="E6591">
        <v>0.5</v>
      </c>
      <c r="F6591">
        <v>97129</v>
      </c>
      <c r="G6591">
        <v>216</v>
      </c>
      <c r="H6591">
        <v>97021</v>
      </c>
      <c r="I6591">
        <v>3256591</v>
      </c>
    </row>
    <row r="6592" spans="1:9">
      <c r="A6592" s="2">
        <v>2009</v>
      </c>
      <c r="B6592">
        <v>39</v>
      </c>
      <c r="C6592">
        <v>2.6800000000000001E-3</v>
      </c>
      <c r="D6592">
        <v>2.6800000000000001E-3</v>
      </c>
      <c r="E6592">
        <v>0.5</v>
      </c>
      <c r="F6592">
        <v>96913</v>
      </c>
      <c r="G6592">
        <v>259</v>
      </c>
      <c r="H6592">
        <v>96784</v>
      </c>
      <c r="I6592">
        <v>3159569</v>
      </c>
    </row>
    <row r="6593" spans="1:9">
      <c r="A6593" s="2">
        <v>2009</v>
      </c>
      <c r="B6593">
        <v>40</v>
      </c>
      <c r="C6593">
        <v>2.8500000000000001E-3</v>
      </c>
      <c r="D6593">
        <v>2.8500000000000001E-3</v>
      </c>
      <c r="E6593">
        <v>0.5</v>
      </c>
      <c r="F6593">
        <v>96654</v>
      </c>
      <c r="G6593">
        <v>275</v>
      </c>
      <c r="H6593">
        <v>96516</v>
      </c>
      <c r="I6593">
        <v>3062786</v>
      </c>
    </row>
    <row r="6594" spans="1:9">
      <c r="A6594" s="2">
        <v>2009</v>
      </c>
      <c r="B6594">
        <v>41</v>
      </c>
      <c r="C6594">
        <v>3.2299999999999998E-3</v>
      </c>
      <c r="D6594">
        <v>3.2299999999999998E-3</v>
      </c>
      <c r="E6594">
        <v>0.5</v>
      </c>
      <c r="F6594">
        <v>96379</v>
      </c>
      <c r="G6594">
        <v>311</v>
      </c>
      <c r="H6594">
        <v>96223</v>
      </c>
      <c r="I6594">
        <v>2966269</v>
      </c>
    </row>
    <row r="6595" spans="1:9">
      <c r="A6595" s="2">
        <v>2009</v>
      </c>
      <c r="B6595">
        <v>42</v>
      </c>
      <c r="C6595">
        <v>4.6299999999999996E-3</v>
      </c>
      <c r="D6595">
        <v>4.62E-3</v>
      </c>
      <c r="E6595">
        <v>0.5</v>
      </c>
      <c r="F6595">
        <v>96068</v>
      </c>
      <c r="G6595">
        <v>444</v>
      </c>
      <c r="H6595">
        <v>95846</v>
      </c>
      <c r="I6595">
        <v>2870046</v>
      </c>
    </row>
    <row r="6596" spans="1:9">
      <c r="A6596" s="2">
        <v>2009</v>
      </c>
      <c r="B6596">
        <v>43</v>
      </c>
      <c r="C6596">
        <v>4.5300000000000002E-3</v>
      </c>
      <c r="D6596">
        <v>4.5199999999999997E-3</v>
      </c>
      <c r="E6596">
        <v>0.5</v>
      </c>
      <c r="F6596">
        <v>95624</v>
      </c>
      <c r="G6596">
        <v>432</v>
      </c>
      <c r="H6596">
        <v>95408</v>
      </c>
      <c r="I6596">
        <v>2774200</v>
      </c>
    </row>
    <row r="6597" spans="1:9">
      <c r="A6597" s="2">
        <v>2009</v>
      </c>
      <c r="B6597">
        <v>44</v>
      </c>
      <c r="C6597">
        <v>5.0299999999999997E-3</v>
      </c>
      <c r="D6597">
        <v>5.0200000000000002E-3</v>
      </c>
      <c r="E6597">
        <v>0.5</v>
      </c>
      <c r="F6597">
        <v>95192</v>
      </c>
      <c r="G6597">
        <v>478</v>
      </c>
      <c r="H6597">
        <v>94953</v>
      </c>
      <c r="I6597">
        <v>2678792</v>
      </c>
    </row>
    <row r="6598" spans="1:9">
      <c r="A6598" s="2">
        <v>2009</v>
      </c>
      <c r="B6598">
        <v>45</v>
      </c>
      <c r="C6598">
        <v>6.1900000000000002E-3</v>
      </c>
      <c r="D6598">
        <v>6.1700000000000001E-3</v>
      </c>
      <c r="E6598">
        <v>0.5</v>
      </c>
      <c r="F6598">
        <v>94714</v>
      </c>
      <c r="G6598">
        <v>584</v>
      </c>
      <c r="H6598">
        <v>94422</v>
      </c>
      <c r="I6598">
        <v>2583839</v>
      </c>
    </row>
    <row r="6599" spans="1:9">
      <c r="A6599" s="2">
        <v>2009</v>
      </c>
      <c r="B6599">
        <v>46</v>
      </c>
      <c r="C6599">
        <v>6.8700000000000002E-3</v>
      </c>
      <c r="D6599">
        <v>6.8500000000000002E-3</v>
      </c>
      <c r="E6599">
        <v>0.5</v>
      </c>
      <c r="F6599">
        <v>94130</v>
      </c>
      <c r="G6599">
        <v>645</v>
      </c>
      <c r="H6599">
        <v>93808</v>
      </c>
      <c r="I6599">
        <v>2489417</v>
      </c>
    </row>
    <row r="6600" spans="1:9">
      <c r="A6600" s="2">
        <v>2009</v>
      </c>
      <c r="B6600">
        <v>47</v>
      </c>
      <c r="C6600">
        <v>8.5800000000000008E-3</v>
      </c>
      <c r="D6600">
        <v>8.5400000000000007E-3</v>
      </c>
      <c r="E6600">
        <v>0.5</v>
      </c>
      <c r="F6600">
        <v>93485</v>
      </c>
      <c r="G6600">
        <v>799</v>
      </c>
      <c r="H6600">
        <v>93086</v>
      </c>
      <c r="I6600">
        <v>2395609</v>
      </c>
    </row>
    <row r="6601" spans="1:9">
      <c r="A6601" s="2">
        <v>2009</v>
      </c>
      <c r="B6601">
        <v>48</v>
      </c>
      <c r="C6601">
        <v>9.4599999999999997E-3</v>
      </c>
      <c r="D6601">
        <v>9.41E-3</v>
      </c>
      <c r="E6601">
        <v>0.5</v>
      </c>
      <c r="F6601">
        <v>92686</v>
      </c>
      <c r="G6601">
        <v>872</v>
      </c>
      <c r="H6601">
        <v>92250</v>
      </c>
      <c r="I6601">
        <v>2302524</v>
      </c>
    </row>
    <row r="6602" spans="1:9">
      <c r="A6602" s="2">
        <v>2009</v>
      </c>
      <c r="B6602">
        <v>49</v>
      </c>
      <c r="C6602">
        <v>9.8200000000000006E-3</v>
      </c>
      <c r="D6602">
        <v>9.7699999999999992E-3</v>
      </c>
      <c r="E6602">
        <v>0.5</v>
      </c>
      <c r="F6602">
        <v>91814</v>
      </c>
      <c r="G6602">
        <v>897</v>
      </c>
      <c r="H6602">
        <v>91365</v>
      </c>
      <c r="I6602">
        <v>2210273</v>
      </c>
    </row>
    <row r="6603" spans="1:9">
      <c r="A6603" s="2">
        <v>2009</v>
      </c>
      <c r="B6603">
        <v>50</v>
      </c>
      <c r="C6603">
        <v>1.082E-2</v>
      </c>
      <c r="D6603">
        <v>1.076E-2</v>
      </c>
      <c r="E6603">
        <v>0.5</v>
      </c>
      <c r="F6603">
        <v>90917</v>
      </c>
      <c r="G6603">
        <v>978</v>
      </c>
      <c r="H6603">
        <v>90428</v>
      </c>
      <c r="I6603">
        <v>2118908</v>
      </c>
    </row>
    <row r="6604" spans="1:9">
      <c r="A6604" s="2">
        <v>2009</v>
      </c>
      <c r="B6604">
        <v>51</v>
      </c>
      <c r="C6604">
        <v>1.35E-2</v>
      </c>
      <c r="D6604">
        <v>1.341E-2</v>
      </c>
      <c r="E6604">
        <v>0.5</v>
      </c>
      <c r="F6604">
        <v>89938</v>
      </c>
      <c r="G6604">
        <v>1206</v>
      </c>
      <c r="H6604">
        <v>89335</v>
      </c>
      <c r="I6604">
        <v>2028481</v>
      </c>
    </row>
    <row r="6605" spans="1:9">
      <c r="A6605" s="2">
        <v>2009</v>
      </c>
      <c r="B6605">
        <v>52</v>
      </c>
      <c r="C6605">
        <v>1.421E-2</v>
      </c>
      <c r="D6605">
        <v>1.4109999999999999E-2</v>
      </c>
      <c r="E6605">
        <v>0.5</v>
      </c>
      <c r="F6605">
        <v>88732</v>
      </c>
      <c r="G6605">
        <v>1252</v>
      </c>
      <c r="H6605">
        <v>88106</v>
      </c>
      <c r="I6605">
        <v>1939145</v>
      </c>
    </row>
    <row r="6606" spans="1:9">
      <c r="A6606" s="2">
        <v>2009</v>
      </c>
      <c r="B6606">
        <v>53</v>
      </c>
      <c r="C6606">
        <v>1.5469999999999999E-2</v>
      </c>
      <c r="D6606">
        <v>1.536E-2</v>
      </c>
      <c r="E6606">
        <v>0.5</v>
      </c>
      <c r="F6606">
        <v>87479</v>
      </c>
      <c r="G6606">
        <v>1343</v>
      </c>
      <c r="H6606">
        <v>86808</v>
      </c>
      <c r="I6606">
        <v>1851040</v>
      </c>
    </row>
    <row r="6607" spans="1:9">
      <c r="A6607" s="2">
        <v>2009</v>
      </c>
      <c r="B6607">
        <v>54</v>
      </c>
      <c r="C6607">
        <v>1.6979999999999999E-2</v>
      </c>
      <c r="D6607">
        <v>1.6840000000000001E-2</v>
      </c>
      <c r="E6607">
        <v>0.5</v>
      </c>
      <c r="F6607">
        <v>86136</v>
      </c>
      <c r="G6607">
        <v>1451</v>
      </c>
      <c r="H6607">
        <v>85411</v>
      </c>
      <c r="I6607">
        <v>1764232</v>
      </c>
    </row>
    <row r="6608" spans="1:9">
      <c r="A6608" s="2">
        <v>2009</v>
      </c>
      <c r="B6608">
        <v>55</v>
      </c>
      <c r="C6608">
        <v>1.77E-2</v>
      </c>
      <c r="D6608">
        <v>1.754E-2</v>
      </c>
      <c r="E6608">
        <v>0.5</v>
      </c>
      <c r="F6608">
        <v>84686</v>
      </c>
      <c r="G6608">
        <v>1485</v>
      </c>
      <c r="H6608">
        <v>83943</v>
      </c>
      <c r="I6608">
        <v>1678821</v>
      </c>
    </row>
    <row r="6609" spans="1:9">
      <c r="A6609" s="2">
        <v>2009</v>
      </c>
      <c r="B6609">
        <v>56</v>
      </c>
      <c r="C6609">
        <v>1.9619999999999999E-2</v>
      </c>
      <c r="D6609">
        <v>1.9429999999999999E-2</v>
      </c>
      <c r="E6609">
        <v>0.5</v>
      </c>
      <c r="F6609">
        <v>83200</v>
      </c>
      <c r="G6609">
        <v>1616</v>
      </c>
      <c r="H6609">
        <v>82392</v>
      </c>
      <c r="I6609">
        <v>1594878</v>
      </c>
    </row>
    <row r="6610" spans="1:9">
      <c r="A6610" s="2">
        <v>2009</v>
      </c>
      <c r="B6610">
        <v>57</v>
      </c>
      <c r="C6610">
        <v>1.9740000000000001E-2</v>
      </c>
      <c r="D6610">
        <v>1.9550000000000001E-2</v>
      </c>
      <c r="E6610">
        <v>0.5</v>
      </c>
      <c r="F6610">
        <v>81584</v>
      </c>
      <c r="G6610">
        <v>1595</v>
      </c>
      <c r="H6610">
        <v>80786</v>
      </c>
      <c r="I6610">
        <v>1512486</v>
      </c>
    </row>
    <row r="6611" spans="1:9">
      <c r="A6611" s="2">
        <v>2009</v>
      </c>
      <c r="B6611">
        <v>58</v>
      </c>
      <c r="C6611">
        <v>2.1520000000000001E-2</v>
      </c>
      <c r="D6611">
        <v>2.129E-2</v>
      </c>
      <c r="E6611">
        <v>0.5</v>
      </c>
      <c r="F6611">
        <v>79989</v>
      </c>
      <c r="G6611">
        <v>1703</v>
      </c>
      <c r="H6611">
        <v>79137</v>
      </c>
      <c r="I6611">
        <v>1431700</v>
      </c>
    </row>
    <row r="6612" spans="1:9">
      <c r="A6612" s="2">
        <v>2009</v>
      </c>
      <c r="B6612">
        <v>59</v>
      </c>
      <c r="C6612">
        <v>2.2339999999999999E-2</v>
      </c>
      <c r="D6612">
        <v>2.2089999999999999E-2</v>
      </c>
      <c r="E6612">
        <v>0.5</v>
      </c>
      <c r="F6612">
        <v>78286</v>
      </c>
      <c r="G6612">
        <v>1729</v>
      </c>
      <c r="H6612">
        <v>77421</v>
      </c>
      <c r="I6612">
        <v>1352562</v>
      </c>
    </row>
    <row r="6613" spans="1:9">
      <c r="A6613" s="2">
        <v>2009</v>
      </c>
      <c r="B6613">
        <v>60</v>
      </c>
      <c r="C6613">
        <v>2.4809999999999999E-2</v>
      </c>
      <c r="D6613">
        <v>2.4510000000000001E-2</v>
      </c>
      <c r="E6613">
        <v>0.5</v>
      </c>
      <c r="F6613">
        <v>76556</v>
      </c>
      <c r="G6613">
        <v>1876</v>
      </c>
      <c r="H6613">
        <v>75618</v>
      </c>
      <c r="I6613">
        <v>1275142</v>
      </c>
    </row>
    <row r="6614" spans="1:9">
      <c r="A6614" s="2">
        <v>2009</v>
      </c>
      <c r="B6614">
        <v>61</v>
      </c>
      <c r="C6614">
        <v>2.5850000000000001E-2</v>
      </c>
      <c r="D6614">
        <v>2.5520000000000001E-2</v>
      </c>
      <c r="E6614">
        <v>0.5</v>
      </c>
      <c r="F6614">
        <v>74680</v>
      </c>
      <c r="G6614">
        <v>1906</v>
      </c>
      <c r="H6614">
        <v>73727</v>
      </c>
      <c r="I6614">
        <v>1199523</v>
      </c>
    </row>
    <row r="6615" spans="1:9">
      <c r="A6615" s="2">
        <v>2009</v>
      </c>
      <c r="B6615">
        <v>62</v>
      </c>
      <c r="C6615">
        <v>2.8129999999999999E-2</v>
      </c>
      <c r="D6615">
        <v>2.7740000000000001E-2</v>
      </c>
      <c r="E6615">
        <v>0.5</v>
      </c>
      <c r="F6615">
        <v>72774</v>
      </c>
      <c r="G6615">
        <v>2019</v>
      </c>
      <c r="H6615">
        <v>71765</v>
      </c>
      <c r="I6615">
        <v>1125796</v>
      </c>
    </row>
    <row r="6616" spans="1:9">
      <c r="A6616" s="2">
        <v>2009</v>
      </c>
      <c r="B6616">
        <v>63</v>
      </c>
      <c r="C6616">
        <v>2.7660000000000001E-2</v>
      </c>
      <c r="D6616">
        <v>2.7279999999999999E-2</v>
      </c>
      <c r="E6616">
        <v>0.5</v>
      </c>
      <c r="F6616">
        <v>70755</v>
      </c>
      <c r="G6616">
        <v>1930</v>
      </c>
      <c r="H6616">
        <v>69790</v>
      </c>
      <c r="I6616">
        <v>1054031</v>
      </c>
    </row>
    <row r="6617" spans="1:9">
      <c r="A6617" s="2">
        <v>2009</v>
      </c>
      <c r="B6617">
        <v>64</v>
      </c>
      <c r="C6617">
        <v>3.1150000000000001E-2</v>
      </c>
      <c r="D6617">
        <v>3.0679999999999999E-2</v>
      </c>
      <c r="E6617">
        <v>0.5</v>
      </c>
      <c r="F6617">
        <v>68825</v>
      </c>
      <c r="G6617">
        <v>2111</v>
      </c>
      <c r="H6617">
        <v>67770</v>
      </c>
      <c r="I6617">
        <v>984241</v>
      </c>
    </row>
    <row r="6618" spans="1:9">
      <c r="A6618" s="2">
        <v>2009</v>
      </c>
      <c r="B6618">
        <v>65</v>
      </c>
      <c r="C6618">
        <v>3.3149999999999999E-2</v>
      </c>
      <c r="D6618">
        <v>3.261E-2</v>
      </c>
      <c r="E6618">
        <v>0.5</v>
      </c>
      <c r="F6618">
        <v>66714</v>
      </c>
      <c r="G6618">
        <v>2175</v>
      </c>
      <c r="H6618">
        <v>65626</v>
      </c>
      <c r="I6618">
        <v>916471</v>
      </c>
    </row>
    <row r="6619" spans="1:9">
      <c r="A6619" s="2">
        <v>2009</v>
      </c>
      <c r="B6619">
        <v>66</v>
      </c>
      <c r="C6619">
        <v>3.474E-2</v>
      </c>
      <c r="D6619">
        <v>3.4139999999999997E-2</v>
      </c>
      <c r="E6619">
        <v>0.5</v>
      </c>
      <c r="F6619">
        <v>64539</v>
      </c>
      <c r="G6619">
        <v>2204</v>
      </c>
      <c r="H6619">
        <v>63437</v>
      </c>
      <c r="I6619">
        <v>850845</v>
      </c>
    </row>
    <row r="6620" spans="1:9">
      <c r="A6620" s="2">
        <v>2009</v>
      </c>
      <c r="B6620">
        <v>67</v>
      </c>
      <c r="C6620">
        <v>3.7400000000000003E-2</v>
      </c>
      <c r="D6620">
        <v>3.671E-2</v>
      </c>
      <c r="E6620">
        <v>0.5</v>
      </c>
      <c r="F6620">
        <v>62335</v>
      </c>
      <c r="G6620">
        <v>2288</v>
      </c>
      <c r="H6620">
        <v>61191</v>
      </c>
      <c r="I6620">
        <v>787408</v>
      </c>
    </row>
    <row r="6621" spans="1:9">
      <c r="A6621" s="2">
        <v>2009</v>
      </c>
      <c r="B6621">
        <v>68</v>
      </c>
      <c r="C6621">
        <v>3.8920000000000003E-2</v>
      </c>
      <c r="D6621">
        <v>3.8170000000000003E-2</v>
      </c>
      <c r="E6621">
        <v>0.5</v>
      </c>
      <c r="F6621">
        <v>60047</v>
      </c>
      <c r="G6621">
        <v>2292</v>
      </c>
      <c r="H6621">
        <v>58901</v>
      </c>
      <c r="I6621">
        <v>726217</v>
      </c>
    </row>
    <row r="6622" spans="1:9">
      <c r="A6622" s="2">
        <v>2009</v>
      </c>
      <c r="B6622">
        <v>69</v>
      </c>
      <c r="C6622">
        <v>4.163E-2</v>
      </c>
      <c r="D6622">
        <v>4.0779999999999997E-2</v>
      </c>
      <c r="E6622">
        <v>0.5</v>
      </c>
      <c r="F6622">
        <v>57754</v>
      </c>
      <c r="G6622">
        <v>2355</v>
      </c>
      <c r="H6622">
        <v>56577</v>
      </c>
      <c r="I6622">
        <v>667317</v>
      </c>
    </row>
    <row r="6623" spans="1:9">
      <c r="A6623" s="2">
        <v>2009</v>
      </c>
      <c r="B6623">
        <v>70</v>
      </c>
      <c r="C6623">
        <v>4.3929999999999997E-2</v>
      </c>
      <c r="D6623">
        <v>4.299E-2</v>
      </c>
      <c r="E6623">
        <v>0.5</v>
      </c>
      <c r="F6623">
        <v>55399</v>
      </c>
      <c r="G6623">
        <v>2382</v>
      </c>
      <c r="H6623">
        <v>54208</v>
      </c>
      <c r="I6623">
        <v>610740</v>
      </c>
    </row>
    <row r="6624" spans="1:9">
      <c r="A6624" s="2">
        <v>2009</v>
      </c>
      <c r="B6624">
        <v>71</v>
      </c>
      <c r="C6624">
        <v>4.8669999999999998E-2</v>
      </c>
      <c r="D6624">
        <v>4.7509999999999997E-2</v>
      </c>
      <c r="E6624">
        <v>0.5</v>
      </c>
      <c r="F6624">
        <v>53018</v>
      </c>
      <c r="G6624">
        <v>2519</v>
      </c>
      <c r="H6624">
        <v>51758</v>
      </c>
      <c r="I6624">
        <v>556532</v>
      </c>
    </row>
    <row r="6625" spans="1:9">
      <c r="A6625" s="2">
        <v>2009</v>
      </c>
      <c r="B6625">
        <v>72</v>
      </c>
      <c r="C6625">
        <v>5.0610000000000002E-2</v>
      </c>
      <c r="D6625">
        <v>4.9360000000000001E-2</v>
      </c>
      <c r="E6625">
        <v>0.5</v>
      </c>
      <c r="F6625">
        <v>50499</v>
      </c>
      <c r="G6625">
        <v>2493</v>
      </c>
      <c r="H6625">
        <v>49252</v>
      </c>
      <c r="I6625">
        <v>504773</v>
      </c>
    </row>
    <row r="6626" spans="1:9">
      <c r="A6626" s="2">
        <v>2009</v>
      </c>
      <c r="B6626">
        <v>73</v>
      </c>
      <c r="C6626">
        <v>5.3699999999999998E-2</v>
      </c>
      <c r="D6626">
        <v>5.2299999999999999E-2</v>
      </c>
      <c r="E6626">
        <v>0.5</v>
      </c>
      <c r="F6626">
        <v>48006</v>
      </c>
      <c r="G6626">
        <v>2511</v>
      </c>
      <c r="H6626">
        <v>46751</v>
      </c>
      <c r="I6626">
        <v>455521</v>
      </c>
    </row>
    <row r="6627" spans="1:9">
      <c r="A6627" s="2">
        <v>2009</v>
      </c>
      <c r="B6627">
        <v>74</v>
      </c>
      <c r="C6627">
        <v>6.2549999999999994E-2</v>
      </c>
      <c r="D6627">
        <v>6.0650000000000003E-2</v>
      </c>
      <c r="E6627">
        <v>0.5</v>
      </c>
      <c r="F6627">
        <v>45495</v>
      </c>
      <c r="G6627">
        <v>2759</v>
      </c>
      <c r="H6627">
        <v>44116</v>
      </c>
      <c r="I6627">
        <v>408770</v>
      </c>
    </row>
    <row r="6628" spans="1:9">
      <c r="A6628" s="2">
        <v>2009</v>
      </c>
      <c r="B6628">
        <v>75</v>
      </c>
      <c r="C6628">
        <v>6.651E-2</v>
      </c>
      <c r="D6628">
        <v>6.4369999999999997E-2</v>
      </c>
      <c r="E6628">
        <v>0.5</v>
      </c>
      <c r="F6628">
        <v>42736</v>
      </c>
      <c r="G6628">
        <v>2751</v>
      </c>
      <c r="H6628">
        <v>41360</v>
      </c>
      <c r="I6628">
        <v>364655</v>
      </c>
    </row>
    <row r="6629" spans="1:9">
      <c r="A6629" s="2">
        <v>2009</v>
      </c>
      <c r="B6629">
        <v>76</v>
      </c>
      <c r="C6629">
        <v>6.8830000000000002E-2</v>
      </c>
      <c r="D6629">
        <v>6.6540000000000002E-2</v>
      </c>
      <c r="E6629">
        <v>0.5</v>
      </c>
      <c r="F6629">
        <v>39985</v>
      </c>
      <c r="G6629">
        <v>2661</v>
      </c>
      <c r="H6629">
        <v>38655</v>
      </c>
      <c r="I6629">
        <v>323294</v>
      </c>
    </row>
    <row r="6630" spans="1:9">
      <c r="A6630" s="2">
        <v>2009</v>
      </c>
      <c r="B6630">
        <v>77</v>
      </c>
      <c r="C6630">
        <v>7.6369999999999993E-2</v>
      </c>
      <c r="D6630">
        <v>7.356E-2</v>
      </c>
      <c r="E6630">
        <v>0.5</v>
      </c>
      <c r="F6630">
        <v>37324</v>
      </c>
      <c r="G6630">
        <v>2746</v>
      </c>
      <c r="H6630">
        <v>35952</v>
      </c>
      <c r="I6630">
        <v>284640</v>
      </c>
    </row>
    <row r="6631" spans="1:9">
      <c r="A6631" s="2">
        <v>2009</v>
      </c>
      <c r="B6631">
        <v>78</v>
      </c>
      <c r="C6631">
        <v>8.054E-2</v>
      </c>
      <c r="D6631">
        <v>7.7420000000000003E-2</v>
      </c>
      <c r="E6631">
        <v>0.5</v>
      </c>
      <c r="F6631">
        <v>34579</v>
      </c>
      <c r="G6631">
        <v>2677</v>
      </c>
      <c r="H6631">
        <v>33240</v>
      </c>
      <c r="I6631">
        <v>248688</v>
      </c>
    </row>
    <row r="6632" spans="1:9">
      <c r="A6632" s="2">
        <v>2009</v>
      </c>
      <c r="B6632">
        <v>79</v>
      </c>
      <c r="C6632">
        <v>9.1810000000000003E-2</v>
      </c>
      <c r="D6632">
        <v>8.7779999999999997E-2</v>
      </c>
      <c r="E6632">
        <v>0.5</v>
      </c>
      <c r="F6632">
        <v>31902</v>
      </c>
      <c r="G6632">
        <v>2800</v>
      </c>
      <c r="H6632">
        <v>30502</v>
      </c>
      <c r="I6632">
        <v>215448</v>
      </c>
    </row>
    <row r="6633" spans="1:9">
      <c r="A6633" s="2">
        <v>2009</v>
      </c>
      <c r="B6633">
        <v>80</v>
      </c>
      <c r="C6633">
        <v>9.6600000000000005E-2</v>
      </c>
      <c r="D6633">
        <v>9.2149999999999996E-2</v>
      </c>
      <c r="E6633">
        <v>0.5</v>
      </c>
      <c r="F6633">
        <v>29101</v>
      </c>
      <c r="G6633">
        <v>2682</v>
      </c>
      <c r="H6633">
        <v>27761</v>
      </c>
      <c r="I6633">
        <v>184946</v>
      </c>
    </row>
    <row r="6634" spans="1:9">
      <c r="A6634" s="2">
        <v>2009</v>
      </c>
      <c r="B6634">
        <v>81</v>
      </c>
      <c r="C6634">
        <v>0.10913</v>
      </c>
      <c r="D6634">
        <v>0.10348</v>
      </c>
      <c r="E6634">
        <v>0.5</v>
      </c>
      <c r="F6634">
        <v>26420</v>
      </c>
      <c r="G6634">
        <v>2734</v>
      </c>
      <c r="H6634">
        <v>25053</v>
      </c>
      <c r="I6634">
        <v>157186</v>
      </c>
    </row>
    <row r="6635" spans="1:9">
      <c r="A6635" s="2">
        <v>2009</v>
      </c>
      <c r="B6635">
        <v>82</v>
      </c>
      <c r="C6635">
        <v>0.12540999999999999</v>
      </c>
      <c r="D6635">
        <v>0.11801</v>
      </c>
      <c r="E6635">
        <v>0.5</v>
      </c>
      <c r="F6635">
        <v>23686</v>
      </c>
      <c r="G6635">
        <v>2795</v>
      </c>
      <c r="H6635">
        <v>22288</v>
      </c>
      <c r="I6635">
        <v>132133</v>
      </c>
    </row>
    <row r="6636" spans="1:9">
      <c r="A6636" s="2">
        <v>2009</v>
      </c>
      <c r="B6636">
        <v>83</v>
      </c>
      <c r="C6636">
        <v>0.12898999999999999</v>
      </c>
      <c r="D6636">
        <v>0.12117</v>
      </c>
      <c r="E6636">
        <v>0.5</v>
      </c>
      <c r="F6636">
        <v>20891</v>
      </c>
      <c r="G6636">
        <v>2531</v>
      </c>
      <c r="H6636">
        <v>19625</v>
      </c>
      <c r="I6636">
        <v>109844</v>
      </c>
    </row>
    <row r="6637" spans="1:9">
      <c r="A6637" s="2">
        <v>2009</v>
      </c>
      <c r="B6637">
        <v>84</v>
      </c>
      <c r="C6637">
        <v>0.14285</v>
      </c>
      <c r="D6637">
        <v>0.13333</v>
      </c>
      <c r="E6637">
        <v>0.5</v>
      </c>
      <c r="F6637">
        <v>18359</v>
      </c>
      <c r="G6637">
        <v>2448</v>
      </c>
      <c r="H6637">
        <v>17135</v>
      </c>
      <c r="I6637">
        <v>90220</v>
      </c>
    </row>
    <row r="6638" spans="1:9">
      <c r="A6638" s="2">
        <v>2009</v>
      </c>
      <c r="B6638">
        <v>85</v>
      </c>
      <c r="C6638">
        <v>0.15961</v>
      </c>
      <c r="D6638">
        <v>0.14781</v>
      </c>
      <c r="E6638">
        <v>0.5</v>
      </c>
      <c r="F6638">
        <v>15911</v>
      </c>
      <c r="G6638">
        <v>2352</v>
      </c>
      <c r="H6638">
        <v>14735</v>
      </c>
      <c r="I6638">
        <v>73084</v>
      </c>
    </row>
    <row r="6639" spans="1:9">
      <c r="A6639" s="2">
        <v>2009</v>
      </c>
      <c r="B6639">
        <v>86</v>
      </c>
      <c r="C6639">
        <v>0.17759</v>
      </c>
      <c r="D6639">
        <v>0.16311</v>
      </c>
      <c r="E6639">
        <v>0.5</v>
      </c>
      <c r="F6639">
        <v>13560</v>
      </c>
      <c r="G6639">
        <v>2212</v>
      </c>
      <c r="H6639">
        <v>12454</v>
      </c>
      <c r="I6639">
        <v>58349</v>
      </c>
    </row>
    <row r="6640" spans="1:9">
      <c r="A6640" s="2">
        <v>2009</v>
      </c>
      <c r="B6640">
        <v>87</v>
      </c>
      <c r="C6640">
        <v>0.19472999999999999</v>
      </c>
      <c r="D6640">
        <v>0.17745</v>
      </c>
      <c r="E6640">
        <v>0.5</v>
      </c>
      <c r="F6640">
        <v>11348</v>
      </c>
      <c r="G6640">
        <v>2014</v>
      </c>
      <c r="H6640">
        <v>10341</v>
      </c>
      <c r="I6640">
        <v>45895</v>
      </c>
    </row>
    <row r="6641" spans="1:9">
      <c r="A6641" s="2">
        <v>2009</v>
      </c>
      <c r="B6641">
        <v>88</v>
      </c>
      <c r="C6641">
        <v>0.19803000000000001</v>
      </c>
      <c r="D6641">
        <v>0.18018999999999999</v>
      </c>
      <c r="E6641">
        <v>0.5</v>
      </c>
      <c r="F6641">
        <v>9334</v>
      </c>
      <c r="G6641">
        <v>1682</v>
      </c>
      <c r="H6641">
        <v>8493</v>
      </c>
      <c r="I6641">
        <v>35554</v>
      </c>
    </row>
    <row r="6642" spans="1:9">
      <c r="A6642" s="2">
        <v>2009</v>
      </c>
      <c r="B6642">
        <v>89</v>
      </c>
      <c r="C6642">
        <v>0.25555</v>
      </c>
      <c r="D6642">
        <v>0.22659000000000001</v>
      </c>
      <c r="E6642">
        <v>0.5</v>
      </c>
      <c r="F6642">
        <v>7652</v>
      </c>
      <c r="G6642">
        <v>1734</v>
      </c>
      <c r="H6642">
        <v>6785</v>
      </c>
      <c r="I6642">
        <v>27061</v>
      </c>
    </row>
    <row r="6643" spans="1:9">
      <c r="A6643" s="2">
        <v>2009</v>
      </c>
      <c r="B6643">
        <v>90</v>
      </c>
      <c r="C6643">
        <v>0.22972999999999999</v>
      </c>
      <c r="D6643">
        <v>0.20605999999999999</v>
      </c>
      <c r="E6643">
        <v>0.5</v>
      </c>
      <c r="F6643">
        <v>5918</v>
      </c>
      <c r="G6643">
        <v>1220</v>
      </c>
      <c r="H6643">
        <v>5309</v>
      </c>
      <c r="I6643">
        <v>20276</v>
      </c>
    </row>
    <row r="6644" spans="1:9">
      <c r="A6644" s="2">
        <v>2009</v>
      </c>
      <c r="B6644">
        <v>91</v>
      </c>
      <c r="C6644">
        <v>0.25217000000000001</v>
      </c>
      <c r="D6644">
        <v>0.22394</v>
      </c>
      <c r="E6644">
        <v>0.5</v>
      </c>
      <c r="F6644">
        <v>4699</v>
      </c>
      <c r="G6644">
        <v>1052</v>
      </c>
      <c r="H6644">
        <v>4173</v>
      </c>
      <c r="I6644">
        <v>14967</v>
      </c>
    </row>
    <row r="6645" spans="1:9">
      <c r="A6645" s="2">
        <v>2009</v>
      </c>
      <c r="B6645">
        <v>92</v>
      </c>
      <c r="C6645">
        <v>0.27621000000000001</v>
      </c>
      <c r="D6645">
        <v>0.24268999999999999</v>
      </c>
      <c r="E6645">
        <v>0.5</v>
      </c>
      <c r="F6645">
        <v>3647</v>
      </c>
      <c r="G6645">
        <v>885</v>
      </c>
      <c r="H6645">
        <v>3204</v>
      </c>
      <c r="I6645">
        <v>10794</v>
      </c>
    </row>
    <row r="6646" spans="1:9">
      <c r="A6646" s="2">
        <v>2009</v>
      </c>
      <c r="B6646">
        <v>93</v>
      </c>
      <c r="C6646">
        <v>0.29286000000000001</v>
      </c>
      <c r="D6646">
        <v>0.25545000000000001</v>
      </c>
      <c r="E6646">
        <v>0.5</v>
      </c>
      <c r="F6646">
        <v>2762</v>
      </c>
      <c r="G6646">
        <v>705</v>
      </c>
      <c r="H6646">
        <v>2409</v>
      </c>
      <c r="I6646">
        <v>7590</v>
      </c>
    </row>
    <row r="6647" spans="1:9">
      <c r="A6647" s="2">
        <v>2009</v>
      </c>
      <c r="B6647">
        <v>94</v>
      </c>
      <c r="C6647">
        <v>0.37536999999999998</v>
      </c>
      <c r="D6647">
        <v>0.31605</v>
      </c>
      <c r="E6647">
        <v>0.5</v>
      </c>
      <c r="F6647">
        <v>2056</v>
      </c>
      <c r="G6647">
        <v>650</v>
      </c>
      <c r="H6647">
        <v>1731</v>
      </c>
      <c r="I6647">
        <v>5181</v>
      </c>
    </row>
    <row r="6648" spans="1:9">
      <c r="A6648" s="2">
        <v>2009</v>
      </c>
      <c r="B6648">
        <v>95</v>
      </c>
      <c r="C6648">
        <v>0.36262</v>
      </c>
      <c r="D6648">
        <v>0.30697000000000002</v>
      </c>
      <c r="E6648">
        <v>0.5</v>
      </c>
      <c r="F6648">
        <v>1406</v>
      </c>
      <c r="G6648">
        <v>432</v>
      </c>
      <c r="H6648">
        <v>1190</v>
      </c>
      <c r="I6648">
        <v>3450</v>
      </c>
    </row>
    <row r="6649" spans="1:9">
      <c r="A6649" s="2">
        <v>2009</v>
      </c>
      <c r="B6649">
        <v>96</v>
      </c>
      <c r="C6649">
        <v>0.38836999999999999</v>
      </c>
      <c r="D6649">
        <v>0.32522000000000001</v>
      </c>
      <c r="E6649">
        <v>0.5</v>
      </c>
      <c r="F6649">
        <v>975</v>
      </c>
      <c r="G6649">
        <v>317</v>
      </c>
      <c r="H6649">
        <v>816</v>
      </c>
      <c r="I6649">
        <v>2260</v>
      </c>
    </row>
    <row r="6650" spans="1:9">
      <c r="A6650" s="2">
        <v>2009</v>
      </c>
      <c r="B6650">
        <v>97</v>
      </c>
      <c r="C6650">
        <v>0.41475000000000001</v>
      </c>
      <c r="D6650">
        <v>0.34351999999999999</v>
      </c>
      <c r="E6650">
        <v>0.5</v>
      </c>
      <c r="F6650">
        <v>658</v>
      </c>
      <c r="G6650">
        <v>226</v>
      </c>
      <c r="H6650">
        <v>545</v>
      </c>
      <c r="I6650">
        <v>1444</v>
      </c>
    </row>
    <row r="6651" spans="1:9">
      <c r="A6651" s="2">
        <v>2009</v>
      </c>
      <c r="B6651">
        <v>98</v>
      </c>
      <c r="C6651">
        <v>0.44163999999999998</v>
      </c>
      <c r="D6651">
        <v>0.36175000000000002</v>
      </c>
      <c r="E6651">
        <v>0.5</v>
      </c>
      <c r="F6651">
        <v>432</v>
      </c>
      <c r="G6651">
        <v>156</v>
      </c>
      <c r="H6651">
        <v>354</v>
      </c>
      <c r="I6651">
        <v>899</v>
      </c>
    </row>
    <row r="6652" spans="1:9">
      <c r="A6652" s="2">
        <v>2009</v>
      </c>
      <c r="B6652">
        <v>99</v>
      </c>
      <c r="C6652">
        <v>0.46887000000000001</v>
      </c>
      <c r="D6652">
        <v>0.37981999999999999</v>
      </c>
      <c r="E6652">
        <v>0.5</v>
      </c>
      <c r="F6652">
        <v>276</v>
      </c>
      <c r="G6652">
        <v>105</v>
      </c>
      <c r="H6652">
        <v>223</v>
      </c>
      <c r="I6652">
        <v>545</v>
      </c>
    </row>
    <row r="6653" spans="1:9">
      <c r="A6653" s="2">
        <v>2009</v>
      </c>
      <c r="B6653">
        <v>100</v>
      </c>
      <c r="C6653">
        <v>0.49628</v>
      </c>
      <c r="D6653">
        <v>0.39761999999999997</v>
      </c>
      <c r="E6653">
        <v>0.5</v>
      </c>
      <c r="F6653">
        <v>171</v>
      </c>
      <c r="G6653">
        <v>68</v>
      </c>
      <c r="H6653">
        <v>137</v>
      </c>
      <c r="I6653">
        <v>322</v>
      </c>
    </row>
    <row r="6654" spans="1:9">
      <c r="A6654" s="2">
        <v>2009</v>
      </c>
      <c r="B6654">
        <v>101</v>
      </c>
      <c r="C6654">
        <v>0.52371999999999996</v>
      </c>
      <c r="D6654">
        <v>0.41504000000000002</v>
      </c>
      <c r="E6654">
        <v>0.5</v>
      </c>
      <c r="F6654">
        <v>103</v>
      </c>
      <c r="G6654">
        <v>43</v>
      </c>
      <c r="H6654">
        <v>82</v>
      </c>
      <c r="I6654">
        <v>185</v>
      </c>
    </row>
    <row r="6655" spans="1:9">
      <c r="A6655" s="2">
        <v>2009</v>
      </c>
      <c r="B6655">
        <v>102</v>
      </c>
      <c r="C6655">
        <v>0.55101</v>
      </c>
      <c r="D6655">
        <v>0.432</v>
      </c>
      <c r="E6655">
        <v>0.5</v>
      </c>
      <c r="F6655">
        <v>60</v>
      </c>
      <c r="G6655">
        <v>26</v>
      </c>
      <c r="H6655">
        <v>47</v>
      </c>
      <c r="I6655">
        <v>104</v>
      </c>
    </row>
    <row r="6656" spans="1:9">
      <c r="A6656" s="2">
        <v>2009</v>
      </c>
      <c r="B6656">
        <v>103</v>
      </c>
      <c r="C6656">
        <v>0.57801000000000002</v>
      </c>
      <c r="D6656">
        <v>0.44840999999999998</v>
      </c>
      <c r="E6656">
        <v>0.5</v>
      </c>
      <c r="F6656">
        <v>34</v>
      </c>
      <c r="G6656">
        <v>15</v>
      </c>
      <c r="H6656">
        <v>27</v>
      </c>
      <c r="I6656">
        <v>56</v>
      </c>
    </row>
    <row r="6657" spans="1:9">
      <c r="A6657" s="2">
        <v>2009</v>
      </c>
      <c r="B6657">
        <v>104</v>
      </c>
      <c r="C6657">
        <v>0.60453999999999997</v>
      </c>
      <c r="D6657">
        <v>0.46422000000000002</v>
      </c>
      <c r="E6657">
        <v>0.5</v>
      </c>
      <c r="F6657">
        <v>19</v>
      </c>
      <c r="G6657">
        <v>9</v>
      </c>
      <c r="H6657">
        <v>14</v>
      </c>
      <c r="I6657">
        <v>30</v>
      </c>
    </row>
    <row r="6658" spans="1:9">
      <c r="A6658" s="2">
        <v>2009</v>
      </c>
      <c r="B6658">
        <v>105</v>
      </c>
      <c r="C6658">
        <v>0.63046999999999997</v>
      </c>
      <c r="D6658">
        <v>0.47936000000000001</v>
      </c>
      <c r="E6658">
        <v>0.5</v>
      </c>
      <c r="F6658">
        <v>10</v>
      </c>
      <c r="G6658">
        <v>5</v>
      </c>
      <c r="H6658">
        <v>8</v>
      </c>
      <c r="I6658">
        <v>15</v>
      </c>
    </row>
    <row r="6659" spans="1:9">
      <c r="A6659" s="2">
        <v>2009</v>
      </c>
      <c r="B6659">
        <v>106</v>
      </c>
      <c r="C6659">
        <v>0.65566999999999998</v>
      </c>
      <c r="D6659">
        <v>0.49379000000000001</v>
      </c>
      <c r="E6659">
        <v>0.5</v>
      </c>
      <c r="F6659">
        <v>5</v>
      </c>
      <c r="G6659">
        <v>3</v>
      </c>
      <c r="H6659">
        <v>4</v>
      </c>
      <c r="I6659">
        <v>8</v>
      </c>
    </row>
    <row r="6660" spans="1:9">
      <c r="A6660" s="2">
        <v>2009</v>
      </c>
      <c r="B6660">
        <v>107</v>
      </c>
      <c r="C6660">
        <v>0.68003000000000002</v>
      </c>
      <c r="D6660">
        <v>0.50748000000000004</v>
      </c>
      <c r="E6660">
        <v>0.5</v>
      </c>
      <c r="F6660">
        <v>3</v>
      </c>
      <c r="G6660">
        <v>1</v>
      </c>
      <c r="H6660">
        <v>2</v>
      </c>
      <c r="I6660">
        <v>4</v>
      </c>
    </row>
    <row r="6661" spans="1:9">
      <c r="A6661" s="2">
        <v>2009</v>
      </c>
      <c r="B6661">
        <v>108</v>
      </c>
      <c r="C6661">
        <v>0.70343999999999995</v>
      </c>
      <c r="D6661">
        <v>0.52039999999999997</v>
      </c>
      <c r="E6661">
        <v>0.5</v>
      </c>
      <c r="F6661">
        <v>1</v>
      </c>
      <c r="G6661">
        <v>1</v>
      </c>
      <c r="H6661">
        <v>1</v>
      </c>
      <c r="I6661">
        <v>2</v>
      </c>
    </row>
    <row r="6662" spans="1:9">
      <c r="A6662" s="2">
        <v>2009</v>
      </c>
      <c r="B6662">
        <v>109</v>
      </c>
      <c r="C6662">
        <v>0.72582999999999998</v>
      </c>
      <c r="D6662">
        <v>0.53254999999999997</v>
      </c>
      <c r="E6662">
        <v>0.5</v>
      </c>
      <c r="F6662">
        <v>1</v>
      </c>
      <c r="G6662">
        <v>0</v>
      </c>
      <c r="H6662">
        <v>0</v>
      </c>
      <c r="I6662">
        <v>1</v>
      </c>
    </row>
    <row r="6663" spans="1:9">
      <c r="A6663" s="2">
        <v>2009</v>
      </c>
      <c r="B6663" t="s">
        <v>26</v>
      </c>
      <c r="C6663">
        <v>0.74712999999999996</v>
      </c>
      <c r="D6663">
        <v>1</v>
      </c>
      <c r="E6663">
        <v>1.34</v>
      </c>
      <c r="F6663">
        <v>0</v>
      </c>
      <c r="G6663">
        <v>0</v>
      </c>
      <c r="H6663">
        <v>0</v>
      </c>
      <c r="I6663">
        <v>0</v>
      </c>
    </row>
    <row r="6664" spans="1:9">
      <c r="A6664" s="2">
        <v>2010</v>
      </c>
      <c r="B6664">
        <v>0</v>
      </c>
      <c r="C6664">
        <v>5.45E-3</v>
      </c>
      <c r="D6664">
        <v>5.4200000000000003E-3</v>
      </c>
      <c r="E6664">
        <v>0.14000000000000001</v>
      </c>
      <c r="F6664">
        <v>100000</v>
      </c>
      <c r="G6664">
        <v>542</v>
      </c>
      <c r="H6664">
        <v>99533</v>
      </c>
      <c r="I6664">
        <v>7055858</v>
      </c>
    </row>
    <row r="6665" spans="1:9">
      <c r="A6665" s="2">
        <v>2010</v>
      </c>
      <c r="B6665">
        <v>1</v>
      </c>
      <c r="C6665">
        <v>3.4000000000000002E-4</v>
      </c>
      <c r="D6665">
        <v>3.4000000000000002E-4</v>
      </c>
      <c r="E6665">
        <v>0.5</v>
      </c>
      <c r="F6665">
        <v>99458</v>
      </c>
      <c r="G6665">
        <v>34</v>
      </c>
      <c r="H6665">
        <v>99441</v>
      </c>
      <c r="I6665">
        <v>6956325</v>
      </c>
    </row>
    <row r="6666" spans="1:9">
      <c r="A6666" s="2">
        <v>2010</v>
      </c>
      <c r="B6666">
        <v>2</v>
      </c>
      <c r="C6666">
        <v>2.0000000000000001E-4</v>
      </c>
      <c r="D6666">
        <v>2.0000000000000001E-4</v>
      </c>
      <c r="E6666">
        <v>0.5</v>
      </c>
      <c r="F6666">
        <v>99424</v>
      </c>
      <c r="G6666">
        <v>20</v>
      </c>
      <c r="H6666">
        <v>99414</v>
      </c>
      <c r="I6666">
        <v>6856884</v>
      </c>
    </row>
    <row r="6667" spans="1:9">
      <c r="A6667" s="2">
        <v>2010</v>
      </c>
      <c r="B6667">
        <v>3</v>
      </c>
      <c r="C6667">
        <v>1.6000000000000001E-4</v>
      </c>
      <c r="D6667">
        <v>1.6000000000000001E-4</v>
      </c>
      <c r="E6667">
        <v>0.5</v>
      </c>
      <c r="F6667">
        <v>99404</v>
      </c>
      <c r="G6667">
        <v>16</v>
      </c>
      <c r="H6667">
        <v>99397</v>
      </c>
      <c r="I6667">
        <v>6757470</v>
      </c>
    </row>
    <row r="6668" spans="1:9">
      <c r="A6668" s="2">
        <v>2010</v>
      </c>
      <c r="B6668">
        <v>4</v>
      </c>
      <c r="C6668">
        <v>1E-4</v>
      </c>
      <c r="D6668">
        <v>1E-4</v>
      </c>
      <c r="E6668">
        <v>0.5</v>
      </c>
      <c r="F6668">
        <v>99389</v>
      </c>
      <c r="G6668">
        <v>10</v>
      </c>
      <c r="H6668">
        <v>99384</v>
      </c>
      <c r="I6668">
        <v>6658073</v>
      </c>
    </row>
    <row r="6669" spans="1:9">
      <c r="A6669" s="2">
        <v>2010</v>
      </c>
      <c r="B6669">
        <v>5</v>
      </c>
      <c r="C6669">
        <v>1.3999999999999999E-4</v>
      </c>
      <c r="D6669">
        <v>1.3999999999999999E-4</v>
      </c>
      <c r="E6669">
        <v>0.5</v>
      </c>
      <c r="F6669">
        <v>99379</v>
      </c>
      <c r="G6669">
        <v>14</v>
      </c>
      <c r="H6669">
        <v>99372</v>
      </c>
      <c r="I6669">
        <v>6558689</v>
      </c>
    </row>
    <row r="6670" spans="1:9">
      <c r="A6670" s="2">
        <v>2010</v>
      </c>
      <c r="B6670">
        <v>6</v>
      </c>
      <c r="C6670">
        <v>8.0000000000000007E-5</v>
      </c>
      <c r="D6670">
        <v>8.0000000000000007E-5</v>
      </c>
      <c r="E6670">
        <v>0.5</v>
      </c>
      <c r="F6670">
        <v>99365</v>
      </c>
      <c r="G6670">
        <v>8</v>
      </c>
      <c r="H6670">
        <v>99361</v>
      </c>
      <c r="I6670">
        <v>6459317</v>
      </c>
    </row>
    <row r="6671" spans="1:9">
      <c r="A6671" s="2">
        <v>2010</v>
      </c>
      <c r="B6671">
        <v>7</v>
      </c>
      <c r="C6671">
        <v>1.3999999999999999E-4</v>
      </c>
      <c r="D6671">
        <v>1.3999999999999999E-4</v>
      </c>
      <c r="E6671">
        <v>0.5</v>
      </c>
      <c r="F6671">
        <v>99357</v>
      </c>
      <c r="G6671">
        <v>14</v>
      </c>
      <c r="H6671">
        <v>99350</v>
      </c>
      <c r="I6671">
        <v>6359956</v>
      </c>
    </row>
    <row r="6672" spans="1:9">
      <c r="A6672" s="2">
        <v>2010</v>
      </c>
      <c r="B6672">
        <v>8</v>
      </c>
      <c r="C6672">
        <v>1E-4</v>
      </c>
      <c r="D6672">
        <v>1E-4</v>
      </c>
      <c r="E6672">
        <v>0.5</v>
      </c>
      <c r="F6672">
        <v>99343</v>
      </c>
      <c r="G6672">
        <v>10</v>
      </c>
      <c r="H6672">
        <v>99338</v>
      </c>
      <c r="I6672">
        <v>6260606</v>
      </c>
    </row>
    <row r="6673" spans="1:9">
      <c r="A6673" s="2">
        <v>2010</v>
      </c>
      <c r="B6673">
        <v>9</v>
      </c>
      <c r="C6673">
        <v>1.3999999999999999E-4</v>
      </c>
      <c r="D6673">
        <v>1.3999999999999999E-4</v>
      </c>
      <c r="E6673">
        <v>0.5</v>
      </c>
      <c r="F6673">
        <v>99333</v>
      </c>
      <c r="G6673">
        <v>14</v>
      </c>
      <c r="H6673">
        <v>99326</v>
      </c>
      <c r="I6673">
        <v>6161269</v>
      </c>
    </row>
    <row r="6674" spans="1:9">
      <c r="A6674" s="2">
        <v>2010</v>
      </c>
      <c r="B6674">
        <v>10</v>
      </c>
      <c r="C6674">
        <v>1.6000000000000001E-4</v>
      </c>
      <c r="D6674">
        <v>1.6000000000000001E-4</v>
      </c>
      <c r="E6674">
        <v>0.5</v>
      </c>
      <c r="F6674">
        <v>99319</v>
      </c>
      <c r="G6674">
        <v>16</v>
      </c>
      <c r="H6674">
        <v>99311</v>
      </c>
      <c r="I6674">
        <v>6061943</v>
      </c>
    </row>
    <row r="6675" spans="1:9">
      <c r="A6675" s="2">
        <v>2010</v>
      </c>
      <c r="B6675">
        <v>11</v>
      </c>
      <c r="C6675">
        <v>2.1000000000000001E-4</v>
      </c>
      <c r="D6675">
        <v>2.1000000000000001E-4</v>
      </c>
      <c r="E6675">
        <v>0.5</v>
      </c>
      <c r="F6675">
        <v>99303</v>
      </c>
      <c r="G6675">
        <v>20</v>
      </c>
      <c r="H6675">
        <v>99293</v>
      </c>
      <c r="I6675">
        <v>5962632</v>
      </c>
    </row>
    <row r="6676" spans="1:9">
      <c r="A6676" s="2">
        <v>2010</v>
      </c>
      <c r="B6676">
        <v>12</v>
      </c>
      <c r="C6676">
        <v>6.0000000000000002E-5</v>
      </c>
      <c r="D6676">
        <v>6.0000000000000002E-5</v>
      </c>
      <c r="E6676">
        <v>0.5</v>
      </c>
      <c r="F6676">
        <v>99282</v>
      </c>
      <c r="G6676">
        <v>6</v>
      </c>
      <c r="H6676">
        <v>99279</v>
      </c>
      <c r="I6676">
        <v>5863340</v>
      </c>
    </row>
    <row r="6677" spans="1:9">
      <c r="A6677" s="2">
        <v>2010</v>
      </c>
      <c r="B6677">
        <v>13</v>
      </c>
      <c r="C6677">
        <v>1.9000000000000001E-4</v>
      </c>
      <c r="D6677">
        <v>1.9000000000000001E-4</v>
      </c>
      <c r="E6677">
        <v>0.5</v>
      </c>
      <c r="F6677">
        <v>99276</v>
      </c>
      <c r="G6677">
        <v>19</v>
      </c>
      <c r="H6677">
        <v>99267</v>
      </c>
      <c r="I6677">
        <v>5764060</v>
      </c>
    </row>
    <row r="6678" spans="1:9">
      <c r="A6678" s="2">
        <v>2010</v>
      </c>
      <c r="B6678">
        <v>14</v>
      </c>
      <c r="C6678">
        <v>2.1000000000000001E-4</v>
      </c>
      <c r="D6678">
        <v>2.1000000000000001E-4</v>
      </c>
      <c r="E6678">
        <v>0.5</v>
      </c>
      <c r="F6678">
        <v>99257</v>
      </c>
      <c r="G6678">
        <v>21</v>
      </c>
      <c r="H6678">
        <v>99247</v>
      </c>
      <c r="I6678">
        <v>5664793</v>
      </c>
    </row>
    <row r="6679" spans="1:9">
      <c r="A6679" s="2">
        <v>2010</v>
      </c>
      <c r="B6679">
        <v>15</v>
      </c>
      <c r="C6679">
        <v>3.8999999999999999E-4</v>
      </c>
      <c r="D6679">
        <v>3.8999999999999999E-4</v>
      </c>
      <c r="E6679">
        <v>0.5</v>
      </c>
      <c r="F6679">
        <v>99236</v>
      </c>
      <c r="G6679">
        <v>38</v>
      </c>
      <c r="H6679">
        <v>99217</v>
      </c>
      <c r="I6679">
        <v>5565547</v>
      </c>
    </row>
    <row r="6680" spans="1:9">
      <c r="A6680" s="2">
        <v>2010</v>
      </c>
      <c r="B6680">
        <v>16</v>
      </c>
      <c r="C6680">
        <v>4.0999999999999999E-4</v>
      </c>
      <c r="D6680">
        <v>4.0999999999999999E-4</v>
      </c>
      <c r="E6680">
        <v>0.5</v>
      </c>
      <c r="F6680">
        <v>99198</v>
      </c>
      <c r="G6680">
        <v>40</v>
      </c>
      <c r="H6680">
        <v>99177</v>
      </c>
      <c r="I6680">
        <v>5466330</v>
      </c>
    </row>
    <row r="6681" spans="1:9">
      <c r="A6681" s="2">
        <v>2010</v>
      </c>
      <c r="B6681">
        <v>17</v>
      </c>
      <c r="C6681">
        <v>3.3E-4</v>
      </c>
      <c r="D6681">
        <v>3.3E-4</v>
      </c>
      <c r="E6681">
        <v>0.5</v>
      </c>
      <c r="F6681">
        <v>99157</v>
      </c>
      <c r="G6681">
        <v>33</v>
      </c>
      <c r="H6681">
        <v>99141</v>
      </c>
      <c r="I6681">
        <v>5367152</v>
      </c>
    </row>
    <row r="6682" spans="1:9">
      <c r="A6682" s="2">
        <v>2010</v>
      </c>
      <c r="B6682">
        <v>18</v>
      </c>
      <c r="C6682">
        <v>4.2999999999999999E-4</v>
      </c>
      <c r="D6682">
        <v>4.2999999999999999E-4</v>
      </c>
      <c r="E6682">
        <v>0.5</v>
      </c>
      <c r="F6682">
        <v>99124</v>
      </c>
      <c r="G6682">
        <v>42</v>
      </c>
      <c r="H6682">
        <v>99103</v>
      </c>
      <c r="I6682">
        <v>5268012</v>
      </c>
    </row>
    <row r="6683" spans="1:9">
      <c r="A6683" s="2">
        <v>2010</v>
      </c>
      <c r="B6683">
        <v>19</v>
      </c>
      <c r="C6683">
        <v>6.3000000000000003E-4</v>
      </c>
      <c r="D6683">
        <v>6.3000000000000003E-4</v>
      </c>
      <c r="E6683">
        <v>0.5</v>
      </c>
      <c r="F6683">
        <v>99082</v>
      </c>
      <c r="G6683">
        <v>62</v>
      </c>
      <c r="H6683">
        <v>99051</v>
      </c>
      <c r="I6683">
        <v>5168908</v>
      </c>
    </row>
    <row r="6684" spans="1:9">
      <c r="A6684" s="2">
        <v>2010</v>
      </c>
      <c r="B6684">
        <v>20</v>
      </c>
      <c r="C6684">
        <v>5.9000000000000003E-4</v>
      </c>
      <c r="D6684">
        <v>5.9000000000000003E-4</v>
      </c>
      <c r="E6684">
        <v>0.5</v>
      </c>
      <c r="F6684">
        <v>99020</v>
      </c>
      <c r="G6684">
        <v>58</v>
      </c>
      <c r="H6684">
        <v>98991</v>
      </c>
      <c r="I6684">
        <v>5069857</v>
      </c>
    </row>
    <row r="6685" spans="1:9">
      <c r="A6685" s="2">
        <v>2010</v>
      </c>
      <c r="B6685">
        <v>21</v>
      </c>
      <c r="C6685">
        <v>4.8000000000000001E-4</v>
      </c>
      <c r="D6685">
        <v>4.8000000000000001E-4</v>
      </c>
      <c r="E6685">
        <v>0.5</v>
      </c>
      <c r="F6685">
        <v>98962</v>
      </c>
      <c r="G6685">
        <v>47</v>
      </c>
      <c r="H6685">
        <v>98938</v>
      </c>
      <c r="I6685">
        <v>4970866</v>
      </c>
    </row>
    <row r="6686" spans="1:9">
      <c r="A6686" s="2">
        <v>2010</v>
      </c>
      <c r="B6686">
        <v>22</v>
      </c>
      <c r="C6686">
        <v>7.2999999999999996E-4</v>
      </c>
      <c r="D6686">
        <v>7.2999999999999996E-4</v>
      </c>
      <c r="E6686">
        <v>0.5</v>
      </c>
      <c r="F6686">
        <v>98914</v>
      </c>
      <c r="G6686">
        <v>73</v>
      </c>
      <c r="H6686">
        <v>98878</v>
      </c>
      <c r="I6686">
        <v>4871928</v>
      </c>
    </row>
    <row r="6687" spans="1:9">
      <c r="A6687" s="2">
        <v>2010</v>
      </c>
      <c r="B6687">
        <v>23</v>
      </c>
      <c r="C6687">
        <v>5.6999999999999998E-4</v>
      </c>
      <c r="D6687">
        <v>5.6999999999999998E-4</v>
      </c>
      <c r="E6687">
        <v>0.5</v>
      </c>
      <c r="F6687">
        <v>98842</v>
      </c>
      <c r="G6687">
        <v>57</v>
      </c>
      <c r="H6687">
        <v>98813</v>
      </c>
      <c r="I6687">
        <v>4773050</v>
      </c>
    </row>
    <row r="6688" spans="1:9">
      <c r="A6688" s="2">
        <v>2010</v>
      </c>
      <c r="B6688">
        <v>24</v>
      </c>
      <c r="C6688">
        <v>5.4000000000000001E-4</v>
      </c>
      <c r="D6688">
        <v>5.4000000000000001E-4</v>
      </c>
      <c r="E6688">
        <v>0.5</v>
      </c>
      <c r="F6688">
        <v>98785</v>
      </c>
      <c r="G6688">
        <v>53</v>
      </c>
      <c r="H6688">
        <v>98759</v>
      </c>
      <c r="I6688">
        <v>4674237</v>
      </c>
    </row>
    <row r="6689" spans="1:9">
      <c r="A6689" s="2">
        <v>2010</v>
      </c>
      <c r="B6689">
        <v>25</v>
      </c>
      <c r="C6689">
        <v>7.3999999999999999E-4</v>
      </c>
      <c r="D6689">
        <v>7.3999999999999999E-4</v>
      </c>
      <c r="E6689">
        <v>0.5</v>
      </c>
      <c r="F6689">
        <v>98732</v>
      </c>
      <c r="G6689">
        <v>73</v>
      </c>
      <c r="H6689">
        <v>98696</v>
      </c>
      <c r="I6689">
        <v>4575478</v>
      </c>
    </row>
    <row r="6690" spans="1:9">
      <c r="A6690" s="2">
        <v>2010</v>
      </c>
      <c r="B6690">
        <v>26</v>
      </c>
      <c r="C6690">
        <v>7.7999999999999999E-4</v>
      </c>
      <c r="D6690">
        <v>7.7999999999999999E-4</v>
      </c>
      <c r="E6690">
        <v>0.5</v>
      </c>
      <c r="F6690">
        <v>98659</v>
      </c>
      <c r="G6690">
        <v>77</v>
      </c>
      <c r="H6690">
        <v>98621</v>
      </c>
      <c r="I6690">
        <v>4476782</v>
      </c>
    </row>
    <row r="6691" spans="1:9">
      <c r="A6691" s="2">
        <v>2010</v>
      </c>
      <c r="B6691">
        <v>27</v>
      </c>
      <c r="C6691">
        <v>7.9000000000000001E-4</v>
      </c>
      <c r="D6691">
        <v>7.9000000000000001E-4</v>
      </c>
      <c r="E6691">
        <v>0.5</v>
      </c>
      <c r="F6691">
        <v>98583</v>
      </c>
      <c r="G6691">
        <v>77</v>
      </c>
      <c r="H6691">
        <v>98544</v>
      </c>
      <c r="I6691">
        <v>4378161</v>
      </c>
    </row>
    <row r="6692" spans="1:9">
      <c r="A6692" s="2">
        <v>2010</v>
      </c>
      <c r="B6692">
        <v>28</v>
      </c>
      <c r="C6692">
        <v>7.6999999999999996E-4</v>
      </c>
      <c r="D6692">
        <v>7.6999999999999996E-4</v>
      </c>
      <c r="E6692">
        <v>0.5</v>
      </c>
      <c r="F6692">
        <v>98505</v>
      </c>
      <c r="G6692">
        <v>76</v>
      </c>
      <c r="H6692">
        <v>98467</v>
      </c>
      <c r="I6692">
        <v>4279617</v>
      </c>
    </row>
    <row r="6693" spans="1:9">
      <c r="A6693" s="2">
        <v>2010</v>
      </c>
      <c r="B6693">
        <v>29</v>
      </c>
      <c r="C6693">
        <v>8.1999999999999998E-4</v>
      </c>
      <c r="D6693">
        <v>8.1999999999999998E-4</v>
      </c>
      <c r="E6693">
        <v>0.5</v>
      </c>
      <c r="F6693">
        <v>98429</v>
      </c>
      <c r="G6693">
        <v>81</v>
      </c>
      <c r="H6693">
        <v>98389</v>
      </c>
      <c r="I6693">
        <v>4181150</v>
      </c>
    </row>
    <row r="6694" spans="1:9">
      <c r="A6694" s="2">
        <v>2010</v>
      </c>
      <c r="B6694">
        <v>30</v>
      </c>
      <c r="C6694">
        <v>9.3999999999999997E-4</v>
      </c>
      <c r="D6694">
        <v>9.3999999999999997E-4</v>
      </c>
      <c r="E6694">
        <v>0.5</v>
      </c>
      <c r="F6694">
        <v>98348</v>
      </c>
      <c r="G6694">
        <v>92</v>
      </c>
      <c r="H6694">
        <v>98302</v>
      </c>
      <c r="I6694">
        <v>4082761</v>
      </c>
    </row>
    <row r="6695" spans="1:9">
      <c r="A6695" s="2">
        <v>2010</v>
      </c>
      <c r="B6695">
        <v>31</v>
      </c>
      <c r="C6695">
        <v>8.9999999999999998E-4</v>
      </c>
      <c r="D6695">
        <v>8.9999999999999998E-4</v>
      </c>
      <c r="E6695">
        <v>0.5</v>
      </c>
      <c r="F6695">
        <v>98256</v>
      </c>
      <c r="G6695">
        <v>88</v>
      </c>
      <c r="H6695">
        <v>98212</v>
      </c>
      <c r="I6695">
        <v>3984459</v>
      </c>
    </row>
    <row r="6696" spans="1:9">
      <c r="A6696" s="2">
        <v>2010</v>
      </c>
      <c r="B6696">
        <v>32</v>
      </c>
      <c r="C6696">
        <v>8.7000000000000001E-4</v>
      </c>
      <c r="D6696">
        <v>8.7000000000000001E-4</v>
      </c>
      <c r="E6696">
        <v>0.5</v>
      </c>
      <c r="F6696">
        <v>98168</v>
      </c>
      <c r="G6696">
        <v>85</v>
      </c>
      <c r="H6696">
        <v>98125</v>
      </c>
      <c r="I6696">
        <v>3886247</v>
      </c>
    </row>
    <row r="6697" spans="1:9">
      <c r="A6697" s="2">
        <v>2010</v>
      </c>
      <c r="B6697">
        <v>33</v>
      </c>
      <c r="C6697">
        <v>1.14E-3</v>
      </c>
      <c r="D6697">
        <v>1.14E-3</v>
      </c>
      <c r="E6697">
        <v>0.5</v>
      </c>
      <c r="F6697">
        <v>98083</v>
      </c>
      <c r="G6697">
        <v>112</v>
      </c>
      <c r="H6697">
        <v>98027</v>
      </c>
      <c r="I6697">
        <v>3788122</v>
      </c>
    </row>
    <row r="6698" spans="1:9">
      <c r="A6698" s="2">
        <v>2010</v>
      </c>
      <c r="B6698">
        <v>34</v>
      </c>
      <c r="C6698">
        <v>1.4300000000000001E-3</v>
      </c>
      <c r="D6698">
        <v>1.4300000000000001E-3</v>
      </c>
      <c r="E6698">
        <v>0.5</v>
      </c>
      <c r="F6698">
        <v>97971</v>
      </c>
      <c r="G6698">
        <v>140</v>
      </c>
      <c r="H6698">
        <v>97901</v>
      </c>
      <c r="I6698">
        <v>3690095</v>
      </c>
    </row>
    <row r="6699" spans="1:9">
      <c r="A6699" s="2">
        <v>2010</v>
      </c>
      <c r="B6699">
        <v>35</v>
      </c>
      <c r="C6699">
        <v>1.4499999999999999E-3</v>
      </c>
      <c r="D6699">
        <v>1.4499999999999999E-3</v>
      </c>
      <c r="E6699">
        <v>0.5</v>
      </c>
      <c r="F6699">
        <v>97831</v>
      </c>
      <c r="G6699">
        <v>142</v>
      </c>
      <c r="H6699">
        <v>97760</v>
      </c>
      <c r="I6699">
        <v>3592194</v>
      </c>
    </row>
    <row r="6700" spans="1:9">
      <c r="A6700" s="2">
        <v>2010</v>
      </c>
      <c r="B6700">
        <v>36</v>
      </c>
      <c r="C6700">
        <v>1.7600000000000001E-3</v>
      </c>
      <c r="D6700">
        <v>1.7600000000000001E-3</v>
      </c>
      <c r="E6700">
        <v>0.5</v>
      </c>
      <c r="F6700">
        <v>97689</v>
      </c>
      <c r="G6700">
        <v>172</v>
      </c>
      <c r="H6700">
        <v>97603</v>
      </c>
      <c r="I6700">
        <v>3494435</v>
      </c>
    </row>
    <row r="6701" spans="1:9">
      <c r="A6701" s="2">
        <v>2010</v>
      </c>
      <c r="B6701">
        <v>37</v>
      </c>
      <c r="C6701">
        <v>1.8600000000000001E-3</v>
      </c>
      <c r="D6701">
        <v>1.8600000000000001E-3</v>
      </c>
      <c r="E6701">
        <v>0.5</v>
      </c>
      <c r="F6701">
        <v>97517</v>
      </c>
      <c r="G6701">
        <v>181</v>
      </c>
      <c r="H6701">
        <v>97426</v>
      </c>
      <c r="I6701">
        <v>3396832</v>
      </c>
    </row>
    <row r="6702" spans="1:9">
      <c r="A6702" s="2">
        <v>2010</v>
      </c>
      <c r="B6702">
        <v>38</v>
      </c>
      <c r="C6702">
        <v>2.16E-3</v>
      </c>
      <c r="D6702">
        <v>2.15E-3</v>
      </c>
      <c r="E6702">
        <v>0.5</v>
      </c>
      <c r="F6702">
        <v>97335</v>
      </c>
      <c r="G6702">
        <v>210</v>
      </c>
      <c r="H6702">
        <v>97230</v>
      </c>
      <c r="I6702">
        <v>3299406</v>
      </c>
    </row>
    <row r="6703" spans="1:9">
      <c r="A6703" s="2">
        <v>2010</v>
      </c>
      <c r="B6703">
        <v>39</v>
      </c>
      <c r="C6703">
        <v>2.33E-3</v>
      </c>
      <c r="D6703">
        <v>2.33E-3</v>
      </c>
      <c r="E6703">
        <v>0.5</v>
      </c>
      <c r="F6703">
        <v>97126</v>
      </c>
      <c r="G6703">
        <v>226</v>
      </c>
      <c r="H6703">
        <v>97013</v>
      </c>
      <c r="I6703">
        <v>3202175</v>
      </c>
    </row>
    <row r="6704" spans="1:9">
      <c r="A6704" s="2">
        <v>2010</v>
      </c>
      <c r="B6704">
        <v>40</v>
      </c>
      <c r="C6704">
        <v>2.82E-3</v>
      </c>
      <c r="D6704">
        <v>2.82E-3</v>
      </c>
      <c r="E6704">
        <v>0.5</v>
      </c>
      <c r="F6704">
        <v>96900</v>
      </c>
      <c r="G6704">
        <v>273</v>
      </c>
      <c r="H6704">
        <v>96763</v>
      </c>
      <c r="I6704">
        <v>3105163</v>
      </c>
    </row>
    <row r="6705" spans="1:9">
      <c r="A6705" s="2">
        <v>2010</v>
      </c>
      <c r="B6705">
        <v>41</v>
      </c>
      <c r="C6705">
        <v>3.4299999999999999E-3</v>
      </c>
      <c r="D6705">
        <v>3.4299999999999999E-3</v>
      </c>
      <c r="E6705">
        <v>0.5</v>
      </c>
      <c r="F6705">
        <v>96627</v>
      </c>
      <c r="G6705">
        <v>331</v>
      </c>
      <c r="H6705">
        <v>96461</v>
      </c>
      <c r="I6705">
        <v>3008399</v>
      </c>
    </row>
    <row r="6706" spans="1:9">
      <c r="A6706" s="2">
        <v>2010</v>
      </c>
      <c r="B6706">
        <v>42</v>
      </c>
      <c r="C6706">
        <v>3.5200000000000001E-3</v>
      </c>
      <c r="D6706">
        <v>3.5200000000000001E-3</v>
      </c>
      <c r="E6706">
        <v>0.5</v>
      </c>
      <c r="F6706">
        <v>96296</v>
      </c>
      <c r="G6706">
        <v>339</v>
      </c>
      <c r="H6706">
        <v>96126</v>
      </c>
      <c r="I6706">
        <v>2911938</v>
      </c>
    </row>
    <row r="6707" spans="1:9">
      <c r="A6707" s="2">
        <v>2010</v>
      </c>
      <c r="B6707">
        <v>43</v>
      </c>
      <c r="C6707">
        <v>4.6800000000000001E-3</v>
      </c>
      <c r="D6707">
        <v>4.6699999999999997E-3</v>
      </c>
      <c r="E6707">
        <v>0.5</v>
      </c>
      <c r="F6707">
        <v>95957</v>
      </c>
      <c r="G6707">
        <v>448</v>
      </c>
      <c r="H6707">
        <v>95733</v>
      </c>
      <c r="I6707">
        <v>2815811</v>
      </c>
    </row>
    <row r="6708" spans="1:9">
      <c r="A6708" s="2">
        <v>2010</v>
      </c>
      <c r="B6708">
        <v>44</v>
      </c>
      <c r="C6708">
        <v>4.6800000000000001E-3</v>
      </c>
      <c r="D6708">
        <v>4.6699999999999997E-3</v>
      </c>
      <c r="E6708">
        <v>0.5</v>
      </c>
      <c r="F6708">
        <v>95509</v>
      </c>
      <c r="G6708">
        <v>446</v>
      </c>
      <c r="H6708">
        <v>95286</v>
      </c>
      <c r="I6708">
        <v>2720079</v>
      </c>
    </row>
    <row r="6709" spans="1:9">
      <c r="A6709" s="2">
        <v>2010</v>
      </c>
      <c r="B6709">
        <v>45</v>
      </c>
      <c r="C6709">
        <v>5.79E-3</v>
      </c>
      <c r="D6709">
        <v>5.77E-3</v>
      </c>
      <c r="E6709">
        <v>0.5</v>
      </c>
      <c r="F6709">
        <v>95063</v>
      </c>
      <c r="G6709">
        <v>549</v>
      </c>
      <c r="H6709">
        <v>94788</v>
      </c>
      <c r="I6709">
        <v>2624793</v>
      </c>
    </row>
    <row r="6710" spans="1:9">
      <c r="A6710" s="2">
        <v>2010</v>
      </c>
      <c r="B6710">
        <v>46</v>
      </c>
      <c r="C6710">
        <v>6.1599999999999997E-3</v>
      </c>
      <c r="D6710">
        <v>6.1399999999999996E-3</v>
      </c>
      <c r="E6710">
        <v>0.5</v>
      </c>
      <c r="F6710">
        <v>94514</v>
      </c>
      <c r="G6710">
        <v>580</v>
      </c>
      <c r="H6710">
        <v>94224</v>
      </c>
      <c r="I6710">
        <v>2530004</v>
      </c>
    </row>
    <row r="6711" spans="1:9">
      <c r="A6711" s="2">
        <v>2010</v>
      </c>
      <c r="B6711">
        <v>47</v>
      </c>
      <c r="C6711">
        <v>7.79E-3</v>
      </c>
      <c r="D6711">
        <v>7.7600000000000004E-3</v>
      </c>
      <c r="E6711">
        <v>0.5</v>
      </c>
      <c r="F6711">
        <v>93934</v>
      </c>
      <c r="G6711">
        <v>729</v>
      </c>
      <c r="H6711">
        <v>93569</v>
      </c>
      <c r="I6711">
        <v>2435780</v>
      </c>
    </row>
    <row r="6712" spans="1:9">
      <c r="A6712" s="2">
        <v>2010</v>
      </c>
      <c r="B6712">
        <v>48</v>
      </c>
      <c r="C6712">
        <v>8.5299999999999994E-3</v>
      </c>
      <c r="D6712">
        <v>8.5000000000000006E-3</v>
      </c>
      <c r="E6712">
        <v>0.5</v>
      </c>
      <c r="F6712">
        <v>93205</v>
      </c>
      <c r="G6712">
        <v>792</v>
      </c>
      <c r="H6712">
        <v>92809</v>
      </c>
      <c r="I6712">
        <v>2342211</v>
      </c>
    </row>
    <row r="6713" spans="1:9">
      <c r="A6713" s="2">
        <v>2010</v>
      </c>
      <c r="B6713">
        <v>49</v>
      </c>
      <c r="C6713">
        <v>1.026E-2</v>
      </c>
      <c r="D6713">
        <v>1.021E-2</v>
      </c>
      <c r="E6713">
        <v>0.5</v>
      </c>
      <c r="F6713">
        <v>92413</v>
      </c>
      <c r="G6713">
        <v>944</v>
      </c>
      <c r="H6713">
        <v>91941</v>
      </c>
      <c r="I6713">
        <v>2249402</v>
      </c>
    </row>
    <row r="6714" spans="1:9">
      <c r="A6714" s="2">
        <v>2010</v>
      </c>
      <c r="B6714">
        <v>50</v>
      </c>
      <c r="C6714">
        <v>1.1679999999999999E-2</v>
      </c>
      <c r="D6714">
        <v>1.1610000000000001E-2</v>
      </c>
      <c r="E6714">
        <v>0.5</v>
      </c>
      <c r="F6714">
        <v>91470</v>
      </c>
      <c r="G6714">
        <v>1062</v>
      </c>
      <c r="H6714">
        <v>90939</v>
      </c>
      <c r="I6714">
        <v>2157460</v>
      </c>
    </row>
    <row r="6715" spans="1:9">
      <c r="A6715" s="2">
        <v>2010</v>
      </c>
      <c r="B6715">
        <v>51</v>
      </c>
      <c r="C6715">
        <v>1.1509999999999999E-2</v>
      </c>
      <c r="D6715">
        <v>1.145E-2</v>
      </c>
      <c r="E6715">
        <v>0.5</v>
      </c>
      <c r="F6715">
        <v>90407</v>
      </c>
      <c r="G6715">
        <v>1035</v>
      </c>
      <c r="H6715">
        <v>89890</v>
      </c>
      <c r="I6715">
        <v>2066522</v>
      </c>
    </row>
    <row r="6716" spans="1:9">
      <c r="A6716" s="2">
        <v>2010</v>
      </c>
      <c r="B6716">
        <v>52</v>
      </c>
      <c r="C6716">
        <v>1.34E-2</v>
      </c>
      <c r="D6716">
        <v>1.3310000000000001E-2</v>
      </c>
      <c r="E6716">
        <v>0.5</v>
      </c>
      <c r="F6716">
        <v>89373</v>
      </c>
      <c r="G6716">
        <v>1190</v>
      </c>
      <c r="H6716">
        <v>88778</v>
      </c>
      <c r="I6716">
        <v>1976632</v>
      </c>
    </row>
    <row r="6717" spans="1:9">
      <c r="A6717" s="2">
        <v>2010</v>
      </c>
      <c r="B6717">
        <v>53</v>
      </c>
      <c r="C6717">
        <v>1.4120000000000001E-2</v>
      </c>
      <c r="D6717">
        <v>1.4019999999999999E-2</v>
      </c>
      <c r="E6717">
        <v>0.5</v>
      </c>
      <c r="F6717">
        <v>88183</v>
      </c>
      <c r="G6717">
        <v>1237</v>
      </c>
      <c r="H6717">
        <v>87565</v>
      </c>
      <c r="I6717">
        <v>1887854</v>
      </c>
    </row>
    <row r="6718" spans="1:9">
      <c r="A6718" s="2">
        <v>2010</v>
      </c>
      <c r="B6718">
        <v>54</v>
      </c>
      <c r="C6718">
        <v>1.584E-2</v>
      </c>
      <c r="D6718">
        <v>1.5709999999999998E-2</v>
      </c>
      <c r="E6718">
        <v>0.5</v>
      </c>
      <c r="F6718">
        <v>86946</v>
      </c>
      <c r="G6718">
        <v>1366</v>
      </c>
      <c r="H6718">
        <v>86263</v>
      </c>
      <c r="I6718">
        <v>1800289</v>
      </c>
    </row>
    <row r="6719" spans="1:9">
      <c r="A6719" s="2">
        <v>2010</v>
      </c>
      <c r="B6719">
        <v>55</v>
      </c>
      <c r="C6719">
        <v>1.7590000000000001E-2</v>
      </c>
      <c r="D6719">
        <v>1.7430000000000001E-2</v>
      </c>
      <c r="E6719">
        <v>0.5</v>
      </c>
      <c r="F6719">
        <v>85580</v>
      </c>
      <c r="G6719">
        <v>1492</v>
      </c>
      <c r="H6719">
        <v>84834</v>
      </c>
      <c r="I6719">
        <v>1714026</v>
      </c>
    </row>
    <row r="6720" spans="1:9">
      <c r="A6720" s="2">
        <v>2010</v>
      </c>
      <c r="B6720">
        <v>56</v>
      </c>
      <c r="C6720">
        <v>1.8089999999999998E-2</v>
      </c>
      <c r="D6720">
        <v>1.7930000000000001E-2</v>
      </c>
      <c r="E6720">
        <v>0.5</v>
      </c>
      <c r="F6720">
        <v>84088</v>
      </c>
      <c r="G6720">
        <v>1508</v>
      </c>
      <c r="H6720">
        <v>83334</v>
      </c>
      <c r="I6720">
        <v>1629192</v>
      </c>
    </row>
    <row r="6721" spans="1:9">
      <c r="A6721" s="2">
        <v>2010</v>
      </c>
      <c r="B6721">
        <v>57</v>
      </c>
      <c r="C6721">
        <v>2.0119999999999999E-2</v>
      </c>
      <c r="D6721">
        <v>1.992E-2</v>
      </c>
      <c r="E6721">
        <v>0.5</v>
      </c>
      <c r="F6721">
        <v>82580</v>
      </c>
      <c r="G6721">
        <v>1645</v>
      </c>
      <c r="H6721">
        <v>81758</v>
      </c>
      <c r="I6721">
        <v>1545858</v>
      </c>
    </row>
    <row r="6722" spans="1:9">
      <c r="A6722" s="2">
        <v>2010</v>
      </c>
      <c r="B6722">
        <v>58</v>
      </c>
      <c r="C6722">
        <v>2.077E-2</v>
      </c>
      <c r="D6722">
        <v>2.0559999999999998E-2</v>
      </c>
      <c r="E6722">
        <v>0.5</v>
      </c>
      <c r="F6722">
        <v>80935</v>
      </c>
      <c r="G6722">
        <v>1664</v>
      </c>
      <c r="H6722">
        <v>80103</v>
      </c>
      <c r="I6722">
        <v>1464100</v>
      </c>
    </row>
    <row r="6723" spans="1:9">
      <c r="A6723" s="2">
        <v>2010</v>
      </c>
      <c r="B6723">
        <v>59</v>
      </c>
      <c r="C6723">
        <v>2.247E-2</v>
      </c>
      <c r="D6723">
        <v>2.222E-2</v>
      </c>
      <c r="E6723">
        <v>0.5</v>
      </c>
      <c r="F6723">
        <v>79271</v>
      </c>
      <c r="G6723">
        <v>1762</v>
      </c>
      <c r="H6723">
        <v>78390</v>
      </c>
      <c r="I6723">
        <v>1383997</v>
      </c>
    </row>
    <row r="6724" spans="1:9">
      <c r="A6724" s="2">
        <v>2010</v>
      </c>
      <c r="B6724">
        <v>60</v>
      </c>
      <c r="C6724">
        <v>2.4029999999999999E-2</v>
      </c>
      <c r="D6724">
        <v>2.375E-2</v>
      </c>
      <c r="E6724">
        <v>0.5</v>
      </c>
      <c r="F6724">
        <v>77509</v>
      </c>
      <c r="G6724">
        <v>1841</v>
      </c>
      <c r="H6724">
        <v>76589</v>
      </c>
      <c r="I6724">
        <v>1305607</v>
      </c>
    </row>
    <row r="6725" spans="1:9">
      <c r="A6725" s="2">
        <v>2010</v>
      </c>
      <c r="B6725">
        <v>61</v>
      </c>
      <c r="C6725">
        <v>2.545E-2</v>
      </c>
      <c r="D6725">
        <v>2.513E-2</v>
      </c>
      <c r="E6725">
        <v>0.5</v>
      </c>
      <c r="F6725">
        <v>75669</v>
      </c>
      <c r="G6725">
        <v>1902</v>
      </c>
      <c r="H6725">
        <v>74718</v>
      </c>
      <c r="I6725">
        <v>1229018</v>
      </c>
    </row>
    <row r="6726" spans="1:9">
      <c r="A6726" s="2">
        <v>2010</v>
      </c>
      <c r="B6726">
        <v>62</v>
      </c>
      <c r="C6726">
        <v>2.6409999999999999E-2</v>
      </c>
      <c r="D6726">
        <v>2.606E-2</v>
      </c>
      <c r="E6726">
        <v>0.5</v>
      </c>
      <c r="F6726">
        <v>73767</v>
      </c>
      <c r="G6726">
        <v>1923</v>
      </c>
      <c r="H6726">
        <v>72806</v>
      </c>
      <c r="I6726">
        <v>1154300</v>
      </c>
    </row>
    <row r="6727" spans="1:9">
      <c r="A6727" s="2">
        <v>2010</v>
      </c>
      <c r="B6727">
        <v>63</v>
      </c>
      <c r="C6727">
        <v>2.9080000000000002E-2</v>
      </c>
      <c r="D6727">
        <v>2.8660000000000001E-2</v>
      </c>
      <c r="E6727">
        <v>0.5</v>
      </c>
      <c r="F6727">
        <v>71844</v>
      </c>
      <c r="G6727">
        <v>2059</v>
      </c>
      <c r="H6727">
        <v>70815</v>
      </c>
      <c r="I6727">
        <v>1081495</v>
      </c>
    </row>
    <row r="6728" spans="1:9">
      <c r="A6728" s="2">
        <v>2010</v>
      </c>
      <c r="B6728">
        <v>64</v>
      </c>
      <c r="C6728">
        <v>2.9069999999999999E-2</v>
      </c>
      <c r="D6728">
        <v>2.8649999999999998E-2</v>
      </c>
      <c r="E6728">
        <v>0.5</v>
      </c>
      <c r="F6728">
        <v>69785</v>
      </c>
      <c r="G6728">
        <v>1999</v>
      </c>
      <c r="H6728">
        <v>68785</v>
      </c>
      <c r="I6728">
        <v>1010680</v>
      </c>
    </row>
    <row r="6729" spans="1:9">
      <c r="A6729" s="2">
        <v>2010</v>
      </c>
      <c r="B6729">
        <v>65</v>
      </c>
      <c r="C6729">
        <v>3.117E-2</v>
      </c>
      <c r="D6729">
        <v>3.0689999999999999E-2</v>
      </c>
      <c r="E6729">
        <v>0.5</v>
      </c>
      <c r="F6729">
        <v>67786</v>
      </c>
      <c r="G6729">
        <v>2080</v>
      </c>
      <c r="H6729">
        <v>66746</v>
      </c>
      <c r="I6729">
        <v>941894</v>
      </c>
    </row>
    <row r="6730" spans="1:9">
      <c r="A6730" s="2">
        <v>2010</v>
      </c>
      <c r="B6730">
        <v>66</v>
      </c>
      <c r="C6730">
        <v>3.4520000000000002E-2</v>
      </c>
      <c r="D6730">
        <v>3.3930000000000002E-2</v>
      </c>
      <c r="E6730">
        <v>0.5</v>
      </c>
      <c r="F6730">
        <v>65706</v>
      </c>
      <c r="G6730">
        <v>2229</v>
      </c>
      <c r="H6730">
        <v>64591</v>
      </c>
      <c r="I6730">
        <v>875149</v>
      </c>
    </row>
    <row r="6731" spans="1:9">
      <c r="A6731" s="2">
        <v>2010</v>
      </c>
      <c r="B6731">
        <v>67</v>
      </c>
      <c r="C6731">
        <v>3.4599999999999999E-2</v>
      </c>
      <c r="D6731">
        <v>3.4009999999999999E-2</v>
      </c>
      <c r="E6731">
        <v>0.5</v>
      </c>
      <c r="F6731">
        <v>63476</v>
      </c>
      <c r="G6731">
        <v>2159</v>
      </c>
      <c r="H6731">
        <v>62397</v>
      </c>
      <c r="I6731">
        <v>810558</v>
      </c>
    </row>
    <row r="6732" spans="1:9">
      <c r="A6732" s="2">
        <v>2010</v>
      </c>
      <c r="B6732">
        <v>68</v>
      </c>
      <c r="C6732">
        <v>3.8089999999999999E-2</v>
      </c>
      <c r="D6732">
        <v>3.737E-2</v>
      </c>
      <c r="E6732">
        <v>0.5</v>
      </c>
      <c r="F6732">
        <v>61317</v>
      </c>
      <c r="G6732">
        <v>2292</v>
      </c>
      <c r="H6732">
        <v>60171</v>
      </c>
      <c r="I6732">
        <v>748161</v>
      </c>
    </row>
    <row r="6733" spans="1:9">
      <c r="A6733" s="2">
        <v>2010</v>
      </c>
      <c r="B6733">
        <v>69</v>
      </c>
      <c r="C6733">
        <v>3.9829999999999997E-2</v>
      </c>
      <c r="D6733">
        <v>3.9050000000000001E-2</v>
      </c>
      <c r="E6733">
        <v>0.5</v>
      </c>
      <c r="F6733">
        <v>59025</v>
      </c>
      <c r="G6733">
        <v>2305</v>
      </c>
      <c r="H6733">
        <v>57873</v>
      </c>
      <c r="I6733">
        <v>687990</v>
      </c>
    </row>
    <row r="6734" spans="1:9">
      <c r="A6734" s="2">
        <v>2010</v>
      </c>
      <c r="B6734">
        <v>70</v>
      </c>
      <c r="C6734">
        <v>4.521E-2</v>
      </c>
      <c r="D6734">
        <v>4.4209999999999999E-2</v>
      </c>
      <c r="E6734">
        <v>0.5</v>
      </c>
      <c r="F6734">
        <v>56720</v>
      </c>
      <c r="G6734">
        <v>2508</v>
      </c>
      <c r="H6734">
        <v>55467</v>
      </c>
      <c r="I6734">
        <v>630117</v>
      </c>
    </row>
    <row r="6735" spans="1:9">
      <c r="A6735" s="2">
        <v>2010</v>
      </c>
      <c r="B6735">
        <v>71</v>
      </c>
      <c r="C6735">
        <v>4.7530000000000003E-2</v>
      </c>
      <c r="D6735">
        <v>4.6420000000000003E-2</v>
      </c>
      <c r="E6735">
        <v>0.5</v>
      </c>
      <c r="F6735">
        <v>54213</v>
      </c>
      <c r="G6735">
        <v>2517</v>
      </c>
      <c r="H6735">
        <v>52955</v>
      </c>
      <c r="I6735">
        <v>574650</v>
      </c>
    </row>
    <row r="6736" spans="1:9">
      <c r="A6736" s="2">
        <v>2010</v>
      </c>
      <c r="B6736">
        <v>72</v>
      </c>
      <c r="C6736">
        <v>5.2290000000000003E-2</v>
      </c>
      <c r="D6736">
        <v>5.0959999999999998E-2</v>
      </c>
      <c r="E6736">
        <v>0.5</v>
      </c>
      <c r="F6736">
        <v>51696</v>
      </c>
      <c r="G6736">
        <v>2634</v>
      </c>
      <c r="H6736">
        <v>50379</v>
      </c>
      <c r="I6736">
        <v>521696</v>
      </c>
    </row>
    <row r="6737" spans="1:9">
      <c r="A6737" s="2">
        <v>2010</v>
      </c>
      <c r="B6737">
        <v>73</v>
      </c>
      <c r="C6737">
        <v>5.4260000000000003E-2</v>
      </c>
      <c r="D6737">
        <v>5.2830000000000002E-2</v>
      </c>
      <c r="E6737">
        <v>0.5</v>
      </c>
      <c r="F6737">
        <v>49062</v>
      </c>
      <c r="G6737">
        <v>2592</v>
      </c>
      <c r="H6737">
        <v>47766</v>
      </c>
      <c r="I6737">
        <v>471317</v>
      </c>
    </row>
    <row r="6738" spans="1:9">
      <c r="A6738" s="2">
        <v>2010</v>
      </c>
      <c r="B6738">
        <v>74</v>
      </c>
      <c r="C6738">
        <v>6.1370000000000001E-2</v>
      </c>
      <c r="D6738">
        <v>5.9540000000000003E-2</v>
      </c>
      <c r="E6738">
        <v>0.5</v>
      </c>
      <c r="F6738">
        <v>46470</v>
      </c>
      <c r="G6738">
        <v>2767</v>
      </c>
      <c r="H6738">
        <v>45087</v>
      </c>
      <c r="I6738">
        <v>423551</v>
      </c>
    </row>
    <row r="6739" spans="1:9">
      <c r="A6739" s="2">
        <v>2010</v>
      </c>
      <c r="B6739">
        <v>75</v>
      </c>
      <c r="C6739">
        <v>6.3619999999999996E-2</v>
      </c>
      <c r="D6739">
        <v>6.166E-2</v>
      </c>
      <c r="E6739">
        <v>0.5</v>
      </c>
      <c r="F6739">
        <v>43703</v>
      </c>
      <c r="G6739">
        <v>2695</v>
      </c>
      <c r="H6739">
        <v>42356</v>
      </c>
      <c r="I6739">
        <v>378464</v>
      </c>
    </row>
    <row r="6740" spans="1:9">
      <c r="A6740" s="2">
        <v>2010</v>
      </c>
      <c r="B6740">
        <v>76</v>
      </c>
      <c r="C6740">
        <v>6.8570000000000006E-2</v>
      </c>
      <c r="D6740">
        <v>6.6290000000000002E-2</v>
      </c>
      <c r="E6740">
        <v>0.5</v>
      </c>
      <c r="F6740">
        <v>41009</v>
      </c>
      <c r="G6740">
        <v>2719</v>
      </c>
      <c r="H6740">
        <v>39649</v>
      </c>
      <c r="I6740">
        <v>336108</v>
      </c>
    </row>
    <row r="6741" spans="1:9">
      <c r="A6741" s="2">
        <v>2010</v>
      </c>
      <c r="B6741">
        <v>77</v>
      </c>
      <c r="C6741">
        <v>7.2440000000000004E-2</v>
      </c>
      <c r="D6741">
        <v>6.991E-2</v>
      </c>
      <c r="E6741">
        <v>0.5</v>
      </c>
      <c r="F6741">
        <v>38290</v>
      </c>
      <c r="G6741">
        <v>2677</v>
      </c>
      <c r="H6741">
        <v>36952</v>
      </c>
      <c r="I6741">
        <v>296458</v>
      </c>
    </row>
    <row r="6742" spans="1:9">
      <c r="A6742" s="2">
        <v>2010</v>
      </c>
      <c r="B6742">
        <v>78</v>
      </c>
      <c r="C6742">
        <v>8.233E-2</v>
      </c>
      <c r="D6742">
        <v>7.9070000000000001E-2</v>
      </c>
      <c r="E6742">
        <v>0.5</v>
      </c>
      <c r="F6742">
        <v>35613</v>
      </c>
      <c r="G6742">
        <v>2816</v>
      </c>
      <c r="H6742">
        <v>34205</v>
      </c>
      <c r="I6742">
        <v>259507</v>
      </c>
    </row>
    <row r="6743" spans="1:9">
      <c r="A6743" s="2">
        <v>2010</v>
      </c>
      <c r="B6743">
        <v>79</v>
      </c>
      <c r="C6743">
        <v>8.7510000000000004E-2</v>
      </c>
      <c r="D6743">
        <v>8.3839999999999998E-2</v>
      </c>
      <c r="E6743">
        <v>0.5</v>
      </c>
      <c r="F6743">
        <v>32797</v>
      </c>
      <c r="G6743">
        <v>2750</v>
      </c>
      <c r="H6743">
        <v>31422</v>
      </c>
      <c r="I6743">
        <v>225301</v>
      </c>
    </row>
    <row r="6744" spans="1:9">
      <c r="A6744" s="2">
        <v>2010</v>
      </c>
      <c r="B6744">
        <v>80</v>
      </c>
      <c r="C6744">
        <v>9.5070000000000002E-2</v>
      </c>
      <c r="D6744">
        <v>9.0749999999999997E-2</v>
      </c>
      <c r="E6744">
        <v>0.5</v>
      </c>
      <c r="F6744">
        <v>30047</v>
      </c>
      <c r="G6744">
        <v>2727</v>
      </c>
      <c r="H6744">
        <v>28684</v>
      </c>
      <c r="I6744">
        <v>193879</v>
      </c>
    </row>
    <row r="6745" spans="1:9">
      <c r="A6745" s="2">
        <v>2010</v>
      </c>
      <c r="B6745">
        <v>81</v>
      </c>
      <c r="C6745">
        <v>0.10587000000000001</v>
      </c>
      <c r="D6745">
        <v>0.10055</v>
      </c>
      <c r="E6745">
        <v>0.5</v>
      </c>
      <c r="F6745">
        <v>27321</v>
      </c>
      <c r="G6745">
        <v>2747</v>
      </c>
      <c r="H6745">
        <v>25947</v>
      </c>
      <c r="I6745">
        <v>165195</v>
      </c>
    </row>
    <row r="6746" spans="1:9">
      <c r="A6746" s="2">
        <v>2010</v>
      </c>
      <c r="B6746">
        <v>82</v>
      </c>
      <c r="C6746">
        <v>0.1159</v>
      </c>
      <c r="D6746">
        <v>0.10954999999999999</v>
      </c>
      <c r="E6746">
        <v>0.5</v>
      </c>
      <c r="F6746">
        <v>24573</v>
      </c>
      <c r="G6746">
        <v>2692</v>
      </c>
      <c r="H6746">
        <v>23227</v>
      </c>
      <c r="I6746">
        <v>139248</v>
      </c>
    </row>
    <row r="6747" spans="1:9">
      <c r="A6747" s="2">
        <v>2010</v>
      </c>
      <c r="B6747">
        <v>83</v>
      </c>
      <c r="C6747">
        <v>0.12845999999999999</v>
      </c>
      <c r="D6747">
        <v>0.12071</v>
      </c>
      <c r="E6747">
        <v>0.5</v>
      </c>
      <c r="F6747">
        <v>21881</v>
      </c>
      <c r="G6747">
        <v>2641</v>
      </c>
      <c r="H6747">
        <v>20561</v>
      </c>
      <c r="I6747">
        <v>116021</v>
      </c>
    </row>
    <row r="6748" spans="1:9">
      <c r="A6748" s="2">
        <v>2010</v>
      </c>
      <c r="B6748">
        <v>84</v>
      </c>
      <c r="C6748">
        <v>0.14210999999999999</v>
      </c>
      <c r="D6748">
        <v>0.13267999999999999</v>
      </c>
      <c r="E6748">
        <v>0.5</v>
      </c>
      <c r="F6748">
        <v>19240</v>
      </c>
      <c r="G6748">
        <v>2553</v>
      </c>
      <c r="H6748">
        <v>17964</v>
      </c>
      <c r="I6748">
        <v>95460</v>
      </c>
    </row>
    <row r="6749" spans="1:9">
      <c r="A6749" s="2">
        <v>2010</v>
      </c>
      <c r="B6749">
        <v>85</v>
      </c>
      <c r="C6749">
        <v>0.15543999999999999</v>
      </c>
      <c r="D6749">
        <v>0.14423</v>
      </c>
      <c r="E6749">
        <v>0.5</v>
      </c>
      <c r="F6749">
        <v>16687</v>
      </c>
      <c r="G6749">
        <v>2407</v>
      </c>
      <c r="H6749">
        <v>15484</v>
      </c>
      <c r="I6749">
        <v>77496</v>
      </c>
    </row>
    <row r="6750" spans="1:9">
      <c r="A6750" s="2">
        <v>2010</v>
      </c>
      <c r="B6750">
        <v>86</v>
      </c>
      <c r="C6750">
        <v>0.17313000000000001</v>
      </c>
      <c r="D6750">
        <v>0.15934000000000001</v>
      </c>
      <c r="E6750">
        <v>0.5</v>
      </c>
      <c r="F6750">
        <v>14280</v>
      </c>
      <c r="G6750">
        <v>2275</v>
      </c>
      <c r="H6750">
        <v>13143</v>
      </c>
      <c r="I6750">
        <v>62012</v>
      </c>
    </row>
    <row r="6751" spans="1:9">
      <c r="A6751" s="2">
        <v>2010</v>
      </c>
      <c r="B6751">
        <v>87</v>
      </c>
      <c r="C6751">
        <v>0.19405</v>
      </c>
      <c r="D6751">
        <v>0.17688999999999999</v>
      </c>
      <c r="E6751">
        <v>0.5</v>
      </c>
      <c r="F6751">
        <v>12005</v>
      </c>
      <c r="G6751">
        <v>2124</v>
      </c>
      <c r="H6751">
        <v>10943</v>
      </c>
      <c r="I6751">
        <v>48870</v>
      </c>
    </row>
    <row r="6752" spans="1:9">
      <c r="A6752" s="2">
        <v>2010</v>
      </c>
      <c r="B6752">
        <v>88</v>
      </c>
      <c r="C6752">
        <v>0.19583999999999999</v>
      </c>
      <c r="D6752">
        <v>0.17837</v>
      </c>
      <c r="E6752">
        <v>0.5</v>
      </c>
      <c r="F6752">
        <v>9882</v>
      </c>
      <c r="G6752">
        <v>1763</v>
      </c>
      <c r="H6752">
        <v>9000</v>
      </c>
      <c r="I6752">
        <v>37926</v>
      </c>
    </row>
    <row r="6753" spans="1:9">
      <c r="A6753" s="2">
        <v>2010</v>
      </c>
      <c r="B6753">
        <v>89</v>
      </c>
      <c r="C6753">
        <v>0.21404999999999999</v>
      </c>
      <c r="D6753">
        <v>0.19334999999999999</v>
      </c>
      <c r="E6753">
        <v>0.5</v>
      </c>
      <c r="F6753">
        <v>8119</v>
      </c>
      <c r="G6753">
        <v>1570</v>
      </c>
      <c r="H6753">
        <v>7334</v>
      </c>
      <c r="I6753">
        <v>28926</v>
      </c>
    </row>
    <row r="6754" spans="1:9">
      <c r="A6754" s="2">
        <v>2010</v>
      </c>
      <c r="B6754">
        <v>90</v>
      </c>
      <c r="C6754">
        <v>0.26500000000000001</v>
      </c>
      <c r="D6754">
        <v>0.23399</v>
      </c>
      <c r="E6754">
        <v>0.5</v>
      </c>
      <c r="F6754">
        <v>6549</v>
      </c>
      <c r="G6754">
        <v>1532</v>
      </c>
      <c r="H6754">
        <v>5783</v>
      </c>
      <c r="I6754">
        <v>21592</v>
      </c>
    </row>
    <row r="6755" spans="1:9">
      <c r="A6755" s="2">
        <v>2010</v>
      </c>
      <c r="B6755">
        <v>91</v>
      </c>
      <c r="C6755">
        <v>0.23250999999999999</v>
      </c>
      <c r="D6755">
        <v>0.20830000000000001</v>
      </c>
      <c r="E6755">
        <v>0.5</v>
      </c>
      <c r="F6755">
        <v>5017</v>
      </c>
      <c r="G6755">
        <v>1045</v>
      </c>
      <c r="H6755">
        <v>4494</v>
      </c>
      <c r="I6755">
        <v>15809</v>
      </c>
    </row>
    <row r="6756" spans="1:9">
      <c r="A6756" s="2">
        <v>2010</v>
      </c>
      <c r="B6756">
        <v>92</v>
      </c>
      <c r="C6756">
        <v>0.29819000000000001</v>
      </c>
      <c r="D6756">
        <v>0.25950000000000001</v>
      </c>
      <c r="E6756">
        <v>0.5</v>
      </c>
      <c r="F6756">
        <v>3972</v>
      </c>
      <c r="G6756">
        <v>1031</v>
      </c>
      <c r="H6756">
        <v>3456</v>
      </c>
      <c r="I6756">
        <v>11315</v>
      </c>
    </row>
    <row r="6757" spans="1:9">
      <c r="A6757" s="2">
        <v>2010</v>
      </c>
      <c r="B6757">
        <v>93</v>
      </c>
      <c r="C6757">
        <v>0.35016000000000003</v>
      </c>
      <c r="D6757">
        <v>0.29798999999999998</v>
      </c>
      <c r="E6757">
        <v>0.5</v>
      </c>
      <c r="F6757">
        <v>2941</v>
      </c>
      <c r="G6757">
        <v>876</v>
      </c>
      <c r="H6757">
        <v>2503</v>
      </c>
      <c r="I6757">
        <v>7859</v>
      </c>
    </row>
    <row r="6758" spans="1:9">
      <c r="A6758" s="2">
        <v>2010</v>
      </c>
      <c r="B6758">
        <v>94</v>
      </c>
      <c r="C6758">
        <v>0.33789999999999998</v>
      </c>
      <c r="D6758">
        <v>0.28905999999999998</v>
      </c>
      <c r="E6758">
        <v>0.5</v>
      </c>
      <c r="F6758">
        <v>2065</v>
      </c>
      <c r="G6758">
        <v>597</v>
      </c>
      <c r="H6758">
        <v>1766</v>
      </c>
      <c r="I6758">
        <v>5356</v>
      </c>
    </row>
    <row r="6759" spans="1:9">
      <c r="A6759" s="2">
        <v>2010</v>
      </c>
      <c r="B6759">
        <v>95</v>
      </c>
      <c r="C6759">
        <v>0.36303999999999997</v>
      </c>
      <c r="D6759">
        <v>0.30726999999999999</v>
      </c>
      <c r="E6759">
        <v>0.5</v>
      </c>
      <c r="F6759">
        <v>1468</v>
      </c>
      <c r="G6759">
        <v>451</v>
      </c>
      <c r="H6759">
        <v>1242</v>
      </c>
      <c r="I6759">
        <v>3590</v>
      </c>
    </row>
    <row r="6760" spans="1:9">
      <c r="A6760" s="2">
        <v>2010</v>
      </c>
      <c r="B6760">
        <v>96</v>
      </c>
      <c r="C6760">
        <v>0.38946999999999998</v>
      </c>
      <c r="D6760">
        <v>0.32599</v>
      </c>
      <c r="E6760">
        <v>0.5</v>
      </c>
      <c r="F6760">
        <v>1017</v>
      </c>
      <c r="G6760">
        <v>331</v>
      </c>
      <c r="H6760">
        <v>851</v>
      </c>
      <c r="I6760">
        <v>2347</v>
      </c>
    </row>
    <row r="6761" spans="1:9">
      <c r="A6761" s="2">
        <v>2010</v>
      </c>
      <c r="B6761">
        <v>97</v>
      </c>
      <c r="C6761">
        <v>0.41657</v>
      </c>
      <c r="D6761">
        <v>0.34476000000000001</v>
      </c>
      <c r="E6761">
        <v>0.5</v>
      </c>
      <c r="F6761">
        <v>685</v>
      </c>
      <c r="G6761">
        <v>236</v>
      </c>
      <c r="H6761">
        <v>567</v>
      </c>
      <c r="I6761">
        <v>1496</v>
      </c>
    </row>
    <row r="6762" spans="1:9">
      <c r="A6762" s="2">
        <v>2010</v>
      </c>
      <c r="B6762">
        <v>98</v>
      </c>
      <c r="C6762">
        <v>0.44418000000000002</v>
      </c>
      <c r="D6762">
        <v>0.36346000000000001</v>
      </c>
      <c r="E6762">
        <v>0.5</v>
      </c>
      <c r="F6762">
        <v>449</v>
      </c>
      <c r="G6762">
        <v>163</v>
      </c>
      <c r="H6762">
        <v>367</v>
      </c>
      <c r="I6762">
        <v>929</v>
      </c>
    </row>
    <row r="6763" spans="1:9">
      <c r="A6763" s="2">
        <v>2010</v>
      </c>
      <c r="B6763">
        <v>99</v>
      </c>
      <c r="C6763">
        <v>0.47214</v>
      </c>
      <c r="D6763">
        <v>0.38196999999999998</v>
      </c>
      <c r="E6763">
        <v>0.5</v>
      </c>
      <c r="F6763">
        <v>286</v>
      </c>
      <c r="G6763">
        <v>109</v>
      </c>
      <c r="H6763">
        <v>231</v>
      </c>
      <c r="I6763">
        <v>562</v>
      </c>
    </row>
    <row r="6764" spans="1:9">
      <c r="A6764" s="2">
        <v>2010</v>
      </c>
      <c r="B6764">
        <v>100</v>
      </c>
      <c r="C6764">
        <v>0.50027999999999995</v>
      </c>
      <c r="D6764">
        <v>0.40017999999999998</v>
      </c>
      <c r="E6764">
        <v>0.5</v>
      </c>
      <c r="F6764">
        <v>177</v>
      </c>
      <c r="G6764">
        <v>71</v>
      </c>
      <c r="H6764">
        <v>141</v>
      </c>
      <c r="I6764">
        <v>330</v>
      </c>
    </row>
    <row r="6765" spans="1:9">
      <c r="A6765" s="2">
        <v>2010</v>
      </c>
      <c r="B6765">
        <v>101</v>
      </c>
      <c r="C6765">
        <v>0.52841000000000005</v>
      </c>
      <c r="D6765">
        <v>0.41798000000000002</v>
      </c>
      <c r="E6765">
        <v>0.5</v>
      </c>
      <c r="F6765">
        <v>106</v>
      </c>
      <c r="G6765">
        <v>44</v>
      </c>
      <c r="H6765">
        <v>84</v>
      </c>
      <c r="I6765">
        <v>189</v>
      </c>
    </row>
    <row r="6766" spans="1:9">
      <c r="A6766" s="2">
        <v>2010</v>
      </c>
      <c r="B6766">
        <v>102</v>
      </c>
      <c r="C6766">
        <v>0.55635999999999997</v>
      </c>
      <c r="D6766">
        <v>0.43528</v>
      </c>
      <c r="E6766">
        <v>0.5</v>
      </c>
      <c r="F6766">
        <v>62</v>
      </c>
      <c r="G6766">
        <v>27</v>
      </c>
      <c r="H6766">
        <v>48</v>
      </c>
      <c r="I6766">
        <v>105</v>
      </c>
    </row>
    <row r="6767" spans="1:9">
      <c r="A6767" s="2">
        <v>2010</v>
      </c>
      <c r="B6767">
        <v>103</v>
      </c>
      <c r="C6767">
        <v>0.58396000000000003</v>
      </c>
      <c r="D6767">
        <v>0.45199</v>
      </c>
      <c r="E6767">
        <v>0.5</v>
      </c>
      <c r="F6767">
        <v>35</v>
      </c>
      <c r="G6767">
        <v>16</v>
      </c>
      <c r="H6767">
        <v>27</v>
      </c>
      <c r="I6767">
        <v>57</v>
      </c>
    </row>
    <row r="6768" spans="1:9">
      <c r="A6768" s="2">
        <v>2010</v>
      </c>
      <c r="B6768">
        <v>104</v>
      </c>
      <c r="C6768">
        <v>0.61104999999999998</v>
      </c>
      <c r="D6768">
        <v>0.46805000000000002</v>
      </c>
      <c r="E6768">
        <v>0.5</v>
      </c>
      <c r="F6768">
        <v>19</v>
      </c>
      <c r="G6768">
        <v>9</v>
      </c>
      <c r="H6768">
        <v>15</v>
      </c>
      <c r="I6768">
        <v>30</v>
      </c>
    </row>
    <row r="6769" spans="1:9">
      <c r="A6769" s="2">
        <v>2010</v>
      </c>
      <c r="B6769">
        <v>105</v>
      </c>
      <c r="C6769">
        <v>0.63746999999999998</v>
      </c>
      <c r="D6769">
        <v>0.48338999999999999</v>
      </c>
      <c r="E6769">
        <v>0.5</v>
      </c>
      <c r="F6769">
        <v>10</v>
      </c>
      <c r="G6769">
        <v>5</v>
      </c>
      <c r="H6769">
        <v>8</v>
      </c>
      <c r="I6769">
        <v>15</v>
      </c>
    </row>
    <row r="6770" spans="1:9">
      <c r="A6770" s="2">
        <v>2010</v>
      </c>
      <c r="B6770">
        <v>106</v>
      </c>
      <c r="C6770">
        <v>0.66308</v>
      </c>
      <c r="D6770">
        <v>0.49797999999999998</v>
      </c>
      <c r="E6770">
        <v>0.5</v>
      </c>
      <c r="F6770">
        <v>5</v>
      </c>
      <c r="G6770">
        <v>3</v>
      </c>
      <c r="H6770">
        <v>4</v>
      </c>
      <c r="I6770">
        <v>8</v>
      </c>
    </row>
    <row r="6771" spans="1:9">
      <c r="A6771" s="2">
        <v>2010</v>
      </c>
      <c r="B6771">
        <v>107</v>
      </c>
      <c r="C6771">
        <v>0.68776999999999999</v>
      </c>
      <c r="D6771">
        <v>0.51178000000000001</v>
      </c>
      <c r="E6771">
        <v>0.5</v>
      </c>
      <c r="F6771">
        <v>3</v>
      </c>
      <c r="G6771">
        <v>1</v>
      </c>
      <c r="H6771">
        <v>2</v>
      </c>
      <c r="I6771">
        <v>4</v>
      </c>
    </row>
    <row r="6772" spans="1:9">
      <c r="A6772" s="2">
        <v>2010</v>
      </c>
      <c r="B6772">
        <v>108</v>
      </c>
      <c r="C6772">
        <v>0.71143000000000001</v>
      </c>
      <c r="D6772">
        <v>0.52476999999999996</v>
      </c>
      <c r="E6772">
        <v>0.5</v>
      </c>
      <c r="F6772">
        <v>1</v>
      </c>
      <c r="G6772">
        <v>1</v>
      </c>
      <c r="H6772">
        <v>1</v>
      </c>
      <c r="I6772">
        <v>2</v>
      </c>
    </row>
    <row r="6773" spans="1:9">
      <c r="A6773" s="2">
        <v>2010</v>
      </c>
      <c r="B6773">
        <v>109</v>
      </c>
      <c r="C6773">
        <v>0.73399999999999999</v>
      </c>
      <c r="D6773">
        <v>0.53693999999999997</v>
      </c>
      <c r="E6773">
        <v>0.5</v>
      </c>
      <c r="F6773">
        <v>1</v>
      </c>
      <c r="G6773">
        <v>0</v>
      </c>
      <c r="H6773">
        <v>0</v>
      </c>
      <c r="I6773">
        <v>1</v>
      </c>
    </row>
    <row r="6774" spans="1:9">
      <c r="A6774" s="2">
        <v>2010</v>
      </c>
      <c r="B6774" t="s">
        <v>26</v>
      </c>
      <c r="C6774">
        <v>0.75541000000000003</v>
      </c>
      <c r="D6774">
        <v>1</v>
      </c>
      <c r="E6774">
        <v>1.32</v>
      </c>
      <c r="F6774">
        <v>0</v>
      </c>
      <c r="G6774">
        <v>0</v>
      </c>
      <c r="H6774">
        <v>0</v>
      </c>
      <c r="I6774">
        <v>0</v>
      </c>
    </row>
    <row r="6775" spans="1:9">
      <c r="A6775" s="2">
        <v>2011</v>
      </c>
      <c r="B6775">
        <v>0</v>
      </c>
      <c r="C6775">
        <v>5.3699999999999998E-3</v>
      </c>
      <c r="D6775">
        <v>5.3400000000000001E-3</v>
      </c>
      <c r="E6775">
        <v>0.14000000000000001</v>
      </c>
      <c r="F6775">
        <v>100000</v>
      </c>
      <c r="G6775">
        <v>534</v>
      </c>
      <c r="H6775">
        <v>99540</v>
      </c>
      <c r="I6775">
        <v>7114322</v>
      </c>
    </row>
    <row r="6776" spans="1:9">
      <c r="A6776" s="2">
        <v>2011</v>
      </c>
      <c r="B6776">
        <v>1</v>
      </c>
      <c r="C6776">
        <v>3.8000000000000002E-4</v>
      </c>
      <c r="D6776">
        <v>3.8000000000000002E-4</v>
      </c>
      <c r="E6776">
        <v>0.5</v>
      </c>
      <c r="F6776">
        <v>99466</v>
      </c>
      <c r="G6776">
        <v>37</v>
      </c>
      <c r="H6776">
        <v>99447</v>
      </c>
      <c r="I6776">
        <v>7014782</v>
      </c>
    </row>
    <row r="6777" spans="1:9">
      <c r="A6777" s="2">
        <v>2011</v>
      </c>
      <c r="B6777">
        <v>2</v>
      </c>
      <c r="C6777">
        <v>6.0000000000000002E-5</v>
      </c>
      <c r="D6777">
        <v>6.0000000000000002E-5</v>
      </c>
      <c r="E6777">
        <v>0.5</v>
      </c>
      <c r="F6777">
        <v>99428</v>
      </c>
      <c r="G6777">
        <v>6</v>
      </c>
      <c r="H6777">
        <v>99425</v>
      </c>
      <c r="I6777">
        <v>6915335</v>
      </c>
    </row>
    <row r="6778" spans="1:9">
      <c r="A6778" s="2">
        <v>2011</v>
      </c>
      <c r="B6778">
        <v>3</v>
      </c>
      <c r="C6778">
        <v>1E-4</v>
      </c>
      <c r="D6778">
        <v>1E-4</v>
      </c>
      <c r="E6778">
        <v>0.5</v>
      </c>
      <c r="F6778">
        <v>99422</v>
      </c>
      <c r="G6778">
        <v>10</v>
      </c>
      <c r="H6778">
        <v>99417</v>
      </c>
      <c r="I6778">
        <v>6815910</v>
      </c>
    </row>
    <row r="6779" spans="1:9">
      <c r="A6779" s="2">
        <v>2011</v>
      </c>
      <c r="B6779">
        <v>4</v>
      </c>
      <c r="C6779">
        <v>1.3999999999999999E-4</v>
      </c>
      <c r="D6779">
        <v>1.3999999999999999E-4</v>
      </c>
      <c r="E6779">
        <v>0.5</v>
      </c>
      <c r="F6779">
        <v>99412</v>
      </c>
      <c r="G6779">
        <v>14</v>
      </c>
      <c r="H6779">
        <v>99405</v>
      </c>
      <c r="I6779">
        <v>6716493</v>
      </c>
    </row>
    <row r="6780" spans="1:9">
      <c r="A6780" s="2">
        <v>2011</v>
      </c>
      <c r="B6780">
        <v>5</v>
      </c>
      <c r="C6780">
        <v>1.2E-4</v>
      </c>
      <c r="D6780">
        <v>1.2E-4</v>
      </c>
      <c r="E6780">
        <v>0.5</v>
      </c>
      <c r="F6780">
        <v>99399</v>
      </c>
      <c r="G6780">
        <v>12</v>
      </c>
      <c r="H6780">
        <v>99393</v>
      </c>
      <c r="I6780">
        <v>6617087</v>
      </c>
    </row>
    <row r="6781" spans="1:9">
      <c r="A6781" s="2">
        <v>2011</v>
      </c>
      <c r="B6781">
        <v>6</v>
      </c>
      <c r="C6781">
        <v>1.3999999999999999E-4</v>
      </c>
      <c r="D6781">
        <v>1.3999999999999999E-4</v>
      </c>
      <c r="E6781">
        <v>0.5</v>
      </c>
      <c r="F6781">
        <v>99387</v>
      </c>
      <c r="G6781">
        <v>14</v>
      </c>
      <c r="H6781">
        <v>99380</v>
      </c>
      <c r="I6781">
        <v>6517695</v>
      </c>
    </row>
    <row r="6782" spans="1:9">
      <c r="A6782" s="2">
        <v>2011</v>
      </c>
      <c r="B6782">
        <v>7</v>
      </c>
      <c r="C6782">
        <v>1.4999999999999999E-4</v>
      </c>
      <c r="D6782">
        <v>1.4999999999999999E-4</v>
      </c>
      <c r="E6782">
        <v>0.5</v>
      </c>
      <c r="F6782">
        <v>99373</v>
      </c>
      <c r="G6782">
        <v>14</v>
      </c>
      <c r="H6782">
        <v>99366</v>
      </c>
      <c r="I6782">
        <v>6418315</v>
      </c>
    </row>
    <row r="6783" spans="1:9">
      <c r="A6783" s="2">
        <v>2011</v>
      </c>
      <c r="B6783">
        <v>8</v>
      </c>
      <c r="C6783">
        <v>6.0000000000000002E-5</v>
      </c>
      <c r="D6783">
        <v>6.0000000000000002E-5</v>
      </c>
      <c r="E6783">
        <v>0.5</v>
      </c>
      <c r="F6783">
        <v>99359</v>
      </c>
      <c r="G6783">
        <v>6</v>
      </c>
      <c r="H6783">
        <v>99356</v>
      </c>
      <c r="I6783">
        <v>6318949</v>
      </c>
    </row>
    <row r="6784" spans="1:9">
      <c r="A6784" s="2">
        <v>2011</v>
      </c>
      <c r="B6784">
        <v>9</v>
      </c>
      <c r="C6784">
        <v>1E-4</v>
      </c>
      <c r="D6784">
        <v>1E-4</v>
      </c>
      <c r="E6784">
        <v>0.5</v>
      </c>
      <c r="F6784">
        <v>99352</v>
      </c>
      <c r="G6784">
        <v>10</v>
      </c>
      <c r="H6784">
        <v>99347</v>
      </c>
      <c r="I6784">
        <v>6219593</v>
      </c>
    </row>
    <row r="6785" spans="1:9">
      <c r="A6785" s="2">
        <v>2011</v>
      </c>
      <c r="B6785">
        <v>10</v>
      </c>
      <c r="C6785">
        <v>1.3999999999999999E-4</v>
      </c>
      <c r="D6785">
        <v>1.3999999999999999E-4</v>
      </c>
      <c r="E6785">
        <v>0.5</v>
      </c>
      <c r="F6785">
        <v>99342</v>
      </c>
      <c r="G6785">
        <v>14</v>
      </c>
      <c r="H6785">
        <v>99335</v>
      </c>
      <c r="I6785">
        <v>6120246</v>
      </c>
    </row>
    <row r="6786" spans="1:9">
      <c r="A6786" s="2">
        <v>2011</v>
      </c>
      <c r="B6786">
        <v>11</v>
      </c>
      <c r="C6786">
        <v>1.6000000000000001E-4</v>
      </c>
      <c r="D6786">
        <v>1.6000000000000001E-4</v>
      </c>
      <c r="E6786">
        <v>0.5</v>
      </c>
      <c r="F6786">
        <v>99329</v>
      </c>
      <c r="G6786">
        <v>16</v>
      </c>
      <c r="H6786">
        <v>99320</v>
      </c>
      <c r="I6786">
        <v>6020910</v>
      </c>
    </row>
    <row r="6787" spans="1:9">
      <c r="A6787" s="2">
        <v>2011</v>
      </c>
      <c r="B6787">
        <v>12</v>
      </c>
      <c r="C6787">
        <v>1E-4</v>
      </c>
      <c r="D6787">
        <v>1E-4</v>
      </c>
      <c r="E6787">
        <v>0.5</v>
      </c>
      <c r="F6787">
        <v>99312</v>
      </c>
      <c r="G6787">
        <v>10</v>
      </c>
      <c r="H6787">
        <v>99307</v>
      </c>
      <c r="I6787">
        <v>5921590</v>
      </c>
    </row>
    <row r="6788" spans="1:9">
      <c r="A6788" s="2">
        <v>2011</v>
      </c>
      <c r="B6788">
        <v>13</v>
      </c>
      <c r="C6788">
        <v>1.2E-4</v>
      </c>
      <c r="D6788">
        <v>1.2E-4</v>
      </c>
      <c r="E6788">
        <v>0.5</v>
      </c>
      <c r="F6788">
        <v>99302</v>
      </c>
      <c r="G6788">
        <v>12</v>
      </c>
      <c r="H6788">
        <v>99296</v>
      </c>
      <c r="I6788">
        <v>5822283</v>
      </c>
    </row>
    <row r="6789" spans="1:9">
      <c r="A6789" s="2">
        <v>2011</v>
      </c>
      <c r="B6789">
        <v>14</v>
      </c>
      <c r="C6789">
        <v>2.1000000000000001E-4</v>
      </c>
      <c r="D6789">
        <v>2.1000000000000001E-4</v>
      </c>
      <c r="E6789">
        <v>0.5</v>
      </c>
      <c r="F6789">
        <v>99290</v>
      </c>
      <c r="G6789">
        <v>21</v>
      </c>
      <c r="H6789">
        <v>99280</v>
      </c>
      <c r="I6789">
        <v>5722987</v>
      </c>
    </row>
    <row r="6790" spans="1:9">
      <c r="A6790" s="2">
        <v>2011</v>
      </c>
      <c r="B6790">
        <v>15</v>
      </c>
      <c r="C6790">
        <v>2.3000000000000001E-4</v>
      </c>
      <c r="D6790">
        <v>2.3000000000000001E-4</v>
      </c>
      <c r="E6790">
        <v>0.5</v>
      </c>
      <c r="F6790">
        <v>99270</v>
      </c>
      <c r="G6790">
        <v>23</v>
      </c>
      <c r="H6790">
        <v>99258</v>
      </c>
      <c r="I6790">
        <v>5623707</v>
      </c>
    </row>
    <row r="6791" spans="1:9">
      <c r="A6791" s="2">
        <v>2011</v>
      </c>
      <c r="B6791">
        <v>16</v>
      </c>
      <c r="C6791">
        <v>4.6999999999999999E-4</v>
      </c>
      <c r="D6791">
        <v>4.6999999999999999E-4</v>
      </c>
      <c r="E6791">
        <v>0.5</v>
      </c>
      <c r="F6791">
        <v>99247</v>
      </c>
      <c r="G6791">
        <v>46</v>
      </c>
      <c r="H6791">
        <v>99224</v>
      </c>
      <c r="I6791">
        <v>5524448</v>
      </c>
    </row>
    <row r="6792" spans="1:9">
      <c r="A6792" s="2">
        <v>2011</v>
      </c>
      <c r="B6792">
        <v>17</v>
      </c>
      <c r="C6792">
        <v>4.6000000000000001E-4</v>
      </c>
      <c r="D6792">
        <v>4.6000000000000001E-4</v>
      </c>
      <c r="E6792">
        <v>0.5</v>
      </c>
      <c r="F6792">
        <v>99201</v>
      </c>
      <c r="G6792">
        <v>46</v>
      </c>
      <c r="H6792">
        <v>99178</v>
      </c>
      <c r="I6792">
        <v>5425224</v>
      </c>
    </row>
    <row r="6793" spans="1:9">
      <c r="A6793" s="2">
        <v>2011</v>
      </c>
      <c r="B6793">
        <v>18</v>
      </c>
      <c r="C6793">
        <v>3.8999999999999999E-4</v>
      </c>
      <c r="D6793">
        <v>3.8999999999999999E-4</v>
      </c>
      <c r="E6793">
        <v>0.5</v>
      </c>
      <c r="F6793">
        <v>99155</v>
      </c>
      <c r="G6793">
        <v>39</v>
      </c>
      <c r="H6793">
        <v>99136</v>
      </c>
      <c r="I6793">
        <v>5326046</v>
      </c>
    </row>
    <row r="6794" spans="1:9">
      <c r="A6794" s="2">
        <v>2011</v>
      </c>
      <c r="B6794">
        <v>19</v>
      </c>
      <c r="C6794">
        <v>6.4999999999999997E-4</v>
      </c>
      <c r="D6794">
        <v>6.4999999999999997E-4</v>
      </c>
      <c r="E6794">
        <v>0.5</v>
      </c>
      <c r="F6794">
        <v>99116</v>
      </c>
      <c r="G6794">
        <v>65</v>
      </c>
      <c r="H6794">
        <v>99084</v>
      </c>
      <c r="I6794">
        <v>5226911</v>
      </c>
    </row>
    <row r="6795" spans="1:9">
      <c r="A6795" s="2">
        <v>2011</v>
      </c>
      <c r="B6795">
        <v>20</v>
      </c>
      <c r="C6795">
        <v>5.2999999999999998E-4</v>
      </c>
      <c r="D6795">
        <v>5.2999999999999998E-4</v>
      </c>
      <c r="E6795">
        <v>0.5</v>
      </c>
      <c r="F6795">
        <v>99052</v>
      </c>
      <c r="G6795">
        <v>52</v>
      </c>
      <c r="H6795">
        <v>99026</v>
      </c>
      <c r="I6795">
        <v>5127827</v>
      </c>
    </row>
    <row r="6796" spans="1:9">
      <c r="A6796" s="2">
        <v>2011</v>
      </c>
      <c r="B6796">
        <v>21</v>
      </c>
      <c r="C6796">
        <v>6.8000000000000005E-4</v>
      </c>
      <c r="D6796">
        <v>6.8000000000000005E-4</v>
      </c>
      <c r="E6796">
        <v>0.5</v>
      </c>
      <c r="F6796">
        <v>98999</v>
      </c>
      <c r="G6796">
        <v>68</v>
      </c>
      <c r="H6796">
        <v>98966</v>
      </c>
      <c r="I6796">
        <v>5028801</v>
      </c>
    </row>
    <row r="6797" spans="1:9">
      <c r="A6797" s="2">
        <v>2011</v>
      </c>
      <c r="B6797">
        <v>22</v>
      </c>
      <c r="C6797">
        <v>6.9999999999999999E-4</v>
      </c>
      <c r="D6797">
        <v>6.9999999999999999E-4</v>
      </c>
      <c r="E6797">
        <v>0.5</v>
      </c>
      <c r="F6797">
        <v>98932</v>
      </c>
      <c r="G6797">
        <v>69</v>
      </c>
      <c r="H6797">
        <v>98897</v>
      </c>
      <c r="I6797">
        <v>4929835</v>
      </c>
    </row>
    <row r="6798" spans="1:9">
      <c r="A6798" s="2">
        <v>2011</v>
      </c>
      <c r="B6798">
        <v>23</v>
      </c>
      <c r="C6798">
        <v>7.6999999999999996E-4</v>
      </c>
      <c r="D6798">
        <v>7.6999999999999996E-4</v>
      </c>
      <c r="E6798">
        <v>0.5</v>
      </c>
      <c r="F6798">
        <v>98863</v>
      </c>
      <c r="G6798">
        <v>77</v>
      </c>
      <c r="H6798">
        <v>98825</v>
      </c>
      <c r="I6798">
        <v>4830938</v>
      </c>
    </row>
    <row r="6799" spans="1:9">
      <c r="A6799" s="2">
        <v>2011</v>
      </c>
      <c r="B6799">
        <v>24</v>
      </c>
      <c r="C6799">
        <v>6.3000000000000003E-4</v>
      </c>
      <c r="D6799">
        <v>6.3000000000000003E-4</v>
      </c>
      <c r="E6799">
        <v>0.5</v>
      </c>
      <c r="F6799">
        <v>98786</v>
      </c>
      <c r="G6799">
        <v>62</v>
      </c>
      <c r="H6799">
        <v>98755</v>
      </c>
      <c r="I6799">
        <v>4732114</v>
      </c>
    </row>
    <row r="6800" spans="1:9">
      <c r="A6800" s="2">
        <v>2011</v>
      </c>
      <c r="B6800">
        <v>25</v>
      </c>
      <c r="C6800">
        <v>8.4000000000000003E-4</v>
      </c>
      <c r="D6800">
        <v>8.4000000000000003E-4</v>
      </c>
      <c r="E6800">
        <v>0.5</v>
      </c>
      <c r="F6800">
        <v>98724</v>
      </c>
      <c r="G6800">
        <v>83</v>
      </c>
      <c r="H6800">
        <v>98683</v>
      </c>
      <c r="I6800">
        <v>4633358</v>
      </c>
    </row>
    <row r="6801" spans="1:9">
      <c r="A6801" s="2">
        <v>2011</v>
      </c>
      <c r="B6801">
        <v>26</v>
      </c>
      <c r="C6801">
        <v>6.8999999999999997E-4</v>
      </c>
      <c r="D6801">
        <v>6.8999999999999997E-4</v>
      </c>
      <c r="E6801">
        <v>0.5</v>
      </c>
      <c r="F6801">
        <v>98642</v>
      </c>
      <c r="G6801">
        <v>68</v>
      </c>
      <c r="H6801">
        <v>98607</v>
      </c>
      <c r="I6801">
        <v>4534676</v>
      </c>
    </row>
    <row r="6802" spans="1:9">
      <c r="A6802" s="2">
        <v>2011</v>
      </c>
      <c r="B6802">
        <v>27</v>
      </c>
      <c r="C6802">
        <v>6.0999999999999997E-4</v>
      </c>
      <c r="D6802">
        <v>6.0999999999999997E-4</v>
      </c>
      <c r="E6802">
        <v>0.5</v>
      </c>
      <c r="F6802">
        <v>98573</v>
      </c>
      <c r="G6802">
        <v>60</v>
      </c>
      <c r="H6802">
        <v>98543</v>
      </c>
      <c r="I6802">
        <v>4436068</v>
      </c>
    </row>
    <row r="6803" spans="1:9">
      <c r="A6803" s="2">
        <v>2011</v>
      </c>
      <c r="B6803">
        <v>28</v>
      </c>
      <c r="C6803">
        <v>7.7999999999999999E-4</v>
      </c>
      <c r="D6803">
        <v>7.7999999999999999E-4</v>
      </c>
      <c r="E6803">
        <v>0.5</v>
      </c>
      <c r="F6803">
        <v>98513</v>
      </c>
      <c r="G6803">
        <v>76</v>
      </c>
      <c r="H6803">
        <v>98475</v>
      </c>
      <c r="I6803">
        <v>4337525</v>
      </c>
    </row>
    <row r="6804" spans="1:9">
      <c r="A6804" s="2">
        <v>2011</v>
      </c>
      <c r="B6804">
        <v>29</v>
      </c>
      <c r="C6804">
        <v>7.2999999999999996E-4</v>
      </c>
      <c r="D6804">
        <v>7.2999999999999996E-4</v>
      </c>
      <c r="E6804">
        <v>0.5</v>
      </c>
      <c r="F6804">
        <v>98436</v>
      </c>
      <c r="G6804">
        <v>72</v>
      </c>
      <c r="H6804">
        <v>98400</v>
      </c>
      <c r="I6804">
        <v>4239051</v>
      </c>
    </row>
    <row r="6805" spans="1:9">
      <c r="A6805" s="2">
        <v>2011</v>
      </c>
      <c r="B6805">
        <v>30</v>
      </c>
      <c r="C6805">
        <v>7.2000000000000005E-4</v>
      </c>
      <c r="D6805">
        <v>7.2000000000000005E-4</v>
      </c>
      <c r="E6805">
        <v>0.5</v>
      </c>
      <c r="F6805">
        <v>98364</v>
      </c>
      <c r="G6805">
        <v>71</v>
      </c>
      <c r="H6805">
        <v>98329</v>
      </c>
      <c r="I6805">
        <v>4140650</v>
      </c>
    </row>
    <row r="6806" spans="1:9">
      <c r="A6806" s="2">
        <v>2011</v>
      </c>
      <c r="B6806">
        <v>31</v>
      </c>
      <c r="C6806">
        <v>1.08E-3</v>
      </c>
      <c r="D6806">
        <v>1.08E-3</v>
      </c>
      <c r="E6806">
        <v>0.5</v>
      </c>
      <c r="F6806">
        <v>98293</v>
      </c>
      <c r="G6806">
        <v>106</v>
      </c>
      <c r="H6806">
        <v>98240</v>
      </c>
      <c r="I6806">
        <v>4042321</v>
      </c>
    </row>
    <row r="6807" spans="1:9">
      <c r="A6807" s="2">
        <v>2011</v>
      </c>
      <c r="B6807">
        <v>32</v>
      </c>
      <c r="C6807">
        <v>9.6000000000000002E-4</v>
      </c>
      <c r="D6807">
        <v>9.6000000000000002E-4</v>
      </c>
      <c r="E6807">
        <v>0.5</v>
      </c>
      <c r="F6807">
        <v>98187</v>
      </c>
      <c r="G6807">
        <v>94</v>
      </c>
      <c r="H6807">
        <v>98140</v>
      </c>
      <c r="I6807">
        <v>3944081</v>
      </c>
    </row>
    <row r="6808" spans="1:9">
      <c r="A6808" s="2">
        <v>2011</v>
      </c>
      <c r="B6808">
        <v>33</v>
      </c>
      <c r="C6808">
        <v>9.6000000000000002E-4</v>
      </c>
      <c r="D6808">
        <v>9.6000000000000002E-4</v>
      </c>
      <c r="E6808">
        <v>0.5</v>
      </c>
      <c r="F6808">
        <v>98093</v>
      </c>
      <c r="G6808">
        <v>94</v>
      </c>
      <c r="H6808">
        <v>98046</v>
      </c>
      <c r="I6808">
        <v>3845941</v>
      </c>
    </row>
    <row r="6809" spans="1:9">
      <c r="A6809" s="2">
        <v>2011</v>
      </c>
      <c r="B6809">
        <v>34</v>
      </c>
      <c r="C6809">
        <v>1.1900000000000001E-3</v>
      </c>
      <c r="D6809">
        <v>1.1900000000000001E-3</v>
      </c>
      <c r="E6809">
        <v>0.5</v>
      </c>
      <c r="F6809">
        <v>97999</v>
      </c>
      <c r="G6809">
        <v>116</v>
      </c>
      <c r="H6809">
        <v>97941</v>
      </c>
      <c r="I6809">
        <v>3747895</v>
      </c>
    </row>
    <row r="6810" spans="1:9">
      <c r="A6810" s="2">
        <v>2011</v>
      </c>
      <c r="B6810">
        <v>35</v>
      </c>
      <c r="C6810">
        <v>1.24E-3</v>
      </c>
      <c r="D6810">
        <v>1.24E-3</v>
      </c>
      <c r="E6810">
        <v>0.5</v>
      </c>
      <c r="F6810">
        <v>97883</v>
      </c>
      <c r="G6810">
        <v>121</v>
      </c>
      <c r="H6810">
        <v>97822</v>
      </c>
      <c r="I6810">
        <v>3649954</v>
      </c>
    </row>
    <row r="6811" spans="1:9">
      <c r="A6811" s="2">
        <v>2011</v>
      </c>
      <c r="B6811">
        <v>36</v>
      </c>
      <c r="C6811">
        <v>1.4E-3</v>
      </c>
      <c r="D6811">
        <v>1.4E-3</v>
      </c>
      <c r="E6811">
        <v>0.5</v>
      </c>
      <c r="F6811">
        <v>97761</v>
      </c>
      <c r="G6811">
        <v>137</v>
      </c>
      <c r="H6811">
        <v>97693</v>
      </c>
      <c r="I6811">
        <v>3552132</v>
      </c>
    </row>
    <row r="6812" spans="1:9">
      <c r="A6812" s="2">
        <v>2011</v>
      </c>
      <c r="B6812">
        <v>37</v>
      </c>
      <c r="C6812">
        <v>1.6800000000000001E-3</v>
      </c>
      <c r="D6812">
        <v>1.6800000000000001E-3</v>
      </c>
      <c r="E6812">
        <v>0.5</v>
      </c>
      <c r="F6812">
        <v>97624</v>
      </c>
      <c r="G6812">
        <v>164</v>
      </c>
      <c r="H6812">
        <v>97542</v>
      </c>
      <c r="I6812">
        <v>3454439</v>
      </c>
    </row>
    <row r="6813" spans="1:9">
      <c r="A6813" s="2">
        <v>2011</v>
      </c>
      <c r="B6813">
        <v>38</v>
      </c>
      <c r="C6813">
        <v>1.58E-3</v>
      </c>
      <c r="D6813">
        <v>1.58E-3</v>
      </c>
      <c r="E6813">
        <v>0.5</v>
      </c>
      <c r="F6813">
        <v>97460</v>
      </c>
      <c r="G6813">
        <v>154</v>
      </c>
      <c r="H6813">
        <v>97384</v>
      </c>
      <c r="I6813">
        <v>3356897</v>
      </c>
    </row>
    <row r="6814" spans="1:9">
      <c r="A6814" s="2">
        <v>2011</v>
      </c>
      <c r="B6814">
        <v>39</v>
      </c>
      <c r="C6814">
        <v>1.89E-3</v>
      </c>
      <c r="D6814">
        <v>1.89E-3</v>
      </c>
      <c r="E6814">
        <v>0.5</v>
      </c>
      <c r="F6814">
        <v>97307</v>
      </c>
      <c r="G6814">
        <v>183</v>
      </c>
      <c r="H6814">
        <v>97215</v>
      </c>
      <c r="I6814">
        <v>3259513</v>
      </c>
    </row>
    <row r="6815" spans="1:9">
      <c r="A6815" s="2">
        <v>2011</v>
      </c>
      <c r="B6815">
        <v>40</v>
      </c>
      <c r="C6815">
        <v>2.1900000000000001E-3</v>
      </c>
      <c r="D6815">
        <v>2.1900000000000001E-3</v>
      </c>
      <c r="E6815">
        <v>0.5</v>
      </c>
      <c r="F6815">
        <v>97123</v>
      </c>
      <c r="G6815">
        <v>212</v>
      </c>
      <c r="H6815">
        <v>97017</v>
      </c>
      <c r="I6815">
        <v>3162298</v>
      </c>
    </row>
    <row r="6816" spans="1:9">
      <c r="A6816" s="2">
        <v>2011</v>
      </c>
      <c r="B6816">
        <v>41</v>
      </c>
      <c r="C6816">
        <v>2.5799999999999998E-3</v>
      </c>
      <c r="D6816">
        <v>2.5799999999999998E-3</v>
      </c>
      <c r="E6816">
        <v>0.5</v>
      </c>
      <c r="F6816">
        <v>96911</v>
      </c>
      <c r="G6816">
        <v>250</v>
      </c>
      <c r="H6816">
        <v>96786</v>
      </c>
      <c r="I6816">
        <v>3065281</v>
      </c>
    </row>
    <row r="6817" spans="1:9">
      <c r="A6817" s="2">
        <v>2011</v>
      </c>
      <c r="B6817">
        <v>42</v>
      </c>
      <c r="C6817">
        <v>3.3300000000000001E-3</v>
      </c>
      <c r="D6817">
        <v>3.32E-3</v>
      </c>
      <c r="E6817">
        <v>0.5</v>
      </c>
      <c r="F6817">
        <v>96661</v>
      </c>
      <c r="G6817">
        <v>321</v>
      </c>
      <c r="H6817">
        <v>96500</v>
      </c>
      <c r="I6817">
        <v>2968495</v>
      </c>
    </row>
    <row r="6818" spans="1:9">
      <c r="A6818" s="2">
        <v>2011</v>
      </c>
      <c r="B6818">
        <v>43</v>
      </c>
      <c r="C6818">
        <v>3.8600000000000001E-3</v>
      </c>
      <c r="D6818">
        <v>3.8500000000000001E-3</v>
      </c>
      <c r="E6818">
        <v>0.5</v>
      </c>
      <c r="F6818">
        <v>96340</v>
      </c>
      <c r="G6818">
        <v>371</v>
      </c>
      <c r="H6818">
        <v>96154</v>
      </c>
      <c r="I6818">
        <v>2871994</v>
      </c>
    </row>
    <row r="6819" spans="1:9">
      <c r="A6819" s="2">
        <v>2011</v>
      </c>
      <c r="B6819">
        <v>44</v>
      </c>
      <c r="C6819">
        <v>4.3400000000000001E-3</v>
      </c>
      <c r="D6819">
        <v>4.3299999999999996E-3</v>
      </c>
      <c r="E6819">
        <v>0.5</v>
      </c>
      <c r="F6819">
        <v>95969</v>
      </c>
      <c r="G6819">
        <v>416</v>
      </c>
      <c r="H6819">
        <v>95761</v>
      </c>
      <c r="I6819">
        <v>2775840</v>
      </c>
    </row>
    <row r="6820" spans="1:9">
      <c r="A6820" s="2">
        <v>2011</v>
      </c>
      <c r="B6820">
        <v>45</v>
      </c>
      <c r="C6820">
        <v>4.7499999999999999E-3</v>
      </c>
      <c r="D6820">
        <v>4.7400000000000003E-3</v>
      </c>
      <c r="E6820">
        <v>0.5</v>
      </c>
      <c r="F6820">
        <v>95553</v>
      </c>
      <c r="G6820">
        <v>453</v>
      </c>
      <c r="H6820">
        <v>95327</v>
      </c>
      <c r="I6820">
        <v>2680079</v>
      </c>
    </row>
    <row r="6821" spans="1:9">
      <c r="A6821" s="2">
        <v>2011</v>
      </c>
      <c r="B6821">
        <v>46</v>
      </c>
      <c r="C6821">
        <v>5.9500000000000004E-3</v>
      </c>
      <c r="D6821">
        <v>5.94E-3</v>
      </c>
      <c r="E6821">
        <v>0.5</v>
      </c>
      <c r="F6821">
        <v>95100</v>
      </c>
      <c r="G6821">
        <v>565</v>
      </c>
      <c r="H6821">
        <v>94818</v>
      </c>
      <c r="I6821">
        <v>2584752</v>
      </c>
    </row>
    <row r="6822" spans="1:9">
      <c r="A6822" s="2">
        <v>2011</v>
      </c>
      <c r="B6822">
        <v>47</v>
      </c>
      <c r="C6822">
        <v>7.3200000000000001E-3</v>
      </c>
      <c r="D6822">
        <v>7.2899999999999996E-3</v>
      </c>
      <c r="E6822">
        <v>0.5</v>
      </c>
      <c r="F6822">
        <v>94536</v>
      </c>
      <c r="G6822">
        <v>690</v>
      </c>
      <c r="H6822">
        <v>94191</v>
      </c>
      <c r="I6822">
        <v>2489935</v>
      </c>
    </row>
    <row r="6823" spans="1:9">
      <c r="A6823" s="2">
        <v>2011</v>
      </c>
      <c r="B6823">
        <v>48</v>
      </c>
      <c r="C6823">
        <v>7.43E-3</v>
      </c>
      <c r="D6823">
        <v>7.4000000000000003E-3</v>
      </c>
      <c r="E6823">
        <v>0.5</v>
      </c>
      <c r="F6823">
        <v>93846</v>
      </c>
      <c r="G6823">
        <v>694</v>
      </c>
      <c r="H6823">
        <v>93499</v>
      </c>
      <c r="I6823">
        <v>2395744</v>
      </c>
    </row>
    <row r="6824" spans="1:9">
      <c r="A6824" s="2">
        <v>2011</v>
      </c>
      <c r="B6824">
        <v>49</v>
      </c>
      <c r="C6824">
        <v>8.8599999999999998E-3</v>
      </c>
      <c r="D6824">
        <v>8.8199999999999997E-3</v>
      </c>
      <c r="E6824">
        <v>0.5</v>
      </c>
      <c r="F6824">
        <v>93152</v>
      </c>
      <c r="G6824">
        <v>821</v>
      </c>
      <c r="H6824">
        <v>92741</v>
      </c>
      <c r="I6824">
        <v>2302245</v>
      </c>
    </row>
    <row r="6825" spans="1:9">
      <c r="A6825" s="2">
        <v>2011</v>
      </c>
      <c r="B6825">
        <v>50</v>
      </c>
      <c r="C6825">
        <v>1.031E-2</v>
      </c>
      <c r="D6825">
        <v>1.026E-2</v>
      </c>
      <c r="E6825">
        <v>0.5</v>
      </c>
      <c r="F6825">
        <v>92330</v>
      </c>
      <c r="G6825">
        <v>947</v>
      </c>
      <c r="H6825">
        <v>91857</v>
      </c>
      <c r="I6825">
        <v>2209504</v>
      </c>
    </row>
    <row r="6826" spans="1:9">
      <c r="A6826" s="2">
        <v>2011</v>
      </c>
      <c r="B6826">
        <v>51</v>
      </c>
      <c r="C6826">
        <v>1.1140000000000001E-2</v>
      </c>
      <c r="D6826">
        <v>1.107E-2</v>
      </c>
      <c r="E6826">
        <v>0.5</v>
      </c>
      <c r="F6826">
        <v>91383</v>
      </c>
      <c r="G6826">
        <v>1012</v>
      </c>
      <c r="H6826">
        <v>90877</v>
      </c>
      <c r="I6826">
        <v>2117647</v>
      </c>
    </row>
    <row r="6827" spans="1:9">
      <c r="A6827" s="2">
        <v>2011</v>
      </c>
      <c r="B6827">
        <v>52</v>
      </c>
      <c r="C6827">
        <v>1.227E-2</v>
      </c>
      <c r="D6827">
        <v>1.2189999999999999E-2</v>
      </c>
      <c r="E6827">
        <v>0.5</v>
      </c>
      <c r="F6827">
        <v>90371</v>
      </c>
      <c r="G6827">
        <v>1102</v>
      </c>
      <c r="H6827">
        <v>89820</v>
      </c>
      <c r="I6827">
        <v>2026770</v>
      </c>
    </row>
    <row r="6828" spans="1:9">
      <c r="A6828" s="2">
        <v>2011</v>
      </c>
      <c r="B6828">
        <v>53</v>
      </c>
      <c r="C6828">
        <v>1.3950000000000001E-2</v>
      </c>
      <c r="D6828">
        <v>1.3860000000000001E-2</v>
      </c>
      <c r="E6828">
        <v>0.5</v>
      </c>
      <c r="F6828">
        <v>89269</v>
      </c>
      <c r="G6828">
        <v>1237</v>
      </c>
      <c r="H6828">
        <v>88651</v>
      </c>
      <c r="I6828">
        <v>1936949</v>
      </c>
    </row>
    <row r="6829" spans="1:9">
      <c r="A6829" s="2">
        <v>2011</v>
      </c>
      <c r="B6829">
        <v>54</v>
      </c>
      <c r="C6829">
        <v>1.5440000000000001E-2</v>
      </c>
      <c r="D6829">
        <v>1.532E-2</v>
      </c>
      <c r="E6829">
        <v>0.5</v>
      </c>
      <c r="F6829">
        <v>88032</v>
      </c>
      <c r="G6829">
        <v>1349</v>
      </c>
      <c r="H6829">
        <v>87358</v>
      </c>
      <c r="I6829">
        <v>1848299</v>
      </c>
    </row>
    <row r="6830" spans="1:9">
      <c r="A6830" s="2">
        <v>2011</v>
      </c>
      <c r="B6830">
        <v>55</v>
      </c>
      <c r="C6830">
        <v>1.685E-2</v>
      </c>
      <c r="D6830">
        <v>1.6709999999999999E-2</v>
      </c>
      <c r="E6830">
        <v>0.5</v>
      </c>
      <c r="F6830">
        <v>86684</v>
      </c>
      <c r="G6830">
        <v>1448</v>
      </c>
      <c r="H6830">
        <v>85959</v>
      </c>
      <c r="I6830">
        <v>1760941</v>
      </c>
    </row>
    <row r="6831" spans="1:9">
      <c r="A6831" s="2">
        <v>2011</v>
      </c>
      <c r="B6831">
        <v>56</v>
      </c>
      <c r="C6831">
        <v>1.796E-2</v>
      </c>
      <c r="D6831">
        <v>1.78E-2</v>
      </c>
      <c r="E6831">
        <v>0.5</v>
      </c>
      <c r="F6831">
        <v>85235</v>
      </c>
      <c r="G6831">
        <v>1517</v>
      </c>
      <c r="H6831">
        <v>84477</v>
      </c>
      <c r="I6831">
        <v>1674981</v>
      </c>
    </row>
    <row r="6832" spans="1:9">
      <c r="A6832" s="2">
        <v>2011</v>
      </c>
      <c r="B6832">
        <v>57</v>
      </c>
      <c r="C6832">
        <v>1.9179999999999999E-2</v>
      </c>
      <c r="D6832">
        <v>1.9E-2</v>
      </c>
      <c r="E6832">
        <v>0.5</v>
      </c>
      <c r="F6832">
        <v>83718</v>
      </c>
      <c r="G6832">
        <v>1591</v>
      </c>
      <c r="H6832">
        <v>82923</v>
      </c>
      <c r="I6832">
        <v>1590505</v>
      </c>
    </row>
    <row r="6833" spans="1:9">
      <c r="A6833" s="2">
        <v>2011</v>
      </c>
      <c r="B6833">
        <v>58</v>
      </c>
      <c r="C6833">
        <v>1.9910000000000001E-2</v>
      </c>
      <c r="D6833">
        <v>1.9709999999999998E-2</v>
      </c>
      <c r="E6833">
        <v>0.5</v>
      </c>
      <c r="F6833">
        <v>82127</v>
      </c>
      <c r="G6833">
        <v>1619</v>
      </c>
      <c r="H6833">
        <v>81318</v>
      </c>
      <c r="I6833">
        <v>1507582</v>
      </c>
    </row>
    <row r="6834" spans="1:9">
      <c r="A6834" s="2">
        <v>2011</v>
      </c>
      <c r="B6834">
        <v>59</v>
      </c>
      <c r="C6834">
        <v>2.1479999999999999E-2</v>
      </c>
      <c r="D6834">
        <v>2.1250000000000002E-2</v>
      </c>
      <c r="E6834">
        <v>0.5</v>
      </c>
      <c r="F6834">
        <v>80508</v>
      </c>
      <c r="G6834">
        <v>1711</v>
      </c>
      <c r="H6834">
        <v>79653</v>
      </c>
      <c r="I6834">
        <v>1426264</v>
      </c>
    </row>
    <row r="6835" spans="1:9">
      <c r="A6835" s="2">
        <v>2011</v>
      </c>
      <c r="B6835">
        <v>60</v>
      </c>
      <c r="C6835">
        <v>2.3220000000000001E-2</v>
      </c>
      <c r="D6835">
        <v>2.2950000000000002E-2</v>
      </c>
      <c r="E6835">
        <v>0.5</v>
      </c>
      <c r="F6835">
        <v>78798</v>
      </c>
      <c r="G6835">
        <v>1808</v>
      </c>
      <c r="H6835">
        <v>77894</v>
      </c>
      <c r="I6835">
        <v>1346611</v>
      </c>
    </row>
    <row r="6836" spans="1:9">
      <c r="A6836" s="2">
        <v>2011</v>
      </c>
      <c r="B6836">
        <v>61</v>
      </c>
      <c r="C6836">
        <v>2.5000000000000001E-2</v>
      </c>
      <c r="D6836">
        <v>2.469E-2</v>
      </c>
      <c r="E6836">
        <v>0.5</v>
      </c>
      <c r="F6836">
        <v>76989</v>
      </c>
      <c r="G6836">
        <v>1901</v>
      </c>
      <c r="H6836">
        <v>76039</v>
      </c>
      <c r="I6836">
        <v>1268717</v>
      </c>
    </row>
    <row r="6837" spans="1:9">
      <c r="A6837" s="2">
        <v>2011</v>
      </c>
      <c r="B6837">
        <v>62</v>
      </c>
      <c r="C6837">
        <v>2.581E-2</v>
      </c>
      <c r="D6837">
        <v>2.5479999999999999E-2</v>
      </c>
      <c r="E6837">
        <v>0.5</v>
      </c>
      <c r="F6837">
        <v>75088</v>
      </c>
      <c r="G6837">
        <v>1914</v>
      </c>
      <c r="H6837">
        <v>74132</v>
      </c>
      <c r="I6837">
        <v>1192678</v>
      </c>
    </row>
    <row r="6838" spans="1:9">
      <c r="A6838" s="2">
        <v>2011</v>
      </c>
      <c r="B6838">
        <v>63</v>
      </c>
      <c r="C6838">
        <v>2.7900000000000001E-2</v>
      </c>
      <c r="D6838">
        <v>2.751E-2</v>
      </c>
      <c r="E6838">
        <v>0.5</v>
      </c>
      <c r="F6838">
        <v>73175</v>
      </c>
      <c r="G6838">
        <v>2013</v>
      </c>
      <c r="H6838">
        <v>72168</v>
      </c>
      <c r="I6838">
        <v>1118547</v>
      </c>
    </row>
    <row r="6839" spans="1:9">
      <c r="A6839" s="2">
        <v>2011</v>
      </c>
      <c r="B6839">
        <v>64</v>
      </c>
      <c r="C6839">
        <v>2.972E-2</v>
      </c>
      <c r="D6839">
        <v>2.928E-2</v>
      </c>
      <c r="E6839">
        <v>0.5</v>
      </c>
      <c r="F6839">
        <v>71162</v>
      </c>
      <c r="G6839">
        <v>2084</v>
      </c>
      <c r="H6839">
        <v>70120</v>
      </c>
      <c r="I6839">
        <v>1046379</v>
      </c>
    </row>
    <row r="6840" spans="1:9">
      <c r="A6840" s="2">
        <v>2011</v>
      </c>
      <c r="B6840">
        <v>65</v>
      </c>
      <c r="C6840">
        <v>2.904E-2</v>
      </c>
      <c r="D6840">
        <v>2.862E-2</v>
      </c>
      <c r="E6840">
        <v>0.5</v>
      </c>
      <c r="F6840">
        <v>69078</v>
      </c>
      <c r="G6840">
        <v>1977</v>
      </c>
      <c r="H6840">
        <v>68089</v>
      </c>
      <c r="I6840">
        <v>976259</v>
      </c>
    </row>
    <row r="6841" spans="1:9">
      <c r="A6841" s="2">
        <v>2011</v>
      </c>
      <c r="B6841">
        <v>66</v>
      </c>
      <c r="C6841">
        <v>3.4909999999999997E-2</v>
      </c>
      <c r="D6841">
        <v>3.431E-2</v>
      </c>
      <c r="E6841">
        <v>0.5</v>
      </c>
      <c r="F6841">
        <v>67101</v>
      </c>
      <c r="G6841">
        <v>2302</v>
      </c>
      <c r="H6841">
        <v>65949</v>
      </c>
      <c r="I6841">
        <v>908170</v>
      </c>
    </row>
    <row r="6842" spans="1:9">
      <c r="A6842" s="2">
        <v>2011</v>
      </c>
      <c r="B6842">
        <v>67</v>
      </c>
      <c r="C6842">
        <v>3.524E-2</v>
      </c>
      <c r="D6842">
        <v>3.4630000000000001E-2</v>
      </c>
      <c r="E6842">
        <v>0.5</v>
      </c>
      <c r="F6842">
        <v>64798</v>
      </c>
      <c r="G6842">
        <v>2244</v>
      </c>
      <c r="H6842">
        <v>63676</v>
      </c>
      <c r="I6842">
        <v>842220</v>
      </c>
    </row>
    <row r="6843" spans="1:9">
      <c r="A6843" s="2">
        <v>2011</v>
      </c>
      <c r="B6843">
        <v>68</v>
      </c>
      <c r="C6843">
        <v>3.4229999999999997E-2</v>
      </c>
      <c r="D6843">
        <v>3.3649999999999999E-2</v>
      </c>
      <c r="E6843">
        <v>0.5</v>
      </c>
      <c r="F6843">
        <v>62554</v>
      </c>
      <c r="G6843">
        <v>2105</v>
      </c>
      <c r="H6843">
        <v>61502</v>
      </c>
      <c r="I6843">
        <v>778544</v>
      </c>
    </row>
    <row r="6844" spans="1:9">
      <c r="A6844" s="2">
        <v>2011</v>
      </c>
      <c r="B6844">
        <v>69</v>
      </c>
      <c r="C6844">
        <v>3.7560000000000003E-2</v>
      </c>
      <c r="D6844">
        <v>3.687E-2</v>
      </c>
      <c r="E6844">
        <v>0.5</v>
      </c>
      <c r="F6844">
        <v>60449</v>
      </c>
      <c r="G6844">
        <v>2229</v>
      </c>
      <c r="H6844">
        <v>59335</v>
      </c>
      <c r="I6844">
        <v>717042</v>
      </c>
    </row>
    <row r="6845" spans="1:9">
      <c r="A6845" s="2">
        <v>2011</v>
      </c>
      <c r="B6845">
        <v>70</v>
      </c>
      <c r="C6845">
        <v>4.1619999999999997E-2</v>
      </c>
      <c r="D6845">
        <v>4.0779999999999997E-2</v>
      </c>
      <c r="E6845">
        <v>0.5</v>
      </c>
      <c r="F6845">
        <v>58221</v>
      </c>
      <c r="G6845">
        <v>2374</v>
      </c>
      <c r="H6845">
        <v>57034</v>
      </c>
      <c r="I6845">
        <v>657707</v>
      </c>
    </row>
    <row r="6846" spans="1:9">
      <c r="A6846" s="2">
        <v>2011</v>
      </c>
      <c r="B6846">
        <v>71</v>
      </c>
      <c r="C6846">
        <v>4.58E-2</v>
      </c>
      <c r="D6846">
        <v>4.4769999999999997E-2</v>
      </c>
      <c r="E6846">
        <v>0.5</v>
      </c>
      <c r="F6846">
        <v>55847</v>
      </c>
      <c r="G6846">
        <v>2500</v>
      </c>
      <c r="H6846">
        <v>54596</v>
      </c>
      <c r="I6846">
        <v>600673</v>
      </c>
    </row>
    <row r="6847" spans="1:9">
      <c r="A6847" s="2">
        <v>2011</v>
      </c>
      <c r="B6847">
        <v>72</v>
      </c>
      <c r="C6847">
        <v>5.1319999999999998E-2</v>
      </c>
      <c r="D6847">
        <v>5.0029999999999998E-2</v>
      </c>
      <c r="E6847">
        <v>0.5</v>
      </c>
      <c r="F6847">
        <v>53346</v>
      </c>
      <c r="G6847">
        <v>2669</v>
      </c>
      <c r="H6847">
        <v>52012</v>
      </c>
      <c r="I6847">
        <v>546077</v>
      </c>
    </row>
    <row r="6848" spans="1:9">
      <c r="A6848" s="2">
        <v>2011</v>
      </c>
      <c r="B6848">
        <v>73</v>
      </c>
      <c r="C6848">
        <v>5.1889999999999999E-2</v>
      </c>
      <c r="D6848">
        <v>5.058E-2</v>
      </c>
      <c r="E6848">
        <v>0.5</v>
      </c>
      <c r="F6848">
        <v>50677</v>
      </c>
      <c r="G6848">
        <v>2563</v>
      </c>
      <c r="H6848">
        <v>49395</v>
      </c>
      <c r="I6848">
        <v>494065</v>
      </c>
    </row>
    <row r="6849" spans="1:9">
      <c r="A6849" s="2">
        <v>2011</v>
      </c>
      <c r="B6849">
        <v>74</v>
      </c>
      <c r="C6849">
        <v>5.8069999999999997E-2</v>
      </c>
      <c r="D6849">
        <v>5.6439999999999997E-2</v>
      </c>
      <c r="E6849">
        <v>0.5</v>
      </c>
      <c r="F6849">
        <v>48114</v>
      </c>
      <c r="G6849">
        <v>2715</v>
      </c>
      <c r="H6849">
        <v>46756</v>
      </c>
      <c r="I6849">
        <v>444670</v>
      </c>
    </row>
    <row r="6850" spans="1:9">
      <c r="A6850" s="2">
        <v>2011</v>
      </c>
      <c r="B6850">
        <v>75</v>
      </c>
      <c r="C6850">
        <v>6.191E-2</v>
      </c>
      <c r="D6850">
        <v>6.0049999999999999E-2</v>
      </c>
      <c r="E6850">
        <v>0.5</v>
      </c>
      <c r="F6850">
        <v>45399</v>
      </c>
      <c r="G6850">
        <v>2726</v>
      </c>
      <c r="H6850">
        <v>44035</v>
      </c>
      <c r="I6850">
        <v>397914</v>
      </c>
    </row>
    <row r="6851" spans="1:9">
      <c r="A6851" s="2">
        <v>2011</v>
      </c>
      <c r="B6851">
        <v>76</v>
      </c>
      <c r="C6851">
        <v>6.9370000000000001E-2</v>
      </c>
      <c r="D6851">
        <v>6.7049999999999998E-2</v>
      </c>
      <c r="E6851">
        <v>0.5</v>
      </c>
      <c r="F6851">
        <v>42672</v>
      </c>
      <c r="G6851">
        <v>2861</v>
      </c>
      <c r="H6851">
        <v>41242</v>
      </c>
      <c r="I6851">
        <v>353878</v>
      </c>
    </row>
    <row r="6852" spans="1:9">
      <c r="A6852" s="2">
        <v>2011</v>
      </c>
      <c r="B6852">
        <v>77</v>
      </c>
      <c r="C6852">
        <v>7.8780000000000003E-2</v>
      </c>
      <c r="D6852">
        <v>7.5800000000000006E-2</v>
      </c>
      <c r="E6852">
        <v>0.5</v>
      </c>
      <c r="F6852">
        <v>39811</v>
      </c>
      <c r="G6852">
        <v>3017</v>
      </c>
      <c r="H6852">
        <v>38302</v>
      </c>
      <c r="I6852">
        <v>312637</v>
      </c>
    </row>
    <row r="6853" spans="1:9">
      <c r="A6853" s="2">
        <v>2011</v>
      </c>
      <c r="B6853">
        <v>78</v>
      </c>
      <c r="C6853">
        <v>7.8479999999999994E-2</v>
      </c>
      <c r="D6853">
        <v>7.5520000000000004E-2</v>
      </c>
      <c r="E6853">
        <v>0.5</v>
      </c>
      <c r="F6853">
        <v>36794</v>
      </c>
      <c r="G6853">
        <v>2779</v>
      </c>
      <c r="H6853">
        <v>35404</v>
      </c>
      <c r="I6853">
        <v>274334</v>
      </c>
    </row>
    <row r="6854" spans="1:9">
      <c r="A6854" s="2">
        <v>2011</v>
      </c>
      <c r="B6854">
        <v>79</v>
      </c>
      <c r="C6854">
        <v>8.6059999999999998E-2</v>
      </c>
      <c r="D6854">
        <v>8.251E-2</v>
      </c>
      <c r="E6854">
        <v>0.5</v>
      </c>
      <c r="F6854">
        <v>34015</v>
      </c>
      <c r="G6854">
        <v>2807</v>
      </c>
      <c r="H6854">
        <v>32612</v>
      </c>
      <c r="I6854">
        <v>238930</v>
      </c>
    </row>
    <row r="6855" spans="1:9">
      <c r="A6855" s="2">
        <v>2011</v>
      </c>
      <c r="B6855">
        <v>80</v>
      </c>
      <c r="C6855">
        <v>9.5119999999999996E-2</v>
      </c>
      <c r="D6855">
        <v>9.0800000000000006E-2</v>
      </c>
      <c r="E6855">
        <v>0.5</v>
      </c>
      <c r="F6855">
        <v>31208</v>
      </c>
      <c r="G6855">
        <v>2834</v>
      </c>
      <c r="H6855">
        <v>29791</v>
      </c>
      <c r="I6855">
        <v>206318</v>
      </c>
    </row>
    <row r="6856" spans="1:9">
      <c r="A6856" s="2">
        <v>2011</v>
      </c>
      <c r="B6856">
        <v>81</v>
      </c>
      <c r="C6856">
        <v>9.8659999999999998E-2</v>
      </c>
      <c r="D6856">
        <v>9.4020000000000006E-2</v>
      </c>
      <c r="E6856">
        <v>0.5</v>
      </c>
      <c r="F6856">
        <v>28375</v>
      </c>
      <c r="G6856">
        <v>2668</v>
      </c>
      <c r="H6856">
        <v>27041</v>
      </c>
      <c r="I6856">
        <v>176527</v>
      </c>
    </row>
    <row r="6857" spans="1:9">
      <c r="A6857" s="2">
        <v>2011</v>
      </c>
      <c r="B6857">
        <v>82</v>
      </c>
      <c r="C6857">
        <v>0.11033999999999999</v>
      </c>
      <c r="D6857">
        <v>0.10457</v>
      </c>
      <c r="E6857">
        <v>0.5</v>
      </c>
      <c r="F6857">
        <v>25707</v>
      </c>
      <c r="G6857">
        <v>2688</v>
      </c>
      <c r="H6857">
        <v>24363</v>
      </c>
      <c r="I6857">
        <v>149486</v>
      </c>
    </row>
    <row r="6858" spans="1:9">
      <c r="A6858" s="2">
        <v>2011</v>
      </c>
      <c r="B6858">
        <v>83</v>
      </c>
      <c r="C6858">
        <v>0.12467</v>
      </c>
      <c r="D6858">
        <v>0.11735</v>
      </c>
      <c r="E6858">
        <v>0.5</v>
      </c>
      <c r="F6858">
        <v>23019</v>
      </c>
      <c r="G6858">
        <v>2701</v>
      </c>
      <c r="H6858">
        <v>21668</v>
      </c>
      <c r="I6858">
        <v>125123</v>
      </c>
    </row>
    <row r="6859" spans="1:9">
      <c r="A6859" s="2">
        <v>2011</v>
      </c>
      <c r="B6859">
        <v>84</v>
      </c>
      <c r="C6859">
        <v>0.13614000000000001</v>
      </c>
      <c r="D6859">
        <v>0.12747</v>
      </c>
      <c r="E6859">
        <v>0.5</v>
      </c>
      <c r="F6859">
        <v>20317</v>
      </c>
      <c r="G6859">
        <v>2590</v>
      </c>
      <c r="H6859">
        <v>19023</v>
      </c>
      <c r="I6859">
        <v>103455</v>
      </c>
    </row>
    <row r="6860" spans="1:9">
      <c r="A6860" s="2">
        <v>2011</v>
      </c>
      <c r="B6860">
        <v>85</v>
      </c>
      <c r="C6860">
        <v>0.15695999999999999</v>
      </c>
      <c r="D6860">
        <v>0.14554</v>
      </c>
      <c r="E6860">
        <v>0.5</v>
      </c>
      <c r="F6860">
        <v>17728</v>
      </c>
      <c r="G6860">
        <v>2580</v>
      </c>
      <c r="H6860">
        <v>16438</v>
      </c>
      <c r="I6860">
        <v>84433</v>
      </c>
    </row>
    <row r="6861" spans="1:9">
      <c r="A6861" s="2">
        <v>2011</v>
      </c>
      <c r="B6861">
        <v>86</v>
      </c>
      <c r="C6861">
        <v>0.17141000000000001</v>
      </c>
      <c r="D6861">
        <v>0.15787999999999999</v>
      </c>
      <c r="E6861">
        <v>0.5</v>
      </c>
      <c r="F6861">
        <v>15148</v>
      </c>
      <c r="G6861">
        <v>2391</v>
      </c>
      <c r="H6861">
        <v>13952</v>
      </c>
      <c r="I6861">
        <v>67995</v>
      </c>
    </row>
    <row r="6862" spans="1:9">
      <c r="A6862" s="2">
        <v>2011</v>
      </c>
      <c r="B6862">
        <v>87</v>
      </c>
      <c r="C6862">
        <v>0.18271000000000001</v>
      </c>
      <c r="D6862">
        <v>0.16741</v>
      </c>
      <c r="E6862">
        <v>0.5</v>
      </c>
      <c r="F6862">
        <v>12756</v>
      </c>
      <c r="G6862">
        <v>2136</v>
      </c>
      <c r="H6862">
        <v>11688</v>
      </c>
      <c r="I6862">
        <v>54043</v>
      </c>
    </row>
    <row r="6863" spans="1:9">
      <c r="A6863" s="2">
        <v>2011</v>
      </c>
      <c r="B6863">
        <v>88</v>
      </c>
      <c r="C6863">
        <v>0.19595000000000001</v>
      </c>
      <c r="D6863">
        <v>0.17846999999999999</v>
      </c>
      <c r="E6863">
        <v>0.5</v>
      </c>
      <c r="F6863">
        <v>10621</v>
      </c>
      <c r="G6863">
        <v>1895</v>
      </c>
      <c r="H6863">
        <v>9673</v>
      </c>
      <c r="I6863">
        <v>42355</v>
      </c>
    </row>
    <row r="6864" spans="1:9">
      <c r="A6864" s="2">
        <v>2011</v>
      </c>
      <c r="B6864">
        <v>89</v>
      </c>
      <c r="C6864">
        <v>0.21606</v>
      </c>
      <c r="D6864">
        <v>0.19499</v>
      </c>
      <c r="E6864">
        <v>0.5</v>
      </c>
      <c r="F6864">
        <v>8725</v>
      </c>
      <c r="G6864">
        <v>1701</v>
      </c>
      <c r="H6864">
        <v>7875</v>
      </c>
      <c r="I6864">
        <v>32682</v>
      </c>
    </row>
    <row r="6865" spans="1:9">
      <c r="A6865" s="2">
        <v>2011</v>
      </c>
      <c r="B6865">
        <v>90</v>
      </c>
      <c r="C6865">
        <v>0.22563</v>
      </c>
      <c r="D6865">
        <v>0.20276</v>
      </c>
      <c r="E6865">
        <v>0.5</v>
      </c>
      <c r="F6865">
        <v>7024</v>
      </c>
      <c r="G6865">
        <v>1424</v>
      </c>
      <c r="H6865">
        <v>6312</v>
      </c>
      <c r="I6865">
        <v>24808</v>
      </c>
    </row>
    <row r="6866" spans="1:9">
      <c r="A6866" s="2">
        <v>2011</v>
      </c>
      <c r="B6866">
        <v>91</v>
      </c>
      <c r="C6866">
        <v>0.2571</v>
      </c>
      <c r="D6866">
        <v>0.22781999999999999</v>
      </c>
      <c r="E6866">
        <v>0.5</v>
      </c>
      <c r="F6866">
        <v>5600</v>
      </c>
      <c r="G6866">
        <v>1276</v>
      </c>
      <c r="H6866">
        <v>4962</v>
      </c>
      <c r="I6866">
        <v>18496</v>
      </c>
    </row>
    <row r="6867" spans="1:9">
      <c r="A6867" s="2">
        <v>2011</v>
      </c>
      <c r="B6867">
        <v>92</v>
      </c>
      <c r="C6867">
        <v>0.23794999999999999</v>
      </c>
      <c r="D6867">
        <v>0.21265000000000001</v>
      </c>
      <c r="E6867">
        <v>0.5</v>
      </c>
      <c r="F6867">
        <v>4324</v>
      </c>
      <c r="G6867">
        <v>920</v>
      </c>
      <c r="H6867">
        <v>3864</v>
      </c>
      <c r="I6867">
        <v>13534</v>
      </c>
    </row>
    <row r="6868" spans="1:9">
      <c r="A6868" s="2">
        <v>2011</v>
      </c>
      <c r="B6868">
        <v>93</v>
      </c>
      <c r="C6868">
        <v>0.29643999999999998</v>
      </c>
      <c r="D6868">
        <v>0.25817000000000001</v>
      </c>
      <c r="E6868">
        <v>0.5</v>
      </c>
      <c r="F6868">
        <v>3405</v>
      </c>
      <c r="G6868">
        <v>879</v>
      </c>
      <c r="H6868">
        <v>2965</v>
      </c>
      <c r="I6868">
        <v>9670</v>
      </c>
    </row>
    <row r="6869" spans="1:9">
      <c r="A6869" s="2">
        <v>2011</v>
      </c>
      <c r="B6869">
        <v>94</v>
      </c>
      <c r="C6869">
        <v>0.33528999999999998</v>
      </c>
      <c r="D6869">
        <v>0.28715000000000002</v>
      </c>
      <c r="E6869">
        <v>0.5</v>
      </c>
      <c r="F6869">
        <v>2526</v>
      </c>
      <c r="G6869">
        <v>725</v>
      </c>
      <c r="H6869">
        <v>2163</v>
      </c>
      <c r="I6869">
        <v>6705</v>
      </c>
    </row>
    <row r="6870" spans="1:9">
      <c r="A6870" s="2">
        <v>2011</v>
      </c>
      <c r="B6870">
        <v>95</v>
      </c>
      <c r="C6870">
        <v>0.35002</v>
      </c>
      <c r="D6870">
        <v>0.29788999999999999</v>
      </c>
      <c r="E6870">
        <v>0.5</v>
      </c>
      <c r="F6870">
        <v>1800</v>
      </c>
      <c r="G6870">
        <v>536</v>
      </c>
      <c r="H6870">
        <v>1532</v>
      </c>
      <c r="I6870">
        <v>4542</v>
      </c>
    </row>
    <row r="6871" spans="1:9">
      <c r="A6871" s="2">
        <v>2011</v>
      </c>
      <c r="B6871">
        <v>96</v>
      </c>
      <c r="C6871">
        <v>0.37569000000000002</v>
      </c>
      <c r="D6871">
        <v>0.31628000000000001</v>
      </c>
      <c r="E6871">
        <v>0.5</v>
      </c>
      <c r="F6871">
        <v>1264</v>
      </c>
      <c r="G6871">
        <v>400</v>
      </c>
      <c r="H6871">
        <v>1064</v>
      </c>
      <c r="I6871">
        <v>3010</v>
      </c>
    </row>
    <row r="6872" spans="1:9">
      <c r="A6872" s="2">
        <v>2011</v>
      </c>
      <c r="B6872">
        <v>97</v>
      </c>
      <c r="C6872">
        <v>0.40207999999999999</v>
      </c>
      <c r="D6872">
        <v>0.33477000000000001</v>
      </c>
      <c r="E6872">
        <v>0.5</v>
      </c>
      <c r="F6872">
        <v>864</v>
      </c>
      <c r="G6872">
        <v>289</v>
      </c>
      <c r="H6872">
        <v>720</v>
      </c>
      <c r="I6872">
        <v>1945</v>
      </c>
    </row>
    <row r="6873" spans="1:9">
      <c r="A6873" s="2">
        <v>2011</v>
      </c>
      <c r="B6873">
        <v>98</v>
      </c>
      <c r="C6873">
        <v>0.42903999999999998</v>
      </c>
      <c r="D6873">
        <v>0.35326000000000002</v>
      </c>
      <c r="E6873">
        <v>0.5</v>
      </c>
      <c r="F6873">
        <v>575</v>
      </c>
      <c r="G6873">
        <v>203</v>
      </c>
      <c r="H6873">
        <v>473</v>
      </c>
      <c r="I6873">
        <v>1226</v>
      </c>
    </row>
    <row r="6874" spans="1:9">
      <c r="A6874" s="2">
        <v>2011</v>
      </c>
      <c r="B6874">
        <v>99</v>
      </c>
      <c r="C6874">
        <v>0.45644000000000001</v>
      </c>
      <c r="D6874">
        <v>0.37163000000000002</v>
      </c>
      <c r="E6874">
        <v>0.5</v>
      </c>
      <c r="F6874">
        <v>372</v>
      </c>
      <c r="G6874">
        <v>138</v>
      </c>
      <c r="H6874">
        <v>303</v>
      </c>
      <c r="I6874">
        <v>752</v>
      </c>
    </row>
    <row r="6875" spans="1:9">
      <c r="A6875" s="2">
        <v>2011</v>
      </c>
      <c r="B6875">
        <v>100</v>
      </c>
      <c r="C6875">
        <v>0.48409999999999997</v>
      </c>
      <c r="D6875">
        <v>0.38976</v>
      </c>
      <c r="E6875">
        <v>0.5</v>
      </c>
      <c r="F6875">
        <v>234</v>
      </c>
      <c r="G6875">
        <v>91</v>
      </c>
      <c r="H6875">
        <v>188</v>
      </c>
      <c r="I6875">
        <v>450</v>
      </c>
    </row>
    <row r="6876" spans="1:9">
      <c r="A6876" s="2">
        <v>2011</v>
      </c>
      <c r="B6876">
        <v>101</v>
      </c>
      <c r="C6876">
        <v>0.51185999999999998</v>
      </c>
      <c r="D6876">
        <v>0.40755000000000002</v>
      </c>
      <c r="E6876">
        <v>0.5</v>
      </c>
      <c r="F6876">
        <v>143</v>
      </c>
      <c r="G6876">
        <v>58</v>
      </c>
      <c r="H6876">
        <v>114</v>
      </c>
      <c r="I6876">
        <v>262</v>
      </c>
    </row>
    <row r="6877" spans="1:9">
      <c r="A6877" s="2">
        <v>2011</v>
      </c>
      <c r="B6877">
        <v>102</v>
      </c>
      <c r="C6877">
        <v>0.53954000000000002</v>
      </c>
      <c r="D6877">
        <v>0.42491000000000001</v>
      </c>
      <c r="E6877">
        <v>0.5</v>
      </c>
      <c r="F6877">
        <v>84</v>
      </c>
      <c r="G6877">
        <v>36</v>
      </c>
      <c r="H6877">
        <v>67</v>
      </c>
      <c r="I6877">
        <v>148</v>
      </c>
    </row>
    <row r="6878" spans="1:9">
      <c r="A6878" s="2">
        <v>2011</v>
      </c>
      <c r="B6878">
        <v>103</v>
      </c>
      <c r="C6878">
        <v>0.56698000000000004</v>
      </c>
      <c r="D6878">
        <v>0.44174999999999998</v>
      </c>
      <c r="E6878">
        <v>0.5</v>
      </c>
      <c r="F6878">
        <v>49</v>
      </c>
      <c r="G6878">
        <v>21</v>
      </c>
      <c r="H6878">
        <v>38</v>
      </c>
      <c r="I6878">
        <v>82</v>
      </c>
    </row>
    <row r="6879" spans="1:9">
      <c r="A6879" s="2">
        <v>2011</v>
      </c>
      <c r="B6879">
        <v>104</v>
      </c>
      <c r="C6879">
        <v>0.59401999999999999</v>
      </c>
      <c r="D6879">
        <v>0.45799000000000001</v>
      </c>
      <c r="E6879">
        <v>0.5</v>
      </c>
      <c r="F6879">
        <v>27</v>
      </c>
      <c r="G6879">
        <v>12</v>
      </c>
      <c r="H6879">
        <v>21</v>
      </c>
      <c r="I6879">
        <v>44</v>
      </c>
    </row>
    <row r="6880" spans="1:9">
      <c r="A6880" s="2">
        <v>2011</v>
      </c>
      <c r="B6880">
        <v>105</v>
      </c>
      <c r="C6880">
        <v>0.62050000000000005</v>
      </c>
      <c r="D6880">
        <v>0.47356999999999999</v>
      </c>
      <c r="E6880">
        <v>0.5</v>
      </c>
      <c r="F6880">
        <v>15</v>
      </c>
      <c r="G6880">
        <v>7</v>
      </c>
      <c r="H6880">
        <v>11</v>
      </c>
      <c r="I6880">
        <v>23</v>
      </c>
    </row>
    <row r="6881" spans="1:9">
      <c r="A6881" s="2">
        <v>2011</v>
      </c>
      <c r="B6881">
        <v>106</v>
      </c>
      <c r="C6881">
        <v>0.64627999999999997</v>
      </c>
      <c r="D6881">
        <v>0.48845</v>
      </c>
      <c r="E6881">
        <v>0.5</v>
      </c>
      <c r="F6881">
        <v>8</v>
      </c>
      <c r="G6881">
        <v>4</v>
      </c>
      <c r="H6881">
        <v>6</v>
      </c>
      <c r="I6881">
        <v>12</v>
      </c>
    </row>
    <row r="6882" spans="1:9">
      <c r="A6882" s="2">
        <v>2011</v>
      </c>
      <c r="B6882">
        <v>107</v>
      </c>
      <c r="C6882">
        <v>0.67123999999999995</v>
      </c>
      <c r="D6882">
        <v>0.50256999999999996</v>
      </c>
      <c r="E6882">
        <v>0.5</v>
      </c>
      <c r="F6882">
        <v>4</v>
      </c>
      <c r="G6882">
        <v>2</v>
      </c>
      <c r="H6882">
        <v>3</v>
      </c>
      <c r="I6882">
        <v>6</v>
      </c>
    </row>
    <row r="6883" spans="1:9">
      <c r="A6883" s="2">
        <v>2011</v>
      </c>
      <c r="B6883">
        <v>108</v>
      </c>
      <c r="C6883">
        <v>0.69527000000000005</v>
      </c>
      <c r="D6883">
        <v>0.51592000000000005</v>
      </c>
      <c r="E6883">
        <v>0.5</v>
      </c>
      <c r="F6883">
        <v>2</v>
      </c>
      <c r="G6883">
        <v>1</v>
      </c>
      <c r="H6883">
        <v>1</v>
      </c>
      <c r="I6883">
        <v>3</v>
      </c>
    </row>
    <row r="6884" spans="1:9">
      <c r="A6884" s="2">
        <v>2011</v>
      </c>
      <c r="B6884">
        <v>109</v>
      </c>
      <c r="C6884">
        <v>0.71828000000000003</v>
      </c>
      <c r="D6884">
        <v>0.52847999999999995</v>
      </c>
      <c r="E6884">
        <v>0.5</v>
      </c>
      <c r="F6884">
        <v>1</v>
      </c>
      <c r="G6884">
        <v>1</v>
      </c>
      <c r="H6884">
        <v>1</v>
      </c>
      <c r="I6884">
        <v>1</v>
      </c>
    </row>
    <row r="6885" spans="1:9">
      <c r="A6885" s="2">
        <v>2011</v>
      </c>
      <c r="B6885" t="s">
        <v>26</v>
      </c>
      <c r="C6885">
        <v>0.74019999999999997</v>
      </c>
      <c r="D6885">
        <v>1</v>
      </c>
      <c r="E6885">
        <v>1.35</v>
      </c>
      <c r="F6885">
        <v>0</v>
      </c>
      <c r="G6885">
        <v>0</v>
      </c>
      <c r="H6885">
        <v>1</v>
      </c>
      <c r="I6885">
        <v>1</v>
      </c>
    </row>
    <row r="6886" spans="1:9">
      <c r="A6886" s="2">
        <v>2012</v>
      </c>
      <c r="B6886">
        <v>0</v>
      </c>
      <c r="C6886">
        <v>4.8300000000000001E-3</v>
      </c>
      <c r="D6886">
        <v>4.81E-3</v>
      </c>
      <c r="E6886">
        <v>0.14000000000000001</v>
      </c>
      <c r="F6886">
        <v>100000</v>
      </c>
      <c r="G6886">
        <v>481</v>
      </c>
      <c r="H6886">
        <v>99587</v>
      </c>
      <c r="I6886">
        <v>7155206</v>
      </c>
    </row>
    <row r="6887" spans="1:9">
      <c r="A6887" s="2">
        <v>2012</v>
      </c>
      <c r="B6887">
        <v>1</v>
      </c>
      <c r="C6887">
        <v>3.8000000000000002E-4</v>
      </c>
      <c r="D6887">
        <v>3.8000000000000002E-4</v>
      </c>
      <c r="E6887">
        <v>0.5</v>
      </c>
      <c r="F6887">
        <v>99519</v>
      </c>
      <c r="G6887">
        <v>38</v>
      </c>
      <c r="H6887">
        <v>99501</v>
      </c>
      <c r="I6887">
        <v>7055619</v>
      </c>
    </row>
    <row r="6888" spans="1:9">
      <c r="A6888" s="2">
        <v>2012</v>
      </c>
      <c r="B6888">
        <v>2</v>
      </c>
      <c r="C6888">
        <v>1.9000000000000001E-4</v>
      </c>
      <c r="D6888">
        <v>1.9000000000000001E-4</v>
      </c>
      <c r="E6888">
        <v>0.5</v>
      </c>
      <c r="F6888">
        <v>99482</v>
      </c>
      <c r="G6888">
        <v>19</v>
      </c>
      <c r="H6888">
        <v>99472</v>
      </c>
      <c r="I6888">
        <v>6956119</v>
      </c>
    </row>
    <row r="6889" spans="1:9">
      <c r="A6889" s="2">
        <v>2012</v>
      </c>
      <c r="B6889">
        <v>3</v>
      </c>
      <c r="C6889">
        <v>1.3999999999999999E-4</v>
      </c>
      <c r="D6889">
        <v>1.3999999999999999E-4</v>
      </c>
      <c r="E6889">
        <v>0.5</v>
      </c>
      <c r="F6889">
        <v>99463</v>
      </c>
      <c r="G6889">
        <v>14</v>
      </c>
      <c r="H6889">
        <v>99456</v>
      </c>
      <c r="I6889">
        <v>6856646</v>
      </c>
    </row>
    <row r="6890" spans="1:9">
      <c r="A6890" s="2">
        <v>2012</v>
      </c>
      <c r="B6890">
        <v>4</v>
      </c>
      <c r="C6890">
        <v>8.0000000000000007E-5</v>
      </c>
      <c r="D6890">
        <v>8.0000000000000007E-5</v>
      </c>
      <c r="E6890">
        <v>0.5</v>
      </c>
      <c r="F6890">
        <v>99449</v>
      </c>
      <c r="G6890">
        <v>8</v>
      </c>
      <c r="H6890">
        <v>99445</v>
      </c>
      <c r="I6890">
        <v>6757190</v>
      </c>
    </row>
    <row r="6891" spans="1:9">
      <c r="A6891" s="2">
        <v>2012</v>
      </c>
      <c r="B6891">
        <v>5</v>
      </c>
      <c r="C6891">
        <v>4.0000000000000003E-5</v>
      </c>
      <c r="D6891">
        <v>4.0000000000000003E-5</v>
      </c>
      <c r="E6891">
        <v>0.5</v>
      </c>
      <c r="F6891">
        <v>99441</v>
      </c>
      <c r="G6891">
        <v>4</v>
      </c>
      <c r="H6891">
        <v>99439</v>
      </c>
      <c r="I6891">
        <v>6657745</v>
      </c>
    </row>
    <row r="6892" spans="1:9">
      <c r="A6892" s="2">
        <v>2012</v>
      </c>
      <c r="B6892">
        <v>6</v>
      </c>
      <c r="C6892">
        <v>8.0000000000000007E-5</v>
      </c>
      <c r="D6892">
        <v>8.0000000000000007E-5</v>
      </c>
      <c r="E6892">
        <v>0.5</v>
      </c>
      <c r="F6892">
        <v>99438</v>
      </c>
      <c r="G6892">
        <v>8</v>
      </c>
      <c r="H6892">
        <v>99434</v>
      </c>
      <c r="I6892">
        <v>6558305</v>
      </c>
    </row>
    <row r="6893" spans="1:9">
      <c r="A6893" s="2">
        <v>2012</v>
      </c>
      <c r="B6893">
        <v>7</v>
      </c>
      <c r="C6893">
        <v>2.0000000000000002E-5</v>
      </c>
      <c r="D6893">
        <v>2.0000000000000002E-5</v>
      </c>
      <c r="E6893">
        <v>0.5</v>
      </c>
      <c r="F6893">
        <v>99430</v>
      </c>
      <c r="G6893">
        <v>2</v>
      </c>
      <c r="H6893">
        <v>99429</v>
      </c>
      <c r="I6893">
        <v>6458872</v>
      </c>
    </row>
    <row r="6894" spans="1:9">
      <c r="A6894" s="2">
        <v>2012</v>
      </c>
      <c r="B6894">
        <v>8</v>
      </c>
      <c r="C6894">
        <v>1.4999999999999999E-4</v>
      </c>
      <c r="D6894">
        <v>1.4999999999999999E-4</v>
      </c>
      <c r="E6894">
        <v>0.5</v>
      </c>
      <c r="F6894">
        <v>99428</v>
      </c>
      <c r="G6894">
        <v>15</v>
      </c>
      <c r="H6894">
        <v>99420</v>
      </c>
      <c r="I6894">
        <v>6359443</v>
      </c>
    </row>
    <row r="6895" spans="1:9">
      <c r="A6895" s="2">
        <v>2012</v>
      </c>
      <c r="B6895">
        <v>9</v>
      </c>
      <c r="C6895">
        <v>1E-4</v>
      </c>
      <c r="D6895">
        <v>1E-4</v>
      </c>
      <c r="E6895">
        <v>0.5</v>
      </c>
      <c r="F6895">
        <v>99413</v>
      </c>
      <c r="G6895">
        <v>10</v>
      </c>
      <c r="H6895">
        <v>99408</v>
      </c>
      <c r="I6895">
        <v>6260022</v>
      </c>
    </row>
    <row r="6896" spans="1:9">
      <c r="A6896" s="2">
        <v>2012</v>
      </c>
      <c r="B6896">
        <v>10</v>
      </c>
      <c r="C6896">
        <v>3.5E-4</v>
      </c>
      <c r="D6896">
        <v>3.5E-4</v>
      </c>
      <c r="E6896">
        <v>0.5</v>
      </c>
      <c r="F6896">
        <v>99403</v>
      </c>
      <c r="G6896">
        <v>34</v>
      </c>
      <c r="H6896">
        <v>99386</v>
      </c>
      <c r="I6896">
        <v>6160614</v>
      </c>
    </row>
    <row r="6897" spans="1:9">
      <c r="A6897" s="2">
        <v>2012</v>
      </c>
      <c r="B6897">
        <v>11</v>
      </c>
      <c r="C6897">
        <v>1.3999999999999999E-4</v>
      </c>
      <c r="D6897">
        <v>1.3999999999999999E-4</v>
      </c>
      <c r="E6897">
        <v>0.5</v>
      </c>
      <c r="F6897">
        <v>99369</v>
      </c>
      <c r="G6897">
        <v>14</v>
      </c>
      <c r="H6897">
        <v>99362</v>
      </c>
      <c r="I6897">
        <v>6061228</v>
      </c>
    </row>
    <row r="6898" spans="1:9">
      <c r="A6898" s="2">
        <v>2012</v>
      </c>
      <c r="B6898">
        <v>12</v>
      </c>
      <c r="C6898">
        <v>1.3999999999999999E-4</v>
      </c>
      <c r="D6898">
        <v>1.3999999999999999E-4</v>
      </c>
      <c r="E6898">
        <v>0.5</v>
      </c>
      <c r="F6898">
        <v>99355</v>
      </c>
      <c r="G6898">
        <v>14</v>
      </c>
      <c r="H6898">
        <v>99348</v>
      </c>
      <c r="I6898">
        <v>5961867</v>
      </c>
    </row>
    <row r="6899" spans="1:9">
      <c r="A6899" s="2">
        <v>2012</v>
      </c>
      <c r="B6899">
        <v>13</v>
      </c>
      <c r="C6899">
        <v>3.1E-4</v>
      </c>
      <c r="D6899">
        <v>3.1E-4</v>
      </c>
      <c r="E6899">
        <v>0.5</v>
      </c>
      <c r="F6899">
        <v>99341</v>
      </c>
      <c r="G6899">
        <v>31</v>
      </c>
      <c r="H6899">
        <v>99326</v>
      </c>
      <c r="I6899">
        <v>5862519</v>
      </c>
    </row>
    <row r="6900" spans="1:9">
      <c r="A6900" s="2">
        <v>2012</v>
      </c>
      <c r="B6900">
        <v>14</v>
      </c>
      <c r="C6900">
        <v>1.8000000000000001E-4</v>
      </c>
      <c r="D6900">
        <v>1.8000000000000001E-4</v>
      </c>
      <c r="E6900">
        <v>0.5</v>
      </c>
      <c r="F6900">
        <v>99310</v>
      </c>
      <c r="G6900">
        <v>18</v>
      </c>
      <c r="H6900">
        <v>99302</v>
      </c>
      <c r="I6900">
        <v>5763193</v>
      </c>
    </row>
    <row r="6901" spans="1:9">
      <c r="A6901" s="2">
        <v>2012</v>
      </c>
      <c r="B6901">
        <v>15</v>
      </c>
      <c r="C6901">
        <v>2.4000000000000001E-4</v>
      </c>
      <c r="D6901">
        <v>2.4000000000000001E-4</v>
      </c>
      <c r="E6901">
        <v>0.5</v>
      </c>
      <c r="F6901">
        <v>99293</v>
      </c>
      <c r="G6901">
        <v>24</v>
      </c>
      <c r="H6901">
        <v>99281</v>
      </c>
      <c r="I6901">
        <v>5663892</v>
      </c>
    </row>
    <row r="6902" spans="1:9">
      <c r="A6902" s="2">
        <v>2012</v>
      </c>
      <c r="B6902">
        <v>16</v>
      </c>
      <c r="C6902">
        <v>1.9000000000000001E-4</v>
      </c>
      <c r="D6902">
        <v>1.9000000000000001E-4</v>
      </c>
      <c r="E6902">
        <v>0.5</v>
      </c>
      <c r="F6902">
        <v>99269</v>
      </c>
      <c r="G6902">
        <v>19</v>
      </c>
      <c r="H6902">
        <v>99260</v>
      </c>
      <c r="I6902">
        <v>5564611</v>
      </c>
    </row>
    <row r="6903" spans="1:9">
      <c r="A6903" s="2">
        <v>2012</v>
      </c>
      <c r="B6903">
        <v>17</v>
      </c>
      <c r="C6903">
        <v>2.9999999999999997E-4</v>
      </c>
      <c r="D6903">
        <v>2.9999999999999997E-4</v>
      </c>
      <c r="E6903">
        <v>0.5</v>
      </c>
      <c r="F6903">
        <v>99250</v>
      </c>
      <c r="G6903">
        <v>30</v>
      </c>
      <c r="H6903">
        <v>99235</v>
      </c>
      <c r="I6903">
        <v>5465351</v>
      </c>
    </row>
    <row r="6904" spans="1:9">
      <c r="A6904" s="2">
        <v>2012</v>
      </c>
      <c r="B6904">
        <v>18</v>
      </c>
      <c r="C6904">
        <v>5.6999999999999998E-4</v>
      </c>
      <c r="D6904">
        <v>5.6999999999999998E-4</v>
      </c>
      <c r="E6904">
        <v>0.5</v>
      </c>
      <c r="F6904">
        <v>99220</v>
      </c>
      <c r="G6904">
        <v>56</v>
      </c>
      <c r="H6904">
        <v>99192</v>
      </c>
      <c r="I6904">
        <v>5366116</v>
      </c>
    </row>
    <row r="6905" spans="1:9">
      <c r="A6905" s="2">
        <v>2012</v>
      </c>
      <c r="B6905">
        <v>19</v>
      </c>
      <c r="C6905">
        <v>6.0999999999999997E-4</v>
      </c>
      <c r="D6905">
        <v>6.0999999999999997E-4</v>
      </c>
      <c r="E6905">
        <v>0.5</v>
      </c>
      <c r="F6905">
        <v>99164</v>
      </c>
      <c r="G6905">
        <v>60</v>
      </c>
      <c r="H6905">
        <v>99134</v>
      </c>
      <c r="I6905">
        <v>5266924</v>
      </c>
    </row>
    <row r="6906" spans="1:9">
      <c r="A6906" s="2">
        <v>2012</v>
      </c>
      <c r="B6906">
        <v>20</v>
      </c>
      <c r="C6906">
        <v>6.0999999999999997E-4</v>
      </c>
      <c r="D6906">
        <v>6.0999999999999997E-4</v>
      </c>
      <c r="E6906">
        <v>0.5</v>
      </c>
      <c r="F6906">
        <v>99104</v>
      </c>
      <c r="G6906">
        <v>61</v>
      </c>
      <c r="H6906">
        <v>99073</v>
      </c>
      <c r="I6906">
        <v>5167790</v>
      </c>
    </row>
    <row r="6907" spans="1:9">
      <c r="A6907" s="2">
        <v>2012</v>
      </c>
      <c r="B6907">
        <v>21</v>
      </c>
      <c r="C6907">
        <v>5.6999999999999998E-4</v>
      </c>
      <c r="D6907">
        <v>5.6999999999999998E-4</v>
      </c>
      <c r="E6907">
        <v>0.5</v>
      </c>
      <c r="F6907">
        <v>99043</v>
      </c>
      <c r="G6907">
        <v>57</v>
      </c>
      <c r="H6907">
        <v>99015</v>
      </c>
      <c r="I6907">
        <v>5068717</v>
      </c>
    </row>
    <row r="6908" spans="1:9">
      <c r="A6908" s="2">
        <v>2012</v>
      </c>
      <c r="B6908">
        <v>22</v>
      </c>
      <c r="C6908">
        <v>6.4000000000000005E-4</v>
      </c>
      <c r="D6908">
        <v>6.4000000000000005E-4</v>
      </c>
      <c r="E6908">
        <v>0.5</v>
      </c>
      <c r="F6908">
        <v>98986</v>
      </c>
      <c r="G6908">
        <v>63</v>
      </c>
      <c r="H6908">
        <v>98955</v>
      </c>
      <c r="I6908">
        <v>4969702</v>
      </c>
    </row>
    <row r="6909" spans="1:9">
      <c r="A6909" s="2">
        <v>2012</v>
      </c>
      <c r="B6909">
        <v>23</v>
      </c>
      <c r="C6909">
        <v>7.2000000000000005E-4</v>
      </c>
      <c r="D6909">
        <v>7.2000000000000005E-4</v>
      </c>
      <c r="E6909">
        <v>0.5</v>
      </c>
      <c r="F6909">
        <v>98923</v>
      </c>
      <c r="G6909">
        <v>71</v>
      </c>
      <c r="H6909">
        <v>98887</v>
      </c>
      <c r="I6909">
        <v>4870748</v>
      </c>
    </row>
    <row r="6910" spans="1:9">
      <c r="A6910" s="2">
        <v>2012</v>
      </c>
      <c r="B6910">
        <v>24</v>
      </c>
      <c r="C6910">
        <v>8.1999999999999998E-4</v>
      </c>
      <c r="D6910">
        <v>8.1999999999999998E-4</v>
      </c>
      <c r="E6910">
        <v>0.5</v>
      </c>
      <c r="F6910">
        <v>98852</v>
      </c>
      <c r="G6910">
        <v>81</v>
      </c>
      <c r="H6910">
        <v>98811</v>
      </c>
      <c r="I6910">
        <v>4771860</v>
      </c>
    </row>
    <row r="6911" spans="1:9">
      <c r="A6911" s="2">
        <v>2012</v>
      </c>
      <c r="B6911">
        <v>25</v>
      </c>
      <c r="C6911">
        <v>6.2E-4</v>
      </c>
      <c r="D6911">
        <v>6.2E-4</v>
      </c>
      <c r="E6911">
        <v>0.5</v>
      </c>
      <c r="F6911">
        <v>98770</v>
      </c>
      <c r="G6911">
        <v>61</v>
      </c>
      <c r="H6911">
        <v>98740</v>
      </c>
      <c r="I6911">
        <v>4673049</v>
      </c>
    </row>
    <row r="6912" spans="1:9">
      <c r="A6912" s="2">
        <v>2012</v>
      </c>
      <c r="B6912">
        <v>26</v>
      </c>
      <c r="C6912">
        <v>9.3999999999999997E-4</v>
      </c>
      <c r="D6912">
        <v>9.3999999999999997E-4</v>
      </c>
      <c r="E6912">
        <v>0.5</v>
      </c>
      <c r="F6912">
        <v>98709</v>
      </c>
      <c r="G6912">
        <v>93</v>
      </c>
      <c r="H6912">
        <v>98663</v>
      </c>
      <c r="I6912">
        <v>4574310</v>
      </c>
    </row>
    <row r="6913" spans="1:9">
      <c r="A6913" s="2">
        <v>2012</v>
      </c>
      <c r="B6913">
        <v>27</v>
      </c>
      <c r="C6913">
        <v>7.9000000000000001E-4</v>
      </c>
      <c r="D6913">
        <v>7.9000000000000001E-4</v>
      </c>
      <c r="E6913">
        <v>0.5</v>
      </c>
      <c r="F6913">
        <v>98617</v>
      </c>
      <c r="G6913">
        <v>78</v>
      </c>
      <c r="H6913">
        <v>98577</v>
      </c>
      <c r="I6913">
        <v>4475647</v>
      </c>
    </row>
    <row r="6914" spans="1:9">
      <c r="A6914" s="2">
        <v>2012</v>
      </c>
      <c r="B6914">
        <v>28</v>
      </c>
      <c r="C6914">
        <v>7.6999999999999996E-4</v>
      </c>
      <c r="D6914">
        <v>7.6999999999999996E-4</v>
      </c>
      <c r="E6914">
        <v>0.5</v>
      </c>
      <c r="F6914">
        <v>98538</v>
      </c>
      <c r="G6914">
        <v>76</v>
      </c>
      <c r="H6914">
        <v>98500</v>
      </c>
      <c r="I6914">
        <v>4377069</v>
      </c>
    </row>
    <row r="6915" spans="1:9">
      <c r="A6915" s="2">
        <v>2012</v>
      </c>
      <c r="B6915">
        <v>29</v>
      </c>
      <c r="C6915">
        <v>7.2999999999999996E-4</v>
      </c>
      <c r="D6915">
        <v>7.2999999999999996E-4</v>
      </c>
      <c r="E6915">
        <v>0.5</v>
      </c>
      <c r="F6915">
        <v>98462</v>
      </c>
      <c r="G6915">
        <v>72</v>
      </c>
      <c r="H6915">
        <v>98426</v>
      </c>
      <c r="I6915">
        <v>4278569</v>
      </c>
    </row>
    <row r="6916" spans="1:9">
      <c r="A6916" s="2">
        <v>2012</v>
      </c>
      <c r="B6916">
        <v>30</v>
      </c>
      <c r="C6916">
        <v>9.2000000000000003E-4</v>
      </c>
      <c r="D6916">
        <v>9.2000000000000003E-4</v>
      </c>
      <c r="E6916">
        <v>0.5</v>
      </c>
      <c r="F6916">
        <v>98390</v>
      </c>
      <c r="G6916">
        <v>90</v>
      </c>
      <c r="H6916">
        <v>98345</v>
      </c>
      <c r="I6916">
        <v>4180143</v>
      </c>
    </row>
    <row r="6917" spans="1:9">
      <c r="A6917" s="2">
        <v>2012</v>
      </c>
      <c r="B6917">
        <v>31</v>
      </c>
      <c r="C6917">
        <v>9.8999999999999999E-4</v>
      </c>
      <c r="D6917">
        <v>9.8999999999999999E-4</v>
      </c>
      <c r="E6917">
        <v>0.5</v>
      </c>
      <c r="F6917">
        <v>98300</v>
      </c>
      <c r="G6917">
        <v>98</v>
      </c>
      <c r="H6917">
        <v>98251</v>
      </c>
      <c r="I6917">
        <v>4081798</v>
      </c>
    </row>
    <row r="6918" spans="1:9">
      <c r="A6918" s="2">
        <v>2012</v>
      </c>
      <c r="B6918">
        <v>32</v>
      </c>
      <c r="C6918">
        <v>8.9999999999999998E-4</v>
      </c>
      <c r="D6918">
        <v>8.9999999999999998E-4</v>
      </c>
      <c r="E6918">
        <v>0.5</v>
      </c>
      <c r="F6918">
        <v>98202</v>
      </c>
      <c r="G6918">
        <v>88</v>
      </c>
      <c r="H6918">
        <v>98158</v>
      </c>
      <c r="I6918">
        <v>3983547</v>
      </c>
    </row>
    <row r="6919" spans="1:9">
      <c r="A6919" s="2">
        <v>2012</v>
      </c>
      <c r="B6919">
        <v>33</v>
      </c>
      <c r="C6919">
        <v>1.14E-3</v>
      </c>
      <c r="D6919">
        <v>1.14E-3</v>
      </c>
      <c r="E6919">
        <v>0.5</v>
      </c>
      <c r="F6919">
        <v>98114</v>
      </c>
      <c r="G6919">
        <v>111</v>
      </c>
      <c r="H6919">
        <v>98058</v>
      </c>
      <c r="I6919">
        <v>3885389</v>
      </c>
    </row>
    <row r="6920" spans="1:9">
      <c r="A6920" s="2">
        <v>2012</v>
      </c>
      <c r="B6920">
        <v>34</v>
      </c>
      <c r="C6920">
        <v>1.15E-3</v>
      </c>
      <c r="D6920">
        <v>1.15E-3</v>
      </c>
      <c r="E6920">
        <v>0.5</v>
      </c>
      <c r="F6920">
        <v>98002</v>
      </c>
      <c r="G6920">
        <v>112</v>
      </c>
      <c r="H6920">
        <v>97946</v>
      </c>
      <c r="I6920">
        <v>3787331</v>
      </c>
    </row>
    <row r="6921" spans="1:9">
      <c r="A6921" s="2">
        <v>2012</v>
      </c>
      <c r="B6921">
        <v>35</v>
      </c>
      <c r="C6921">
        <v>1.17E-3</v>
      </c>
      <c r="D6921">
        <v>1.17E-3</v>
      </c>
      <c r="E6921">
        <v>0.5</v>
      </c>
      <c r="F6921">
        <v>97890</v>
      </c>
      <c r="G6921">
        <v>115</v>
      </c>
      <c r="H6921">
        <v>97833</v>
      </c>
      <c r="I6921">
        <v>3689385</v>
      </c>
    </row>
    <row r="6922" spans="1:9">
      <c r="A6922" s="2">
        <v>2012</v>
      </c>
      <c r="B6922">
        <v>36</v>
      </c>
      <c r="C6922">
        <v>1.33E-3</v>
      </c>
      <c r="D6922">
        <v>1.33E-3</v>
      </c>
      <c r="E6922">
        <v>0.5</v>
      </c>
      <c r="F6922">
        <v>97775</v>
      </c>
      <c r="G6922">
        <v>130</v>
      </c>
      <c r="H6922">
        <v>97710</v>
      </c>
      <c r="I6922">
        <v>3591552</v>
      </c>
    </row>
    <row r="6923" spans="1:9">
      <c r="A6923" s="2">
        <v>2012</v>
      </c>
      <c r="B6923">
        <v>37</v>
      </c>
      <c r="C6923">
        <v>1.39E-3</v>
      </c>
      <c r="D6923">
        <v>1.39E-3</v>
      </c>
      <c r="E6923">
        <v>0.5</v>
      </c>
      <c r="F6923">
        <v>97645</v>
      </c>
      <c r="G6923">
        <v>136</v>
      </c>
      <c r="H6923">
        <v>97577</v>
      </c>
      <c r="I6923">
        <v>3493842</v>
      </c>
    </row>
    <row r="6924" spans="1:9">
      <c r="A6924" s="2">
        <v>2012</v>
      </c>
      <c r="B6924">
        <v>38</v>
      </c>
      <c r="C6924">
        <v>1.6999999999999999E-3</v>
      </c>
      <c r="D6924">
        <v>1.6999999999999999E-3</v>
      </c>
      <c r="E6924">
        <v>0.5</v>
      </c>
      <c r="F6924">
        <v>97509</v>
      </c>
      <c r="G6924">
        <v>166</v>
      </c>
      <c r="H6924">
        <v>97426</v>
      </c>
      <c r="I6924">
        <v>3396264</v>
      </c>
    </row>
    <row r="6925" spans="1:9">
      <c r="A6925" s="2">
        <v>2012</v>
      </c>
      <c r="B6925">
        <v>39</v>
      </c>
      <c r="C6925">
        <v>1.8400000000000001E-3</v>
      </c>
      <c r="D6925">
        <v>1.8400000000000001E-3</v>
      </c>
      <c r="E6925">
        <v>0.5</v>
      </c>
      <c r="F6925">
        <v>97343</v>
      </c>
      <c r="G6925">
        <v>179</v>
      </c>
      <c r="H6925">
        <v>97254</v>
      </c>
      <c r="I6925">
        <v>3298838</v>
      </c>
    </row>
    <row r="6926" spans="1:9">
      <c r="A6926" s="2">
        <v>2012</v>
      </c>
      <c r="B6926">
        <v>40</v>
      </c>
      <c r="C6926">
        <v>2.2599999999999999E-3</v>
      </c>
      <c r="D6926">
        <v>2.2599999999999999E-3</v>
      </c>
      <c r="E6926">
        <v>0.5</v>
      </c>
      <c r="F6926">
        <v>97164</v>
      </c>
      <c r="G6926">
        <v>219</v>
      </c>
      <c r="H6926">
        <v>97055</v>
      </c>
      <c r="I6926">
        <v>3201584</v>
      </c>
    </row>
    <row r="6927" spans="1:9">
      <c r="A6927" s="2">
        <v>2012</v>
      </c>
      <c r="B6927">
        <v>41</v>
      </c>
      <c r="C6927">
        <v>2.6099999999999999E-3</v>
      </c>
      <c r="D6927">
        <v>2.5999999999999999E-3</v>
      </c>
      <c r="E6927">
        <v>0.5</v>
      </c>
      <c r="F6927">
        <v>96945</v>
      </c>
      <c r="G6927">
        <v>252</v>
      </c>
      <c r="H6927">
        <v>96819</v>
      </c>
      <c r="I6927">
        <v>3104530</v>
      </c>
    </row>
    <row r="6928" spans="1:9">
      <c r="A6928" s="2">
        <v>2012</v>
      </c>
      <c r="B6928">
        <v>42</v>
      </c>
      <c r="C6928">
        <v>2.8900000000000002E-3</v>
      </c>
      <c r="D6928">
        <v>2.8800000000000002E-3</v>
      </c>
      <c r="E6928">
        <v>0.5</v>
      </c>
      <c r="F6928">
        <v>96693</v>
      </c>
      <c r="G6928">
        <v>279</v>
      </c>
      <c r="H6928">
        <v>96553</v>
      </c>
      <c r="I6928">
        <v>3007711</v>
      </c>
    </row>
    <row r="6929" spans="1:9">
      <c r="A6929" s="2">
        <v>2012</v>
      </c>
      <c r="B6929">
        <v>43</v>
      </c>
      <c r="C6929">
        <v>3.8300000000000001E-3</v>
      </c>
      <c r="D6929">
        <v>3.8300000000000001E-3</v>
      </c>
      <c r="E6929">
        <v>0.5</v>
      </c>
      <c r="F6929">
        <v>96414</v>
      </c>
      <c r="G6929">
        <v>369</v>
      </c>
      <c r="H6929">
        <v>96229</v>
      </c>
      <c r="I6929">
        <v>2911157</v>
      </c>
    </row>
    <row r="6930" spans="1:9">
      <c r="A6930" s="2">
        <v>2012</v>
      </c>
      <c r="B6930">
        <v>44</v>
      </c>
      <c r="C6930">
        <v>3.9300000000000003E-3</v>
      </c>
      <c r="D6930">
        <v>3.9300000000000003E-3</v>
      </c>
      <c r="E6930">
        <v>0.5</v>
      </c>
      <c r="F6930">
        <v>96045</v>
      </c>
      <c r="G6930">
        <v>377</v>
      </c>
      <c r="H6930">
        <v>95856</v>
      </c>
      <c r="I6930">
        <v>2814928</v>
      </c>
    </row>
    <row r="6931" spans="1:9">
      <c r="A6931" s="2">
        <v>2012</v>
      </c>
      <c r="B6931">
        <v>45</v>
      </c>
      <c r="C6931">
        <v>5.1799999999999997E-3</v>
      </c>
      <c r="D6931">
        <v>5.1700000000000001E-3</v>
      </c>
      <c r="E6931">
        <v>0.5</v>
      </c>
      <c r="F6931">
        <v>95668</v>
      </c>
      <c r="G6931">
        <v>494</v>
      </c>
      <c r="H6931">
        <v>95421</v>
      </c>
      <c r="I6931">
        <v>2719071</v>
      </c>
    </row>
    <row r="6932" spans="1:9">
      <c r="A6932" s="2">
        <v>2012</v>
      </c>
      <c r="B6932">
        <v>46</v>
      </c>
      <c r="C6932">
        <v>5.0400000000000002E-3</v>
      </c>
      <c r="D6932">
        <v>5.0299999999999997E-3</v>
      </c>
      <c r="E6932">
        <v>0.5</v>
      </c>
      <c r="F6932">
        <v>95173</v>
      </c>
      <c r="G6932">
        <v>479</v>
      </c>
      <c r="H6932">
        <v>94934</v>
      </c>
      <c r="I6932">
        <v>2623651</v>
      </c>
    </row>
    <row r="6933" spans="1:9">
      <c r="A6933" s="2">
        <v>2012</v>
      </c>
      <c r="B6933">
        <v>47</v>
      </c>
      <c r="C6933">
        <v>6.0800000000000003E-3</v>
      </c>
      <c r="D6933">
        <v>6.0600000000000003E-3</v>
      </c>
      <c r="E6933">
        <v>0.5</v>
      </c>
      <c r="F6933">
        <v>94695</v>
      </c>
      <c r="G6933">
        <v>574</v>
      </c>
      <c r="H6933">
        <v>94408</v>
      </c>
      <c r="I6933">
        <v>2528717</v>
      </c>
    </row>
    <row r="6934" spans="1:9">
      <c r="A6934" s="2">
        <v>2012</v>
      </c>
      <c r="B6934">
        <v>48</v>
      </c>
      <c r="C6934">
        <v>7.8399999999999997E-3</v>
      </c>
      <c r="D6934">
        <v>7.8100000000000001E-3</v>
      </c>
      <c r="E6934">
        <v>0.5</v>
      </c>
      <c r="F6934">
        <v>94121</v>
      </c>
      <c r="G6934">
        <v>735</v>
      </c>
      <c r="H6934">
        <v>93754</v>
      </c>
      <c r="I6934">
        <v>2434309</v>
      </c>
    </row>
    <row r="6935" spans="1:9">
      <c r="A6935" s="2">
        <v>2012</v>
      </c>
      <c r="B6935">
        <v>49</v>
      </c>
      <c r="C6935">
        <v>8.2000000000000007E-3</v>
      </c>
      <c r="D6935">
        <v>8.1600000000000006E-3</v>
      </c>
      <c r="E6935">
        <v>0.5</v>
      </c>
      <c r="F6935">
        <v>93386</v>
      </c>
      <c r="G6935">
        <v>762</v>
      </c>
      <c r="H6935">
        <v>93005</v>
      </c>
      <c r="I6935">
        <v>2340555</v>
      </c>
    </row>
    <row r="6936" spans="1:9">
      <c r="A6936" s="2">
        <v>2012</v>
      </c>
      <c r="B6936">
        <v>50</v>
      </c>
      <c r="C6936">
        <v>9.8899999999999995E-3</v>
      </c>
      <c r="D6936">
        <v>9.8399999999999998E-3</v>
      </c>
      <c r="E6936">
        <v>0.5</v>
      </c>
      <c r="F6936">
        <v>92624</v>
      </c>
      <c r="G6936">
        <v>911</v>
      </c>
      <c r="H6936">
        <v>92168</v>
      </c>
      <c r="I6936">
        <v>2247550</v>
      </c>
    </row>
    <row r="6937" spans="1:9">
      <c r="A6937" s="2">
        <v>2012</v>
      </c>
      <c r="B6937">
        <v>51</v>
      </c>
      <c r="C6937">
        <v>1.068E-2</v>
      </c>
      <c r="D6937">
        <v>1.0619999999999999E-2</v>
      </c>
      <c r="E6937">
        <v>0.5</v>
      </c>
      <c r="F6937">
        <v>91713</v>
      </c>
      <c r="G6937">
        <v>974</v>
      </c>
      <c r="H6937">
        <v>91226</v>
      </c>
      <c r="I6937">
        <v>2155382</v>
      </c>
    </row>
    <row r="6938" spans="1:9">
      <c r="A6938" s="2">
        <v>2012</v>
      </c>
      <c r="B6938">
        <v>52</v>
      </c>
      <c r="C6938">
        <v>1.1639999999999999E-2</v>
      </c>
      <c r="D6938">
        <v>1.158E-2</v>
      </c>
      <c r="E6938">
        <v>0.5</v>
      </c>
      <c r="F6938">
        <v>90739</v>
      </c>
      <c r="G6938">
        <v>1050</v>
      </c>
      <c r="H6938">
        <v>90214</v>
      </c>
      <c r="I6938">
        <v>2064156</v>
      </c>
    </row>
    <row r="6939" spans="1:9">
      <c r="A6939" s="2">
        <v>2012</v>
      </c>
      <c r="B6939">
        <v>53</v>
      </c>
      <c r="C6939">
        <v>1.2460000000000001E-2</v>
      </c>
      <c r="D6939">
        <v>1.238E-2</v>
      </c>
      <c r="E6939">
        <v>0.5</v>
      </c>
      <c r="F6939">
        <v>89688</v>
      </c>
      <c r="G6939">
        <v>1110</v>
      </c>
      <c r="H6939">
        <v>89133</v>
      </c>
      <c r="I6939">
        <v>1973943</v>
      </c>
    </row>
    <row r="6940" spans="1:9">
      <c r="A6940" s="2">
        <v>2012</v>
      </c>
      <c r="B6940">
        <v>54</v>
      </c>
      <c r="C6940">
        <v>1.3729999999999999E-2</v>
      </c>
      <c r="D6940">
        <v>1.363E-2</v>
      </c>
      <c r="E6940">
        <v>0.5</v>
      </c>
      <c r="F6940">
        <v>88578</v>
      </c>
      <c r="G6940">
        <v>1207</v>
      </c>
      <c r="H6940">
        <v>87974</v>
      </c>
      <c r="I6940">
        <v>1884809</v>
      </c>
    </row>
    <row r="6941" spans="1:9">
      <c r="A6941" s="2">
        <v>2012</v>
      </c>
      <c r="B6941">
        <v>55</v>
      </c>
      <c r="C6941">
        <v>1.5089999999999999E-2</v>
      </c>
      <c r="D6941">
        <v>1.4970000000000001E-2</v>
      </c>
      <c r="E6941">
        <v>0.5</v>
      </c>
      <c r="F6941">
        <v>87370</v>
      </c>
      <c r="G6941">
        <v>1308</v>
      </c>
      <c r="H6941">
        <v>86716</v>
      </c>
      <c r="I6941">
        <v>1796835</v>
      </c>
    </row>
    <row r="6942" spans="1:9">
      <c r="A6942" s="2">
        <v>2012</v>
      </c>
      <c r="B6942">
        <v>56</v>
      </c>
      <c r="C6942">
        <v>1.6469999999999999E-2</v>
      </c>
      <c r="D6942">
        <v>1.6330000000000001E-2</v>
      </c>
      <c r="E6942">
        <v>0.5</v>
      </c>
      <c r="F6942">
        <v>86062</v>
      </c>
      <c r="G6942">
        <v>1406</v>
      </c>
      <c r="H6942">
        <v>85359</v>
      </c>
      <c r="I6942">
        <v>1710119</v>
      </c>
    </row>
    <row r="6943" spans="1:9">
      <c r="A6943" s="2">
        <v>2012</v>
      </c>
      <c r="B6943">
        <v>57</v>
      </c>
      <c r="C6943">
        <v>1.8579999999999999E-2</v>
      </c>
      <c r="D6943">
        <v>1.8409999999999999E-2</v>
      </c>
      <c r="E6943">
        <v>0.5</v>
      </c>
      <c r="F6943">
        <v>84657</v>
      </c>
      <c r="G6943">
        <v>1558</v>
      </c>
      <c r="H6943">
        <v>83877</v>
      </c>
      <c r="I6943">
        <v>1624760</v>
      </c>
    </row>
    <row r="6944" spans="1:9">
      <c r="A6944" s="2">
        <v>2012</v>
      </c>
      <c r="B6944">
        <v>58</v>
      </c>
      <c r="C6944">
        <v>1.958E-2</v>
      </c>
      <c r="D6944">
        <v>1.9390000000000001E-2</v>
      </c>
      <c r="E6944">
        <v>0.5</v>
      </c>
      <c r="F6944">
        <v>83098</v>
      </c>
      <c r="G6944">
        <v>1611</v>
      </c>
      <c r="H6944">
        <v>82293</v>
      </c>
      <c r="I6944">
        <v>1540882</v>
      </c>
    </row>
    <row r="6945" spans="1:9">
      <c r="A6945" s="2">
        <v>2012</v>
      </c>
      <c r="B6945">
        <v>59</v>
      </c>
      <c r="C6945">
        <v>2.018E-2</v>
      </c>
      <c r="D6945">
        <v>1.9980000000000001E-2</v>
      </c>
      <c r="E6945">
        <v>0.5</v>
      </c>
      <c r="F6945">
        <v>81487</v>
      </c>
      <c r="G6945">
        <v>1628</v>
      </c>
      <c r="H6945">
        <v>80673</v>
      </c>
      <c r="I6945">
        <v>1458590</v>
      </c>
    </row>
    <row r="6946" spans="1:9">
      <c r="A6946" s="2">
        <v>2012</v>
      </c>
      <c r="B6946">
        <v>60</v>
      </c>
      <c r="C6946">
        <v>2.257E-2</v>
      </c>
      <c r="D6946">
        <v>2.232E-2</v>
      </c>
      <c r="E6946">
        <v>0.5</v>
      </c>
      <c r="F6946">
        <v>79859</v>
      </c>
      <c r="G6946">
        <v>1783</v>
      </c>
      <c r="H6946">
        <v>78968</v>
      </c>
      <c r="I6946">
        <v>1377917</v>
      </c>
    </row>
    <row r="6947" spans="1:9">
      <c r="A6947" s="2">
        <v>2012</v>
      </c>
      <c r="B6947">
        <v>61</v>
      </c>
      <c r="C6947">
        <v>2.3269999999999999E-2</v>
      </c>
      <c r="D6947">
        <v>2.3009999999999999E-2</v>
      </c>
      <c r="E6947">
        <v>0.5</v>
      </c>
      <c r="F6947">
        <v>78077</v>
      </c>
      <c r="G6947">
        <v>1796</v>
      </c>
      <c r="H6947">
        <v>77178</v>
      </c>
      <c r="I6947">
        <v>1298949</v>
      </c>
    </row>
    <row r="6948" spans="1:9">
      <c r="A6948" s="2">
        <v>2012</v>
      </c>
      <c r="B6948">
        <v>62</v>
      </c>
      <c r="C6948">
        <v>2.5780000000000001E-2</v>
      </c>
      <c r="D6948">
        <v>2.545E-2</v>
      </c>
      <c r="E6948">
        <v>0.5</v>
      </c>
      <c r="F6948">
        <v>76280</v>
      </c>
      <c r="G6948">
        <v>1941</v>
      </c>
      <c r="H6948">
        <v>75310</v>
      </c>
      <c r="I6948">
        <v>1221770</v>
      </c>
    </row>
    <row r="6949" spans="1:9">
      <c r="A6949" s="2">
        <v>2012</v>
      </c>
      <c r="B6949">
        <v>63</v>
      </c>
      <c r="C6949">
        <v>2.6540000000000001E-2</v>
      </c>
      <c r="D6949">
        <v>2.6190000000000001E-2</v>
      </c>
      <c r="E6949">
        <v>0.5</v>
      </c>
      <c r="F6949">
        <v>74339</v>
      </c>
      <c r="G6949">
        <v>1947</v>
      </c>
      <c r="H6949">
        <v>73366</v>
      </c>
      <c r="I6949">
        <v>1146461</v>
      </c>
    </row>
    <row r="6950" spans="1:9">
      <c r="A6950" s="2">
        <v>2012</v>
      </c>
      <c r="B6950">
        <v>64</v>
      </c>
      <c r="C6950">
        <v>2.8799999999999999E-2</v>
      </c>
      <c r="D6950">
        <v>2.8389999999999999E-2</v>
      </c>
      <c r="E6950">
        <v>0.5</v>
      </c>
      <c r="F6950">
        <v>72392</v>
      </c>
      <c r="G6950">
        <v>2055</v>
      </c>
      <c r="H6950">
        <v>71364</v>
      </c>
      <c r="I6950">
        <v>1073095</v>
      </c>
    </row>
    <row r="6951" spans="1:9">
      <c r="A6951" s="2">
        <v>2012</v>
      </c>
      <c r="B6951">
        <v>65</v>
      </c>
      <c r="C6951">
        <v>2.954E-2</v>
      </c>
      <c r="D6951">
        <v>2.911E-2</v>
      </c>
      <c r="E6951">
        <v>0.5</v>
      </c>
      <c r="F6951">
        <v>70337</v>
      </c>
      <c r="G6951">
        <v>2047</v>
      </c>
      <c r="H6951">
        <v>69313</v>
      </c>
      <c r="I6951">
        <v>1001731</v>
      </c>
    </row>
    <row r="6952" spans="1:9">
      <c r="A6952" s="2">
        <v>2012</v>
      </c>
      <c r="B6952">
        <v>66</v>
      </c>
      <c r="C6952">
        <v>3.1230000000000001E-2</v>
      </c>
      <c r="D6952">
        <v>3.075E-2</v>
      </c>
      <c r="E6952">
        <v>0.5</v>
      </c>
      <c r="F6952">
        <v>68289</v>
      </c>
      <c r="G6952">
        <v>2100</v>
      </c>
      <c r="H6952">
        <v>67239</v>
      </c>
      <c r="I6952">
        <v>932418</v>
      </c>
    </row>
    <row r="6953" spans="1:9">
      <c r="A6953" s="2">
        <v>2012</v>
      </c>
      <c r="B6953">
        <v>67</v>
      </c>
      <c r="C6953">
        <v>3.3730000000000003E-2</v>
      </c>
      <c r="D6953">
        <v>3.3169999999999998E-2</v>
      </c>
      <c r="E6953">
        <v>0.5</v>
      </c>
      <c r="F6953">
        <v>66189</v>
      </c>
      <c r="G6953">
        <v>2195</v>
      </c>
      <c r="H6953">
        <v>65092</v>
      </c>
      <c r="I6953">
        <v>865179</v>
      </c>
    </row>
    <row r="6954" spans="1:9">
      <c r="A6954" s="2">
        <v>2012</v>
      </c>
      <c r="B6954">
        <v>68</v>
      </c>
      <c r="C6954">
        <v>3.7760000000000002E-2</v>
      </c>
      <c r="D6954">
        <v>3.7060000000000003E-2</v>
      </c>
      <c r="E6954">
        <v>0.5</v>
      </c>
      <c r="F6954">
        <v>63994</v>
      </c>
      <c r="G6954">
        <v>2372</v>
      </c>
      <c r="H6954">
        <v>62808</v>
      </c>
      <c r="I6954">
        <v>800087</v>
      </c>
    </row>
    <row r="6955" spans="1:9">
      <c r="A6955" s="2">
        <v>2012</v>
      </c>
      <c r="B6955">
        <v>69</v>
      </c>
      <c r="C6955">
        <v>3.7130000000000003E-2</v>
      </c>
      <c r="D6955">
        <v>3.6459999999999999E-2</v>
      </c>
      <c r="E6955">
        <v>0.5</v>
      </c>
      <c r="F6955">
        <v>61622</v>
      </c>
      <c r="G6955">
        <v>2247</v>
      </c>
      <c r="H6955">
        <v>60499</v>
      </c>
      <c r="I6955">
        <v>737279</v>
      </c>
    </row>
    <row r="6956" spans="1:9">
      <c r="A6956" s="2">
        <v>2012</v>
      </c>
      <c r="B6956">
        <v>70</v>
      </c>
      <c r="C6956">
        <v>4.165E-2</v>
      </c>
      <c r="D6956">
        <v>4.0800000000000003E-2</v>
      </c>
      <c r="E6956">
        <v>0.5</v>
      </c>
      <c r="F6956">
        <v>59376</v>
      </c>
      <c r="G6956">
        <v>2422</v>
      </c>
      <c r="H6956">
        <v>58165</v>
      </c>
      <c r="I6956">
        <v>676780</v>
      </c>
    </row>
    <row r="6957" spans="1:9">
      <c r="A6957" s="2">
        <v>2012</v>
      </c>
      <c r="B6957">
        <v>71</v>
      </c>
      <c r="C6957">
        <v>4.2479999999999997E-2</v>
      </c>
      <c r="D6957">
        <v>4.1599999999999998E-2</v>
      </c>
      <c r="E6957">
        <v>0.5</v>
      </c>
      <c r="F6957">
        <v>56953</v>
      </c>
      <c r="G6957">
        <v>2369</v>
      </c>
      <c r="H6957">
        <v>55769</v>
      </c>
      <c r="I6957">
        <v>618615</v>
      </c>
    </row>
    <row r="6958" spans="1:9">
      <c r="A6958" s="2">
        <v>2012</v>
      </c>
      <c r="B6958">
        <v>72</v>
      </c>
      <c r="C6958">
        <v>4.9140000000000003E-2</v>
      </c>
      <c r="D6958">
        <v>4.7960000000000003E-2</v>
      </c>
      <c r="E6958">
        <v>0.5</v>
      </c>
      <c r="F6958">
        <v>54584</v>
      </c>
      <c r="G6958">
        <v>2618</v>
      </c>
      <c r="H6958">
        <v>53276</v>
      </c>
      <c r="I6958">
        <v>562846</v>
      </c>
    </row>
    <row r="6959" spans="1:9">
      <c r="A6959" s="2">
        <v>2012</v>
      </c>
      <c r="B6959">
        <v>73</v>
      </c>
      <c r="C6959">
        <v>5.3080000000000002E-2</v>
      </c>
      <c r="D6959">
        <v>5.1709999999999999E-2</v>
      </c>
      <c r="E6959">
        <v>0.5</v>
      </c>
      <c r="F6959">
        <v>51967</v>
      </c>
      <c r="G6959">
        <v>2687</v>
      </c>
      <c r="H6959">
        <v>50623</v>
      </c>
      <c r="I6959">
        <v>509571</v>
      </c>
    </row>
    <row r="6960" spans="1:9">
      <c r="A6960" s="2">
        <v>2012</v>
      </c>
      <c r="B6960">
        <v>74</v>
      </c>
      <c r="C6960">
        <v>5.7520000000000002E-2</v>
      </c>
      <c r="D6960">
        <v>5.5910000000000001E-2</v>
      </c>
      <c r="E6960">
        <v>0.5</v>
      </c>
      <c r="F6960">
        <v>49280</v>
      </c>
      <c r="G6960">
        <v>2755</v>
      </c>
      <c r="H6960">
        <v>47902</v>
      </c>
      <c r="I6960">
        <v>458948</v>
      </c>
    </row>
    <row r="6961" spans="1:9">
      <c r="A6961" s="2">
        <v>2012</v>
      </c>
      <c r="B6961">
        <v>75</v>
      </c>
      <c r="C6961">
        <v>6.1870000000000001E-2</v>
      </c>
      <c r="D6961">
        <v>6.0010000000000001E-2</v>
      </c>
      <c r="E6961">
        <v>0.5</v>
      </c>
      <c r="F6961">
        <v>46524</v>
      </c>
      <c r="G6961">
        <v>2792</v>
      </c>
      <c r="H6961">
        <v>45128</v>
      </c>
      <c r="I6961">
        <v>411046</v>
      </c>
    </row>
    <row r="6962" spans="1:9">
      <c r="A6962" s="2">
        <v>2012</v>
      </c>
      <c r="B6962">
        <v>76</v>
      </c>
      <c r="C6962">
        <v>6.5299999999999997E-2</v>
      </c>
      <c r="D6962">
        <v>6.3240000000000005E-2</v>
      </c>
      <c r="E6962">
        <v>0.5</v>
      </c>
      <c r="F6962">
        <v>43732</v>
      </c>
      <c r="G6962">
        <v>2766</v>
      </c>
      <c r="H6962">
        <v>42350</v>
      </c>
      <c r="I6962">
        <v>365917</v>
      </c>
    </row>
    <row r="6963" spans="1:9">
      <c r="A6963" s="2">
        <v>2012</v>
      </c>
      <c r="B6963">
        <v>77</v>
      </c>
      <c r="C6963">
        <v>7.1319999999999995E-2</v>
      </c>
      <c r="D6963">
        <v>6.8860000000000005E-2</v>
      </c>
      <c r="E6963">
        <v>0.5</v>
      </c>
      <c r="F6963">
        <v>40967</v>
      </c>
      <c r="G6963">
        <v>2821</v>
      </c>
      <c r="H6963">
        <v>39556</v>
      </c>
      <c r="I6963">
        <v>323568</v>
      </c>
    </row>
    <row r="6964" spans="1:9">
      <c r="A6964" s="2">
        <v>2012</v>
      </c>
      <c r="B6964">
        <v>78</v>
      </c>
      <c r="C6964">
        <v>8.054E-2</v>
      </c>
      <c r="D6964">
        <v>7.7420000000000003E-2</v>
      </c>
      <c r="E6964">
        <v>0.5</v>
      </c>
      <c r="F6964">
        <v>38146</v>
      </c>
      <c r="G6964">
        <v>2953</v>
      </c>
      <c r="H6964">
        <v>36669</v>
      </c>
      <c r="I6964">
        <v>284011</v>
      </c>
    </row>
    <row r="6965" spans="1:9">
      <c r="A6965" s="2">
        <v>2012</v>
      </c>
      <c r="B6965">
        <v>79</v>
      </c>
      <c r="C6965">
        <v>8.5139999999999993E-2</v>
      </c>
      <c r="D6965">
        <v>8.1659999999999996E-2</v>
      </c>
      <c r="E6965">
        <v>0.5</v>
      </c>
      <c r="F6965">
        <v>35192</v>
      </c>
      <c r="G6965">
        <v>2874</v>
      </c>
      <c r="H6965">
        <v>33756</v>
      </c>
      <c r="I6965">
        <v>247342</v>
      </c>
    </row>
    <row r="6966" spans="1:9">
      <c r="A6966" s="2">
        <v>2012</v>
      </c>
      <c r="B6966">
        <v>80</v>
      </c>
      <c r="C6966">
        <v>9.6210000000000004E-2</v>
      </c>
      <c r="D6966">
        <v>9.1800000000000007E-2</v>
      </c>
      <c r="E6966">
        <v>0.5</v>
      </c>
      <c r="F6966">
        <v>32319</v>
      </c>
      <c r="G6966">
        <v>2967</v>
      </c>
      <c r="H6966">
        <v>30835</v>
      </c>
      <c r="I6966">
        <v>213586</v>
      </c>
    </row>
    <row r="6967" spans="1:9">
      <c r="A6967" s="2">
        <v>2012</v>
      </c>
      <c r="B6967">
        <v>81</v>
      </c>
      <c r="C6967">
        <v>0.10263</v>
      </c>
      <c r="D6967">
        <v>9.7619999999999998E-2</v>
      </c>
      <c r="E6967">
        <v>0.5</v>
      </c>
      <c r="F6967">
        <v>29352</v>
      </c>
      <c r="G6967">
        <v>2865</v>
      </c>
      <c r="H6967">
        <v>27919</v>
      </c>
      <c r="I6967">
        <v>182751</v>
      </c>
    </row>
    <row r="6968" spans="1:9">
      <c r="A6968" s="2">
        <v>2012</v>
      </c>
      <c r="B6968">
        <v>82</v>
      </c>
      <c r="C6968">
        <v>0.10728</v>
      </c>
      <c r="D6968">
        <v>0.10181999999999999</v>
      </c>
      <c r="E6968">
        <v>0.5</v>
      </c>
      <c r="F6968">
        <v>26487</v>
      </c>
      <c r="G6968">
        <v>2697</v>
      </c>
      <c r="H6968">
        <v>25138</v>
      </c>
      <c r="I6968">
        <v>154832</v>
      </c>
    </row>
    <row r="6969" spans="1:9">
      <c r="A6969" s="2">
        <v>2012</v>
      </c>
      <c r="B6969">
        <v>83</v>
      </c>
      <c r="C6969">
        <v>0.11817</v>
      </c>
      <c r="D6969">
        <v>0.11158</v>
      </c>
      <c r="E6969">
        <v>0.5</v>
      </c>
      <c r="F6969">
        <v>23790</v>
      </c>
      <c r="G6969">
        <v>2654</v>
      </c>
      <c r="H6969">
        <v>22462</v>
      </c>
      <c r="I6969">
        <v>129694</v>
      </c>
    </row>
    <row r="6970" spans="1:9">
      <c r="A6970" s="2">
        <v>2012</v>
      </c>
      <c r="B6970">
        <v>84</v>
      </c>
      <c r="C6970">
        <v>0.13613</v>
      </c>
      <c r="D6970">
        <v>0.12745999999999999</v>
      </c>
      <c r="E6970">
        <v>0.5</v>
      </c>
      <c r="F6970">
        <v>21135</v>
      </c>
      <c r="G6970">
        <v>2694</v>
      </c>
      <c r="H6970">
        <v>19788</v>
      </c>
      <c r="I6970">
        <v>107231</v>
      </c>
    </row>
    <row r="6971" spans="1:9">
      <c r="A6971" s="2">
        <v>2012</v>
      </c>
      <c r="B6971">
        <v>85</v>
      </c>
      <c r="C6971">
        <v>0.15123</v>
      </c>
      <c r="D6971">
        <v>0.1406</v>
      </c>
      <c r="E6971">
        <v>0.5</v>
      </c>
      <c r="F6971">
        <v>18441</v>
      </c>
      <c r="G6971">
        <v>2593</v>
      </c>
      <c r="H6971">
        <v>17145</v>
      </c>
      <c r="I6971">
        <v>87443</v>
      </c>
    </row>
    <row r="6972" spans="1:9">
      <c r="A6972" s="2">
        <v>2012</v>
      </c>
      <c r="B6972">
        <v>86</v>
      </c>
      <c r="C6972">
        <v>0.16844999999999999</v>
      </c>
      <c r="D6972">
        <v>0.15537000000000001</v>
      </c>
      <c r="E6972">
        <v>0.5</v>
      </c>
      <c r="F6972">
        <v>15849</v>
      </c>
      <c r="G6972">
        <v>2462</v>
      </c>
      <c r="H6972">
        <v>14617</v>
      </c>
      <c r="I6972">
        <v>70298</v>
      </c>
    </row>
    <row r="6973" spans="1:9">
      <c r="A6973" s="2">
        <v>2012</v>
      </c>
      <c r="B6973">
        <v>87</v>
      </c>
      <c r="C6973">
        <v>0.17236000000000001</v>
      </c>
      <c r="D6973">
        <v>0.15867999999999999</v>
      </c>
      <c r="E6973">
        <v>0.5</v>
      </c>
      <c r="F6973">
        <v>13386</v>
      </c>
      <c r="G6973">
        <v>2124</v>
      </c>
      <c r="H6973">
        <v>12324</v>
      </c>
      <c r="I6973">
        <v>55680</v>
      </c>
    </row>
    <row r="6974" spans="1:9">
      <c r="A6974" s="2">
        <v>2012</v>
      </c>
      <c r="B6974">
        <v>88</v>
      </c>
      <c r="C6974">
        <v>0.19746</v>
      </c>
      <c r="D6974">
        <v>0.17971999999999999</v>
      </c>
      <c r="E6974">
        <v>0.5</v>
      </c>
      <c r="F6974">
        <v>11262</v>
      </c>
      <c r="G6974">
        <v>2024</v>
      </c>
      <c r="H6974">
        <v>10250</v>
      </c>
      <c r="I6974">
        <v>43356</v>
      </c>
    </row>
    <row r="6975" spans="1:9">
      <c r="A6975" s="2">
        <v>2012</v>
      </c>
      <c r="B6975">
        <v>89</v>
      </c>
      <c r="C6975">
        <v>0.23180999999999999</v>
      </c>
      <c r="D6975">
        <v>0.20773</v>
      </c>
      <c r="E6975">
        <v>0.5</v>
      </c>
      <c r="F6975">
        <v>9238</v>
      </c>
      <c r="G6975">
        <v>1919</v>
      </c>
      <c r="H6975">
        <v>8279</v>
      </c>
      <c r="I6975">
        <v>33106</v>
      </c>
    </row>
    <row r="6976" spans="1:9">
      <c r="A6976" s="2">
        <v>2012</v>
      </c>
      <c r="B6976">
        <v>90</v>
      </c>
      <c r="C6976">
        <v>0.24667</v>
      </c>
      <c r="D6976">
        <v>0.21959000000000001</v>
      </c>
      <c r="E6976">
        <v>0.5</v>
      </c>
      <c r="F6976">
        <v>7319</v>
      </c>
      <c r="G6976">
        <v>1607</v>
      </c>
      <c r="H6976">
        <v>6515</v>
      </c>
      <c r="I6976">
        <v>24827</v>
      </c>
    </row>
    <row r="6977" spans="1:9">
      <c r="A6977" s="2">
        <v>2012</v>
      </c>
      <c r="B6977">
        <v>91</v>
      </c>
      <c r="C6977">
        <v>0.23816999999999999</v>
      </c>
      <c r="D6977">
        <v>0.21282000000000001</v>
      </c>
      <c r="E6977">
        <v>0.5</v>
      </c>
      <c r="F6977">
        <v>5712</v>
      </c>
      <c r="G6977">
        <v>1216</v>
      </c>
      <c r="H6977">
        <v>5104</v>
      </c>
      <c r="I6977">
        <v>18312</v>
      </c>
    </row>
    <row r="6978" spans="1:9">
      <c r="A6978" s="2">
        <v>2012</v>
      </c>
      <c r="B6978">
        <v>92</v>
      </c>
      <c r="C6978">
        <v>0.31703999999999999</v>
      </c>
      <c r="D6978">
        <v>0.27366000000000001</v>
      </c>
      <c r="E6978">
        <v>0.5</v>
      </c>
      <c r="F6978">
        <v>4496</v>
      </c>
      <c r="G6978">
        <v>1230</v>
      </c>
      <c r="H6978">
        <v>3881</v>
      </c>
      <c r="I6978">
        <v>13208</v>
      </c>
    </row>
    <row r="6979" spans="1:9">
      <c r="A6979" s="2">
        <v>2012</v>
      </c>
      <c r="B6979">
        <v>93</v>
      </c>
      <c r="C6979">
        <v>0.25636999999999999</v>
      </c>
      <c r="D6979">
        <v>0.22724</v>
      </c>
      <c r="E6979">
        <v>0.5</v>
      </c>
      <c r="F6979">
        <v>3266</v>
      </c>
      <c r="G6979">
        <v>742</v>
      </c>
      <c r="H6979">
        <v>2895</v>
      </c>
      <c r="I6979">
        <v>9327</v>
      </c>
    </row>
    <row r="6980" spans="1:9">
      <c r="A6980" s="2">
        <v>2012</v>
      </c>
      <c r="B6980">
        <v>94</v>
      </c>
      <c r="C6980">
        <v>0.36662</v>
      </c>
      <c r="D6980">
        <v>0.30982999999999999</v>
      </c>
      <c r="E6980">
        <v>0.5</v>
      </c>
      <c r="F6980">
        <v>2524</v>
      </c>
      <c r="G6980">
        <v>782</v>
      </c>
      <c r="H6980">
        <v>2133</v>
      </c>
      <c r="I6980">
        <v>6432</v>
      </c>
    </row>
    <row r="6981" spans="1:9">
      <c r="A6981" s="2">
        <v>2012</v>
      </c>
      <c r="B6981">
        <v>95</v>
      </c>
      <c r="C6981">
        <v>0.35822999999999999</v>
      </c>
      <c r="D6981">
        <v>0.30381000000000002</v>
      </c>
      <c r="E6981">
        <v>0.5</v>
      </c>
      <c r="F6981">
        <v>1742</v>
      </c>
      <c r="G6981">
        <v>529</v>
      </c>
      <c r="H6981">
        <v>1477</v>
      </c>
      <c r="I6981">
        <v>4299</v>
      </c>
    </row>
    <row r="6982" spans="1:9">
      <c r="A6982" s="2">
        <v>2012</v>
      </c>
      <c r="B6982">
        <v>96</v>
      </c>
      <c r="C6982">
        <v>0.38497999999999999</v>
      </c>
      <c r="D6982">
        <v>0.32284000000000002</v>
      </c>
      <c r="E6982">
        <v>0.5</v>
      </c>
      <c r="F6982">
        <v>1213</v>
      </c>
      <c r="G6982">
        <v>391</v>
      </c>
      <c r="H6982">
        <v>1017</v>
      </c>
      <c r="I6982">
        <v>2822</v>
      </c>
    </row>
    <row r="6983" spans="1:9">
      <c r="A6983" s="2">
        <v>2012</v>
      </c>
      <c r="B6983">
        <v>97</v>
      </c>
      <c r="C6983">
        <v>0.41244999999999998</v>
      </c>
      <c r="D6983">
        <v>0.34193000000000001</v>
      </c>
      <c r="E6983">
        <v>0.5</v>
      </c>
      <c r="F6983">
        <v>821</v>
      </c>
      <c r="G6983">
        <v>281</v>
      </c>
      <c r="H6983">
        <v>681</v>
      </c>
      <c r="I6983">
        <v>1805</v>
      </c>
    </row>
    <row r="6984" spans="1:9">
      <c r="A6984" s="2">
        <v>2012</v>
      </c>
      <c r="B6984">
        <v>98</v>
      </c>
      <c r="C6984">
        <v>0.44047999999999998</v>
      </c>
      <c r="D6984">
        <v>0.36098000000000002</v>
      </c>
      <c r="E6984">
        <v>0.5</v>
      </c>
      <c r="F6984">
        <v>540</v>
      </c>
      <c r="G6984">
        <v>195</v>
      </c>
      <c r="H6984">
        <v>443</v>
      </c>
      <c r="I6984">
        <v>1125</v>
      </c>
    </row>
    <row r="6985" spans="1:9">
      <c r="A6985" s="2">
        <v>2012</v>
      </c>
      <c r="B6985">
        <v>99</v>
      </c>
      <c r="C6985">
        <v>0.46888999999999997</v>
      </c>
      <c r="D6985">
        <v>0.37984000000000001</v>
      </c>
      <c r="E6985">
        <v>0.5</v>
      </c>
      <c r="F6985">
        <v>345</v>
      </c>
      <c r="G6985">
        <v>131</v>
      </c>
      <c r="H6985">
        <v>280</v>
      </c>
      <c r="I6985">
        <v>682</v>
      </c>
    </row>
    <row r="6986" spans="1:9">
      <c r="A6986" s="2">
        <v>2012</v>
      </c>
      <c r="B6986">
        <v>100</v>
      </c>
      <c r="C6986">
        <v>0.4975</v>
      </c>
      <c r="D6986">
        <v>0.39839999999999998</v>
      </c>
      <c r="E6986">
        <v>0.5</v>
      </c>
      <c r="F6986">
        <v>214</v>
      </c>
      <c r="G6986">
        <v>85</v>
      </c>
      <c r="H6986">
        <v>171</v>
      </c>
      <c r="I6986">
        <v>402</v>
      </c>
    </row>
    <row r="6987" spans="1:9">
      <c r="A6987" s="2">
        <v>2012</v>
      </c>
      <c r="B6987">
        <v>101</v>
      </c>
      <c r="C6987">
        <v>0.52612999999999999</v>
      </c>
      <c r="D6987">
        <v>0.41654999999999998</v>
      </c>
      <c r="E6987">
        <v>0.5</v>
      </c>
      <c r="F6987">
        <v>129</v>
      </c>
      <c r="G6987">
        <v>54</v>
      </c>
      <c r="H6987">
        <v>102</v>
      </c>
      <c r="I6987">
        <v>230</v>
      </c>
    </row>
    <row r="6988" spans="1:9">
      <c r="A6988" s="2">
        <v>2012</v>
      </c>
      <c r="B6988">
        <v>102</v>
      </c>
      <c r="C6988">
        <v>0.55459000000000003</v>
      </c>
      <c r="D6988">
        <v>0.43419000000000002</v>
      </c>
      <c r="E6988">
        <v>0.5</v>
      </c>
      <c r="F6988">
        <v>75</v>
      </c>
      <c r="G6988">
        <v>33</v>
      </c>
      <c r="H6988">
        <v>59</v>
      </c>
      <c r="I6988">
        <v>128</v>
      </c>
    </row>
    <row r="6989" spans="1:9">
      <c r="A6989" s="2">
        <v>2012</v>
      </c>
      <c r="B6989">
        <v>103</v>
      </c>
      <c r="C6989">
        <v>0.58269000000000004</v>
      </c>
      <c r="D6989">
        <v>0.45123000000000002</v>
      </c>
      <c r="E6989">
        <v>0.5</v>
      </c>
      <c r="F6989">
        <v>43</v>
      </c>
      <c r="G6989">
        <v>19</v>
      </c>
      <c r="H6989">
        <v>33</v>
      </c>
      <c r="I6989">
        <v>70</v>
      </c>
    </row>
    <row r="6990" spans="1:9">
      <c r="A6990" s="2">
        <v>2012</v>
      </c>
      <c r="B6990">
        <v>104</v>
      </c>
      <c r="C6990">
        <v>0.61026999999999998</v>
      </c>
      <c r="D6990">
        <v>0.46759000000000001</v>
      </c>
      <c r="E6990">
        <v>0.5</v>
      </c>
      <c r="F6990">
        <v>23</v>
      </c>
      <c r="G6990">
        <v>11</v>
      </c>
      <c r="H6990">
        <v>18</v>
      </c>
      <c r="I6990">
        <v>37</v>
      </c>
    </row>
    <row r="6991" spans="1:9">
      <c r="A6991" s="2">
        <v>2012</v>
      </c>
      <c r="B6991">
        <v>105</v>
      </c>
      <c r="C6991">
        <v>0.63715999999999995</v>
      </c>
      <c r="D6991">
        <v>0.48321999999999998</v>
      </c>
      <c r="E6991">
        <v>0.5</v>
      </c>
      <c r="F6991">
        <v>12</v>
      </c>
      <c r="G6991">
        <v>6</v>
      </c>
      <c r="H6991">
        <v>9</v>
      </c>
      <c r="I6991">
        <v>19</v>
      </c>
    </row>
    <row r="6992" spans="1:9">
      <c r="A6992" s="2">
        <v>2012</v>
      </c>
      <c r="B6992">
        <v>106</v>
      </c>
      <c r="C6992">
        <v>0.66322000000000003</v>
      </c>
      <c r="D6992">
        <v>0.49806</v>
      </c>
      <c r="E6992">
        <v>0.5</v>
      </c>
      <c r="F6992">
        <v>6</v>
      </c>
      <c r="G6992">
        <v>3</v>
      </c>
      <c r="H6992">
        <v>5</v>
      </c>
      <c r="I6992">
        <v>9</v>
      </c>
    </row>
    <row r="6993" spans="1:9">
      <c r="A6993" s="2">
        <v>2012</v>
      </c>
      <c r="B6993">
        <v>107</v>
      </c>
      <c r="C6993">
        <v>0.68832000000000004</v>
      </c>
      <c r="D6993">
        <v>0.51207999999999998</v>
      </c>
      <c r="E6993">
        <v>0.5</v>
      </c>
      <c r="F6993">
        <v>3</v>
      </c>
      <c r="G6993">
        <v>2</v>
      </c>
      <c r="H6993">
        <v>2</v>
      </c>
      <c r="I6993">
        <v>5</v>
      </c>
    </row>
    <row r="6994" spans="1:9">
      <c r="A6994" s="2">
        <v>2012</v>
      </c>
      <c r="B6994">
        <v>108</v>
      </c>
      <c r="C6994">
        <v>0.71235999999999999</v>
      </c>
      <c r="D6994">
        <v>0.52527000000000001</v>
      </c>
      <c r="E6994">
        <v>0.5</v>
      </c>
      <c r="F6994">
        <v>2</v>
      </c>
      <c r="G6994">
        <v>1</v>
      </c>
      <c r="H6994">
        <v>1</v>
      </c>
      <c r="I6994">
        <v>2</v>
      </c>
    </row>
    <row r="6995" spans="1:9">
      <c r="A6995" s="2">
        <v>2012</v>
      </c>
      <c r="B6995">
        <v>109</v>
      </c>
      <c r="C6995">
        <v>0.73526999999999998</v>
      </c>
      <c r="D6995">
        <v>0.53761999999999999</v>
      </c>
      <c r="E6995">
        <v>0.5</v>
      </c>
      <c r="F6995">
        <v>1</v>
      </c>
      <c r="G6995">
        <v>0</v>
      </c>
      <c r="H6995">
        <v>1</v>
      </c>
      <c r="I6995">
        <v>1</v>
      </c>
    </row>
    <row r="6996" spans="1:9">
      <c r="A6996" s="2">
        <v>2012</v>
      </c>
      <c r="B6996" t="s">
        <v>26</v>
      </c>
      <c r="C6996">
        <v>0.75697000000000003</v>
      </c>
      <c r="D6996">
        <v>1</v>
      </c>
      <c r="E6996">
        <v>1.32</v>
      </c>
      <c r="F6996">
        <v>0</v>
      </c>
      <c r="G6996">
        <v>0</v>
      </c>
      <c r="H6996">
        <v>0</v>
      </c>
      <c r="I6996">
        <v>0</v>
      </c>
    </row>
    <row r="6997" spans="1:9">
      <c r="A6997" s="2">
        <v>2013</v>
      </c>
      <c r="B6997">
        <v>0</v>
      </c>
      <c r="C6997">
        <v>5.8900000000000003E-3</v>
      </c>
      <c r="D6997">
        <v>5.8599999999999998E-3</v>
      </c>
      <c r="E6997">
        <v>0.14000000000000001</v>
      </c>
      <c r="F6997">
        <v>100000</v>
      </c>
      <c r="G6997">
        <v>586</v>
      </c>
      <c r="H6997">
        <v>99495</v>
      </c>
      <c r="I6997">
        <v>7212364</v>
      </c>
    </row>
    <row r="6998" spans="1:9">
      <c r="A6998" s="2">
        <v>2013</v>
      </c>
      <c r="B6998">
        <v>1</v>
      </c>
      <c r="C6998">
        <v>3.5E-4</v>
      </c>
      <c r="D6998">
        <v>3.5E-4</v>
      </c>
      <c r="E6998">
        <v>0.5</v>
      </c>
      <c r="F6998">
        <v>99414</v>
      </c>
      <c r="G6998">
        <v>34</v>
      </c>
      <c r="H6998">
        <v>99397</v>
      </c>
      <c r="I6998">
        <v>7112870</v>
      </c>
    </row>
    <row r="6999" spans="1:9">
      <c r="A6999" s="2">
        <v>2013</v>
      </c>
      <c r="B6999">
        <v>2</v>
      </c>
      <c r="C6999">
        <v>2.0000000000000001E-4</v>
      </c>
      <c r="D6999">
        <v>2.0000000000000001E-4</v>
      </c>
      <c r="E6999">
        <v>0.5</v>
      </c>
      <c r="F6999">
        <v>99380</v>
      </c>
      <c r="G6999">
        <v>20</v>
      </c>
      <c r="H6999">
        <v>99370</v>
      </c>
      <c r="I6999">
        <v>7013473</v>
      </c>
    </row>
    <row r="7000" spans="1:9">
      <c r="A7000" s="2">
        <v>2013</v>
      </c>
      <c r="B7000">
        <v>3</v>
      </c>
      <c r="C7000">
        <v>1.7000000000000001E-4</v>
      </c>
      <c r="D7000">
        <v>1.7000000000000001E-4</v>
      </c>
      <c r="E7000">
        <v>0.5</v>
      </c>
      <c r="F7000">
        <v>99360</v>
      </c>
      <c r="G7000">
        <v>17</v>
      </c>
      <c r="H7000">
        <v>99352</v>
      </c>
      <c r="I7000">
        <v>6914103</v>
      </c>
    </row>
    <row r="7001" spans="1:9">
      <c r="A7001" s="2">
        <v>2013</v>
      </c>
      <c r="B7001">
        <v>4</v>
      </c>
      <c r="C7001">
        <v>1E-4</v>
      </c>
      <c r="D7001">
        <v>1E-4</v>
      </c>
      <c r="E7001">
        <v>0.5</v>
      </c>
      <c r="F7001">
        <v>99343</v>
      </c>
      <c r="G7001">
        <v>10</v>
      </c>
      <c r="H7001">
        <v>99339</v>
      </c>
      <c r="I7001">
        <v>6814751</v>
      </c>
    </row>
    <row r="7002" spans="1:9">
      <c r="A7002" s="2">
        <v>2013</v>
      </c>
      <c r="B7002">
        <v>5</v>
      </c>
      <c r="C7002">
        <v>4.0000000000000003E-5</v>
      </c>
      <c r="D7002">
        <v>4.0000000000000003E-5</v>
      </c>
      <c r="E7002">
        <v>0.5</v>
      </c>
      <c r="F7002">
        <v>99334</v>
      </c>
      <c r="G7002">
        <v>4</v>
      </c>
      <c r="H7002">
        <v>99332</v>
      </c>
      <c r="I7002">
        <v>6715412</v>
      </c>
    </row>
    <row r="7003" spans="1:9">
      <c r="A7003" s="2">
        <v>2013</v>
      </c>
      <c r="B7003">
        <v>6</v>
      </c>
      <c r="C7003">
        <v>1.2E-4</v>
      </c>
      <c r="D7003">
        <v>1.2E-4</v>
      </c>
      <c r="E7003">
        <v>0.5</v>
      </c>
      <c r="F7003">
        <v>99330</v>
      </c>
      <c r="G7003">
        <v>12</v>
      </c>
      <c r="H7003">
        <v>99324</v>
      </c>
      <c r="I7003">
        <v>6616081</v>
      </c>
    </row>
    <row r="7004" spans="1:9">
      <c r="A7004" s="2">
        <v>2013</v>
      </c>
      <c r="B7004">
        <v>7</v>
      </c>
      <c r="C7004">
        <v>8.0000000000000007E-5</v>
      </c>
      <c r="D7004">
        <v>8.0000000000000007E-5</v>
      </c>
      <c r="E7004">
        <v>0.5</v>
      </c>
      <c r="F7004">
        <v>99318</v>
      </c>
      <c r="G7004">
        <v>8</v>
      </c>
      <c r="H7004">
        <v>99314</v>
      </c>
      <c r="I7004">
        <v>6516757</v>
      </c>
    </row>
    <row r="7005" spans="1:9">
      <c r="A7005" s="2">
        <v>2013</v>
      </c>
      <c r="B7005">
        <v>8</v>
      </c>
      <c r="C7005">
        <v>6.0000000000000002E-5</v>
      </c>
      <c r="D7005">
        <v>6.0000000000000002E-5</v>
      </c>
      <c r="E7005">
        <v>0.5</v>
      </c>
      <c r="F7005">
        <v>99310</v>
      </c>
      <c r="G7005">
        <v>6</v>
      </c>
      <c r="H7005">
        <v>99307</v>
      </c>
      <c r="I7005">
        <v>6417443</v>
      </c>
    </row>
    <row r="7006" spans="1:9">
      <c r="A7006" s="2">
        <v>2013</v>
      </c>
      <c r="B7006">
        <v>9</v>
      </c>
      <c r="C7006">
        <v>1.4999999999999999E-4</v>
      </c>
      <c r="D7006">
        <v>1.4999999999999999E-4</v>
      </c>
      <c r="E7006">
        <v>0.5</v>
      </c>
      <c r="F7006">
        <v>99304</v>
      </c>
      <c r="G7006">
        <v>14</v>
      </c>
      <c r="H7006">
        <v>99297</v>
      </c>
      <c r="I7006">
        <v>6318136</v>
      </c>
    </row>
    <row r="7007" spans="1:9">
      <c r="A7007" s="2">
        <v>2013</v>
      </c>
      <c r="B7007">
        <v>10</v>
      </c>
      <c r="C7007">
        <v>1.8000000000000001E-4</v>
      </c>
      <c r="D7007">
        <v>1.8000000000000001E-4</v>
      </c>
      <c r="E7007">
        <v>0.5</v>
      </c>
      <c r="F7007">
        <v>99290</v>
      </c>
      <c r="G7007">
        <v>18</v>
      </c>
      <c r="H7007">
        <v>99281</v>
      </c>
      <c r="I7007">
        <v>6218839</v>
      </c>
    </row>
    <row r="7008" spans="1:9">
      <c r="A7008" s="2">
        <v>2013</v>
      </c>
      <c r="B7008">
        <v>11</v>
      </c>
      <c r="C7008">
        <v>8.0000000000000007E-5</v>
      </c>
      <c r="D7008">
        <v>8.0000000000000007E-5</v>
      </c>
      <c r="E7008">
        <v>0.5</v>
      </c>
      <c r="F7008">
        <v>99272</v>
      </c>
      <c r="G7008">
        <v>8</v>
      </c>
      <c r="H7008">
        <v>99268</v>
      </c>
      <c r="I7008">
        <v>6119558</v>
      </c>
    </row>
    <row r="7009" spans="1:9">
      <c r="A7009" s="2">
        <v>2013</v>
      </c>
      <c r="B7009">
        <v>12</v>
      </c>
      <c r="C7009">
        <v>1E-4</v>
      </c>
      <c r="D7009">
        <v>1E-4</v>
      </c>
      <c r="E7009">
        <v>0.5</v>
      </c>
      <c r="F7009">
        <v>99263</v>
      </c>
      <c r="G7009">
        <v>10</v>
      </c>
      <c r="H7009">
        <v>99259</v>
      </c>
      <c r="I7009">
        <v>6020290</v>
      </c>
    </row>
    <row r="7010" spans="1:9">
      <c r="A7010" s="2">
        <v>2013</v>
      </c>
      <c r="B7010">
        <v>13</v>
      </c>
      <c r="C7010">
        <v>1E-4</v>
      </c>
      <c r="D7010">
        <v>1E-4</v>
      </c>
      <c r="E7010">
        <v>0.5</v>
      </c>
      <c r="F7010">
        <v>99254</v>
      </c>
      <c r="G7010">
        <v>10</v>
      </c>
      <c r="H7010">
        <v>99249</v>
      </c>
      <c r="I7010">
        <v>5921032</v>
      </c>
    </row>
    <row r="7011" spans="1:9">
      <c r="A7011" s="2">
        <v>2013</v>
      </c>
      <c r="B7011">
        <v>14</v>
      </c>
      <c r="C7011">
        <v>2.5000000000000001E-4</v>
      </c>
      <c r="D7011">
        <v>2.5000000000000001E-4</v>
      </c>
      <c r="E7011">
        <v>0.5</v>
      </c>
      <c r="F7011">
        <v>99244</v>
      </c>
      <c r="G7011">
        <v>24</v>
      </c>
      <c r="H7011">
        <v>99231</v>
      </c>
      <c r="I7011">
        <v>5821783</v>
      </c>
    </row>
    <row r="7012" spans="1:9">
      <c r="A7012" s="2">
        <v>2013</v>
      </c>
      <c r="B7012">
        <v>15</v>
      </c>
      <c r="C7012">
        <v>2.3000000000000001E-4</v>
      </c>
      <c r="D7012">
        <v>2.3000000000000001E-4</v>
      </c>
      <c r="E7012">
        <v>0.5</v>
      </c>
      <c r="F7012">
        <v>99219</v>
      </c>
      <c r="G7012">
        <v>23</v>
      </c>
      <c r="H7012">
        <v>99208</v>
      </c>
      <c r="I7012">
        <v>5722552</v>
      </c>
    </row>
    <row r="7013" spans="1:9">
      <c r="A7013" s="2">
        <v>2013</v>
      </c>
      <c r="B7013">
        <v>16</v>
      </c>
      <c r="C7013">
        <v>2.9E-4</v>
      </c>
      <c r="D7013">
        <v>2.9E-4</v>
      </c>
      <c r="E7013">
        <v>0.5</v>
      </c>
      <c r="F7013">
        <v>99196</v>
      </c>
      <c r="G7013">
        <v>29</v>
      </c>
      <c r="H7013">
        <v>99181</v>
      </c>
      <c r="I7013">
        <v>5623344</v>
      </c>
    </row>
    <row r="7014" spans="1:9">
      <c r="A7014" s="2">
        <v>2013</v>
      </c>
      <c r="B7014">
        <v>17</v>
      </c>
      <c r="C7014">
        <v>5.1000000000000004E-4</v>
      </c>
      <c r="D7014">
        <v>5.1000000000000004E-4</v>
      </c>
      <c r="E7014">
        <v>0.5</v>
      </c>
      <c r="F7014">
        <v>99167</v>
      </c>
      <c r="G7014">
        <v>51</v>
      </c>
      <c r="H7014">
        <v>99141</v>
      </c>
      <c r="I7014">
        <v>5524163</v>
      </c>
    </row>
    <row r="7015" spans="1:9">
      <c r="A7015" s="2">
        <v>2013</v>
      </c>
      <c r="B7015">
        <v>18</v>
      </c>
      <c r="C7015">
        <v>4.4999999999999999E-4</v>
      </c>
      <c r="D7015">
        <v>4.4999999999999999E-4</v>
      </c>
      <c r="E7015">
        <v>0.5</v>
      </c>
      <c r="F7015">
        <v>99116</v>
      </c>
      <c r="G7015">
        <v>45</v>
      </c>
      <c r="H7015">
        <v>99093</v>
      </c>
      <c r="I7015">
        <v>5425022</v>
      </c>
    </row>
    <row r="7016" spans="1:9">
      <c r="A7016" s="2">
        <v>2013</v>
      </c>
      <c r="B7016">
        <v>19</v>
      </c>
      <c r="C7016">
        <v>4.2000000000000002E-4</v>
      </c>
      <c r="D7016">
        <v>4.2000000000000002E-4</v>
      </c>
      <c r="E7016">
        <v>0.5</v>
      </c>
      <c r="F7016">
        <v>99071</v>
      </c>
      <c r="G7016">
        <v>41</v>
      </c>
      <c r="H7016">
        <v>99050</v>
      </c>
      <c r="I7016">
        <v>5325928</v>
      </c>
    </row>
    <row r="7017" spans="1:9">
      <c r="A7017" s="2">
        <v>2013</v>
      </c>
      <c r="B7017">
        <v>20</v>
      </c>
      <c r="C7017">
        <v>4.0000000000000002E-4</v>
      </c>
      <c r="D7017">
        <v>4.0000000000000002E-4</v>
      </c>
      <c r="E7017">
        <v>0.5</v>
      </c>
      <c r="F7017">
        <v>99029</v>
      </c>
      <c r="G7017">
        <v>39</v>
      </c>
      <c r="H7017">
        <v>99010</v>
      </c>
      <c r="I7017">
        <v>5226878</v>
      </c>
    </row>
    <row r="7018" spans="1:9">
      <c r="A7018" s="2">
        <v>2013</v>
      </c>
      <c r="B7018">
        <v>21</v>
      </c>
      <c r="C7018">
        <v>5.1999999999999995E-4</v>
      </c>
      <c r="D7018">
        <v>5.1999999999999995E-4</v>
      </c>
      <c r="E7018">
        <v>0.5</v>
      </c>
      <c r="F7018">
        <v>98990</v>
      </c>
      <c r="G7018">
        <v>51</v>
      </c>
      <c r="H7018">
        <v>98964</v>
      </c>
      <c r="I7018">
        <v>5127869</v>
      </c>
    </row>
    <row r="7019" spans="1:9">
      <c r="A7019" s="2">
        <v>2013</v>
      </c>
      <c r="B7019">
        <v>22</v>
      </c>
      <c r="C7019">
        <v>6.4999999999999997E-4</v>
      </c>
      <c r="D7019">
        <v>6.4999999999999997E-4</v>
      </c>
      <c r="E7019">
        <v>0.5</v>
      </c>
      <c r="F7019">
        <v>98939</v>
      </c>
      <c r="G7019">
        <v>64</v>
      </c>
      <c r="H7019">
        <v>98907</v>
      </c>
      <c r="I7019">
        <v>5028904</v>
      </c>
    </row>
    <row r="7020" spans="1:9">
      <c r="A7020" s="2">
        <v>2013</v>
      </c>
      <c r="B7020">
        <v>23</v>
      </c>
      <c r="C7020">
        <v>5.5999999999999995E-4</v>
      </c>
      <c r="D7020">
        <v>5.5999999999999995E-4</v>
      </c>
      <c r="E7020">
        <v>0.5</v>
      </c>
      <c r="F7020">
        <v>98875</v>
      </c>
      <c r="G7020">
        <v>55</v>
      </c>
      <c r="H7020">
        <v>98847</v>
      </c>
      <c r="I7020">
        <v>4929998</v>
      </c>
    </row>
    <row r="7021" spans="1:9">
      <c r="A7021" s="2">
        <v>2013</v>
      </c>
      <c r="B7021">
        <v>24</v>
      </c>
      <c r="C7021">
        <v>4.8999999999999998E-4</v>
      </c>
      <c r="D7021">
        <v>4.8999999999999998E-4</v>
      </c>
      <c r="E7021">
        <v>0.5</v>
      </c>
      <c r="F7021">
        <v>98819</v>
      </c>
      <c r="G7021">
        <v>48</v>
      </c>
      <c r="H7021">
        <v>98795</v>
      </c>
      <c r="I7021">
        <v>4831151</v>
      </c>
    </row>
    <row r="7022" spans="1:9">
      <c r="A7022" s="2">
        <v>2013</v>
      </c>
      <c r="B7022">
        <v>25</v>
      </c>
      <c r="C7022">
        <v>5.6999999999999998E-4</v>
      </c>
      <c r="D7022">
        <v>5.6999999999999998E-4</v>
      </c>
      <c r="E7022">
        <v>0.5</v>
      </c>
      <c r="F7022">
        <v>98771</v>
      </c>
      <c r="G7022">
        <v>56</v>
      </c>
      <c r="H7022">
        <v>98743</v>
      </c>
      <c r="I7022">
        <v>4732355</v>
      </c>
    </row>
    <row r="7023" spans="1:9">
      <c r="A7023" s="2">
        <v>2013</v>
      </c>
      <c r="B7023">
        <v>26</v>
      </c>
      <c r="C7023">
        <v>6.9999999999999999E-4</v>
      </c>
      <c r="D7023">
        <v>6.9999999999999999E-4</v>
      </c>
      <c r="E7023">
        <v>0.5</v>
      </c>
      <c r="F7023">
        <v>98715</v>
      </c>
      <c r="G7023">
        <v>69</v>
      </c>
      <c r="H7023">
        <v>98680</v>
      </c>
      <c r="I7023">
        <v>4633612</v>
      </c>
    </row>
    <row r="7024" spans="1:9">
      <c r="A7024" s="2">
        <v>2013</v>
      </c>
      <c r="B7024">
        <v>27</v>
      </c>
      <c r="C7024">
        <v>7.5000000000000002E-4</v>
      </c>
      <c r="D7024">
        <v>7.5000000000000002E-4</v>
      </c>
      <c r="E7024">
        <v>0.5</v>
      </c>
      <c r="F7024">
        <v>98646</v>
      </c>
      <c r="G7024">
        <v>74</v>
      </c>
      <c r="H7024">
        <v>98609</v>
      </c>
      <c r="I7024">
        <v>4534932</v>
      </c>
    </row>
    <row r="7025" spans="1:9">
      <c r="A7025" s="2">
        <v>2013</v>
      </c>
      <c r="B7025">
        <v>28</v>
      </c>
      <c r="C7025">
        <v>6.7000000000000002E-4</v>
      </c>
      <c r="D7025">
        <v>6.7000000000000002E-4</v>
      </c>
      <c r="E7025">
        <v>0.5</v>
      </c>
      <c r="F7025">
        <v>98571</v>
      </c>
      <c r="G7025">
        <v>66</v>
      </c>
      <c r="H7025">
        <v>98539</v>
      </c>
      <c r="I7025">
        <v>4436323</v>
      </c>
    </row>
    <row r="7026" spans="1:9">
      <c r="A7026" s="2">
        <v>2013</v>
      </c>
      <c r="B7026">
        <v>29</v>
      </c>
      <c r="C7026">
        <v>8.4000000000000003E-4</v>
      </c>
      <c r="D7026">
        <v>8.4000000000000003E-4</v>
      </c>
      <c r="E7026">
        <v>0.5</v>
      </c>
      <c r="F7026">
        <v>98506</v>
      </c>
      <c r="G7026">
        <v>83</v>
      </c>
      <c r="H7026">
        <v>98464</v>
      </c>
      <c r="I7026">
        <v>4337785</v>
      </c>
    </row>
    <row r="7027" spans="1:9">
      <c r="A7027" s="2">
        <v>2013</v>
      </c>
      <c r="B7027">
        <v>30</v>
      </c>
      <c r="C7027">
        <v>5.6999999999999998E-4</v>
      </c>
      <c r="D7027">
        <v>5.6999999999999998E-4</v>
      </c>
      <c r="E7027">
        <v>0.5</v>
      </c>
      <c r="F7027">
        <v>98423</v>
      </c>
      <c r="G7027">
        <v>56</v>
      </c>
      <c r="H7027">
        <v>98395</v>
      </c>
      <c r="I7027">
        <v>4239320</v>
      </c>
    </row>
    <row r="7028" spans="1:9">
      <c r="A7028" s="2">
        <v>2013</v>
      </c>
      <c r="B7028">
        <v>31</v>
      </c>
      <c r="C7028">
        <v>7.3999999999999999E-4</v>
      </c>
      <c r="D7028">
        <v>7.3999999999999999E-4</v>
      </c>
      <c r="E7028">
        <v>0.5</v>
      </c>
      <c r="F7028">
        <v>98367</v>
      </c>
      <c r="G7028">
        <v>73</v>
      </c>
      <c r="H7028">
        <v>98330</v>
      </c>
      <c r="I7028">
        <v>4140925</v>
      </c>
    </row>
    <row r="7029" spans="1:9">
      <c r="A7029" s="2">
        <v>2013</v>
      </c>
      <c r="B7029">
        <v>32</v>
      </c>
      <c r="C7029">
        <v>7.1000000000000002E-4</v>
      </c>
      <c r="D7029">
        <v>7.1000000000000002E-4</v>
      </c>
      <c r="E7029">
        <v>0.5</v>
      </c>
      <c r="F7029">
        <v>98294</v>
      </c>
      <c r="G7029">
        <v>70</v>
      </c>
      <c r="H7029">
        <v>98259</v>
      </c>
      <c r="I7029">
        <v>4042595</v>
      </c>
    </row>
    <row r="7030" spans="1:9">
      <c r="A7030" s="2">
        <v>2013</v>
      </c>
      <c r="B7030">
        <v>33</v>
      </c>
      <c r="C7030">
        <v>9.7999999999999997E-4</v>
      </c>
      <c r="D7030">
        <v>9.7999999999999997E-4</v>
      </c>
      <c r="E7030">
        <v>0.5</v>
      </c>
      <c r="F7030">
        <v>98224</v>
      </c>
      <c r="G7030">
        <v>96</v>
      </c>
      <c r="H7030">
        <v>98176</v>
      </c>
      <c r="I7030">
        <v>3944336</v>
      </c>
    </row>
    <row r="7031" spans="1:9">
      <c r="A7031" s="2">
        <v>2013</v>
      </c>
      <c r="B7031">
        <v>34</v>
      </c>
      <c r="C7031">
        <v>1.07E-3</v>
      </c>
      <c r="D7031">
        <v>1.07E-3</v>
      </c>
      <c r="E7031">
        <v>0.5</v>
      </c>
      <c r="F7031">
        <v>98128</v>
      </c>
      <c r="G7031">
        <v>105</v>
      </c>
      <c r="H7031">
        <v>98075</v>
      </c>
      <c r="I7031">
        <v>3846160</v>
      </c>
    </row>
    <row r="7032" spans="1:9">
      <c r="A7032" s="2">
        <v>2013</v>
      </c>
      <c r="B7032">
        <v>35</v>
      </c>
      <c r="C7032">
        <v>1.1800000000000001E-3</v>
      </c>
      <c r="D7032">
        <v>1.1800000000000001E-3</v>
      </c>
      <c r="E7032">
        <v>0.5</v>
      </c>
      <c r="F7032">
        <v>98022</v>
      </c>
      <c r="G7032">
        <v>116</v>
      </c>
      <c r="H7032">
        <v>97964</v>
      </c>
      <c r="I7032">
        <v>3748085</v>
      </c>
    </row>
    <row r="7033" spans="1:9">
      <c r="A7033" s="2">
        <v>2013</v>
      </c>
      <c r="B7033">
        <v>36</v>
      </c>
      <c r="C7033">
        <v>1.17E-3</v>
      </c>
      <c r="D7033">
        <v>1.17E-3</v>
      </c>
      <c r="E7033">
        <v>0.5</v>
      </c>
      <c r="F7033">
        <v>97906</v>
      </c>
      <c r="G7033">
        <v>115</v>
      </c>
      <c r="H7033">
        <v>97849</v>
      </c>
      <c r="I7033">
        <v>3650120</v>
      </c>
    </row>
    <row r="7034" spans="1:9">
      <c r="A7034" s="2">
        <v>2013</v>
      </c>
      <c r="B7034">
        <v>37</v>
      </c>
      <c r="C7034">
        <v>1.47E-3</v>
      </c>
      <c r="D7034">
        <v>1.47E-3</v>
      </c>
      <c r="E7034">
        <v>0.5</v>
      </c>
      <c r="F7034">
        <v>97792</v>
      </c>
      <c r="G7034">
        <v>144</v>
      </c>
      <c r="H7034">
        <v>97719</v>
      </c>
      <c r="I7034">
        <v>3552272</v>
      </c>
    </row>
    <row r="7035" spans="1:9">
      <c r="A7035" s="2">
        <v>2013</v>
      </c>
      <c r="B7035">
        <v>38</v>
      </c>
      <c r="C7035">
        <v>1.73E-3</v>
      </c>
      <c r="D7035">
        <v>1.73E-3</v>
      </c>
      <c r="E7035">
        <v>0.5</v>
      </c>
      <c r="F7035">
        <v>97647</v>
      </c>
      <c r="G7035">
        <v>169</v>
      </c>
      <c r="H7035">
        <v>97563</v>
      </c>
      <c r="I7035">
        <v>3454552</v>
      </c>
    </row>
    <row r="7036" spans="1:9">
      <c r="A7036" s="2">
        <v>2013</v>
      </c>
      <c r="B7036">
        <v>39</v>
      </c>
      <c r="C7036">
        <v>2.0300000000000001E-3</v>
      </c>
      <c r="D7036">
        <v>2.0300000000000001E-3</v>
      </c>
      <c r="E7036">
        <v>0.5</v>
      </c>
      <c r="F7036">
        <v>97479</v>
      </c>
      <c r="G7036">
        <v>198</v>
      </c>
      <c r="H7036">
        <v>97380</v>
      </c>
      <c r="I7036">
        <v>3356989</v>
      </c>
    </row>
    <row r="7037" spans="1:9">
      <c r="A7037" s="2">
        <v>2013</v>
      </c>
      <c r="B7037">
        <v>40</v>
      </c>
      <c r="C7037">
        <v>1.82E-3</v>
      </c>
      <c r="D7037">
        <v>1.81E-3</v>
      </c>
      <c r="E7037">
        <v>0.5</v>
      </c>
      <c r="F7037">
        <v>97281</v>
      </c>
      <c r="G7037">
        <v>176</v>
      </c>
      <c r="H7037">
        <v>97193</v>
      </c>
      <c r="I7037">
        <v>3259609</v>
      </c>
    </row>
    <row r="7038" spans="1:9">
      <c r="A7038" s="2">
        <v>2013</v>
      </c>
      <c r="B7038">
        <v>41</v>
      </c>
      <c r="C7038">
        <v>2.4399999999999999E-3</v>
      </c>
      <c r="D7038">
        <v>2.4399999999999999E-3</v>
      </c>
      <c r="E7038">
        <v>0.5</v>
      </c>
      <c r="F7038">
        <v>97104</v>
      </c>
      <c r="G7038">
        <v>237</v>
      </c>
      <c r="H7038">
        <v>96986</v>
      </c>
      <c r="I7038">
        <v>3162417</v>
      </c>
    </row>
    <row r="7039" spans="1:9">
      <c r="A7039" s="2">
        <v>2013</v>
      </c>
      <c r="B7039">
        <v>42</v>
      </c>
      <c r="C7039">
        <v>2.1900000000000001E-3</v>
      </c>
      <c r="D7039">
        <v>2.1900000000000001E-3</v>
      </c>
      <c r="E7039">
        <v>0.5</v>
      </c>
      <c r="F7039">
        <v>96868</v>
      </c>
      <c r="G7039">
        <v>212</v>
      </c>
      <c r="H7039">
        <v>96762</v>
      </c>
      <c r="I7039">
        <v>3065431</v>
      </c>
    </row>
    <row r="7040" spans="1:9">
      <c r="A7040" s="2">
        <v>2013</v>
      </c>
      <c r="B7040">
        <v>43</v>
      </c>
      <c r="C7040">
        <v>3.0599999999999998E-3</v>
      </c>
      <c r="D7040">
        <v>3.0500000000000002E-3</v>
      </c>
      <c r="E7040">
        <v>0.5</v>
      </c>
      <c r="F7040">
        <v>96656</v>
      </c>
      <c r="G7040">
        <v>295</v>
      </c>
      <c r="H7040">
        <v>96508</v>
      </c>
      <c r="I7040">
        <v>2968669</v>
      </c>
    </row>
    <row r="7041" spans="1:9">
      <c r="A7041" s="2">
        <v>2013</v>
      </c>
      <c r="B7041">
        <v>44</v>
      </c>
      <c r="C7041">
        <v>3.8E-3</v>
      </c>
      <c r="D7041">
        <v>3.79E-3</v>
      </c>
      <c r="E7041">
        <v>0.5</v>
      </c>
      <c r="F7041">
        <v>96361</v>
      </c>
      <c r="G7041">
        <v>366</v>
      </c>
      <c r="H7041">
        <v>96178</v>
      </c>
      <c r="I7041">
        <v>2872161</v>
      </c>
    </row>
    <row r="7042" spans="1:9">
      <c r="A7042" s="2">
        <v>2013</v>
      </c>
      <c r="B7042">
        <v>45</v>
      </c>
      <c r="C7042">
        <v>4.3400000000000001E-3</v>
      </c>
      <c r="D7042">
        <v>4.3299999999999996E-3</v>
      </c>
      <c r="E7042">
        <v>0.5</v>
      </c>
      <c r="F7042">
        <v>95995</v>
      </c>
      <c r="G7042">
        <v>415</v>
      </c>
      <c r="H7042">
        <v>95787</v>
      </c>
      <c r="I7042">
        <v>2775983</v>
      </c>
    </row>
    <row r="7043" spans="1:9">
      <c r="A7043" s="2">
        <v>2013</v>
      </c>
      <c r="B7043">
        <v>46</v>
      </c>
      <c r="C7043">
        <v>4.9699999999999996E-3</v>
      </c>
      <c r="D7043">
        <v>4.96E-3</v>
      </c>
      <c r="E7043">
        <v>0.5</v>
      </c>
      <c r="F7043">
        <v>95580</v>
      </c>
      <c r="G7043">
        <v>474</v>
      </c>
      <c r="H7043">
        <v>95343</v>
      </c>
      <c r="I7043">
        <v>2680196</v>
      </c>
    </row>
    <row r="7044" spans="1:9">
      <c r="A7044" s="2">
        <v>2013</v>
      </c>
      <c r="B7044">
        <v>47</v>
      </c>
      <c r="C7044">
        <v>5.5900000000000004E-3</v>
      </c>
      <c r="D7044">
        <v>5.5700000000000003E-3</v>
      </c>
      <c r="E7044">
        <v>0.5</v>
      </c>
      <c r="F7044">
        <v>95106</v>
      </c>
      <c r="G7044">
        <v>530</v>
      </c>
      <c r="H7044">
        <v>94841</v>
      </c>
      <c r="I7044">
        <v>2584853</v>
      </c>
    </row>
    <row r="7045" spans="1:9">
      <c r="A7045" s="2">
        <v>2013</v>
      </c>
      <c r="B7045">
        <v>48</v>
      </c>
      <c r="C7045">
        <v>6.7499999999999999E-3</v>
      </c>
      <c r="D7045">
        <v>6.7200000000000003E-3</v>
      </c>
      <c r="E7045">
        <v>0.5</v>
      </c>
      <c r="F7045">
        <v>94576</v>
      </c>
      <c r="G7045">
        <v>636</v>
      </c>
      <c r="H7045">
        <v>94258</v>
      </c>
      <c r="I7045">
        <v>2490012</v>
      </c>
    </row>
    <row r="7046" spans="1:9">
      <c r="A7046" s="2">
        <v>2013</v>
      </c>
      <c r="B7046">
        <v>49</v>
      </c>
      <c r="C7046">
        <v>7.5500000000000003E-3</v>
      </c>
      <c r="D7046">
        <v>7.5300000000000002E-3</v>
      </c>
      <c r="E7046">
        <v>0.5</v>
      </c>
      <c r="F7046">
        <v>93940</v>
      </c>
      <c r="G7046">
        <v>707</v>
      </c>
      <c r="H7046">
        <v>93587</v>
      </c>
      <c r="I7046">
        <v>2395754</v>
      </c>
    </row>
    <row r="7047" spans="1:9">
      <c r="A7047" s="2">
        <v>2013</v>
      </c>
      <c r="B7047">
        <v>50</v>
      </c>
      <c r="C7047">
        <v>7.3800000000000003E-3</v>
      </c>
      <c r="D7047">
        <v>7.3499999999999998E-3</v>
      </c>
      <c r="E7047">
        <v>0.5</v>
      </c>
      <c r="F7047">
        <v>93233</v>
      </c>
      <c r="G7047">
        <v>685</v>
      </c>
      <c r="H7047">
        <v>92891</v>
      </c>
      <c r="I7047">
        <v>2302167</v>
      </c>
    </row>
    <row r="7048" spans="1:9">
      <c r="A7048" s="2">
        <v>2013</v>
      </c>
      <c r="B7048">
        <v>51</v>
      </c>
      <c r="C7048">
        <v>9.3699999999999999E-3</v>
      </c>
      <c r="D7048">
        <v>9.3299999999999998E-3</v>
      </c>
      <c r="E7048">
        <v>0.5</v>
      </c>
      <c r="F7048">
        <v>92548</v>
      </c>
      <c r="G7048">
        <v>863</v>
      </c>
      <c r="H7048">
        <v>92116</v>
      </c>
      <c r="I7048">
        <v>2209276</v>
      </c>
    </row>
    <row r="7049" spans="1:9">
      <c r="A7049" s="2">
        <v>2013</v>
      </c>
      <c r="B7049">
        <v>52</v>
      </c>
      <c r="C7049">
        <v>1.1180000000000001E-2</v>
      </c>
      <c r="D7049">
        <v>1.112E-2</v>
      </c>
      <c r="E7049">
        <v>0.5</v>
      </c>
      <c r="F7049">
        <v>91685</v>
      </c>
      <c r="G7049">
        <v>1020</v>
      </c>
      <c r="H7049">
        <v>91175</v>
      </c>
      <c r="I7049">
        <v>2117160</v>
      </c>
    </row>
    <row r="7050" spans="1:9">
      <c r="A7050" s="2">
        <v>2013</v>
      </c>
      <c r="B7050">
        <v>53</v>
      </c>
      <c r="C7050">
        <v>1.2279999999999999E-2</v>
      </c>
      <c r="D7050">
        <v>1.2200000000000001E-2</v>
      </c>
      <c r="E7050">
        <v>0.5</v>
      </c>
      <c r="F7050">
        <v>90665</v>
      </c>
      <c r="G7050">
        <v>1106</v>
      </c>
      <c r="H7050">
        <v>90112</v>
      </c>
      <c r="I7050">
        <v>2025985</v>
      </c>
    </row>
    <row r="7051" spans="1:9">
      <c r="A7051" s="2">
        <v>2013</v>
      </c>
      <c r="B7051">
        <v>54</v>
      </c>
      <c r="C7051">
        <v>1.396E-2</v>
      </c>
      <c r="D7051">
        <v>1.3860000000000001E-2</v>
      </c>
      <c r="E7051">
        <v>0.5</v>
      </c>
      <c r="F7051">
        <v>89559</v>
      </c>
      <c r="G7051">
        <v>1241</v>
      </c>
      <c r="H7051">
        <v>88938</v>
      </c>
      <c r="I7051">
        <v>1935873</v>
      </c>
    </row>
    <row r="7052" spans="1:9">
      <c r="A7052" s="2">
        <v>2013</v>
      </c>
      <c r="B7052">
        <v>55</v>
      </c>
      <c r="C7052">
        <v>1.4460000000000001E-2</v>
      </c>
      <c r="D7052">
        <v>1.435E-2</v>
      </c>
      <c r="E7052">
        <v>0.5</v>
      </c>
      <c r="F7052">
        <v>88318</v>
      </c>
      <c r="G7052">
        <v>1268</v>
      </c>
      <c r="H7052">
        <v>87684</v>
      </c>
      <c r="I7052">
        <v>1846935</v>
      </c>
    </row>
    <row r="7053" spans="1:9">
      <c r="A7053" s="2">
        <v>2013</v>
      </c>
      <c r="B7053">
        <v>56</v>
      </c>
      <c r="C7053">
        <v>1.601E-2</v>
      </c>
      <c r="D7053">
        <v>1.5890000000000001E-2</v>
      </c>
      <c r="E7053">
        <v>0.5</v>
      </c>
      <c r="F7053">
        <v>87050</v>
      </c>
      <c r="G7053">
        <v>1383</v>
      </c>
      <c r="H7053">
        <v>86358</v>
      </c>
      <c r="I7053">
        <v>1759251</v>
      </c>
    </row>
    <row r="7054" spans="1:9">
      <c r="A7054" s="2">
        <v>2013</v>
      </c>
      <c r="B7054">
        <v>57</v>
      </c>
      <c r="C7054">
        <v>1.6729999999999998E-2</v>
      </c>
      <c r="D7054">
        <v>1.66E-2</v>
      </c>
      <c r="E7054">
        <v>0.5</v>
      </c>
      <c r="F7054">
        <v>85667</v>
      </c>
      <c r="G7054">
        <v>1422</v>
      </c>
      <c r="H7054">
        <v>84956</v>
      </c>
      <c r="I7054">
        <v>1672893</v>
      </c>
    </row>
    <row r="7055" spans="1:9">
      <c r="A7055" s="2">
        <v>2013</v>
      </c>
      <c r="B7055">
        <v>58</v>
      </c>
      <c r="C7055">
        <v>1.7649999999999999E-2</v>
      </c>
      <c r="D7055">
        <v>1.7489999999999999E-2</v>
      </c>
      <c r="E7055">
        <v>0.5</v>
      </c>
      <c r="F7055">
        <v>84245</v>
      </c>
      <c r="G7055">
        <v>1474</v>
      </c>
      <c r="H7055">
        <v>83508</v>
      </c>
      <c r="I7055">
        <v>1587936</v>
      </c>
    </row>
    <row r="7056" spans="1:9">
      <c r="A7056" s="2">
        <v>2013</v>
      </c>
      <c r="B7056">
        <v>59</v>
      </c>
      <c r="C7056">
        <v>1.9939999999999999E-2</v>
      </c>
      <c r="D7056">
        <v>1.975E-2</v>
      </c>
      <c r="E7056">
        <v>0.5</v>
      </c>
      <c r="F7056">
        <v>82772</v>
      </c>
      <c r="G7056">
        <v>1635</v>
      </c>
      <c r="H7056">
        <v>81954</v>
      </c>
      <c r="I7056">
        <v>1504428</v>
      </c>
    </row>
    <row r="7057" spans="1:9">
      <c r="A7057" s="2">
        <v>2013</v>
      </c>
      <c r="B7057">
        <v>60</v>
      </c>
      <c r="C7057">
        <v>2.01E-2</v>
      </c>
      <c r="D7057">
        <v>1.9900000000000001E-2</v>
      </c>
      <c r="E7057">
        <v>0.5</v>
      </c>
      <c r="F7057">
        <v>81137</v>
      </c>
      <c r="G7057">
        <v>1615</v>
      </c>
      <c r="H7057">
        <v>80330</v>
      </c>
      <c r="I7057">
        <v>1422474</v>
      </c>
    </row>
    <row r="7058" spans="1:9">
      <c r="A7058" s="2">
        <v>2013</v>
      </c>
      <c r="B7058">
        <v>61</v>
      </c>
      <c r="C7058">
        <v>2.2919999999999999E-2</v>
      </c>
      <c r="D7058">
        <v>2.266E-2</v>
      </c>
      <c r="E7058">
        <v>0.5</v>
      </c>
      <c r="F7058">
        <v>79522</v>
      </c>
      <c r="G7058">
        <v>1802</v>
      </c>
      <c r="H7058">
        <v>78622</v>
      </c>
      <c r="I7058">
        <v>1342144</v>
      </c>
    </row>
    <row r="7059" spans="1:9">
      <c r="A7059" s="2">
        <v>2013</v>
      </c>
      <c r="B7059">
        <v>62</v>
      </c>
      <c r="C7059">
        <v>2.555E-2</v>
      </c>
      <c r="D7059">
        <v>2.5229999999999999E-2</v>
      </c>
      <c r="E7059">
        <v>0.5</v>
      </c>
      <c r="F7059">
        <v>77721</v>
      </c>
      <c r="G7059">
        <v>1961</v>
      </c>
      <c r="H7059">
        <v>76740</v>
      </c>
      <c r="I7059">
        <v>1263522</v>
      </c>
    </row>
    <row r="7060" spans="1:9">
      <c r="A7060" s="2">
        <v>2013</v>
      </c>
      <c r="B7060">
        <v>63</v>
      </c>
      <c r="C7060">
        <v>2.648E-2</v>
      </c>
      <c r="D7060">
        <v>2.614E-2</v>
      </c>
      <c r="E7060">
        <v>0.5</v>
      </c>
      <c r="F7060">
        <v>75760</v>
      </c>
      <c r="G7060">
        <v>1980</v>
      </c>
      <c r="H7060">
        <v>74770</v>
      </c>
      <c r="I7060">
        <v>1186782</v>
      </c>
    </row>
    <row r="7061" spans="1:9">
      <c r="A7061" s="2">
        <v>2013</v>
      </c>
      <c r="B7061">
        <v>64</v>
      </c>
      <c r="C7061">
        <v>2.7380000000000002E-2</v>
      </c>
      <c r="D7061">
        <v>2.7009999999999999E-2</v>
      </c>
      <c r="E7061">
        <v>0.5</v>
      </c>
      <c r="F7061">
        <v>73780</v>
      </c>
      <c r="G7061">
        <v>1993</v>
      </c>
      <c r="H7061">
        <v>72783</v>
      </c>
      <c r="I7061">
        <v>1112012</v>
      </c>
    </row>
    <row r="7062" spans="1:9">
      <c r="A7062" s="2">
        <v>2013</v>
      </c>
      <c r="B7062">
        <v>65</v>
      </c>
      <c r="C7062">
        <v>3.023E-2</v>
      </c>
      <c r="D7062">
        <v>2.9780000000000001E-2</v>
      </c>
      <c r="E7062">
        <v>0.5</v>
      </c>
      <c r="F7062">
        <v>71787</v>
      </c>
      <c r="G7062">
        <v>2138</v>
      </c>
      <c r="H7062">
        <v>70718</v>
      </c>
      <c r="I7062">
        <v>1039229</v>
      </c>
    </row>
    <row r="7063" spans="1:9">
      <c r="A7063" s="2">
        <v>2013</v>
      </c>
      <c r="B7063">
        <v>66</v>
      </c>
      <c r="C7063">
        <v>3.107E-2</v>
      </c>
      <c r="D7063">
        <v>3.0589999999999999E-2</v>
      </c>
      <c r="E7063">
        <v>0.5</v>
      </c>
      <c r="F7063">
        <v>69649</v>
      </c>
      <c r="G7063">
        <v>2131</v>
      </c>
      <c r="H7063">
        <v>68584</v>
      </c>
      <c r="I7063">
        <v>968511</v>
      </c>
    </row>
    <row r="7064" spans="1:9">
      <c r="A7064" s="2">
        <v>2013</v>
      </c>
      <c r="B7064">
        <v>67</v>
      </c>
      <c r="C7064">
        <v>2.989E-2</v>
      </c>
      <c r="D7064">
        <v>2.945E-2</v>
      </c>
      <c r="E7064">
        <v>0.5</v>
      </c>
      <c r="F7064">
        <v>67519</v>
      </c>
      <c r="G7064">
        <v>1988</v>
      </c>
      <c r="H7064">
        <v>66525</v>
      </c>
      <c r="I7064">
        <v>899927</v>
      </c>
    </row>
    <row r="7065" spans="1:9">
      <c r="A7065" s="2">
        <v>2013</v>
      </c>
      <c r="B7065">
        <v>68</v>
      </c>
      <c r="C7065">
        <v>3.4000000000000002E-2</v>
      </c>
      <c r="D7065">
        <v>3.3430000000000001E-2</v>
      </c>
      <c r="E7065">
        <v>0.5</v>
      </c>
      <c r="F7065">
        <v>65531</v>
      </c>
      <c r="G7065">
        <v>2191</v>
      </c>
      <c r="H7065">
        <v>64435</v>
      </c>
      <c r="I7065">
        <v>833403</v>
      </c>
    </row>
    <row r="7066" spans="1:9">
      <c r="A7066" s="2">
        <v>2013</v>
      </c>
      <c r="B7066">
        <v>69</v>
      </c>
      <c r="C7066">
        <v>3.7789999999999997E-2</v>
      </c>
      <c r="D7066">
        <v>3.7080000000000002E-2</v>
      </c>
      <c r="E7066">
        <v>0.5</v>
      </c>
      <c r="F7066">
        <v>63340</v>
      </c>
      <c r="G7066">
        <v>2349</v>
      </c>
      <c r="H7066">
        <v>62165</v>
      </c>
      <c r="I7066">
        <v>768967</v>
      </c>
    </row>
    <row r="7067" spans="1:9">
      <c r="A7067" s="2">
        <v>2013</v>
      </c>
      <c r="B7067">
        <v>70</v>
      </c>
      <c r="C7067">
        <v>3.9079999999999997E-2</v>
      </c>
      <c r="D7067">
        <v>3.8330000000000003E-2</v>
      </c>
      <c r="E7067">
        <v>0.5</v>
      </c>
      <c r="F7067">
        <v>60991</v>
      </c>
      <c r="G7067">
        <v>2338</v>
      </c>
      <c r="H7067">
        <v>59822</v>
      </c>
      <c r="I7067">
        <v>706802</v>
      </c>
    </row>
    <row r="7068" spans="1:9">
      <c r="A7068" s="2">
        <v>2013</v>
      </c>
      <c r="B7068">
        <v>71</v>
      </c>
      <c r="C7068">
        <v>4.1320000000000003E-2</v>
      </c>
      <c r="D7068">
        <v>4.0480000000000002E-2</v>
      </c>
      <c r="E7068">
        <v>0.5</v>
      </c>
      <c r="F7068">
        <v>58653</v>
      </c>
      <c r="G7068">
        <v>2375</v>
      </c>
      <c r="H7068">
        <v>57466</v>
      </c>
      <c r="I7068">
        <v>646981</v>
      </c>
    </row>
    <row r="7069" spans="1:9">
      <c r="A7069" s="2">
        <v>2013</v>
      </c>
      <c r="B7069">
        <v>72</v>
      </c>
      <c r="C7069">
        <v>4.5740000000000003E-2</v>
      </c>
      <c r="D7069">
        <v>4.471E-2</v>
      </c>
      <c r="E7069">
        <v>0.5</v>
      </c>
      <c r="F7069">
        <v>56278</v>
      </c>
      <c r="G7069">
        <v>2516</v>
      </c>
      <c r="H7069">
        <v>55020</v>
      </c>
      <c r="I7069">
        <v>589515</v>
      </c>
    </row>
    <row r="7070" spans="1:9">
      <c r="A7070" s="2">
        <v>2013</v>
      </c>
      <c r="B7070">
        <v>73</v>
      </c>
      <c r="C7070">
        <v>5.0099999999999999E-2</v>
      </c>
      <c r="D7070">
        <v>4.888E-2</v>
      </c>
      <c r="E7070">
        <v>0.5</v>
      </c>
      <c r="F7070">
        <v>53762</v>
      </c>
      <c r="G7070">
        <v>2628</v>
      </c>
      <c r="H7070">
        <v>52448</v>
      </c>
      <c r="I7070">
        <v>534495</v>
      </c>
    </row>
    <row r="7071" spans="1:9">
      <c r="A7071" s="2">
        <v>2013</v>
      </c>
      <c r="B7071">
        <v>74</v>
      </c>
      <c r="C7071">
        <v>5.2200000000000003E-2</v>
      </c>
      <c r="D7071">
        <v>5.0869999999999999E-2</v>
      </c>
      <c r="E7071">
        <v>0.5</v>
      </c>
      <c r="F7071">
        <v>51134</v>
      </c>
      <c r="G7071">
        <v>2601</v>
      </c>
      <c r="H7071">
        <v>49834</v>
      </c>
      <c r="I7071">
        <v>482047</v>
      </c>
    </row>
    <row r="7072" spans="1:9">
      <c r="A7072" s="2">
        <v>2013</v>
      </c>
      <c r="B7072">
        <v>75</v>
      </c>
      <c r="C7072">
        <v>6.0199999999999997E-2</v>
      </c>
      <c r="D7072">
        <v>5.8439999999999999E-2</v>
      </c>
      <c r="E7072">
        <v>0.5</v>
      </c>
      <c r="F7072">
        <v>48533</v>
      </c>
      <c r="G7072">
        <v>2836</v>
      </c>
      <c r="H7072">
        <v>47115</v>
      </c>
      <c r="I7072">
        <v>432213</v>
      </c>
    </row>
    <row r="7073" spans="1:9">
      <c r="A7073" s="2">
        <v>2013</v>
      </c>
      <c r="B7073">
        <v>76</v>
      </c>
      <c r="C7073">
        <v>6.6619999999999999E-2</v>
      </c>
      <c r="D7073">
        <v>6.447E-2</v>
      </c>
      <c r="E7073">
        <v>0.5</v>
      </c>
      <c r="F7073">
        <v>45697</v>
      </c>
      <c r="G7073">
        <v>2946</v>
      </c>
      <c r="H7073">
        <v>44224</v>
      </c>
      <c r="I7073">
        <v>385098</v>
      </c>
    </row>
    <row r="7074" spans="1:9">
      <c r="A7074" s="2">
        <v>2013</v>
      </c>
      <c r="B7074">
        <v>77</v>
      </c>
      <c r="C7074">
        <v>7.1410000000000001E-2</v>
      </c>
      <c r="D7074">
        <v>6.8949999999999997E-2</v>
      </c>
      <c r="E7074">
        <v>0.5</v>
      </c>
      <c r="F7074">
        <v>42751</v>
      </c>
      <c r="G7074">
        <v>2948</v>
      </c>
      <c r="H7074">
        <v>41277</v>
      </c>
      <c r="I7074">
        <v>340874</v>
      </c>
    </row>
    <row r="7075" spans="1:9">
      <c r="A7075" s="2">
        <v>2013</v>
      </c>
      <c r="B7075">
        <v>78</v>
      </c>
      <c r="C7075">
        <v>7.936E-2</v>
      </c>
      <c r="D7075">
        <v>7.6340000000000005E-2</v>
      </c>
      <c r="E7075">
        <v>0.5</v>
      </c>
      <c r="F7075">
        <v>39803</v>
      </c>
      <c r="G7075">
        <v>3038</v>
      </c>
      <c r="H7075">
        <v>38284</v>
      </c>
      <c r="I7075">
        <v>299597</v>
      </c>
    </row>
    <row r="7076" spans="1:9">
      <c r="A7076" s="2">
        <v>2013</v>
      </c>
      <c r="B7076">
        <v>79</v>
      </c>
      <c r="C7076">
        <v>8.3820000000000006E-2</v>
      </c>
      <c r="D7076">
        <v>8.0439999999999998E-2</v>
      </c>
      <c r="E7076">
        <v>0.5</v>
      </c>
      <c r="F7076">
        <v>36765</v>
      </c>
      <c r="G7076">
        <v>2958</v>
      </c>
      <c r="H7076">
        <v>35286</v>
      </c>
      <c r="I7076">
        <v>261313</v>
      </c>
    </row>
    <row r="7077" spans="1:9">
      <c r="A7077" s="2">
        <v>2013</v>
      </c>
      <c r="B7077">
        <v>80</v>
      </c>
      <c r="C7077">
        <v>8.9719999999999994E-2</v>
      </c>
      <c r="D7077">
        <v>8.5860000000000006E-2</v>
      </c>
      <c r="E7077">
        <v>0.5</v>
      </c>
      <c r="F7077">
        <v>33807</v>
      </c>
      <c r="G7077">
        <v>2903</v>
      </c>
      <c r="H7077">
        <v>32356</v>
      </c>
      <c r="I7077">
        <v>226026</v>
      </c>
    </row>
    <row r="7078" spans="1:9">
      <c r="A7078" s="2">
        <v>2013</v>
      </c>
      <c r="B7078">
        <v>81</v>
      </c>
      <c r="C7078">
        <v>9.7960000000000005E-2</v>
      </c>
      <c r="D7078">
        <v>9.3390000000000001E-2</v>
      </c>
      <c r="E7078">
        <v>0.5</v>
      </c>
      <c r="F7078">
        <v>30905</v>
      </c>
      <c r="G7078">
        <v>2886</v>
      </c>
      <c r="H7078">
        <v>29462</v>
      </c>
      <c r="I7078">
        <v>193670</v>
      </c>
    </row>
    <row r="7079" spans="1:9">
      <c r="A7079" s="2">
        <v>2013</v>
      </c>
      <c r="B7079">
        <v>82</v>
      </c>
      <c r="C7079">
        <v>0.11081000000000001</v>
      </c>
      <c r="D7079">
        <v>0.10499</v>
      </c>
      <c r="E7079">
        <v>0.5</v>
      </c>
      <c r="F7079">
        <v>28018</v>
      </c>
      <c r="G7079">
        <v>2942</v>
      </c>
      <c r="H7079">
        <v>26548</v>
      </c>
      <c r="I7079">
        <v>164209</v>
      </c>
    </row>
    <row r="7080" spans="1:9">
      <c r="A7080" s="2">
        <v>2013</v>
      </c>
      <c r="B7080">
        <v>83</v>
      </c>
      <c r="C7080">
        <v>0.12027</v>
      </c>
      <c r="D7080">
        <v>0.11345</v>
      </c>
      <c r="E7080">
        <v>0.5</v>
      </c>
      <c r="F7080">
        <v>25077</v>
      </c>
      <c r="G7080">
        <v>2845</v>
      </c>
      <c r="H7080">
        <v>23654</v>
      </c>
      <c r="I7080">
        <v>137661</v>
      </c>
    </row>
    <row r="7081" spans="1:9">
      <c r="A7081" s="2">
        <v>2013</v>
      </c>
      <c r="B7081">
        <v>84</v>
      </c>
      <c r="C7081">
        <v>0.13327</v>
      </c>
      <c r="D7081">
        <v>0.12494</v>
      </c>
      <c r="E7081">
        <v>0.5</v>
      </c>
      <c r="F7081">
        <v>22232</v>
      </c>
      <c r="G7081">
        <v>2778</v>
      </c>
      <c r="H7081">
        <v>20843</v>
      </c>
      <c r="I7081">
        <v>114007</v>
      </c>
    </row>
    <row r="7082" spans="1:9">
      <c r="A7082" s="2">
        <v>2013</v>
      </c>
      <c r="B7082">
        <v>85</v>
      </c>
      <c r="C7082">
        <v>0.14892</v>
      </c>
      <c r="D7082">
        <v>0.1386</v>
      </c>
      <c r="E7082">
        <v>0.5</v>
      </c>
      <c r="F7082">
        <v>19454</v>
      </c>
      <c r="G7082">
        <v>2696</v>
      </c>
      <c r="H7082">
        <v>18106</v>
      </c>
      <c r="I7082">
        <v>93164</v>
      </c>
    </row>
    <row r="7083" spans="1:9">
      <c r="A7083" s="2">
        <v>2013</v>
      </c>
      <c r="B7083">
        <v>86</v>
      </c>
      <c r="C7083">
        <v>0.16142000000000001</v>
      </c>
      <c r="D7083">
        <v>0.14935999999999999</v>
      </c>
      <c r="E7083">
        <v>0.5</v>
      </c>
      <c r="F7083">
        <v>16758</v>
      </c>
      <c r="G7083">
        <v>2503</v>
      </c>
      <c r="H7083">
        <v>15506</v>
      </c>
      <c r="I7083">
        <v>75058</v>
      </c>
    </row>
    <row r="7084" spans="1:9">
      <c r="A7084" s="2">
        <v>2013</v>
      </c>
      <c r="B7084">
        <v>87</v>
      </c>
      <c r="C7084">
        <v>0.17788999999999999</v>
      </c>
      <c r="D7084">
        <v>0.16336000000000001</v>
      </c>
      <c r="E7084">
        <v>0.5</v>
      </c>
      <c r="F7084">
        <v>14255</v>
      </c>
      <c r="G7084">
        <v>2329</v>
      </c>
      <c r="H7084">
        <v>13091</v>
      </c>
      <c r="I7084">
        <v>59551</v>
      </c>
    </row>
    <row r="7085" spans="1:9">
      <c r="A7085" s="2">
        <v>2013</v>
      </c>
      <c r="B7085">
        <v>88</v>
      </c>
      <c r="C7085">
        <v>0.20033999999999999</v>
      </c>
      <c r="D7085">
        <v>0.18210000000000001</v>
      </c>
      <c r="E7085">
        <v>0.5</v>
      </c>
      <c r="F7085">
        <v>11926</v>
      </c>
      <c r="G7085">
        <v>2172</v>
      </c>
      <c r="H7085">
        <v>10840</v>
      </c>
      <c r="I7085">
        <v>46461</v>
      </c>
    </row>
    <row r="7086" spans="1:9">
      <c r="A7086" s="2">
        <v>2013</v>
      </c>
      <c r="B7086">
        <v>89</v>
      </c>
      <c r="C7086">
        <v>0.21093000000000001</v>
      </c>
      <c r="D7086">
        <v>0.1908</v>
      </c>
      <c r="E7086">
        <v>0.5</v>
      </c>
      <c r="F7086">
        <v>9755</v>
      </c>
      <c r="G7086">
        <v>1861</v>
      </c>
      <c r="H7086">
        <v>8824</v>
      </c>
      <c r="I7086">
        <v>35620</v>
      </c>
    </row>
    <row r="7087" spans="1:9">
      <c r="A7087" s="2">
        <v>2013</v>
      </c>
      <c r="B7087">
        <v>90</v>
      </c>
      <c r="C7087">
        <v>0.24478</v>
      </c>
      <c r="D7087">
        <v>0.21809000000000001</v>
      </c>
      <c r="E7087">
        <v>0.5</v>
      </c>
      <c r="F7087">
        <v>7893</v>
      </c>
      <c r="G7087">
        <v>1721</v>
      </c>
      <c r="H7087">
        <v>7033</v>
      </c>
      <c r="I7087">
        <v>26796</v>
      </c>
    </row>
    <row r="7088" spans="1:9">
      <c r="A7088" s="2">
        <v>2013</v>
      </c>
      <c r="B7088">
        <v>91</v>
      </c>
      <c r="C7088">
        <v>0.26190000000000002</v>
      </c>
      <c r="D7088">
        <v>0.23158000000000001</v>
      </c>
      <c r="E7088">
        <v>0.5</v>
      </c>
      <c r="F7088">
        <v>6172</v>
      </c>
      <c r="G7088">
        <v>1429</v>
      </c>
      <c r="H7088">
        <v>5457</v>
      </c>
      <c r="I7088">
        <v>19764</v>
      </c>
    </row>
    <row r="7089" spans="1:9">
      <c r="A7089" s="2">
        <v>2013</v>
      </c>
      <c r="B7089">
        <v>92</v>
      </c>
      <c r="C7089">
        <v>0.28000999999999998</v>
      </c>
      <c r="D7089">
        <v>0.24562</v>
      </c>
      <c r="E7089">
        <v>0.5</v>
      </c>
      <c r="F7089">
        <v>4743</v>
      </c>
      <c r="G7089">
        <v>1165</v>
      </c>
      <c r="H7089">
        <v>4160</v>
      </c>
      <c r="I7089">
        <v>14307</v>
      </c>
    </row>
    <row r="7090" spans="1:9">
      <c r="A7090" s="2">
        <v>2013</v>
      </c>
      <c r="B7090">
        <v>93</v>
      </c>
      <c r="C7090">
        <v>0.31701000000000001</v>
      </c>
      <c r="D7090">
        <v>0.27363999999999999</v>
      </c>
      <c r="E7090">
        <v>0.5</v>
      </c>
      <c r="F7090">
        <v>3578</v>
      </c>
      <c r="G7090">
        <v>979</v>
      </c>
      <c r="H7090">
        <v>3088</v>
      </c>
      <c r="I7090">
        <v>10146</v>
      </c>
    </row>
    <row r="7091" spans="1:9">
      <c r="A7091" s="2">
        <v>2013</v>
      </c>
      <c r="B7091">
        <v>94</v>
      </c>
      <c r="C7091">
        <v>0.29175000000000001</v>
      </c>
      <c r="D7091">
        <v>0.25461</v>
      </c>
      <c r="E7091">
        <v>0.5</v>
      </c>
      <c r="F7091">
        <v>2599</v>
      </c>
      <c r="G7091">
        <v>662</v>
      </c>
      <c r="H7091">
        <v>2268</v>
      </c>
      <c r="I7091">
        <v>7058</v>
      </c>
    </row>
    <row r="7092" spans="1:9">
      <c r="A7092" s="2">
        <v>2013</v>
      </c>
      <c r="B7092">
        <v>95</v>
      </c>
      <c r="C7092">
        <v>0.35691000000000001</v>
      </c>
      <c r="D7092">
        <v>0.30286000000000002</v>
      </c>
      <c r="E7092">
        <v>0.5</v>
      </c>
      <c r="F7092">
        <v>1937</v>
      </c>
      <c r="G7092">
        <v>587</v>
      </c>
      <c r="H7092">
        <v>1644</v>
      </c>
      <c r="I7092">
        <v>4790</v>
      </c>
    </row>
    <row r="7093" spans="1:9">
      <c r="A7093" s="2">
        <v>2013</v>
      </c>
      <c r="B7093">
        <v>96</v>
      </c>
      <c r="C7093">
        <v>0.38394</v>
      </c>
      <c r="D7093">
        <v>0.32211000000000001</v>
      </c>
      <c r="E7093">
        <v>0.5</v>
      </c>
      <c r="F7093">
        <v>1350</v>
      </c>
      <c r="G7093">
        <v>435</v>
      </c>
      <c r="H7093">
        <v>1133</v>
      </c>
      <c r="I7093">
        <v>3147</v>
      </c>
    </row>
    <row r="7094" spans="1:9">
      <c r="A7094" s="2">
        <v>2013</v>
      </c>
      <c r="B7094">
        <v>97</v>
      </c>
      <c r="C7094">
        <v>0.41171999999999997</v>
      </c>
      <c r="D7094">
        <v>0.34143000000000001</v>
      </c>
      <c r="E7094">
        <v>0.5</v>
      </c>
      <c r="F7094">
        <v>915</v>
      </c>
      <c r="G7094">
        <v>313</v>
      </c>
      <c r="H7094">
        <v>759</v>
      </c>
      <c r="I7094">
        <v>2014</v>
      </c>
    </row>
    <row r="7095" spans="1:9">
      <c r="A7095" s="2">
        <v>2013</v>
      </c>
      <c r="B7095">
        <v>98</v>
      </c>
      <c r="C7095">
        <v>0.44007000000000002</v>
      </c>
      <c r="D7095">
        <v>0.36070000000000002</v>
      </c>
      <c r="E7095">
        <v>0.5</v>
      </c>
      <c r="F7095">
        <v>603</v>
      </c>
      <c r="G7095">
        <v>217</v>
      </c>
      <c r="H7095">
        <v>494</v>
      </c>
      <c r="I7095">
        <v>1255</v>
      </c>
    </row>
    <row r="7096" spans="1:9">
      <c r="A7096" s="2">
        <v>2013</v>
      </c>
      <c r="B7096">
        <v>99</v>
      </c>
      <c r="C7096">
        <v>0.46881</v>
      </c>
      <c r="D7096">
        <v>0.37979000000000002</v>
      </c>
      <c r="E7096">
        <v>0.5</v>
      </c>
      <c r="F7096">
        <v>385</v>
      </c>
      <c r="G7096">
        <v>146</v>
      </c>
      <c r="H7096">
        <v>312</v>
      </c>
      <c r="I7096">
        <v>760</v>
      </c>
    </row>
    <row r="7097" spans="1:9">
      <c r="A7097" s="2">
        <v>2013</v>
      </c>
      <c r="B7097">
        <v>100</v>
      </c>
      <c r="C7097">
        <v>0.49776999999999999</v>
      </c>
      <c r="D7097">
        <v>0.39856999999999998</v>
      </c>
      <c r="E7097">
        <v>0.5</v>
      </c>
      <c r="F7097">
        <v>239</v>
      </c>
      <c r="G7097">
        <v>95</v>
      </c>
      <c r="H7097">
        <v>191</v>
      </c>
      <c r="I7097">
        <v>448</v>
      </c>
    </row>
    <row r="7098" spans="1:9">
      <c r="A7098" s="2">
        <v>2013</v>
      </c>
      <c r="B7098">
        <v>101</v>
      </c>
      <c r="C7098">
        <v>0.52673000000000003</v>
      </c>
      <c r="D7098">
        <v>0.41693000000000002</v>
      </c>
      <c r="E7098">
        <v>0.5</v>
      </c>
      <c r="F7098">
        <v>144</v>
      </c>
      <c r="G7098">
        <v>60</v>
      </c>
      <c r="H7098">
        <v>114</v>
      </c>
      <c r="I7098">
        <v>257</v>
      </c>
    </row>
    <row r="7099" spans="1:9">
      <c r="A7099" s="2">
        <v>2013</v>
      </c>
      <c r="B7099">
        <v>102</v>
      </c>
      <c r="C7099">
        <v>0.55552000000000001</v>
      </c>
      <c r="D7099">
        <v>0.43475999999999998</v>
      </c>
      <c r="E7099">
        <v>0.5</v>
      </c>
      <c r="F7099">
        <v>84</v>
      </c>
      <c r="G7099">
        <v>36</v>
      </c>
      <c r="H7099">
        <v>66</v>
      </c>
      <c r="I7099">
        <v>143</v>
      </c>
    </row>
    <row r="7100" spans="1:9">
      <c r="A7100" s="2">
        <v>2013</v>
      </c>
      <c r="B7100">
        <v>103</v>
      </c>
      <c r="C7100">
        <v>0.58394999999999997</v>
      </c>
      <c r="D7100">
        <v>0.45197999999999999</v>
      </c>
      <c r="E7100">
        <v>0.5</v>
      </c>
      <c r="F7100">
        <v>47</v>
      </c>
      <c r="G7100">
        <v>21</v>
      </c>
      <c r="H7100">
        <v>37</v>
      </c>
      <c r="I7100">
        <v>77</v>
      </c>
    </row>
    <row r="7101" spans="1:9">
      <c r="A7101" s="2">
        <v>2013</v>
      </c>
      <c r="B7101">
        <v>104</v>
      </c>
      <c r="C7101">
        <v>0.61182000000000003</v>
      </c>
      <c r="D7101">
        <v>0.46850000000000003</v>
      </c>
      <c r="E7101">
        <v>0.5</v>
      </c>
      <c r="F7101">
        <v>26</v>
      </c>
      <c r="G7101">
        <v>12</v>
      </c>
      <c r="H7101">
        <v>20</v>
      </c>
      <c r="I7101">
        <v>41</v>
      </c>
    </row>
    <row r="7102" spans="1:9">
      <c r="A7102" s="2">
        <v>2013</v>
      </c>
      <c r="B7102">
        <v>105</v>
      </c>
      <c r="C7102">
        <v>0.63897999999999999</v>
      </c>
      <c r="D7102">
        <v>0.48426000000000002</v>
      </c>
      <c r="E7102">
        <v>0.5</v>
      </c>
      <c r="F7102">
        <v>14</v>
      </c>
      <c r="G7102">
        <v>7</v>
      </c>
      <c r="H7102">
        <v>10</v>
      </c>
      <c r="I7102">
        <v>21</v>
      </c>
    </row>
    <row r="7103" spans="1:9">
      <c r="A7103" s="2">
        <v>2013</v>
      </c>
      <c r="B7103">
        <v>106</v>
      </c>
      <c r="C7103">
        <v>0.66527999999999998</v>
      </c>
      <c r="D7103">
        <v>0.49922</v>
      </c>
      <c r="E7103">
        <v>0.5</v>
      </c>
      <c r="F7103">
        <v>7</v>
      </c>
      <c r="G7103">
        <v>4</v>
      </c>
      <c r="H7103">
        <v>5</v>
      </c>
      <c r="I7103">
        <v>10</v>
      </c>
    </row>
    <row r="7104" spans="1:9">
      <c r="A7104" s="2">
        <v>2013</v>
      </c>
      <c r="B7104">
        <v>107</v>
      </c>
      <c r="C7104">
        <v>0.69059000000000004</v>
      </c>
      <c r="D7104">
        <v>0.51334000000000002</v>
      </c>
      <c r="E7104">
        <v>0.5</v>
      </c>
      <c r="F7104">
        <v>4</v>
      </c>
      <c r="G7104">
        <v>2</v>
      </c>
      <c r="H7104">
        <v>3</v>
      </c>
      <c r="I7104">
        <v>5</v>
      </c>
    </row>
    <row r="7105" spans="1:9">
      <c r="A7105" s="2">
        <v>2013</v>
      </c>
      <c r="B7105">
        <v>108</v>
      </c>
      <c r="C7105">
        <v>0.71480999999999995</v>
      </c>
      <c r="D7105">
        <v>0.52659999999999996</v>
      </c>
      <c r="E7105">
        <v>0.5</v>
      </c>
      <c r="F7105">
        <v>2</v>
      </c>
      <c r="G7105">
        <v>1</v>
      </c>
      <c r="H7105">
        <v>1</v>
      </c>
      <c r="I7105">
        <v>2</v>
      </c>
    </row>
    <row r="7106" spans="1:9">
      <c r="A7106" s="2">
        <v>2013</v>
      </c>
      <c r="B7106">
        <v>109</v>
      </c>
      <c r="C7106">
        <v>0.73785000000000001</v>
      </c>
      <c r="D7106">
        <v>0.53900000000000003</v>
      </c>
      <c r="E7106">
        <v>0.5</v>
      </c>
      <c r="F7106">
        <v>1</v>
      </c>
      <c r="G7106">
        <v>0</v>
      </c>
      <c r="H7106">
        <v>1</v>
      </c>
      <c r="I7106">
        <v>1</v>
      </c>
    </row>
    <row r="7107" spans="1:9">
      <c r="A7107" s="2">
        <v>2013</v>
      </c>
      <c r="B7107" t="s">
        <v>26</v>
      </c>
      <c r="C7107">
        <v>0.75966</v>
      </c>
      <c r="D7107">
        <v>1</v>
      </c>
      <c r="E7107">
        <v>1.32</v>
      </c>
      <c r="F7107">
        <v>0</v>
      </c>
      <c r="G7107">
        <v>0</v>
      </c>
      <c r="H7107">
        <v>0</v>
      </c>
      <c r="I7107">
        <v>0</v>
      </c>
    </row>
    <row r="7108" spans="1:9">
      <c r="A7108" s="2">
        <v>2014</v>
      </c>
      <c r="B7108">
        <v>0</v>
      </c>
      <c r="C7108">
        <v>5.0499999999999998E-3</v>
      </c>
      <c r="D7108">
        <v>5.0299999999999997E-3</v>
      </c>
      <c r="E7108">
        <v>0.14000000000000001</v>
      </c>
      <c r="F7108">
        <v>100000</v>
      </c>
      <c r="G7108">
        <v>503</v>
      </c>
      <c r="H7108">
        <v>99567</v>
      </c>
      <c r="I7108">
        <v>7225417</v>
      </c>
    </row>
    <row r="7109" spans="1:9">
      <c r="A7109" s="2">
        <v>2014</v>
      </c>
      <c r="B7109">
        <v>1</v>
      </c>
      <c r="C7109">
        <v>4.2999999999999999E-4</v>
      </c>
      <c r="D7109">
        <v>4.2999999999999999E-4</v>
      </c>
      <c r="E7109">
        <v>0.5</v>
      </c>
      <c r="F7109">
        <v>99497</v>
      </c>
      <c r="G7109">
        <v>43</v>
      </c>
      <c r="H7109">
        <v>99475</v>
      </c>
      <c r="I7109">
        <v>7125850</v>
      </c>
    </row>
    <row r="7110" spans="1:9">
      <c r="A7110" s="2">
        <v>2014</v>
      </c>
      <c r="B7110">
        <v>2</v>
      </c>
      <c r="C7110">
        <v>2.2000000000000001E-4</v>
      </c>
      <c r="D7110">
        <v>2.2000000000000001E-4</v>
      </c>
      <c r="E7110">
        <v>0.5</v>
      </c>
      <c r="F7110">
        <v>99454</v>
      </c>
      <c r="G7110">
        <v>21</v>
      </c>
      <c r="H7110">
        <v>99443</v>
      </c>
      <c r="I7110">
        <v>7026375</v>
      </c>
    </row>
    <row r="7111" spans="1:9">
      <c r="A7111" s="2">
        <v>2014</v>
      </c>
      <c r="B7111">
        <v>3</v>
      </c>
      <c r="C7111">
        <v>2.4000000000000001E-4</v>
      </c>
      <c r="D7111">
        <v>2.4000000000000001E-4</v>
      </c>
      <c r="E7111">
        <v>0.5</v>
      </c>
      <c r="F7111">
        <v>99432</v>
      </c>
      <c r="G7111">
        <v>24</v>
      </c>
      <c r="H7111">
        <v>99420</v>
      </c>
      <c r="I7111">
        <v>6926932</v>
      </c>
    </row>
    <row r="7112" spans="1:9">
      <c r="A7112" s="2">
        <v>2014</v>
      </c>
      <c r="B7112">
        <v>4</v>
      </c>
      <c r="C7112">
        <v>1.4999999999999999E-4</v>
      </c>
      <c r="D7112">
        <v>1.4999999999999999E-4</v>
      </c>
      <c r="E7112">
        <v>0.5</v>
      </c>
      <c r="F7112">
        <v>99408</v>
      </c>
      <c r="G7112">
        <v>14</v>
      </c>
      <c r="H7112">
        <v>99401</v>
      </c>
      <c r="I7112">
        <v>6827512</v>
      </c>
    </row>
    <row r="7113" spans="1:9">
      <c r="A7113" s="2">
        <v>2014</v>
      </c>
      <c r="B7113">
        <v>5</v>
      </c>
      <c r="C7113">
        <v>1.3999999999999999E-4</v>
      </c>
      <c r="D7113">
        <v>1.3999999999999999E-4</v>
      </c>
      <c r="E7113">
        <v>0.5</v>
      </c>
      <c r="F7113">
        <v>99394</v>
      </c>
      <c r="G7113">
        <v>14</v>
      </c>
      <c r="H7113">
        <v>99387</v>
      </c>
      <c r="I7113">
        <v>6728111</v>
      </c>
    </row>
    <row r="7114" spans="1:9">
      <c r="A7114" s="2">
        <v>2014</v>
      </c>
      <c r="B7114">
        <v>6</v>
      </c>
      <c r="C7114">
        <v>1.3999999999999999E-4</v>
      </c>
      <c r="D7114">
        <v>1.3999999999999999E-4</v>
      </c>
      <c r="E7114">
        <v>0.5</v>
      </c>
      <c r="F7114">
        <v>99380</v>
      </c>
      <c r="G7114">
        <v>14</v>
      </c>
      <c r="H7114">
        <v>99373</v>
      </c>
      <c r="I7114">
        <v>6628724</v>
      </c>
    </row>
    <row r="7115" spans="1:9">
      <c r="A7115" s="2">
        <v>2014</v>
      </c>
      <c r="B7115">
        <v>7</v>
      </c>
      <c r="C7115">
        <v>6.0000000000000002E-5</v>
      </c>
      <c r="D7115">
        <v>6.0000000000000002E-5</v>
      </c>
      <c r="E7115">
        <v>0.5</v>
      </c>
      <c r="F7115">
        <v>99366</v>
      </c>
      <c r="G7115">
        <v>6</v>
      </c>
      <c r="H7115">
        <v>99363</v>
      </c>
      <c r="I7115">
        <v>6529351</v>
      </c>
    </row>
    <row r="7116" spans="1:9">
      <c r="A7116" s="2">
        <v>2014</v>
      </c>
      <c r="B7116">
        <v>8</v>
      </c>
      <c r="C7116">
        <v>1.6000000000000001E-4</v>
      </c>
      <c r="D7116">
        <v>1.6000000000000001E-4</v>
      </c>
      <c r="E7116">
        <v>0.5</v>
      </c>
      <c r="F7116">
        <v>99360</v>
      </c>
      <c r="G7116">
        <v>16</v>
      </c>
      <c r="H7116">
        <v>99353</v>
      </c>
      <c r="I7116">
        <v>6429988</v>
      </c>
    </row>
    <row r="7117" spans="1:9">
      <c r="A7117" s="2">
        <v>2014</v>
      </c>
      <c r="B7117">
        <v>9</v>
      </c>
      <c r="C7117">
        <v>6.0000000000000002E-5</v>
      </c>
      <c r="D7117">
        <v>6.0000000000000002E-5</v>
      </c>
      <c r="E7117">
        <v>0.5</v>
      </c>
      <c r="F7117">
        <v>99345</v>
      </c>
      <c r="G7117">
        <v>6</v>
      </c>
      <c r="H7117">
        <v>99342</v>
      </c>
      <c r="I7117">
        <v>6330636</v>
      </c>
    </row>
    <row r="7118" spans="1:9">
      <c r="A7118" s="2">
        <v>2014</v>
      </c>
      <c r="B7118">
        <v>10</v>
      </c>
      <c r="C7118">
        <v>1.4999999999999999E-4</v>
      </c>
      <c r="D7118">
        <v>1.4999999999999999E-4</v>
      </c>
      <c r="E7118">
        <v>0.5</v>
      </c>
      <c r="F7118">
        <v>99339</v>
      </c>
      <c r="G7118">
        <v>14</v>
      </c>
      <c r="H7118">
        <v>99332</v>
      </c>
      <c r="I7118">
        <v>6231294</v>
      </c>
    </row>
    <row r="7119" spans="1:9">
      <c r="A7119" s="2">
        <v>2014</v>
      </c>
      <c r="B7119">
        <v>11</v>
      </c>
      <c r="C7119">
        <v>1.6000000000000001E-4</v>
      </c>
      <c r="D7119">
        <v>1.6000000000000001E-4</v>
      </c>
      <c r="E7119">
        <v>0.5</v>
      </c>
      <c r="F7119">
        <v>99324</v>
      </c>
      <c r="G7119">
        <v>16</v>
      </c>
      <c r="H7119">
        <v>99316</v>
      </c>
      <c r="I7119">
        <v>6131962</v>
      </c>
    </row>
    <row r="7120" spans="1:9">
      <c r="A7120" s="2">
        <v>2014</v>
      </c>
      <c r="B7120">
        <v>12</v>
      </c>
      <c r="C7120">
        <v>1.3999999999999999E-4</v>
      </c>
      <c r="D7120">
        <v>1.3999999999999999E-4</v>
      </c>
      <c r="E7120">
        <v>0.5</v>
      </c>
      <c r="F7120">
        <v>99308</v>
      </c>
      <c r="G7120">
        <v>14</v>
      </c>
      <c r="H7120">
        <v>99301</v>
      </c>
      <c r="I7120">
        <v>6032646</v>
      </c>
    </row>
    <row r="7121" spans="1:9">
      <c r="A7121" s="2">
        <v>2014</v>
      </c>
      <c r="B7121">
        <v>13</v>
      </c>
      <c r="C7121">
        <v>1.8000000000000001E-4</v>
      </c>
      <c r="D7121">
        <v>1.8000000000000001E-4</v>
      </c>
      <c r="E7121">
        <v>0.5</v>
      </c>
      <c r="F7121">
        <v>99294</v>
      </c>
      <c r="G7121">
        <v>18</v>
      </c>
      <c r="H7121">
        <v>99285</v>
      </c>
      <c r="I7121">
        <v>5933345</v>
      </c>
    </row>
    <row r="7122" spans="1:9">
      <c r="A7122" s="2">
        <v>2014</v>
      </c>
      <c r="B7122">
        <v>14</v>
      </c>
      <c r="C7122">
        <v>2.2000000000000001E-4</v>
      </c>
      <c r="D7122">
        <v>2.2000000000000001E-4</v>
      </c>
      <c r="E7122">
        <v>0.5</v>
      </c>
      <c r="F7122">
        <v>99276</v>
      </c>
      <c r="G7122">
        <v>22</v>
      </c>
      <c r="H7122">
        <v>99265</v>
      </c>
      <c r="I7122">
        <v>5834060</v>
      </c>
    </row>
    <row r="7123" spans="1:9">
      <c r="A7123" s="2">
        <v>2014</v>
      </c>
      <c r="B7123">
        <v>15</v>
      </c>
      <c r="C7123">
        <v>2.7E-4</v>
      </c>
      <c r="D7123">
        <v>2.7E-4</v>
      </c>
      <c r="E7123">
        <v>0.5</v>
      </c>
      <c r="F7123">
        <v>99254</v>
      </c>
      <c r="G7123">
        <v>26</v>
      </c>
      <c r="H7123">
        <v>99241</v>
      </c>
      <c r="I7123">
        <v>5734794</v>
      </c>
    </row>
    <row r="7124" spans="1:9">
      <c r="A7124" s="2">
        <v>2014</v>
      </c>
      <c r="B7124">
        <v>16</v>
      </c>
      <c r="C7124">
        <v>3.3E-4</v>
      </c>
      <c r="D7124">
        <v>3.3E-4</v>
      </c>
      <c r="E7124">
        <v>0.5</v>
      </c>
      <c r="F7124">
        <v>99228</v>
      </c>
      <c r="G7124">
        <v>33</v>
      </c>
      <c r="H7124">
        <v>99211</v>
      </c>
      <c r="I7124">
        <v>5635553</v>
      </c>
    </row>
    <row r="7125" spans="1:9">
      <c r="A7125" s="2">
        <v>2014</v>
      </c>
      <c r="B7125">
        <v>17</v>
      </c>
      <c r="C7125">
        <v>3.5E-4</v>
      </c>
      <c r="D7125">
        <v>3.5E-4</v>
      </c>
      <c r="E7125">
        <v>0.5</v>
      </c>
      <c r="F7125">
        <v>99195</v>
      </c>
      <c r="G7125">
        <v>35</v>
      </c>
      <c r="H7125">
        <v>99178</v>
      </c>
      <c r="I7125">
        <v>5536342</v>
      </c>
    </row>
    <row r="7126" spans="1:9">
      <c r="A7126" s="2">
        <v>2014</v>
      </c>
      <c r="B7126">
        <v>18</v>
      </c>
      <c r="C7126">
        <v>3.2000000000000003E-4</v>
      </c>
      <c r="D7126">
        <v>3.2000000000000003E-4</v>
      </c>
      <c r="E7126">
        <v>0.5</v>
      </c>
      <c r="F7126">
        <v>99160</v>
      </c>
      <c r="G7126">
        <v>32</v>
      </c>
      <c r="H7126">
        <v>99144</v>
      </c>
      <c r="I7126">
        <v>5437164</v>
      </c>
    </row>
    <row r="7127" spans="1:9">
      <c r="A7127" s="2">
        <v>2014</v>
      </c>
      <c r="B7127">
        <v>19</v>
      </c>
      <c r="C7127">
        <v>5.1999999999999995E-4</v>
      </c>
      <c r="D7127">
        <v>5.1999999999999995E-4</v>
      </c>
      <c r="E7127">
        <v>0.5</v>
      </c>
      <c r="F7127">
        <v>99128</v>
      </c>
      <c r="G7127">
        <v>51</v>
      </c>
      <c r="H7127">
        <v>99103</v>
      </c>
      <c r="I7127">
        <v>5338020</v>
      </c>
    </row>
    <row r="7128" spans="1:9">
      <c r="A7128" s="2">
        <v>2014</v>
      </c>
      <c r="B7128">
        <v>20</v>
      </c>
      <c r="C7128">
        <v>6.0999999999999997E-4</v>
      </c>
      <c r="D7128">
        <v>6.0999999999999997E-4</v>
      </c>
      <c r="E7128">
        <v>0.5</v>
      </c>
      <c r="F7128">
        <v>99077</v>
      </c>
      <c r="G7128">
        <v>60</v>
      </c>
      <c r="H7128">
        <v>99047</v>
      </c>
      <c r="I7128">
        <v>5238917</v>
      </c>
    </row>
    <row r="7129" spans="1:9">
      <c r="A7129" s="2">
        <v>2014</v>
      </c>
      <c r="B7129">
        <v>21</v>
      </c>
      <c r="C7129">
        <v>5.9000000000000003E-4</v>
      </c>
      <c r="D7129">
        <v>5.9000000000000003E-4</v>
      </c>
      <c r="E7129">
        <v>0.5</v>
      </c>
      <c r="F7129">
        <v>99017</v>
      </c>
      <c r="G7129">
        <v>58</v>
      </c>
      <c r="H7129">
        <v>98988</v>
      </c>
      <c r="I7129">
        <v>5139871</v>
      </c>
    </row>
    <row r="7130" spans="1:9">
      <c r="A7130" s="2">
        <v>2014</v>
      </c>
      <c r="B7130">
        <v>22</v>
      </c>
      <c r="C7130">
        <v>6.0999999999999997E-4</v>
      </c>
      <c r="D7130">
        <v>6.0999999999999997E-4</v>
      </c>
      <c r="E7130">
        <v>0.5</v>
      </c>
      <c r="F7130">
        <v>98959</v>
      </c>
      <c r="G7130">
        <v>60</v>
      </c>
      <c r="H7130">
        <v>98928</v>
      </c>
      <c r="I7130">
        <v>5040883</v>
      </c>
    </row>
    <row r="7131" spans="1:9">
      <c r="A7131" s="2">
        <v>2014</v>
      </c>
      <c r="B7131">
        <v>23</v>
      </c>
      <c r="C7131">
        <v>6.8000000000000005E-4</v>
      </c>
      <c r="D7131">
        <v>6.8000000000000005E-4</v>
      </c>
      <c r="E7131">
        <v>0.5</v>
      </c>
      <c r="F7131">
        <v>98898</v>
      </c>
      <c r="G7131">
        <v>67</v>
      </c>
      <c r="H7131">
        <v>98865</v>
      </c>
      <c r="I7131">
        <v>4941955</v>
      </c>
    </row>
    <row r="7132" spans="1:9">
      <c r="A7132" s="2">
        <v>2014</v>
      </c>
      <c r="B7132">
        <v>24</v>
      </c>
      <c r="C7132">
        <v>6.9999999999999999E-4</v>
      </c>
      <c r="D7132">
        <v>6.9999999999999999E-4</v>
      </c>
      <c r="E7132">
        <v>0.5</v>
      </c>
      <c r="F7132">
        <v>98831</v>
      </c>
      <c r="G7132">
        <v>69</v>
      </c>
      <c r="H7132">
        <v>98797</v>
      </c>
      <c r="I7132">
        <v>4843090</v>
      </c>
    </row>
    <row r="7133" spans="1:9">
      <c r="A7133" s="2">
        <v>2014</v>
      </c>
      <c r="B7133">
        <v>25</v>
      </c>
      <c r="C7133">
        <v>5.0000000000000001E-4</v>
      </c>
      <c r="D7133">
        <v>5.0000000000000001E-4</v>
      </c>
      <c r="E7133">
        <v>0.5</v>
      </c>
      <c r="F7133">
        <v>98762</v>
      </c>
      <c r="G7133">
        <v>50</v>
      </c>
      <c r="H7133">
        <v>98737</v>
      </c>
      <c r="I7133">
        <v>4744293</v>
      </c>
    </row>
    <row r="7134" spans="1:9">
      <c r="A7134" s="2">
        <v>2014</v>
      </c>
      <c r="B7134">
        <v>26</v>
      </c>
      <c r="C7134">
        <v>5.9000000000000003E-4</v>
      </c>
      <c r="D7134">
        <v>5.9000000000000003E-4</v>
      </c>
      <c r="E7134">
        <v>0.5</v>
      </c>
      <c r="F7134">
        <v>98712</v>
      </c>
      <c r="G7134">
        <v>58</v>
      </c>
      <c r="H7134">
        <v>98684</v>
      </c>
      <c r="I7134">
        <v>4645556</v>
      </c>
    </row>
    <row r="7135" spans="1:9">
      <c r="A7135" s="2">
        <v>2014</v>
      </c>
      <c r="B7135">
        <v>27</v>
      </c>
      <c r="C7135">
        <v>5.4000000000000001E-4</v>
      </c>
      <c r="D7135">
        <v>5.4000000000000001E-4</v>
      </c>
      <c r="E7135">
        <v>0.5</v>
      </c>
      <c r="F7135">
        <v>98655</v>
      </c>
      <c r="G7135">
        <v>54</v>
      </c>
      <c r="H7135">
        <v>98628</v>
      </c>
      <c r="I7135">
        <v>4546872</v>
      </c>
    </row>
    <row r="7136" spans="1:9">
      <c r="A7136" s="2">
        <v>2014</v>
      </c>
      <c r="B7136">
        <v>28</v>
      </c>
      <c r="C7136">
        <v>8.4999999999999995E-4</v>
      </c>
      <c r="D7136">
        <v>8.4999999999999995E-4</v>
      </c>
      <c r="E7136">
        <v>0.5</v>
      </c>
      <c r="F7136">
        <v>98601</v>
      </c>
      <c r="G7136">
        <v>84</v>
      </c>
      <c r="H7136">
        <v>98559</v>
      </c>
      <c r="I7136">
        <v>4448244</v>
      </c>
    </row>
    <row r="7137" spans="1:9">
      <c r="A7137" s="2">
        <v>2014</v>
      </c>
      <c r="B7137">
        <v>29</v>
      </c>
      <c r="C7137">
        <v>7.2000000000000005E-4</v>
      </c>
      <c r="D7137">
        <v>7.2000000000000005E-4</v>
      </c>
      <c r="E7137">
        <v>0.5</v>
      </c>
      <c r="F7137">
        <v>98517</v>
      </c>
      <c r="G7137">
        <v>71</v>
      </c>
      <c r="H7137">
        <v>98482</v>
      </c>
      <c r="I7137">
        <v>4349685</v>
      </c>
    </row>
    <row r="7138" spans="1:9">
      <c r="A7138" s="2">
        <v>2014</v>
      </c>
      <c r="B7138">
        <v>30</v>
      </c>
      <c r="C7138">
        <v>6.6E-4</v>
      </c>
      <c r="D7138">
        <v>6.6E-4</v>
      </c>
      <c r="E7138">
        <v>0.5</v>
      </c>
      <c r="F7138">
        <v>98447</v>
      </c>
      <c r="G7138">
        <v>65</v>
      </c>
      <c r="H7138">
        <v>98414</v>
      </c>
      <c r="I7138">
        <v>4251203</v>
      </c>
    </row>
    <row r="7139" spans="1:9">
      <c r="A7139" s="2">
        <v>2014</v>
      </c>
      <c r="B7139">
        <v>31</v>
      </c>
      <c r="C7139">
        <v>8.8999999999999995E-4</v>
      </c>
      <c r="D7139">
        <v>8.8999999999999995E-4</v>
      </c>
      <c r="E7139">
        <v>0.5</v>
      </c>
      <c r="F7139">
        <v>98382</v>
      </c>
      <c r="G7139">
        <v>88</v>
      </c>
      <c r="H7139">
        <v>98338</v>
      </c>
      <c r="I7139">
        <v>4152789</v>
      </c>
    </row>
    <row r="7140" spans="1:9">
      <c r="A7140" s="2">
        <v>2014</v>
      </c>
      <c r="B7140">
        <v>32</v>
      </c>
      <c r="C7140">
        <v>1.01E-3</v>
      </c>
      <c r="D7140">
        <v>1.01E-3</v>
      </c>
      <c r="E7140">
        <v>0.5</v>
      </c>
      <c r="F7140">
        <v>98294</v>
      </c>
      <c r="G7140">
        <v>99</v>
      </c>
      <c r="H7140">
        <v>98244</v>
      </c>
      <c r="I7140">
        <v>4054452</v>
      </c>
    </row>
    <row r="7141" spans="1:9">
      <c r="A7141" s="2">
        <v>2014</v>
      </c>
      <c r="B7141">
        <v>33</v>
      </c>
      <c r="C7141">
        <v>9.7999999999999997E-4</v>
      </c>
      <c r="D7141">
        <v>9.7999999999999997E-4</v>
      </c>
      <c r="E7141">
        <v>0.5</v>
      </c>
      <c r="F7141">
        <v>98194</v>
      </c>
      <c r="G7141">
        <v>96</v>
      </c>
      <c r="H7141">
        <v>98146</v>
      </c>
      <c r="I7141">
        <v>3956208</v>
      </c>
    </row>
    <row r="7142" spans="1:9">
      <c r="A7142" s="2">
        <v>2014</v>
      </c>
      <c r="B7142">
        <v>34</v>
      </c>
      <c r="C7142">
        <v>1.0499999999999999E-3</v>
      </c>
      <c r="D7142">
        <v>1.0499999999999999E-3</v>
      </c>
      <c r="E7142">
        <v>0.5</v>
      </c>
      <c r="F7142">
        <v>98098</v>
      </c>
      <c r="G7142">
        <v>103</v>
      </c>
      <c r="H7142">
        <v>98046</v>
      </c>
      <c r="I7142">
        <v>3858062</v>
      </c>
    </row>
    <row r="7143" spans="1:9">
      <c r="A7143" s="2">
        <v>2014</v>
      </c>
      <c r="B7143">
        <v>35</v>
      </c>
      <c r="C7143">
        <v>1.0200000000000001E-3</v>
      </c>
      <c r="D7143">
        <v>1.0200000000000001E-3</v>
      </c>
      <c r="E7143">
        <v>0.5</v>
      </c>
      <c r="F7143">
        <v>97995</v>
      </c>
      <c r="G7143">
        <v>100</v>
      </c>
      <c r="H7143">
        <v>97945</v>
      </c>
      <c r="I7143">
        <v>3760016</v>
      </c>
    </row>
    <row r="7144" spans="1:9">
      <c r="A7144" s="2">
        <v>2014</v>
      </c>
      <c r="B7144">
        <v>36</v>
      </c>
      <c r="C7144">
        <v>1.3799999999999999E-3</v>
      </c>
      <c r="D7144">
        <v>1.3799999999999999E-3</v>
      </c>
      <c r="E7144">
        <v>0.5</v>
      </c>
      <c r="F7144">
        <v>97894</v>
      </c>
      <c r="G7144">
        <v>135</v>
      </c>
      <c r="H7144">
        <v>97827</v>
      </c>
      <c r="I7144">
        <v>3662071</v>
      </c>
    </row>
    <row r="7145" spans="1:9">
      <c r="A7145" s="2">
        <v>2014</v>
      </c>
      <c r="B7145">
        <v>37</v>
      </c>
      <c r="C7145">
        <v>1.41E-3</v>
      </c>
      <c r="D7145">
        <v>1.4E-3</v>
      </c>
      <c r="E7145">
        <v>0.5</v>
      </c>
      <c r="F7145">
        <v>97759</v>
      </c>
      <c r="G7145">
        <v>137</v>
      </c>
      <c r="H7145">
        <v>97691</v>
      </c>
      <c r="I7145">
        <v>3564244</v>
      </c>
    </row>
    <row r="7146" spans="1:9">
      <c r="A7146" s="2">
        <v>2014</v>
      </c>
      <c r="B7146">
        <v>38</v>
      </c>
      <c r="C7146">
        <v>1.49E-3</v>
      </c>
      <c r="D7146">
        <v>1.49E-3</v>
      </c>
      <c r="E7146">
        <v>0.5</v>
      </c>
      <c r="F7146">
        <v>97622</v>
      </c>
      <c r="G7146">
        <v>145</v>
      </c>
      <c r="H7146">
        <v>97549</v>
      </c>
      <c r="I7146">
        <v>3466553</v>
      </c>
    </row>
    <row r="7147" spans="1:9">
      <c r="A7147" s="2">
        <v>2014</v>
      </c>
      <c r="B7147">
        <v>39</v>
      </c>
      <c r="C7147">
        <v>1.67E-3</v>
      </c>
      <c r="D7147">
        <v>1.67E-3</v>
      </c>
      <c r="E7147">
        <v>0.5</v>
      </c>
      <c r="F7147">
        <v>97477</v>
      </c>
      <c r="G7147">
        <v>162</v>
      </c>
      <c r="H7147">
        <v>97396</v>
      </c>
      <c r="I7147">
        <v>3369004</v>
      </c>
    </row>
    <row r="7148" spans="1:9">
      <c r="A7148" s="2">
        <v>2014</v>
      </c>
      <c r="B7148">
        <v>40</v>
      </c>
      <c r="C7148">
        <v>2.16E-3</v>
      </c>
      <c r="D7148">
        <v>2.16E-3</v>
      </c>
      <c r="E7148">
        <v>0.5</v>
      </c>
      <c r="F7148">
        <v>97315</v>
      </c>
      <c r="G7148">
        <v>210</v>
      </c>
      <c r="H7148">
        <v>97209</v>
      </c>
      <c r="I7148">
        <v>3271608</v>
      </c>
    </row>
    <row r="7149" spans="1:9">
      <c r="A7149" s="2">
        <v>2014</v>
      </c>
      <c r="B7149">
        <v>41</v>
      </c>
      <c r="C7149">
        <v>2.4099999999999998E-3</v>
      </c>
      <c r="D7149">
        <v>2.4099999999999998E-3</v>
      </c>
      <c r="E7149">
        <v>0.5</v>
      </c>
      <c r="F7149">
        <v>97104</v>
      </c>
      <c r="G7149">
        <v>234</v>
      </c>
      <c r="H7149">
        <v>96987</v>
      </c>
      <c r="I7149">
        <v>3174399</v>
      </c>
    </row>
    <row r="7150" spans="1:9">
      <c r="A7150" s="2">
        <v>2014</v>
      </c>
      <c r="B7150">
        <v>42</v>
      </c>
      <c r="C7150">
        <v>2.6700000000000001E-3</v>
      </c>
      <c r="D7150">
        <v>2.66E-3</v>
      </c>
      <c r="E7150">
        <v>0.5</v>
      </c>
      <c r="F7150">
        <v>96870</v>
      </c>
      <c r="G7150">
        <v>258</v>
      </c>
      <c r="H7150">
        <v>96741</v>
      </c>
      <c r="I7150">
        <v>3077411</v>
      </c>
    </row>
    <row r="7151" spans="1:9">
      <c r="A7151" s="2">
        <v>2014</v>
      </c>
      <c r="B7151">
        <v>43</v>
      </c>
      <c r="C7151">
        <v>2.7899999999999999E-3</v>
      </c>
      <c r="D7151">
        <v>2.7899999999999999E-3</v>
      </c>
      <c r="E7151">
        <v>0.5</v>
      </c>
      <c r="F7151">
        <v>96612</v>
      </c>
      <c r="G7151">
        <v>270</v>
      </c>
      <c r="H7151">
        <v>96478</v>
      </c>
      <c r="I7151">
        <v>2980670</v>
      </c>
    </row>
    <row r="7152" spans="1:9">
      <c r="A7152" s="2">
        <v>2014</v>
      </c>
      <c r="B7152">
        <v>44</v>
      </c>
      <c r="C7152">
        <v>3.6099999999999999E-3</v>
      </c>
      <c r="D7152">
        <v>3.5999999999999999E-3</v>
      </c>
      <c r="E7152">
        <v>0.5</v>
      </c>
      <c r="F7152">
        <v>96343</v>
      </c>
      <c r="G7152">
        <v>347</v>
      </c>
      <c r="H7152">
        <v>96169</v>
      </c>
      <c r="I7152">
        <v>2884192</v>
      </c>
    </row>
    <row r="7153" spans="1:9">
      <c r="A7153" s="2">
        <v>2014</v>
      </c>
      <c r="B7153">
        <v>45</v>
      </c>
      <c r="C7153">
        <v>3.9699999999999996E-3</v>
      </c>
      <c r="D7153">
        <v>3.9699999999999996E-3</v>
      </c>
      <c r="E7153">
        <v>0.5</v>
      </c>
      <c r="F7153">
        <v>95996</v>
      </c>
      <c r="G7153">
        <v>381</v>
      </c>
      <c r="H7153">
        <v>95806</v>
      </c>
      <c r="I7153">
        <v>2788023</v>
      </c>
    </row>
    <row r="7154" spans="1:9">
      <c r="A7154" s="2">
        <v>2014</v>
      </c>
      <c r="B7154">
        <v>46</v>
      </c>
      <c r="C7154">
        <v>4.2900000000000004E-3</v>
      </c>
      <c r="D7154">
        <v>4.28E-3</v>
      </c>
      <c r="E7154">
        <v>0.5</v>
      </c>
      <c r="F7154">
        <v>95615</v>
      </c>
      <c r="G7154">
        <v>410</v>
      </c>
      <c r="H7154">
        <v>95410</v>
      </c>
      <c r="I7154">
        <v>2692217</v>
      </c>
    </row>
    <row r="7155" spans="1:9">
      <c r="A7155" s="2">
        <v>2014</v>
      </c>
      <c r="B7155">
        <v>47</v>
      </c>
      <c r="C7155">
        <v>5.3699999999999998E-3</v>
      </c>
      <c r="D7155">
        <v>5.3600000000000002E-3</v>
      </c>
      <c r="E7155">
        <v>0.5</v>
      </c>
      <c r="F7155">
        <v>95206</v>
      </c>
      <c r="G7155">
        <v>510</v>
      </c>
      <c r="H7155">
        <v>94951</v>
      </c>
      <c r="I7155">
        <v>2596807</v>
      </c>
    </row>
    <row r="7156" spans="1:9">
      <c r="A7156" s="2">
        <v>2014</v>
      </c>
      <c r="B7156">
        <v>48</v>
      </c>
      <c r="C7156">
        <v>6.1000000000000004E-3</v>
      </c>
      <c r="D7156">
        <v>6.0800000000000003E-3</v>
      </c>
      <c r="E7156">
        <v>0.5</v>
      </c>
      <c r="F7156">
        <v>94696</v>
      </c>
      <c r="G7156">
        <v>576</v>
      </c>
      <c r="H7156">
        <v>94408</v>
      </c>
      <c r="I7156">
        <v>2501856</v>
      </c>
    </row>
    <row r="7157" spans="1:9">
      <c r="A7157" s="2">
        <v>2014</v>
      </c>
      <c r="B7157">
        <v>49</v>
      </c>
      <c r="C7157">
        <v>6.6299999999999996E-3</v>
      </c>
      <c r="D7157">
        <v>6.6100000000000004E-3</v>
      </c>
      <c r="E7157">
        <v>0.5</v>
      </c>
      <c r="F7157">
        <v>94120</v>
      </c>
      <c r="G7157">
        <v>622</v>
      </c>
      <c r="H7157">
        <v>93809</v>
      </c>
      <c r="I7157">
        <v>2407449</v>
      </c>
    </row>
    <row r="7158" spans="1:9">
      <c r="A7158" s="2">
        <v>2014</v>
      </c>
      <c r="B7158">
        <v>50</v>
      </c>
      <c r="C7158">
        <v>8.0099999999999998E-3</v>
      </c>
      <c r="D7158">
        <v>7.9799999999999992E-3</v>
      </c>
      <c r="E7158">
        <v>0.5</v>
      </c>
      <c r="F7158">
        <v>93498</v>
      </c>
      <c r="G7158">
        <v>746</v>
      </c>
      <c r="H7158">
        <v>93124</v>
      </c>
      <c r="I7158">
        <v>2313640</v>
      </c>
    </row>
    <row r="7159" spans="1:9">
      <c r="A7159" s="2">
        <v>2014</v>
      </c>
      <c r="B7159">
        <v>51</v>
      </c>
      <c r="C7159">
        <v>8.6899999999999998E-3</v>
      </c>
      <c r="D7159">
        <v>8.6499999999999997E-3</v>
      </c>
      <c r="E7159">
        <v>0.5</v>
      </c>
      <c r="F7159">
        <v>92751</v>
      </c>
      <c r="G7159">
        <v>802</v>
      </c>
      <c r="H7159">
        <v>92350</v>
      </c>
      <c r="I7159">
        <v>2220515</v>
      </c>
    </row>
    <row r="7160" spans="1:9">
      <c r="A7160" s="2">
        <v>2014</v>
      </c>
      <c r="B7160">
        <v>52</v>
      </c>
      <c r="C7160">
        <v>1.1010000000000001E-2</v>
      </c>
      <c r="D7160">
        <v>1.095E-2</v>
      </c>
      <c r="E7160">
        <v>0.5</v>
      </c>
      <c r="F7160">
        <v>91949</v>
      </c>
      <c r="G7160">
        <v>1007</v>
      </c>
      <c r="H7160">
        <v>91445</v>
      </c>
      <c r="I7160">
        <v>2128165</v>
      </c>
    </row>
    <row r="7161" spans="1:9">
      <c r="A7161" s="2">
        <v>2014</v>
      </c>
      <c r="B7161">
        <v>53</v>
      </c>
      <c r="C7161">
        <v>1.206E-2</v>
      </c>
      <c r="D7161">
        <v>1.1990000000000001E-2</v>
      </c>
      <c r="E7161">
        <v>0.5</v>
      </c>
      <c r="F7161">
        <v>90942</v>
      </c>
      <c r="G7161">
        <v>1090</v>
      </c>
      <c r="H7161">
        <v>90397</v>
      </c>
      <c r="I7161">
        <v>2036720</v>
      </c>
    </row>
    <row r="7162" spans="1:9">
      <c r="A7162" s="2">
        <v>2014</v>
      </c>
      <c r="B7162">
        <v>54</v>
      </c>
      <c r="C7162">
        <v>1.346E-2</v>
      </c>
      <c r="D7162">
        <v>1.337E-2</v>
      </c>
      <c r="E7162">
        <v>0.5</v>
      </c>
      <c r="F7162">
        <v>89852</v>
      </c>
      <c r="G7162">
        <v>1201</v>
      </c>
      <c r="H7162">
        <v>89251</v>
      </c>
      <c r="I7162">
        <v>1946323</v>
      </c>
    </row>
    <row r="7163" spans="1:9">
      <c r="A7163" s="2">
        <v>2014</v>
      </c>
      <c r="B7163">
        <v>55</v>
      </c>
      <c r="C7163">
        <v>1.504E-2</v>
      </c>
      <c r="D7163">
        <v>1.4930000000000001E-2</v>
      </c>
      <c r="E7163">
        <v>0.5</v>
      </c>
      <c r="F7163">
        <v>88651</v>
      </c>
      <c r="G7163">
        <v>1323</v>
      </c>
      <c r="H7163">
        <v>87989</v>
      </c>
      <c r="I7163">
        <v>1857072</v>
      </c>
    </row>
    <row r="7164" spans="1:9">
      <c r="A7164" s="2">
        <v>2014</v>
      </c>
      <c r="B7164">
        <v>56</v>
      </c>
      <c r="C7164">
        <v>1.541E-2</v>
      </c>
      <c r="D7164">
        <v>1.529E-2</v>
      </c>
      <c r="E7164">
        <v>0.5</v>
      </c>
      <c r="F7164">
        <v>87327</v>
      </c>
      <c r="G7164">
        <v>1335</v>
      </c>
      <c r="H7164">
        <v>86660</v>
      </c>
      <c r="I7164">
        <v>1769083</v>
      </c>
    </row>
    <row r="7165" spans="1:9">
      <c r="A7165" s="2">
        <v>2014</v>
      </c>
      <c r="B7165">
        <v>57</v>
      </c>
      <c r="C7165">
        <v>1.7309999999999999E-2</v>
      </c>
      <c r="D7165">
        <v>1.7160000000000002E-2</v>
      </c>
      <c r="E7165">
        <v>0.5</v>
      </c>
      <c r="F7165">
        <v>85992</v>
      </c>
      <c r="G7165">
        <v>1476</v>
      </c>
      <c r="H7165">
        <v>85254</v>
      </c>
      <c r="I7165">
        <v>1682424</v>
      </c>
    </row>
    <row r="7166" spans="1:9">
      <c r="A7166" s="2">
        <v>2014</v>
      </c>
      <c r="B7166">
        <v>58</v>
      </c>
      <c r="C7166">
        <v>1.8859999999999998E-2</v>
      </c>
      <c r="D7166">
        <v>1.8679999999999999E-2</v>
      </c>
      <c r="E7166">
        <v>0.5</v>
      </c>
      <c r="F7166">
        <v>84516</v>
      </c>
      <c r="G7166">
        <v>1579</v>
      </c>
      <c r="H7166">
        <v>83727</v>
      </c>
      <c r="I7166">
        <v>1597170</v>
      </c>
    </row>
    <row r="7167" spans="1:9">
      <c r="A7167" s="2">
        <v>2014</v>
      </c>
      <c r="B7167">
        <v>59</v>
      </c>
      <c r="C7167">
        <v>1.8800000000000001E-2</v>
      </c>
      <c r="D7167">
        <v>1.8630000000000001E-2</v>
      </c>
      <c r="E7167">
        <v>0.5</v>
      </c>
      <c r="F7167">
        <v>82937</v>
      </c>
      <c r="G7167">
        <v>1545</v>
      </c>
      <c r="H7167">
        <v>82165</v>
      </c>
      <c r="I7167">
        <v>1513443</v>
      </c>
    </row>
    <row r="7168" spans="1:9">
      <c r="A7168" s="2">
        <v>2014</v>
      </c>
      <c r="B7168">
        <v>60</v>
      </c>
      <c r="C7168">
        <v>2.1999999999999999E-2</v>
      </c>
      <c r="D7168">
        <v>2.1760000000000002E-2</v>
      </c>
      <c r="E7168">
        <v>0.5</v>
      </c>
      <c r="F7168">
        <v>81392</v>
      </c>
      <c r="G7168">
        <v>1771</v>
      </c>
      <c r="H7168">
        <v>80507</v>
      </c>
      <c r="I7168">
        <v>1431278</v>
      </c>
    </row>
    <row r="7169" spans="1:9">
      <c r="A7169" s="2">
        <v>2014</v>
      </c>
      <c r="B7169">
        <v>61</v>
      </c>
      <c r="C7169">
        <v>2.1940000000000001E-2</v>
      </c>
      <c r="D7169">
        <v>2.171E-2</v>
      </c>
      <c r="E7169">
        <v>0.5</v>
      </c>
      <c r="F7169">
        <v>79621</v>
      </c>
      <c r="G7169">
        <v>1728</v>
      </c>
      <c r="H7169">
        <v>78757</v>
      </c>
      <c r="I7169">
        <v>1350771</v>
      </c>
    </row>
    <row r="7170" spans="1:9">
      <c r="A7170" s="2">
        <v>2014</v>
      </c>
      <c r="B7170">
        <v>62</v>
      </c>
      <c r="C7170">
        <v>2.494E-2</v>
      </c>
      <c r="D7170">
        <v>2.4639999999999999E-2</v>
      </c>
      <c r="E7170">
        <v>0.5</v>
      </c>
      <c r="F7170">
        <v>77893</v>
      </c>
      <c r="G7170">
        <v>1919</v>
      </c>
      <c r="H7170">
        <v>76934</v>
      </c>
      <c r="I7170">
        <v>1272014</v>
      </c>
    </row>
    <row r="7171" spans="1:9">
      <c r="A7171" s="2">
        <v>2014</v>
      </c>
      <c r="B7171">
        <v>63</v>
      </c>
      <c r="C7171">
        <v>2.6009999999999998E-2</v>
      </c>
      <c r="D7171">
        <v>2.5680000000000001E-2</v>
      </c>
      <c r="E7171">
        <v>0.5</v>
      </c>
      <c r="F7171">
        <v>75974</v>
      </c>
      <c r="G7171">
        <v>1951</v>
      </c>
      <c r="H7171">
        <v>74999</v>
      </c>
      <c r="I7171">
        <v>1195080</v>
      </c>
    </row>
    <row r="7172" spans="1:9">
      <c r="A7172" s="2">
        <v>2014</v>
      </c>
      <c r="B7172">
        <v>64</v>
      </c>
      <c r="C7172">
        <v>2.836E-2</v>
      </c>
      <c r="D7172">
        <v>2.7959999999999999E-2</v>
      </c>
      <c r="E7172">
        <v>0.5</v>
      </c>
      <c r="F7172">
        <v>74023</v>
      </c>
      <c r="G7172">
        <v>2070</v>
      </c>
      <c r="H7172">
        <v>72988</v>
      </c>
      <c r="I7172">
        <v>1120081</v>
      </c>
    </row>
    <row r="7173" spans="1:9">
      <c r="A7173" s="2">
        <v>2014</v>
      </c>
      <c r="B7173">
        <v>65</v>
      </c>
      <c r="C7173">
        <v>3.0419999999999999E-2</v>
      </c>
      <c r="D7173">
        <v>2.9960000000000001E-2</v>
      </c>
      <c r="E7173">
        <v>0.5</v>
      </c>
      <c r="F7173">
        <v>71953</v>
      </c>
      <c r="G7173">
        <v>2156</v>
      </c>
      <c r="H7173">
        <v>70875</v>
      </c>
      <c r="I7173">
        <v>1047093</v>
      </c>
    </row>
    <row r="7174" spans="1:9">
      <c r="A7174" s="2">
        <v>2014</v>
      </c>
      <c r="B7174">
        <v>66</v>
      </c>
      <c r="C7174">
        <v>3.0810000000000001E-2</v>
      </c>
      <c r="D7174">
        <v>3.0339999999999999E-2</v>
      </c>
      <c r="E7174">
        <v>0.5</v>
      </c>
      <c r="F7174">
        <v>69798</v>
      </c>
      <c r="G7174">
        <v>2118</v>
      </c>
      <c r="H7174">
        <v>68739</v>
      </c>
      <c r="I7174">
        <v>976218</v>
      </c>
    </row>
    <row r="7175" spans="1:9">
      <c r="A7175" s="2">
        <v>2014</v>
      </c>
      <c r="B7175">
        <v>67</v>
      </c>
      <c r="C7175">
        <v>3.2289999999999999E-2</v>
      </c>
      <c r="D7175">
        <v>3.1780000000000003E-2</v>
      </c>
      <c r="E7175">
        <v>0.5</v>
      </c>
      <c r="F7175">
        <v>67680</v>
      </c>
      <c r="G7175">
        <v>2151</v>
      </c>
      <c r="H7175">
        <v>66605</v>
      </c>
      <c r="I7175">
        <v>907479</v>
      </c>
    </row>
    <row r="7176" spans="1:9">
      <c r="A7176" s="2">
        <v>2014</v>
      </c>
      <c r="B7176">
        <v>68</v>
      </c>
      <c r="C7176">
        <v>3.3070000000000002E-2</v>
      </c>
      <c r="D7176">
        <v>3.2530000000000003E-2</v>
      </c>
      <c r="E7176">
        <v>0.5</v>
      </c>
      <c r="F7176">
        <v>65529</v>
      </c>
      <c r="G7176">
        <v>2131</v>
      </c>
      <c r="H7176">
        <v>64463</v>
      </c>
      <c r="I7176">
        <v>840874</v>
      </c>
    </row>
    <row r="7177" spans="1:9">
      <c r="A7177" s="2">
        <v>2014</v>
      </c>
      <c r="B7177">
        <v>69</v>
      </c>
      <c r="C7177">
        <v>3.6110000000000003E-2</v>
      </c>
      <c r="D7177">
        <v>3.5470000000000002E-2</v>
      </c>
      <c r="E7177">
        <v>0.5</v>
      </c>
      <c r="F7177">
        <v>63398</v>
      </c>
      <c r="G7177">
        <v>2249</v>
      </c>
      <c r="H7177">
        <v>62273</v>
      </c>
      <c r="I7177">
        <v>776411</v>
      </c>
    </row>
    <row r="7178" spans="1:9">
      <c r="A7178" s="2">
        <v>2014</v>
      </c>
      <c r="B7178">
        <v>70</v>
      </c>
      <c r="C7178">
        <v>4.1169999999999998E-2</v>
      </c>
      <c r="D7178">
        <v>4.0340000000000001E-2</v>
      </c>
      <c r="E7178">
        <v>0.5</v>
      </c>
      <c r="F7178">
        <v>61149</v>
      </c>
      <c r="G7178">
        <v>2466</v>
      </c>
      <c r="H7178">
        <v>59916</v>
      </c>
      <c r="I7178">
        <v>714138</v>
      </c>
    </row>
    <row r="7179" spans="1:9">
      <c r="A7179" s="2">
        <v>2014</v>
      </c>
      <c r="B7179">
        <v>71</v>
      </c>
      <c r="C7179">
        <v>4.2160000000000003E-2</v>
      </c>
      <c r="D7179">
        <v>4.129E-2</v>
      </c>
      <c r="E7179">
        <v>0.5</v>
      </c>
      <c r="F7179">
        <v>58682</v>
      </c>
      <c r="G7179">
        <v>2423</v>
      </c>
      <c r="H7179">
        <v>57471</v>
      </c>
      <c r="I7179">
        <v>654222</v>
      </c>
    </row>
    <row r="7180" spans="1:9">
      <c r="A7180" s="2">
        <v>2014</v>
      </c>
      <c r="B7180">
        <v>72</v>
      </c>
      <c r="C7180">
        <v>4.5670000000000002E-2</v>
      </c>
      <c r="D7180">
        <v>4.4650000000000002E-2</v>
      </c>
      <c r="E7180">
        <v>0.5</v>
      </c>
      <c r="F7180">
        <v>56259</v>
      </c>
      <c r="G7180">
        <v>2512</v>
      </c>
      <c r="H7180">
        <v>55004</v>
      </c>
      <c r="I7180">
        <v>596751</v>
      </c>
    </row>
    <row r="7181" spans="1:9">
      <c r="A7181" s="2">
        <v>2014</v>
      </c>
      <c r="B7181">
        <v>73</v>
      </c>
      <c r="C7181">
        <v>5.0959999999999998E-2</v>
      </c>
      <c r="D7181">
        <v>4.9689999999999998E-2</v>
      </c>
      <c r="E7181">
        <v>0.5</v>
      </c>
      <c r="F7181">
        <v>53748</v>
      </c>
      <c r="G7181">
        <v>2671</v>
      </c>
      <c r="H7181">
        <v>52412</v>
      </c>
      <c r="I7181">
        <v>541748</v>
      </c>
    </row>
    <row r="7182" spans="1:9">
      <c r="A7182" s="2">
        <v>2014</v>
      </c>
      <c r="B7182">
        <v>74</v>
      </c>
      <c r="C7182">
        <v>5.348E-2</v>
      </c>
      <c r="D7182">
        <v>5.2089999999999997E-2</v>
      </c>
      <c r="E7182">
        <v>0.5</v>
      </c>
      <c r="F7182">
        <v>51077</v>
      </c>
      <c r="G7182">
        <v>2661</v>
      </c>
      <c r="H7182">
        <v>49747</v>
      </c>
      <c r="I7182">
        <v>489335</v>
      </c>
    </row>
    <row r="7183" spans="1:9">
      <c r="A7183" s="2">
        <v>2014</v>
      </c>
      <c r="B7183">
        <v>75</v>
      </c>
      <c r="C7183">
        <v>5.543E-2</v>
      </c>
      <c r="D7183">
        <v>5.3940000000000002E-2</v>
      </c>
      <c r="E7183">
        <v>0.5</v>
      </c>
      <c r="F7183">
        <v>48416</v>
      </c>
      <c r="G7183">
        <v>2611</v>
      </c>
      <c r="H7183">
        <v>47111</v>
      </c>
      <c r="I7183">
        <v>439589</v>
      </c>
    </row>
    <row r="7184" spans="1:9">
      <c r="A7184" s="2">
        <v>2014</v>
      </c>
      <c r="B7184">
        <v>76</v>
      </c>
      <c r="C7184">
        <v>6.3089999999999993E-2</v>
      </c>
      <c r="D7184">
        <v>6.1159999999999999E-2</v>
      </c>
      <c r="E7184">
        <v>0.5</v>
      </c>
      <c r="F7184">
        <v>45805</v>
      </c>
      <c r="G7184">
        <v>2801</v>
      </c>
      <c r="H7184">
        <v>44404</v>
      </c>
      <c r="I7184">
        <v>392478</v>
      </c>
    </row>
    <row r="7185" spans="1:9">
      <c r="A7185" s="2">
        <v>2014</v>
      </c>
      <c r="B7185">
        <v>77</v>
      </c>
      <c r="C7185">
        <v>6.7100000000000007E-2</v>
      </c>
      <c r="D7185">
        <v>6.4920000000000005E-2</v>
      </c>
      <c r="E7185">
        <v>0.5</v>
      </c>
      <c r="F7185">
        <v>43004</v>
      </c>
      <c r="G7185">
        <v>2792</v>
      </c>
      <c r="H7185">
        <v>41608</v>
      </c>
      <c r="I7185">
        <v>348074</v>
      </c>
    </row>
    <row r="7186" spans="1:9">
      <c r="A7186" s="2">
        <v>2014</v>
      </c>
      <c r="B7186">
        <v>78</v>
      </c>
      <c r="C7186">
        <v>7.7100000000000002E-2</v>
      </c>
      <c r="D7186">
        <v>7.4230000000000004E-2</v>
      </c>
      <c r="E7186">
        <v>0.5</v>
      </c>
      <c r="F7186">
        <v>40212</v>
      </c>
      <c r="G7186">
        <v>2985</v>
      </c>
      <c r="H7186">
        <v>38719</v>
      </c>
      <c r="I7186">
        <v>306466</v>
      </c>
    </row>
    <row r="7187" spans="1:9">
      <c r="A7187" s="2">
        <v>2014</v>
      </c>
      <c r="B7187">
        <v>79</v>
      </c>
      <c r="C7187">
        <v>8.2350000000000007E-2</v>
      </c>
      <c r="D7187">
        <v>7.9089999999999994E-2</v>
      </c>
      <c r="E7187">
        <v>0.5</v>
      </c>
      <c r="F7187">
        <v>37227</v>
      </c>
      <c r="G7187">
        <v>2944</v>
      </c>
      <c r="H7187">
        <v>35755</v>
      </c>
      <c r="I7187">
        <v>267747</v>
      </c>
    </row>
    <row r="7188" spans="1:9">
      <c r="A7188" s="2">
        <v>2014</v>
      </c>
      <c r="B7188">
        <v>80</v>
      </c>
      <c r="C7188">
        <v>9.3850000000000003E-2</v>
      </c>
      <c r="D7188">
        <v>8.9649999999999994E-2</v>
      </c>
      <c r="E7188">
        <v>0.5</v>
      </c>
      <c r="F7188">
        <v>34282</v>
      </c>
      <c r="G7188">
        <v>3073</v>
      </c>
      <c r="H7188">
        <v>32746</v>
      </c>
      <c r="I7188">
        <v>231992</v>
      </c>
    </row>
    <row r="7189" spans="1:9">
      <c r="A7189" s="2">
        <v>2014</v>
      </c>
      <c r="B7189">
        <v>81</v>
      </c>
      <c r="C7189">
        <v>9.9790000000000004E-2</v>
      </c>
      <c r="D7189">
        <v>9.5049999999999996E-2</v>
      </c>
      <c r="E7189">
        <v>0.5</v>
      </c>
      <c r="F7189">
        <v>31209</v>
      </c>
      <c r="G7189">
        <v>2966</v>
      </c>
      <c r="H7189">
        <v>29726</v>
      </c>
      <c r="I7189">
        <v>199247</v>
      </c>
    </row>
    <row r="7190" spans="1:9">
      <c r="A7190" s="2">
        <v>2014</v>
      </c>
      <c r="B7190">
        <v>82</v>
      </c>
      <c r="C7190">
        <v>0.11304</v>
      </c>
      <c r="D7190">
        <v>0.10699</v>
      </c>
      <c r="E7190">
        <v>0.5</v>
      </c>
      <c r="F7190">
        <v>28243</v>
      </c>
      <c r="G7190">
        <v>3022</v>
      </c>
      <c r="H7190">
        <v>26732</v>
      </c>
      <c r="I7190">
        <v>169521</v>
      </c>
    </row>
    <row r="7191" spans="1:9">
      <c r="A7191" s="2">
        <v>2014</v>
      </c>
      <c r="B7191">
        <v>83</v>
      </c>
      <c r="C7191">
        <v>0.11636000000000001</v>
      </c>
      <c r="D7191">
        <v>0.10996</v>
      </c>
      <c r="E7191">
        <v>0.5</v>
      </c>
      <c r="F7191">
        <v>25221</v>
      </c>
      <c r="G7191">
        <v>2773</v>
      </c>
      <c r="H7191">
        <v>23834</v>
      </c>
      <c r="I7191">
        <v>142789</v>
      </c>
    </row>
    <row r="7192" spans="1:9">
      <c r="A7192" s="2">
        <v>2014</v>
      </c>
      <c r="B7192">
        <v>84</v>
      </c>
      <c r="C7192">
        <v>0.1245</v>
      </c>
      <c r="D7192">
        <v>0.1172</v>
      </c>
      <c r="E7192">
        <v>0.5</v>
      </c>
      <c r="F7192">
        <v>22448</v>
      </c>
      <c r="G7192">
        <v>2631</v>
      </c>
      <c r="H7192">
        <v>21132</v>
      </c>
      <c r="I7192">
        <v>118954</v>
      </c>
    </row>
    <row r="7193" spans="1:9">
      <c r="A7193" s="2">
        <v>2014</v>
      </c>
      <c r="B7193">
        <v>85</v>
      </c>
      <c r="C7193">
        <v>0.13833000000000001</v>
      </c>
      <c r="D7193">
        <v>0.12938</v>
      </c>
      <c r="E7193">
        <v>0.5</v>
      </c>
      <c r="F7193">
        <v>19817</v>
      </c>
      <c r="G7193">
        <v>2564</v>
      </c>
      <c r="H7193">
        <v>18535</v>
      </c>
      <c r="I7193">
        <v>97822</v>
      </c>
    </row>
    <row r="7194" spans="1:9">
      <c r="A7194" s="2">
        <v>2014</v>
      </c>
      <c r="B7194">
        <v>86</v>
      </c>
      <c r="C7194">
        <v>0.15237000000000001</v>
      </c>
      <c r="D7194">
        <v>0.14158000000000001</v>
      </c>
      <c r="E7194">
        <v>0.5</v>
      </c>
      <c r="F7194">
        <v>17253</v>
      </c>
      <c r="G7194">
        <v>2443</v>
      </c>
      <c r="H7194">
        <v>16032</v>
      </c>
      <c r="I7194">
        <v>79287</v>
      </c>
    </row>
    <row r="7195" spans="1:9">
      <c r="A7195" s="2">
        <v>2014</v>
      </c>
      <c r="B7195">
        <v>87</v>
      </c>
      <c r="C7195">
        <v>0.17449000000000001</v>
      </c>
      <c r="D7195">
        <v>0.16048999999999999</v>
      </c>
      <c r="E7195">
        <v>0.5</v>
      </c>
      <c r="F7195">
        <v>14810</v>
      </c>
      <c r="G7195">
        <v>2377</v>
      </c>
      <c r="H7195">
        <v>13622</v>
      </c>
      <c r="I7195">
        <v>63256</v>
      </c>
    </row>
    <row r="7196" spans="1:9">
      <c r="A7196" s="2">
        <v>2014</v>
      </c>
      <c r="B7196">
        <v>88</v>
      </c>
      <c r="C7196">
        <v>0.19711000000000001</v>
      </c>
      <c r="D7196">
        <v>0.17942</v>
      </c>
      <c r="E7196">
        <v>0.5</v>
      </c>
      <c r="F7196">
        <v>12433</v>
      </c>
      <c r="G7196">
        <v>2231</v>
      </c>
      <c r="H7196">
        <v>11318</v>
      </c>
      <c r="I7196">
        <v>49634</v>
      </c>
    </row>
    <row r="7197" spans="1:9">
      <c r="A7197" s="2">
        <v>2014</v>
      </c>
      <c r="B7197">
        <v>89</v>
      </c>
      <c r="C7197">
        <v>0.20447000000000001</v>
      </c>
      <c r="D7197">
        <v>0.1855</v>
      </c>
      <c r="E7197">
        <v>0.5</v>
      </c>
      <c r="F7197">
        <v>10202</v>
      </c>
      <c r="G7197">
        <v>1893</v>
      </c>
      <c r="H7197">
        <v>9256</v>
      </c>
      <c r="I7197">
        <v>38316</v>
      </c>
    </row>
    <row r="7198" spans="1:9">
      <c r="A7198" s="2">
        <v>2014</v>
      </c>
      <c r="B7198">
        <v>90</v>
      </c>
      <c r="C7198">
        <v>0.22966</v>
      </c>
      <c r="D7198">
        <v>0.20601</v>
      </c>
      <c r="E7198">
        <v>0.5</v>
      </c>
      <c r="F7198">
        <v>8310</v>
      </c>
      <c r="G7198">
        <v>1712</v>
      </c>
      <c r="H7198">
        <v>7454</v>
      </c>
      <c r="I7198">
        <v>29060</v>
      </c>
    </row>
    <row r="7199" spans="1:9">
      <c r="A7199" s="2">
        <v>2014</v>
      </c>
      <c r="B7199">
        <v>91</v>
      </c>
      <c r="C7199">
        <v>0.25095000000000001</v>
      </c>
      <c r="D7199">
        <v>0.22297</v>
      </c>
      <c r="E7199">
        <v>0.5</v>
      </c>
      <c r="F7199">
        <v>6598</v>
      </c>
      <c r="G7199">
        <v>1471</v>
      </c>
      <c r="H7199">
        <v>5862</v>
      </c>
      <c r="I7199">
        <v>21606</v>
      </c>
    </row>
    <row r="7200" spans="1:9">
      <c r="A7200" s="2">
        <v>2014</v>
      </c>
      <c r="B7200">
        <v>92</v>
      </c>
      <c r="C7200">
        <v>0.27814</v>
      </c>
      <c r="D7200">
        <v>0.24418000000000001</v>
      </c>
      <c r="E7200">
        <v>0.5</v>
      </c>
      <c r="F7200">
        <v>5127</v>
      </c>
      <c r="G7200">
        <v>1252</v>
      </c>
      <c r="H7200">
        <v>4501</v>
      </c>
      <c r="I7200">
        <v>15744</v>
      </c>
    </row>
    <row r="7201" spans="1:9">
      <c r="A7201" s="2">
        <v>2014</v>
      </c>
      <c r="B7201">
        <v>93</v>
      </c>
      <c r="C7201">
        <v>0.2742</v>
      </c>
      <c r="D7201">
        <v>0.24113999999999999</v>
      </c>
      <c r="E7201">
        <v>0.5</v>
      </c>
      <c r="F7201">
        <v>3875</v>
      </c>
      <c r="G7201">
        <v>934</v>
      </c>
      <c r="H7201">
        <v>3408</v>
      </c>
      <c r="I7201">
        <v>11243</v>
      </c>
    </row>
    <row r="7202" spans="1:9">
      <c r="A7202" s="2">
        <v>2014</v>
      </c>
      <c r="B7202">
        <v>94</v>
      </c>
      <c r="C7202">
        <v>0.36671999999999999</v>
      </c>
      <c r="D7202">
        <v>0.30990000000000001</v>
      </c>
      <c r="E7202">
        <v>0.5</v>
      </c>
      <c r="F7202">
        <v>2941</v>
      </c>
      <c r="G7202">
        <v>911</v>
      </c>
      <c r="H7202">
        <v>2485</v>
      </c>
      <c r="I7202">
        <v>7835</v>
      </c>
    </row>
    <row r="7203" spans="1:9">
      <c r="A7203" s="2">
        <v>2014</v>
      </c>
      <c r="B7203">
        <v>95</v>
      </c>
      <c r="C7203">
        <v>0.33259</v>
      </c>
      <c r="D7203">
        <v>0.28516999999999998</v>
      </c>
      <c r="E7203">
        <v>0.5</v>
      </c>
      <c r="F7203">
        <v>2029</v>
      </c>
      <c r="G7203">
        <v>579</v>
      </c>
      <c r="H7203">
        <v>1740</v>
      </c>
      <c r="I7203">
        <v>5350</v>
      </c>
    </row>
    <row r="7204" spans="1:9">
      <c r="A7204" s="2">
        <v>2014</v>
      </c>
      <c r="B7204">
        <v>96</v>
      </c>
      <c r="C7204">
        <v>0.35698999999999997</v>
      </c>
      <c r="D7204">
        <v>0.30292000000000002</v>
      </c>
      <c r="E7204">
        <v>0.5</v>
      </c>
      <c r="F7204">
        <v>1451</v>
      </c>
      <c r="G7204">
        <v>439</v>
      </c>
      <c r="H7204">
        <v>1231</v>
      </c>
      <c r="I7204">
        <v>3610</v>
      </c>
    </row>
    <row r="7205" spans="1:9">
      <c r="A7205" s="2">
        <v>2014</v>
      </c>
      <c r="B7205">
        <v>97</v>
      </c>
      <c r="C7205">
        <v>0.38216</v>
      </c>
      <c r="D7205">
        <v>0.32085000000000002</v>
      </c>
      <c r="E7205">
        <v>0.5</v>
      </c>
      <c r="F7205">
        <v>1011</v>
      </c>
      <c r="G7205">
        <v>324</v>
      </c>
      <c r="H7205">
        <v>849</v>
      </c>
      <c r="I7205">
        <v>2379</v>
      </c>
    </row>
    <row r="7206" spans="1:9">
      <c r="A7206" s="2">
        <v>2014</v>
      </c>
      <c r="B7206">
        <v>98</v>
      </c>
      <c r="C7206">
        <v>0.40798000000000001</v>
      </c>
      <c r="D7206">
        <v>0.33885999999999999</v>
      </c>
      <c r="E7206">
        <v>0.5</v>
      </c>
      <c r="F7206">
        <v>687</v>
      </c>
      <c r="G7206">
        <v>233</v>
      </c>
      <c r="H7206">
        <v>570</v>
      </c>
      <c r="I7206">
        <v>1530</v>
      </c>
    </row>
    <row r="7207" spans="1:9">
      <c r="A7207" s="2">
        <v>2014</v>
      </c>
      <c r="B7207">
        <v>99</v>
      </c>
      <c r="C7207">
        <v>0.43431999999999998</v>
      </c>
      <c r="D7207">
        <v>0.35682999999999998</v>
      </c>
      <c r="E7207">
        <v>0.5</v>
      </c>
      <c r="F7207">
        <v>454</v>
      </c>
      <c r="G7207">
        <v>162</v>
      </c>
      <c r="H7207">
        <v>373</v>
      </c>
      <c r="I7207">
        <v>960</v>
      </c>
    </row>
    <row r="7208" spans="1:9">
      <c r="A7208" s="2">
        <v>2014</v>
      </c>
      <c r="B7208">
        <v>100</v>
      </c>
      <c r="C7208">
        <v>0.46103</v>
      </c>
      <c r="D7208">
        <v>0.37465999999999999</v>
      </c>
      <c r="E7208">
        <v>0.5</v>
      </c>
      <c r="F7208">
        <v>292</v>
      </c>
      <c r="G7208">
        <v>109</v>
      </c>
      <c r="H7208">
        <v>237</v>
      </c>
      <c r="I7208">
        <v>587</v>
      </c>
    </row>
    <row r="7209" spans="1:9">
      <c r="A7209" s="2">
        <v>2014</v>
      </c>
      <c r="B7209">
        <v>101</v>
      </c>
      <c r="C7209">
        <v>0.48797000000000001</v>
      </c>
      <c r="D7209">
        <v>0.39226</v>
      </c>
      <c r="E7209">
        <v>0.5</v>
      </c>
      <c r="F7209">
        <v>183</v>
      </c>
      <c r="G7209">
        <v>72</v>
      </c>
      <c r="H7209">
        <v>147</v>
      </c>
      <c r="I7209">
        <v>350</v>
      </c>
    </row>
    <row r="7210" spans="1:9">
      <c r="A7210" s="2">
        <v>2014</v>
      </c>
      <c r="B7210">
        <v>102</v>
      </c>
      <c r="C7210">
        <v>0.51497000000000004</v>
      </c>
      <c r="D7210">
        <v>0.40953000000000001</v>
      </c>
      <c r="E7210">
        <v>0.5</v>
      </c>
      <c r="F7210">
        <v>111</v>
      </c>
      <c r="G7210">
        <v>45</v>
      </c>
      <c r="H7210">
        <v>88</v>
      </c>
      <c r="I7210">
        <v>203</v>
      </c>
    </row>
    <row r="7211" spans="1:9">
      <c r="A7211" s="2">
        <v>2014</v>
      </c>
      <c r="B7211">
        <v>103</v>
      </c>
      <c r="C7211">
        <v>0.54188999999999998</v>
      </c>
      <c r="D7211">
        <v>0.42637000000000003</v>
      </c>
      <c r="E7211">
        <v>0.5</v>
      </c>
      <c r="F7211">
        <v>66</v>
      </c>
      <c r="G7211">
        <v>28</v>
      </c>
      <c r="H7211">
        <v>52</v>
      </c>
      <c r="I7211">
        <v>115</v>
      </c>
    </row>
    <row r="7212" spans="1:9">
      <c r="A7212" s="2">
        <v>2014</v>
      </c>
      <c r="B7212">
        <v>104</v>
      </c>
      <c r="C7212">
        <v>0.56857000000000002</v>
      </c>
      <c r="D7212">
        <v>0.44270999999999999</v>
      </c>
      <c r="E7212">
        <v>0.5</v>
      </c>
      <c r="F7212">
        <v>38</v>
      </c>
      <c r="G7212">
        <v>17</v>
      </c>
      <c r="H7212">
        <v>29</v>
      </c>
      <c r="I7212">
        <v>63</v>
      </c>
    </row>
    <row r="7213" spans="1:9">
      <c r="A7213" s="2">
        <v>2014</v>
      </c>
      <c r="B7213">
        <v>105</v>
      </c>
      <c r="C7213">
        <v>0.59486000000000006</v>
      </c>
      <c r="D7213">
        <v>0.45849000000000001</v>
      </c>
      <c r="E7213">
        <v>0.5</v>
      </c>
      <c r="F7213">
        <v>21</v>
      </c>
      <c r="G7213">
        <v>10</v>
      </c>
      <c r="H7213">
        <v>16</v>
      </c>
      <c r="I7213">
        <v>34</v>
      </c>
    </row>
    <row r="7214" spans="1:9">
      <c r="A7214" s="2">
        <v>2014</v>
      </c>
      <c r="B7214">
        <v>106</v>
      </c>
      <c r="C7214">
        <v>0.62060999999999999</v>
      </c>
      <c r="D7214">
        <v>0.47364000000000001</v>
      </c>
      <c r="E7214">
        <v>0.5</v>
      </c>
      <c r="F7214">
        <v>11</v>
      </c>
      <c r="G7214">
        <v>5</v>
      </c>
      <c r="H7214">
        <v>9</v>
      </c>
      <c r="I7214">
        <v>18</v>
      </c>
    </row>
    <row r="7215" spans="1:9">
      <c r="A7215" s="2">
        <v>2014</v>
      </c>
      <c r="B7215">
        <v>107</v>
      </c>
      <c r="C7215">
        <v>0.64570000000000005</v>
      </c>
      <c r="D7215">
        <v>0.48810999999999999</v>
      </c>
      <c r="E7215">
        <v>0.5</v>
      </c>
      <c r="F7215">
        <v>6</v>
      </c>
      <c r="G7215">
        <v>3</v>
      </c>
      <c r="H7215">
        <v>5</v>
      </c>
      <c r="I7215">
        <v>9</v>
      </c>
    </row>
    <row r="7216" spans="1:9">
      <c r="A7216" s="2">
        <v>2014</v>
      </c>
      <c r="B7216">
        <v>108</v>
      </c>
      <c r="C7216">
        <v>0.67000999999999999</v>
      </c>
      <c r="D7216">
        <v>0.50187999999999999</v>
      </c>
      <c r="E7216">
        <v>0.5</v>
      </c>
      <c r="F7216">
        <v>3</v>
      </c>
      <c r="G7216">
        <v>2</v>
      </c>
      <c r="H7216">
        <v>2</v>
      </c>
      <c r="I7216">
        <v>4</v>
      </c>
    </row>
    <row r="7217" spans="1:9">
      <c r="A7217" s="2">
        <v>2014</v>
      </c>
      <c r="B7217">
        <v>109</v>
      </c>
      <c r="C7217">
        <v>0.69345000000000001</v>
      </c>
      <c r="D7217">
        <v>0.51492000000000004</v>
      </c>
      <c r="E7217">
        <v>0.5</v>
      </c>
      <c r="F7217">
        <v>2</v>
      </c>
      <c r="G7217">
        <v>1</v>
      </c>
      <c r="H7217">
        <v>1</v>
      </c>
      <c r="I7217">
        <v>2</v>
      </c>
    </row>
    <row r="7218" spans="1:9">
      <c r="A7218" s="2">
        <v>2014</v>
      </c>
      <c r="B7218" t="s">
        <v>26</v>
      </c>
      <c r="C7218">
        <v>0.71592999999999996</v>
      </c>
      <c r="D7218">
        <v>1</v>
      </c>
      <c r="E7218">
        <v>1.4</v>
      </c>
      <c r="F7218">
        <v>1</v>
      </c>
      <c r="G7218">
        <v>1</v>
      </c>
      <c r="H7218">
        <v>1</v>
      </c>
      <c r="I7218">
        <v>1</v>
      </c>
    </row>
    <row r="7219" spans="1:9">
      <c r="A7219" s="2">
        <v>2015</v>
      </c>
      <c r="B7219">
        <v>0</v>
      </c>
      <c r="C7219">
        <v>4.4900000000000001E-3</v>
      </c>
      <c r="D7219">
        <v>4.47E-3</v>
      </c>
      <c r="E7219">
        <v>0.14000000000000001</v>
      </c>
      <c r="F7219">
        <v>100000</v>
      </c>
      <c r="G7219">
        <v>447</v>
      </c>
      <c r="H7219">
        <v>99616</v>
      </c>
      <c r="I7219">
        <v>7223105</v>
      </c>
    </row>
    <row r="7220" spans="1:9">
      <c r="A7220" s="2">
        <v>2015</v>
      </c>
      <c r="B7220">
        <v>1</v>
      </c>
      <c r="C7220">
        <v>4.0999999999999999E-4</v>
      </c>
      <c r="D7220">
        <v>4.0999999999999999E-4</v>
      </c>
      <c r="E7220">
        <v>0.5</v>
      </c>
      <c r="F7220">
        <v>99553</v>
      </c>
      <c r="G7220">
        <v>40</v>
      </c>
      <c r="H7220">
        <v>99533</v>
      </c>
      <c r="I7220">
        <v>7123490</v>
      </c>
    </row>
    <row r="7221" spans="1:9">
      <c r="A7221" s="2">
        <v>2015</v>
      </c>
      <c r="B7221">
        <v>2</v>
      </c>
      <c r="C7221">
        <v>1.7000000000000001E-4</v>
      </c>
      <c r="D7221">
        <v>1.7000000000000001E-4</v>
      </c>
      <c r="E7221">
        <v>0.5</v>
      </c>
      <c r="F7221">
        <v>99513</v>
      </c>
      <c r="G7221">
        <v>17</v>
      </c>
      <c r="H7221">
        <v>99504</v>
      </c>
      <c r="I7221">
        <v>7023957</v>
      </c>
    </row>
    <row r="7222" spans="1:9">
      <c r="A7222" s="2">
        <v>2015</v>
      </c>
      <c r="B7222">
        <v>3</v>
      </c>
      <c r="C7222">
        <v>2.2000000000000001E-4</v>
      </c>
      <c r="D7222">
        <v>2.2000000000000001E-4</v>
      </c>
      <c r="E7222">
        <v>0.5</v>
      </c>
      <c r="F7222">
        <v>99495</v>
      </c>
      <c r="G7222">
        <v>21</v>
      </c>
      <c r="H7222">
        <v>99485</v>
      </c>
      <c r="I7222">
        <v>6924453</v>
      </c>
    </row>
    <row r="7223" spans="1:9">
      <c r="A7223" s="2">
        <v>2015</v>
      </c>
      <c r="B7223">
        <v>4</v>
      </c>
      <c r="C7223">
        <v>2.7E-4</v>
      </c>
      <c r="D7223">
        <v>2.7E-4</v>
      </c>
      <c r="E7223">
        <v>0.5</v>
      </c>
      <c r="F7223">
        <v>99474</v>
      </c>
      <c r="G7223">
        <v>26</v>
      </c>
      <c r="H7223">
        <v>99461</v>
      </c>
      <c r="I7223">
        <v>6824968</v>
      </c>
    </row>
    <row r="7224" spans="1:9">
      <c r="A7224" s="2">
        <v>2015</v>
      </c>
      <c r="B7224">
        <v>5</v>
      </c>
      <c r="C7224">
        <v>1.2E-4</v>
      </c>
      <c r="D7224">
        <v>1.2E-4</v>
      </c>
      <c r="E7224">
        <v>0.5</v>
      </c>
      <c r="F7224">
        <v>99448</v>
      </c>
      <c r="G7224">
        <v>12</v>
      </c>
      <c r="H7224">
        <v>99441</v>
      </c>
      <c r="I7224">
        <v>6725507</v>
      </c>
    </row>
    <row r="7225" spans="1:9">
      <c r="A7225" s="2">
        <v>2015</v>
      </c>
      <c r="B7225">
        <v>6</v>
      </c>
      <c r="C7225">
        <v>8.0000000000000007E-5</v>
      </c>
      <c r="D7225">
        <v>8.0000000000000007E-5</v>
      </c>
      <c r="E7225">
        <v>0.5</v>
      </c>
      <c r="F7225">
        <v>99435</v>
      </c>
      <c r="G7225">
        <v>8</v>
      </c>
      <c r="H7225">
        <v>99431</v>
      </c>
      <c r="I7225">
        <v>6626066</v>
      </c>
    </row>
    <row r="7226" spans="1:9">
      <c r="A7226" s="2">
        <v>2015</v>
      </c>
      <c r="B7226">
        <v>7</v>
      </c>
      <c r="C7226">
        <v>1.8000000000000001E-4</v>
      </c>
      <c r="D7226">
        <v>1.8000000000000001E-4</v>
      </c>
      <c r="E7226">
        <v>0.5</v>
      </c>
      <c r="F7226">
        <v>99427</v>
      </c>
      <c r="G7226">
        <v>18</v>
      </c>
      <c r="H7226">
        <v>99419</v>
      </c>
      <c r="I7226">
        <v>6526635</v>
      </c>
    </row>
    <row r="7227" spans="1:9">
      <c r="A7227" s="2">
        <v>2015</v>
      </c>
      <c r="B7227">
        <v>8</v>
      </c>
      <c r="C7227">
        <v>1.8000000000000001E-4</v>
      </c>
      <c r="D7227">
        <v>1.8000000000000001E-4</v>
      </c>
      <c r="E7227">
        <v>0.5</v>
      </c>
      <c r="F7227">
        <v>99410</v>
      </c>
      <c r="G7227">
        <v>18</v>
      </c>
      <c r="H7227">
        <v>99401</v>
      </c>
      <c r="I7227">
        <v>6427216</v>
      </c>
    </row>
    <row r="7228" spans="1:9">
      <c r="A7228" s="2">
        <v>2015</v>
      </c>
      <c r="B7228">
        <v>9</v>
      </c>
      <c r="C7228">
        <v>1.8000000000000001E-4</v>
      </c>
      <c r="D7228">
        <v>1.8000000000000001E-4</v>
      </c>
      <c r="E7228">
        <v>0.5</v>
      </c>
      <c r="F7228">
        <v>99392</v>
      </c>
      <c r="G7228">
        <v>17</v>
      </c>
      <c r="H7228">
        <v>99384</v>
      </c>
      <c r="I7228">
        <v>6327815</v>
      </c>
    </row>
    <row r="7229" spans="1:9">
      <c r="A7229" s="2">
        <v>2015</v>
      </c>
      <c r="B7229">
        <v>10</v>
      </c>
      <c r="C7229">
        <v>1E-4</v>
      </c>
      <c r="D7229">
        <v>1E-4</v>
      </c>
      <c r="E7229">
        <v>0.5</v>
      </c>
      <c r="F7229">
        <v>99375</v>
      </c>
      <c r="G7229">
        <v>10</v>
      </c>
      <c r="H7229">
        <v>99370</v>
      </c>
      <c r="I7229">
        <v>6228432</v>
      </c>
    </row>
    <row r="7230" spans="1:9">
      <c r="A7230" s="2">
        <v>2015</v>
      </c>
      <c r="B7230">
        <v>11</v>
      </c>
      <c r="C7230">
        <v>1.2E-4</v>
      </c>
      <c r="D7230">
        <v>1.2E-4</v>
      </c>
      <c r="E7230">
        <v>0.5</v>
      </c>
      <c r="F7230">
        <v>99365</v>
      </c>
      <c r="G7230">
        <v>12</v>
      </c>
      <c r="H7230">
        <v>99359</v>
      </c>
      <c r="I7230">
        <v>6129062</v>
      </c>
    </row>
    <row r="7231" spans="1:9">
      <c r="A7231" s="2">
        <v>2015</v>
      </c>
      <c r="B7231">
        <v>12</v>
      </c>
      <c r="C7231">
        <v>6.0000000000000002E-5</v>
      </c>
      <c r="D7231">
        <v>6.0000000000000002E-5</v>
      </c>
      <c r="E7231">
        <v>0.5</v>
      </c>
      <c r="F7231">
        <v>99352</v>
      </c>
      <c r="G7231">
        <v>6</v>
      </c>
      <c r="H7231">
        <v>99349</v>
      </c>
      <c r="I7231">
        <v>6029703</v>
      </c>
    </row>
    <row r="7232" spans="1:9">
      <c r="A7232" s="2">
        <v>2015</v>
      </c>
      <c r="B7232">
        <v>13</v>
      </c>
      <c r="C7232">
        <v>1.2E-4</v>
      </c>
      <c r="D7232">
        <v>1.2E-4</v>
      </c>
      <c r="E7232">
        <v>0.5</v>
      </c>
      <c r="F7232">
        <v>99346</v>
      </c>
      <c r="G7232">
        <v>12</v>
      </c>
      <c r="H7232">
        <v>99340</v>
      </c>
      <c r="I7232">
        <v>5930354</v>
      </c>
    </row>
    <row r="7233" spans="1:9">
      <c r="A7233" s="2">
        <v>2015</v>
      </c>
      <c r="B7233">
        <v>14</v>
      </c>
      <c r="C7233">
        <v>2.0000000000000001E-4</v>
      </c>
      <c r="D7233">
        <v>2.0000000000000001E-4</v>
      </c>
      <c r="E7233">
        <v>0.5</v>
      </c>
      <c r="F7233">
        <v>99334</v>
      </c>
      <c r="G7233">
        <v>20</v>
      </c>
      <c r="H7233">
        <v>99325</v>
      </c>
      <c r="I7233">
        <v>5831013</v>
      </c>
    </row>
    <row r="7234" spans="1:9">
      <c r="A7234" s="2">
        <v>2015</v>
      </c>
      <c r="B7234">
        <v>15</v>
      </c>
      <c r="C7234">
        <v>2.5999999999999998E-4</v>
      </c>
      <c r="D7234">
        <v>2.5999999999999998E-4</v>
      </c>
      <c r="E7234">
        <v>0.5</v>
      </c>
      <c r="F7234">
        <v>99315</v>
      </c>
      <c r="G7234">
        <v>26</v>
      </c>
      <c r="H7234">
        <v>99302</v>
      </c>
      <c r="I7234">
        <v>5731689</v>
      </c>
    </row>
    <row r="7235" spans="1:9">
      <c r="A7235" s="2">
        <v>2015</v>
      </c>
      <c r="B7235">
        <v>16</v>
      </c>
      <c r="C7235">
        <v>3.1E-4</v>
      </c>
      <c r="D7235">
        <v>3.1E-4</v>
      </c>
      <c r="E7235">
        <v>0.5</v>
      </c>
      <c r="F7235">
        <v>99289</v>
      </c>
      <c r="G7235">
        <v>30</v>
      </c>
      <c r="H7235">
        <v>99274</v>
      </c>
      <c r="I7235">
        <v>5632387</v>
      </c>
    </row>
    <row r="7236" spans="1:9">
      <c r="A7236" s="2">
        <v>2015</v>
      </c>
      <c r="B7236">
        <v>17</v>
      </c>
      <c r="C7236">
        <v>3.6999999999999999E-4</v>
      </c>
      <c r="D7236">
        <v>3.6999999999999999E-4</v>
      </c>
      <c r="E7236">
        <v>0.5</v>
      </c>
      <c r="F7236">
        <v>99258</v>
      </c>
      <c r="G7236">
        <v>37</v>
      </c>
      <c r="H7236">
        <v>99240</v>
      </c>
      <c r="I7236">
        <v>5533113</v>
      </c>
    </row>
    <row r="7237" spans="1:9">
      <c r="A7237" s="2">
        <v>2015</v>
      </c>
      <c r="B7237">
        <v>18</v>
      </c>
      <c r="C7237">
        <v>5.5000000000000003E-4</v>
      </c>
      <c r="D7237">
        <v>5.5000000000000003E-4</v>
      </c>
      <c r="E7237">
        <v>0.5</v>
      </c>
      <c r="F7237">
        <v>99222</v>
      </c>
      <c r="G7237">
        <v>54</v>
      </c>
      <c r="H7237">
        <v>99195</v>
      </c>
      <c r="I7237">
        <v>5433873</v>
      </c>
    </row>
    <row r="7238" spans="1:9">
      <c r="A7238" s="2">
        <v>2015</v>
      </c>
      <c r="B7238">
        <v>19</v>
      </c>
      <c r="C7238">
        <v>6.2E-4</v>
      </c>
      <c r="D7238">
        <v>6.2E-4</v>
      </c>
      <c r="E7238">
        <v>0.5</v>
      </c>
      <c r="F7238">
        <v>99167</v>
      </c>
      <c r="G7238">
        <v>62</v>
      </c>
      <c r="H7238">
        <v>99136</v>
      </c>
      <c r="I7238">
        <v>5334679</v>
      </c>
    </row>
    <row r="7239" spans="1:9">
      <c r="A7239" s="2">
        <v>2015</v>
      </c>
      <c r="B7239">
        <v>20</v>
      </c>
      <c r="C7239">
        <v>7.2000000000000005E-4</v>
      </c>
      <c r="D7239">
        <v>7.2000000000000005E-4</v>
      </c>
      <c r="E7239">
        <v>0.5</v>
      </c>
      <c r="F7239">
        <v>99106</v>
      </c>
      <c r="G7239">
        <v>71</v>
      </c>
      <c r="H7239">
        <v>99070</v>
      </c>
      <c r="I7239">
        <v>5235542</v>
      </c>
    </row>
    <row r="7240" spans="1:9">
      <c r="A7240" s="2">
        <v>2015</v>
      </c>
      <c r="B7240">
        <v>21</v>
      </c>
      <c r="C7240">
        <v>5.4000000000000001E-4</v>
      </c>
      <c r="D7240">
        <v>5.4000000000000001E-4</v>
      </c>
      <c r="E7240">
        <v>0.5</v>
      </c>
      <c r="F7240">
        <v>99035</v>
      </c>
      <c r="G7240">
        <v>54</v>
      </c>
      <c r="H7240">
        <v>99008</v>
      </c>
      <c r="I7240">
        <v>5136472</v>
      </c>
    </row>
    <row r="7241" spans="1:9">
      <c r="A7241" s="2">
        <v>2015</v>
      </c>
      <c r="B7241">
        <v>22</v>
      </c>
      <c r="C7241">
        <v>5.1000000000000004E-4</v>
      </c>
      <c r="D7241">
        <v>5.1000000000000004E-4</v>
      </c>
      <c r="E7241">
        <v>0.5</v>
      </c>
      <c r="F7241">
        <v>98981</v>
      </c>
      <c r="G7241">
        <v>50</v>
      </c>
      <c r="H7241">
        <v>98956</v>
      </c>
      <c r="I7241">
        <v>5037464</v>
      </c>
    </row>
    <row r="7242" spans="1:9">
      <c r="A7242" s="2">
        <v>2015</v>
      </c>
      <c r="B7242">
        <v>23</v>
      </c>
      <c r="C7242">
        <v>5.5999999999999995E-4</v>
      </c>
      <c r="D7242">
        <v>5.5999999999999995E-4</v>
      </c>
      <c r="E7242">
        <v>0.5</v>
      </c>
      <c r="F7242">
        <v>98931</v>
      </c>
      <c r="G7242">
        <v>56</v>
      </c>
      <c r="H7242">
        <v>98903</v>
      </c>
      <c r="I7242">
        <v>4938509</v>
      </c>
    </row>
    <row r="7243" spans="1:9">
      <c r="A7243" s="2">
        <v>2015</v>
      </c>
      <c r="B7243">
        <v>24</v>
      </c>
      <c r="C7243">
        <v>5.9999999999999995E-4</v>
      </c>
      <c r="D7243">
        <v>5.9999999999999995E-4</v>
      </c>
      <c r="E7243">
        <v>0.5</v>
      </c>
      <c r="F7243">
        <v>98875</v>
      </c>
      <c r="G7243">
        <v>60</v>
      </c>
      <c r="H7243">
        <v>98845</v>
      </c>
      <c r="I7243">
        <v>4839606</v>
      </c>
    </row>
    <row r="7244" spans="1:9">
      <c r="A7244" s="2">
        <v>2015</v>
      </c>
      <c r="B7244">
        <v>25</v>
      </c>
      <c r="C7244">
        <v>5.8E-4</v>
      </c>
      <c r="D7244">
        <v>5.8E-4</v>
      </c>
      <c r="E7244">
        <v>0.5</v>
      </c>
      <c r="F7244">
        <v>98815</v>
      </c>
      <c r="G7244">
        <v>57</v>
      </c>
      <c r="H7244">
        <v>98787</v>
      </c>
      <c r="I7244">
        <v>4740760</v>
      </c>
    </row>
    <row r="7245" spans="1:9">
      <c r="A7245" s="2">
        <v>2015</v>
      </c>
      <c r="B7245">
        <v>26</v>
      </c>
      <c r="C7245">
        <v>6.8999999999999997E-4</v>
      </c>
      <c r="D7245">
        <v>6.8999999999999997E-4</v>
      </c>
      <c r="E7245">
        <v>0.5</v>
      </c>
      <c r="F7245">
        <v>98758</v>
      </c>
      <c r="G7245">
        <v>68</v>
      </c>
      <c r="H7245">
        <v>98724</v>
      </c>
      <c r="I7245">
        <v>4641973</v>
      </c>
    </row>
    <row r="7246" spans="1:9">
      <c r="A7246" s="2">
        <v>2015</v>
      </c>
      <c r="B7246">
        <v>27</v>
      </c>
      <c r="C7246">
        <v>8.3000000000000001E-4</v>
      </c>
      <c r="D7246">
        <v>8.3000000000000001E-4</v>
      </c>
      <c r="E7246">
        <v>0.5</v>
      </c>
      <c r="F7246">
        <v>98690</v>
      </c>
      <c r="G7246">
        <v>81</v>
      </c>
      <c r="H7246">
        <v>98649</v>
      </c>
      <c r="I7246">
        <v>4543249</v>
      </c>
    </row>
    <row r="7247" spans="1:9">
      <c r="A7247" s="2">
        <v>2015</v>
      </c>
      <c r="B7247">
        <v>28</v>
      </c>
      <c r="C7247">
        <v>8.8000000000000003E-4</v>
      </c>
      <c r="D7247">
        <v>8.8000000000000003E-4</v>
      </c>
      <c r="E7247">
        <v>0.5</v>
      </c>
      <c r="F7247">
        <v>98609</v>
      </c>
      <c r="G7247">
        <v>87</v>
      </c>
      <c r="H7247">
        <v>98565</v>
      </c>
      <c r="I7247">
        <v>4444600</v>
      </c>
    </row>
    <row r="7248" spans="1:9">
      <c r="A7248" s="2">
        <v>2015</v>
      </c>
      <c r="B7248">
        <v>29</v>
      </c>
      <c r="C7248">
        <v>9.3000000000000005E-4</v>
      </c>
      <c r="D7248">
        <v>9.3000000000000005E-4</v>
      </c>
      <c r="E7248">
        <v>0.5</v>
      </c>
      <c r="F7248">
        <v>98522</v>
      </c>
      <c r="G7248">
        <v>92</v>
      </c>
      <c r="H7248">
        <v>98476</v>
      </c>
      <c r="I7248">
        <v>4346035</v>
      </c>
    </row>
    <row r="7249" spans="1:9">
      <c r="A7249" s="2">
        <v>2015</v>
      </c>
      <c r="B7249">
        <v>30</v>
      </c>
      <c r="C7249">
        <v>8.5999999999999998E-4</v>
      </c>
      <c r="D7249">
        <v>8.5999999999999998E-4</v>
      </c>
      <c r="E7249">
        <v>0.5</v>
      </c>
      <c r="F7249">
        <v>98430</v>
      </c>
      <c r="G7249">
        <v>85</v>
      </c>
      <c r="H7249">
        <v>98388</v>
      </c>
      <c r="I7249">
        <v>4247559</v>
      </c>
    </row>
    <row r="7250" spans="1:9">
      <c r="A7250" s="2">
        <v>2015</v>
      </c>
      <c r="B7250">
        <v>31</v>
      </c>
      <c r="C7250">
        <v>7.5000000000000002E-4</v>
      </c>
      <c r="D7250">
        <v>7.5000000000000002E-4</v>
      </c>
      <c r="E7250">
        <v>0.5</v>
      </c>
      <c r="F7250">
        <v>98345</v>
      </c>
      <c r="G7250">
        <v>73</v>
      </c>
      <c r="H7250">
        <v>98308</v>
      </c>
      <c r="I7250">
        <v>4149171</v>
      </c>
    </row>
    <row r="7251" spans="1:9">
      <c r="A7251" s="2">
        <v>2015</v>
      </c>
      <c r="B7251">
        <v>32</v>
      </c>
      <c r="C7251">
        <v>8.8999999999999995E-4</v>
      </c>
      <c r="D7251">
        <v>8.8999999999999995E-4</v>
      </c>
      <c r="E7251">
        <v>0.5</v>
      </c>
      <c r="F7251">
        <v>98272</v>
      </c>
      <c r="G7251">
        <v>88</v>
      </c>
      <c r="H7251">
        <v>98228</v>
      </c>
      <c r="I7251">
        <v>4050863</v>
      </c>
    </row>
    <row r="7252" spans="1:9">
      <c r="A7252" s="2">
        <v>2015</v>
      </c>
      <c r="B7252">
        <v>33</v>
      </c>
      <c r="C7252">
        <v>1.01E-3</v>
      </c>
      <c r="D7252">
        <v>1.01E-3</v>
      </c>
      <c r="E7252">
        <v>0.5</v>
      </c>
      <c r="F7252">
        <v>98184</v>
      </c>
      <c r="G7252">
        <v>99</v>
      </c>
      <c r="H7252">
        <v>98134</v>
      </c>
      <c r="I7252">
        <v>3952635</v>
      </c>
    </row>
    <row r="7253" spans="1:9">
      <c r="A7253" s="2">
        <v>2015</v>
      </c>
      <c r="B7253">
        <v>34</v>
      </c>
      <c r="C7253">
        <v>1.3600000000000001E-3</v>
      </c>
      <c r="D7253">
        <v>1.3500000000000001E-3</v>
      </c>
      <c r="E7253">
        <v>0.5</v>
      </c>
      <c r="F7253">
        <v>98085</v>
      </c>
      <c r="G7253">
        <v>133</v>
      </c>
      <c r="H7253">
        <v>98018</v>
      </c>
      <c r="I7253">
        <v>3854501</v>
      </c>
    </row>
    <row r="7254" spans="1:9">
      <c r="A7254" s="2">
        <v>2015</v>
      </c>
      <c r="B7254">
        <v>35</v>
      </c>
      <c r="C7254">
        <v>1.2700000000000001E-3</v>
      </c>
      <c r="D7254">
        <v>1.2700000000000001E-3</v>
      </c>
      <c r="E7254">
        <v>0.5</v>
      </c>
      <c r="F7254">
        <v>97952</v>
      </c>
      <c r="G7254">
        <v>124</v>
      </c>
      <c r="H7254">
        <v>97890</v>
      </c>
      <c r="I7254">
        <v>3756482</v>
      </c>
    </row>
    <row r="7255" spans="1:9">
      <c r="A7255" s="2">
        <v>2015</v>
      </c>
      <c r="B7255">
        <v>36</v>
      </c>
      <c r="C7255">
        <v>1.33E-3</v>
      </c>
      <c r="D7255">
        <v>1.33E-3</v>
      </c>
      <c r="E7255">
        <v>0.5</v>
      </c>
      <c r="F7255">
        <v>97828</v>
      </c>
      <c r="G7255">
        <v>130</v>
      </c>
      <c r="H7255">
        <v>97763</v>
      </c>
      <c r="I7255">
        <v>3658593</v>
      </c>
    </row>
    <row r="7256" spans="1:9">
      <c r="A7256" s="2">
        <v>2015</v>
      </c>
      <c r="B7256">
        <v>37</v>
      </c>
      <c r="C7256">
        <v>1.4E-3</v>
      </c>
      <c r="D7256">
        <v>1.4E-3</v>
      </c>
      <c r="E7256">
        <v>0.5</v>
      </c>
      <c r="F7256">
        <v>97698</v>
      </c>
      <c r="G7256">
        <v>137</v>
      </c>
      <c r="H7256">
        <v>97629</v>
      </c>
      <c r="I7256">
        <v>3560830</v>
      </c>
    </row>
    <row r="7257" spans="1:9">
      <c r="A7257" s="2">
        <v>2015</v>
      </c>
      <c r="B7257">
        <v>38</v>
      </c>
      <c r="C7257">
        <v>1.56E-3</v>
      </c>
      <c r="D7257">
        <v>1.56E-3</v>
      </c>
      <c r="E7257">
        <v>0.5</v>
      </c>
      <c r="F7257">
        <v>97560</v>
      </c>
      <c r="G7257">
        <v>152</v>
      </c>
      <c r="H7257">
        <v>97484</v>
      </c>
      <c r="I7257">
        <v>3463201</v>
      </c>
    </row>
    <row r="7258" spans="1:9">
      <c r="A7258" s="2">
        <v>2015</v>
      </c>
      <c r="B7258">
        <v>39</v>
      </c>
      <c r="C7258">
        <v>1.83E-3</v>
      </c>
      <c r="D7258">
        <v>1.83E-3</v>
      </c>
      <c r="E7258">
        <v>0.5</v>
      </c>
      <c r="F7258">
        <v>97409</v>
      </c>
      <c r="G7258">
        <v>178</v>
      </c>
      <c r="H7258">
        <v>97319</v>
      </c>
      <c r="I7258">
        <v>3365717</v>
      </c>
    </row>
    <row r="7259" spans="1:9">
      <c r="A7259" s="2">
        <v>2015</v>
      </c>
      <c r="B7259">
        <v>40</v>
      </c>
      <c r="C7259">
        <v>1.97E-3</v>
      </c>
      <c r="D7259">
        <v>1.97E-3</v>
      </c>
      <c r="E7259">
        <v>0.5</v>
      </c>
      <c r="F7259">
        <v>97230</v>
      </c>
      <c r="G7259">
        <v>192</v>
      </c>
      <c r="H7259">
        <v>97134</v>
      </c>
      <c r="I7259">
        <v>3268397</v>
      </c>
    </row>
    <row r="7260" spans="1:9">
      <c r="A7260" s="2">
        <v>2015</v>
      </c>
      <c r="B7260">
        <v>41</v>
      </c>
      <c r="C7260">
        <v>2.2799999999999999E-3</v>
      </c>
      <c r="D7260">
        <v>2.2699999999999999E-3</v>
      </c>
      <c r="E7260">
        <v>0.5</v>
      </c>
      <c r="F7260">
        <v>97039</v>
      </c>
      <c r="G7260">
        <v>221</v>
      </c>
      <c r="H7260">
        <v>96928</v>
      </c>
      <c r="I7260">
        <v>3171263</v>
      </c>
    </row>
    <row r="7261" spans="1:9">
      <c r="A7261" s="2">
        <v>2015</v>
      </c>
      <c r="B7261">
        <v>42</v>
      </c>
      <c r="C7261">
        <v>2.1700000000000001E-3</v>
      </c>
      <c r="D7261">
        <v>2.1700000000000001E-3</v>
      </c>
      <c r="E7261">
        <v>0.5</v>
      </c>
      <c r="F7261">
        <v>96818</v>
      </c>
      <c r="G7261">
        <v>210</v>
      </c>
      <c r="H7261">
        <v>96713</v>
      </c>
      <c r="I7261">
        <v>3074335</v>
      </c>
    </row>
    <row r="7262" spans="1:9">
      <c r="A7262" s="2">
        <v>2015</v>
      </c>
      <c r="B7262">
        <v>43</v>
      </c>
      <c r="C7262">
        <v>2.7599999999999999E-3</v>
      </c>
      <c r="D7262">
        <v>2.7599999999999999E-3</v>
      </c>
      <c r="E7262">
        <v>0.5</v>
      </c>
      <c r="F7262">
        <v>96608</v>
      </c>
      <c r="G7262">
        <v>267</v>
      </c>
      <c r="H7262">
        <v>96475</v>
      </c>
      <c r="I7262">
        <v>2977622</v>
      </c>
    </row>
    <row r="7263" spans="1:9">
      <c r="A7263" s="2">
        <v>2015</v>
      </c>
      <c r="B7263">
        <v>44</v>
      </c>
      <c r="C7263">
        <v>3.1700000000000001E-3</v>
      </c>
      <c r="D7263">
        <v>3.1700000000000001E-3</v>
      </c>
      <c r="E7263">
        <v>0.5</v>
      </c>
      <c r="F7263">
        <v>96341</v>
      </c>
      <c r="G7263">
        <v>305</v>
      </c>
      <c r="H7263">
        <v>96189</v>
      </c>
      <c r="I7263">
        <v>2881147</v>
      </c>
    </row>
    <row r="7264" spans="1:9">
      <c r="A7264" s="2">
        <v>2015</v>
      </c>
      <c r="B7264">
        <v>45</v>
      </c>
      <c r="C7264">
        <v>3.5000000000000001E-3</v>
      </c>
      <c r="D7264">
        <v>3.5000000000000001E-3</v>
      </c>
      <c r="E7264">
        <v>0.5</v>
      </c>
      <c r="F7264">
        <v>96036</v>
      </c>
      <c r="G7264">
        <v>336</v>
      </c>
      <c r="H7264">
        <v>95868</v>
      </c>
      <c r="I7264">
        <v>2784958</v>
      </c>
    </row>
    <row r="7265" spans="1:9">
      <c r="A7265" s="2">
        <v>2015</v>
      </c>
      <c r="B7265">
        <v>46</v>
      </c>
      <c r="C7265">
        <v>4.4900000000000001E-3</v>
      </c>
      <c r="D7265">
        <v>4.4799999999999996E-3</v>
      </c>
      <c r="E7265">
        <v>0.5</v>
      </c>
      <c r="F7265">
        <v>95700</v>
      </c>
      <c r="G7265">
        <v>429</v>
      </c>
      <c r="H7265">
        <v>95486</v>
      </c>
      <c r="I7265">
        <v>2689090</v>
      </c>
    </row>
    <row r="7266" spans="1:9">
      <c r="A7266" s="2">
        <v>2015</v>
      </c>
      <c r="B7266">
        <v>47</v>
      </c>
      <c r="C7266">
        <v>5.2399999999999999E-3</v>
      </c>
      <c r="D7266">
        <v>5.2300000000000003E-3</v>
      </c>
      <c r="E7266">
        <v>0.5</v>
      </c>
      <c r="F7266">
        <v>95271</v>
      </c>
      <c r="G7266">
        <v>498</v>
      </c>
      <c r="H7266">
        <v>95022</v>
      </c>
      <c r="I7266">
        <v>2593604</v>
      </c>
    </row>
    <row r="7267" spans="1:9">
      <c r="A7267" s="2">
        <v>2015</v>
      </c>
      <c r="B7267">
        <v>48</v>
      </c>
      <c r="C7267">
        <v>5.4200000000000003E-3</v>
      </c>
      <c r="D7267">
        <v>5.4099999999999999E-3</v>
      </c>
      <c r="E7267">
        <v>0.5</v>
      </c>
      <c r="F7267">
        <v>94773</v>
      </c>
      <c r="G7267">
        <v>513</v>
      </c>
      <c r="H7267">
        <v>94517</v>
      </c>
      <c r="I7267">
        <v>2498582</v>
      </c>
    </row>
    <row r="7268" spans="1:9">
      <c r="A7268" s="2">
        <v>2015</v>
      </c>
      <c r="B7268">
        <v>49</v>
      </c>
      <c r="C7268">
        <v>7.4999999999999997E-3</v>
      </c>
      <c r="D7268">
        <v>7.4700000000000001E-3</v>
      </c>
      <c r="E7268">
        <v>0.5</v>
      </c>
      <c r="F7268">
        <v>94260</v>
      </c>
      <c r="G7268">
        <v>704</v>
      </c>
      <c r="H7268">
        <v>93908</v>
      </c>
      <c r="I7268">
        <v>2404066</v>
      </c>
    </row>
    <row r="7269" spans="1:9">
      <c r="A7269" s="2">
        <v>2015</v>
      </c>
      <c r="B7269">
        <v>50</v>
      </c>
      <c r="C7269">
        <v>7.7200000000000003E-3</v>
      </c>
      <c r="D7269">
        <v>7.6899999999999998E-3</v>
      </c>
      <c r="E7269">
        <v>0.5</v>
      </c>
      <c r="F7269">
        <v>93557</v>
      </c>
      <c r="G7269">
        <v>720</v>
      </c>
      <c r="H7269">
        <v>93197</v>
      </c>
      <c r="I7269">
        <v>2310157</v>
      </c>
    </row>
    <row r="7270" spans="1:9">
      <c r="A7270" s="2">
        <v>2015</v>
      </c>
      <c r="B7270">
        <v>51</v>
      </c>
      <c r="C7270">
        <v>9.3799999999999994E-3</v>
      </c>
      <c r="D7270">
        <v>9.3399999999999993E-3</v>
      </c>
      <c r="E7270">
        <v>0.5</v>
      </c>
      <c r="F7270">
        <v>92837</v>
      </c>
      <c r="G7270">
        <v>867</v>
      </c>
      <c r="H7270">
        <v>92404</v>
      </c>
      <c r="I7270">
        <v>2216960</v>
      </c>
    </row>
    <row r="7271" spans="1:9">
      <c r="A7271" s="2">
        <v>2015</v>
      </c>
      <c r="B7271">
        <v>52</v>
      </c>
      <c r="C7271">
        <v>1.0200000000000001E-2</v>
      </c>
      <c r="D7271">
        <v>1.0149999999999999E-2</v>
      </c>
      <c r="E7271">
        <v>0.5</v>
      </c>
      <c r="F7271">
        <v>91970</v>
      </c>
      <c r="G7271">
        <v>933</v>
      </c>
      <c r="H7271">
        <v>91504</v>
      </c>
      <c r="I7271">
        <v>2124557</v>
      </c>
    </row>
    <row r="7272" spans="1:9">
      <c r="A7272" s="2">
        <v>2015</v>
      </c>
      <c r="B7272">
        <v>53</v>
      </c>
      <c r="C7272">
        <v>1.0659999999999999E-2</v>
      </c>
      <c r="D7272">
        <v>1.06E-2</v>
      </c>
      <c r="E7272">
        <v>0.5</v>
      </c>
      <c r="F7272">
        <v>91037</v>
      </c>
      <c r="G7272">
        <v>965</v>
      </c>
      <c r="H7272">
        <v>90554</v>
      </c>
      <c r="I7272">
        <v>2033053</v>
      </c>
    </row>
    <row r="7273" spans="1:9">
      <c r="A7273" s="2">
        <v>2015</v>
      </c>
      <c r="B7273">
        <v>54</v>
      </c>
      <c r="C7273">
        <v>1.265E-2</v>
      </c>
      <c r="D7273">
        <v>1.257E-2</v>
      </c>
      <c r="E7273">
        <v>0.5</v>
      </c>
      <c r="F7273">
        <v>90072</v>
      </c>
      <c r="G7273">
        <v>1132</v>
      </c>
      <c r="H7273">
        <v>89506</v>
      </c>
      <c r="I7273">
        <v>1942499</v>
      </c>
    </row>
    <row r="7274" spans="1:9">
      <c r="A7274" s="2">
        <v>2015</v>
      </c>
      <c r="B7274">
        <v>55</v>
      </c>
      <c r="C7274">
        <v>1.405E-2</v>
      </c>
      <c r="D7274">
        <v>1.3950000000000001E-2</v>
      </c>
      <c r="E7274">
        <v>0.5</v>
      </c>
      <c r="F7274">
        <v>88939</v>
      </c>
      <c r="G7274">
        <v>1241</v>
      </c>
      <c r="H7274">
        <v>88319</v>
      </c>
      <c r="I7274">
        <v>1852993</v>
      </c>
    </row>
    <row r="7275" spans="1:9">
      <c r="A7275" s="2">
        <v>2015</v>
      </c>
      <c r="B7275">
        <v>56</v>
      </c>
      <c r="C7275">
        <v>1.542E-2</v>
      </c>
      <c r="D7275">
        <v>1.5299999999999999E-2</v>
      </c>
      <c r="E7275">
        <v>0.5</v>
      </c>
      <c r="F7275">
        <v>87698</v>
      </c>
      <c r="G7275">
        <v>1342</v>
      </c>
      <c r="H7275">
        <v>87027</v>
      </c>
      <c r="I7275">
        <v>1764675</v>
      </c>
    </row>
    <row r="7276" spans="1:9">
      <c r="A7276" s="2">
        <v>2015</v>
      </c>
      <c r="B7276">
        <v>57</v>
      </c>
      <c r="C7276">
        <v>1.7489999999999999E-2</v>
      </c>
      <c r="D7276">
        <v>1.7340000000000001E-2</v>
      </c>
      <c r="E7276">
        <v>0.5</v>
      </c>
      <c r="F7276">
        <v>86357</v>
      </c>
      <c r="G7276">
        <v>1498</v>
      </c>
      <c r="H7276">
        <v>85608</v>
      </c>
      <c r="I7276">
        <v>1677647</v>
      </c>
    </row>
    <row r="7277" spans="1:9">
      <c r="A7277" s="2">
        <v>2015</v>
      </c>
      <c r="B7277">
        <v>58</v>
      </c>
      <c r="C7277">
        <v>1.8429999999999998E-2</v>
      </c>
      <c r="D7277">
        <v>1.8259999999999998E-2</v>
      </c>
      <c r="E7277">
        <v>0.5</v>
      </c>
      <c r="F7277">
        <v>84859</v>
      </c>
      <c r="G7277">
        <v>1549</v>
      </c>
      <c r="H7277">
        <v>84084</v>
      </c>
      <c r="I7277">
        <v>1592039</v>
      </c>
    </row>
    <row r="7278" spans="1:9">
      <c r="A7278" s="2">
        <v>2015</v>
      </c>
      <c r="B7278">
        <v>59</v>
      </c>
      <c r="C7278">
        <v>1.983E-2</v>
      </c>
      <c r="D7278">
        <v>1.9640000000000001E-2</v>
      </c>
      <c r="E7278">
        <v>0.5</v>
      </c>
      <c r="F7278">
        <v>83310</v>
      </c>
      <c r="G7278">
        <v>1636</v>
      </c>
      <c r="H7278">
        <v>82492</v>
      </c>
      <c r="I7278">
        <v>1507955</v>
      </c>
    </row>
    <row r="7279" spans="1:9">
      <c r="A7279" s="2">
        <v>2015</v>
      </c>
      <c r="B7279">
        <v>60</v>
      </c>
      <c r="C7279">
        <v>2.1489999999999999E-2</v>
      </c>
      <c r="D7279">
        <v>2.1260000000000001E-2</v>
      </c>
      <c r="E7279">
        <v>0.5</v>
      </c>
      <c r="F7279">
        <v>81674</v>
      </c>
      <c r="G7279">
        <v>1736</v>
      </c>
      <c r="H7279">
        <v>80805</v>
      </c>
      <c r="I7279">
        <v>1425464</v>
      </c>
    </row>
    <row r="7280" spans="1:9">
      <c r="A7280" s="2">
        <v>2015</v>
      </c>
      <c r="B7280">
        <v>61</v>
      </c>
      <c r="C7280">
        <v>2.3099999999999999E-2</v>
      </c>
      <c r="D7280">
        <v>2.2839999999999999E-2</v>
      </c>
      <c r="E7280">
        <v>0.5</v>
      </c>
      <c r="F7280">
        <v>79937</v>
      </c>
      <c r="G7280">
        <v>1826</v>
      </c>
      <c r="H7280">
        <v>79024</v>
      </c>
      <c r="I7280">
        <v>1344658</v>
      </c>
    </row>
    <row r="7281" spans="1:9">
      <c r="A7281" s="2">
        <v>2015</v>
      </c>
      <c r="B7281">
        <v>62</v>
      </c>
      <c r="C7281">
        <v>2.3599999999999999E-2</v>
      </c>
      <c r="D7281">
        <v>2.332E-2</v>
      </c>
      <c r="E7281">
        <v>0.5</v>
      </c>
      <c r="F7281">
        <v>78112</v>
      </c>
      <c r="G7281">
        <v>1822</v>
      </c>
      <c r="H7281">
        <v>77201</v>
      </c>
      <c r="I7281">
        <v>1265634</v>
      </c>
    </row>
    <row r="7282" spans="1:9">
      <c r="A7282" s="2">
        <v>2015</v>
      </c>
      <c r="B7282">
        <v>63</v>
      </c>
      <c r="C7282">
        <v>2.75E-2</v>
      </c>
      <c r="D7282">
        <v>2.7130000000000001E-2</v>
      </c>
      <c r="E7282">
        <v>0.5</v>
      </c>
      <c r="F7282">
        <v>76290</v>
      </c>
      <c r="G7282">
        <v>2070</v>
      </c>
      <c r="H7282">
        <v>75255</v>
      </c>
      <c r="I7282">
        <v>1188433</v>
      </c>
    </row>
    <row r="7283" spans="1:9">
      <c r="A7283" s="2">
        <v>2015</v>
      </c>
      <c r="B7283">
        <v>64</v>
      </c>
      <c r="C7283">
        <v>2.8989999999999998E-2</v>
      </c>
      <c r="D7283">
        <v>2.8570000000000002E-2</v>
      </c>
      <c r="E7283">
        <v>0.5</v>
      </c>
      <c r="F7283">
        <v>74220</v>
      </c>
      <c r="G7283">
        <v>2121</v>
      </c>
      <c r="H7283">
        <v>73160</v>
      </c>
      <c r="I7283">
        <v>1113178</v>
      </c>
    </row>
    <row r="7284" spans="1:9">
      <c r="A7284" s="2">
        <v>2015</v>
      </c>
      <c r="B7284">
        <v>65</v>
      </c>
      <c r="C7284">
        <v>3.0939999999999999E-2</v>
      </c>
      <c r="D7284">
        <v>3.0460000000000001E-2</v>
      </c>
      <c r="E7284">
        <v>0.5</v>
      </c>
      <c r="F7284">
        <v>72100</v>
      </c>
      <c r="G7284">
        <v>2196</v>
      </c>
      <c r="H7284">
        <v>71001</v>
      </c>
      <c r="I7284">
        <v>1040018</v>
      </c>
    </row>
    <row r="7285" spans="1:9">
      <c r="A7285" s="2">
        <v>2015</v>
      </c>
      <c r="B7285">
        <v>66</v>
      </c>
      <c r="C7285">
        <v>3.1370000000000002E-2</v>
      </c>
      <c r="D7285">
        <v>3.0890000000000001E-2</v>
      </c>
      <c r="E7285">
        <v>0.5</v>
      </c>
      <c r="F7285">
        <v>69903</v>
      </c>
      <c r="G7285">
        <v>2159</v>
      </c>
      <c r="H7285">
        <v>68824</v>
      </c>
      <c r="I7285">
        <v>969017</v>
      </c>
    </row>
    <row r="7286" spans="1:9">
      <c r="A7286" s="2">
        <v>2015</v>
      </c>
      <c r="B7286">
        <v>67</v>
      </c>
      <c r="C7286">
        <v>3.2370000000000003E-2</v>
      </c>
      <c r="D7286">
        <v>3.1850000000000003E-2</v>
      </c>
      <c r="E7286">
        <v>0.5</v>
      </c>
      <c r="F7286">
        <v>67744</v>
      </c>
      <c r="G7286">
        <v>2158</v>
      </c>
      <c r="H7286">
        <v>66665</v>
      </c>
      <c r="I7286">
        <v>900193</v>
      </c>
    </row>
    <row r="7287" spans="1:9">
      <c r="A7287" s="2">
        <v>2015</v>
      </c>
      <c r="B7287">
        <v>68</v>
      </c>
      <c r="C7287">
        <v>3.5200000000000002E-2</v>
      </c>
      <c r="D7287">
        <v>3.4590000000000003E-2</v>
      </c>
      <c r="E7287">
        <v>0.5</v>
      </c>
      <c r="F7287">
        <v>65586</v>
      </c>
      <c r="G7287">
        <v>2269</v>
      </c>
      <c r="H7287">
        <v>64452</v>
      </c>
      <c r="I7287">
        <v>833528</v>
      </c>
    </row>
    <row r="7288" spans="1:9">
      <c r="A7288" s="2">
        <v>2015</v>
      </c>
      <c r="B7288">
        <v>69</v>
      </c>
      <c r="C7288">
        <v>3.4970000000000001E-2</v>
      </c>
      <c r="D7288">
        <v>3.4369999999999998E-2</v>
      </c>
      <c r="E7288">
        <v>0.5</v>
      </c>
      <c r="F7288">
        <v>63318</v>
      </c>
      <c r="G7288">
        <v>2176</v>
      </c>
      <c r="H7288">
        <v>62230</v>
      </c>
      <c r="I7288">
        <v>769076</v>
      </c>
    </row>
    <row r="7289" spans="1:9">
      <c r="A7289" s="2">
        <v>2015</v>
      </c>
      <c r="B7289">
        <v>70</v>
      </c>
      <c r="C7289">
        <v>3.9919999999999997E-2</v>
      </c>
      <c r="D7289">
        <v>3.9140000000000001E-2</v>
      </c>
      <c r="E7289">
        <v>0.5</v>
      </c>
      <c r="F7289">
        <v>61142</v>
      </c>
      <c r="G7289">
        <v>2393</v>
      </c>
      <c r="H7289">
        <v>59945</v>
      </c>
      <c r="I7289">
        <v>706846</v>
      </c>
    </row>
    <row r="7290" spans="1:9">
      <c r="A7290" s="2">
        <v>2015</v>
      </c>
      <c r="B7290">
        <v>71</v>
      </c>
      <c r="C7290">
        <v>4.4310000000000002E-2</v>
      </c>
      <c r="D7290">
        <v>4.335E-2</v>
      </c>
      <c r="E7290">
        <v>0.5</v>
      </c>
      <c r="F7290">
        <v>58748</v>
      </c>
      <c r="G7290">
        <v>2547</v>
      </c>
      <c r="H7290">
        <v>57475</v>
      </c>
      <c r="I7290">
        <v>646901</v>
      </c>
    </row>
    <row r="7291" spans="1:9">
      <c r="A7291" s="2">
        <v>2015</v>
      </c>
      <c r="B7291">
        <v>72</v>
      </c>
      <c r="C7291">
        <v>4.5600000000000002E-2</v>
      </c>
      <c r="D7291">
        <v>4.4589999999999998E-2</v>
      </c>
      <c r="E7291">
        <v>0.5</v>
      </c>
      <c r="F7291">
        <v>56202</v>
      </c>
      <c r="G7291">
        <v>2506</v>
      </c>
      <c r="H7291">
        <v>54949</v>
      </c>
      <c r="I7291">
        <v>589426</v>
      </c>
    </row>
    <row r="7292" spans="1:9">
      <c r="A7292" s="2">
        <v>2015</v>
      </c>
      <c r="B7292">
        <v>73</v>
      </c>
      <c r="C7292">
        <v>4.8099999999999997E-2</v>
      </c>
      <c r="D7292">
        <v>4.6969999999999998E-2</v>
      </c>
      <c r="E7292">
        <v>0.5</v>
      </c>
      <c r="F7292">
        <v>53696</v>
      </c>
      <c r="G7292">
        <v>2522</v>
      </c>
      <c r="H7292">
        <v>52435</v>
      </c>
      <c r="I7292">
        <v>534478</v>
      </c>
    </row>
    <row r="7293" spans="1:9">
      <c r="A7293" s="2">
        <v>2015</v>
      </c>
      <c r="B7293">
        <v>74</v>
      </c>
      <c r="C7293">
        <v>5.2970000000000003E-2</v>
      </c>
      <c r="D7293">
        <v>5.16E-2</v>
      </c>
      <c r="E7293">
        <v>0.5</v>
      </c>
      <c r="F7293">
        <v>51174</v>
      </c>
      <c r="G7293">
        <v>2641</v>
      </c>
      <c r="H7293">
        <v>49853</v>
      </c>
      <c r="I7293">
        <v>482043</v>
      </c>
    </row>
    <row r="7294" spans="1:9">
      <c r="A7294" s="2">
        <v>2015</v>
      </c>
      <c r="B7294">
        <v>75</v>
      </c>
      <c r="C7294">
        <v>5.7840000000000003E-2</v>
      </c>
      <c r="D7294">
        <v>5.6210000000000003E-2</v>
      </c>
      <c r="E7294">
        <v>0.5</v>
      </c>
      <c r="F7294">
        <v>48533</v>
      </c>
      <c r="G7294">
        <v>2728</v>
      </c>
      <c r="H7294">
        <v>47169</v>
      </c>
      <c r="I7294">
        <v>432190</v>
      </c>
    </row>
    <row r="7295" spans="1:9">
      <c r="A7295" s="2">
        <v>2015</v>
      </c>
      <c r="B7295">
        <v>76</v>
      </c>
      <c r="C7295">
        <v>6.4820000000000003E-2</v>
      </c>
      <c r="D7295">
        <v>6.2789999999999999E-2</v>
      </c>
      <c r="E7295">
        <v>0.5</v>
      </c>
      <c r="F7295">
        <v>45805</v>
      </c>
      <c r="G7295">
        <v>2876</v>
      </c>
      <c r="H7295">
        <v>44367</v>
      </c>
      <c r="I7295">
        <v>385021</v>
      </c>
    </row>
    <row r="7296" spans="1:9">
      <c r="A7296" s="2">
        <v>2015</v>
      </c>
      <c r="B7296">
        <v>77</v>
      </c>
      <c r="C7296">
        <v>7.4060000000000001E-2</v>
      </c>
      <c r="D7296">
        <v>7.1419999999999997E-2</v>
      </c>
      <c r="E7296">
        <v>0.5</v>
      </c>
      <c r="F7296">
        <v>42929</v>
      </c>
      <c r="G7296">
        <v>3066</v>
      </c>
      <c r="H7296">
        <v>41396</v>
      </c>
      <c r="I7296">
        <v>340654</v>
      </c>
    </row>
    <row r="7297" spans="1:9">
      <c r="A7297" s="2">
        <v>2015</v>
      </c>
      <c r="B7297">
        <v>78</v>
      </c>
      <c r="C7297">
        <v>7.8609999999999999E-2</v>
      </c>
      <c r="D7297">
        <v>7.5639999999999999E-2</v>
      </c>
      <c r="E7297">
        <v>0.5</v>
      </c>
      <c r="F7297">
        <v>39863</v>
      </c>
      <c r="G7297">
        <v>3015</v>
      </c>
      <c r="H7297">
        <v>38355</v>
      </c>
      <c r="I7297">
        <v>299258</v>
      </c>
    </row>
    <row r="7298" spans="1:9">
      <c r="A7298" s="2">
        <v>2015</v>
      </c>
      <c r="B7298">
        <v>79</v>
      </c>
      <c r="C7298">
        <v>8.5940000000000003E-2</v>
      </c>
      <c r="D7298">
        <v>8.2400000000000001E-2</v>
      </c>
      <c r="E7298">
        <v>0.5</v>
      </c>
      <c r="F7298">
        <v>36848</v>
      </c>
      <c r="G7298">
        <v>3036</v>
      </c>
      <c r="H7298">
        <v>35330</v>
      </c>
      <c r="I7298">
        <v>260903</v>
      </c>
    </row>
    <row r="7299" spans="1:9">
      <c r="A7299" s="2">
        <v>2015</v>
      </c>
      <c r="B7299">
        <v>80</v>
      </c>
      <c r="C7299">
        <v>9.554E-2</v>
      </c>
      <c r="D7299">
        <v>9.1189999999999993E-2</v>
      </c>
      <c r="E7299">
        <v>0.5</v>
      </c>
      <c r="F7299">
        <v>33812</v>
      </c>
      <c r="G7299">
        <v>3083</v>
      </c>
      <c r="H7299">
        <v>32270</v>
      </c>
      <c r="I7299">
        <v>225573</v>
      </c>
    </row>
    <row r="7300" spans="1:9">
      <c r="A7300" s="2">
        <v>2015</v>
      </c>
      <c r="B7300">
        <v>81</v>
      </c>
      <c r="C7300">
        <v>0.10557</v>
      </c>
      <c r="D7300">
        <v>0.10027999999999999</v>
      </c>
      <c r="E7300">
        <v>0.5</v>
      </c>
      <c r="F7300">
        <v>30728</v>
      </c>
      <c r="G7300">
        <v>3081</v>
      </c>
      <c r="H7300">
        <v>29188</v>
      </c>
      <c r="I7300">
        <v>193303</v>
      </c>
    </row>
    <row r="7301" spans="1:9">
      <c r="A7301" s="2">
        <v>2015</v>
      </c>
      <c r="B7301">
        <v>82</v>
      </c>
      <c r="C7301">
        <v>0.10618</v>
      </c>
      <c r="D7301">
        <v>0.10082000000000001</v>
      </c>
      <c r="E7301">
        <v>0.5</v>
      </c>
      <c r="F7301">
        <v>27647</v>
      </c>
      <c r="G7301">
        <v>2787</v>
      </c>
      <c r="H7301">
        <v>26253</v>
      </c>
      <c r="I7301">
        <v>164116</v>
      </c>
    </row>
    <row r="7302" spans="1:9">
      <c r="A7302" s="2">
        <v>2015</v>
      </c>
      <c r="B7302">
        <v>83</v>
      </c>
      <c r="C7302">
        <v>0.12531999999999999</v>
      </c>
      <c r="D7302">
        <v>0.11792999999999999</v>
      </c>
      <c r="E7302">
        <v>0.5</v>
      </c>
      <c r="F7302">
        <v>24860</v>
      </c>
      <c r="G7302">
        <v>2932</v>
      </c>
      <c r="H7302">
        <v>23394</v>
      </c>
      <c r="I7302">
        <v>137862</v>
      </c>
    </row>
    <row r="7303" spans="1:9">
      <c r="A7303" s="2">
        <v>2015</v>
      </c>
      <c r="B7303">
        <v>84</v>
      </c>
      <c r="C7303">
        <v>0.12981999999999999</v>
      </c>
      <c r="D7303">
        <v>0.12189999999999999</v>
      </c>
      <c r="E7303">
        <v>0.5</v>
      </c>
      <c r="F7303">
        <v>21928</v>
      </c>
      <c r="G7303">
        <v>2673</v>
      </c>
      <c r="H7303">
        <v>20591</v>
      </c>
      <c r="I7303">
        <v>114469</v>
      </c>
    </row>
    <row r="7304" spans="1:9">
      <c r="A7304" s="2">
        <v>2015</v>
      </c>
      <c r="B7304">
        <v>85</v>
      </c>
      <c r="C7304">
        <v>0.1336</v>
      </c>
      <c r="D7304">
        <v>0.12523000000000001</v>
      </c>
      <c r="E7304">
        <v>0.5</v>
      </c>
      <c r="F7304">
        <v>19255</v>
      </c>
      <c r="G7304">
        <v>2411</v>
      </c>
      <c r="H7304">
        <v>18049</v>
      </c>
      <c r="I7304">
        <v>93877</v>
      </c>
    </row>
    <row r="7305" spans="1:9">
      <c r="A7305" s="2">
        <v>2015</v>
      </c>
      <c r="B7305">
        <v>86</v>
      </c>
      <c r="C7305">
        <v>0.15794</v>
      </c>
      <c r="D7305">
        <v>0.14638000000000001</v>
      </c>
      <c r="E7305">
        <v>0.5</v>
      </c>
      <c r="F7305">
        <v>16843</v>
      </c>
      <c r="G7305">
        <v>2465</v>
      </c>
      <c r="H7305">
        <v>15611</v>
      </c>
      <c r="I7305">
        <v>75828</v>
      </c>
    </row>
    <row r="7306" spans="1:9">
      <c r="A7306" s="2">
        <v>2015</v>
      </c>
      <c r="B7306">
        <v>87</v>
      </c>
      <c r="C7306">
        <v>0.17449000000000001</v>
      </c>
      <c r="D7306">
        <v>0.16048999999999999</v>
      </c>
      <c r="E7306">
        <v>0.5</v>
      </c>
      <c r="F7306">
        <v>14378</v>
      </c>
      <c r="G7306">
        <v>2307</v>
      </c>
      <c r="H7306">
        <v>13224</v>
      </c>
      <c r="I7306">
        <v>60218</v>
      </c>
    </row>
    <row r="7307" spans="1:9">
      <c r="A7307" s="2">
        <v>2015</v>
      </c>
      <c r="B7307">
        <v>88</v>
      </c>
      <c r="C7307">
        <v>0.19406999999999999</v>
      </c>
      <c r="D7307">
        <v>0.1769</v>
      </c>
      <c r="E7307">
        <v>0.5</v>
      </c>
      <c r="F7307">
        <v>12070</v>
      </c>
      <c r="G7307">
        <v>2135</v>
      </c>
      <c r="H7307">
        <v>11003</v>
      </c>
      <c r="I7307">
        <v>46993</v>
      </c>
    </row>
    <row r="7308" spans="1:9">
      <c r="A7308" s="2">
        <v>2015</v>
      </c>
      <c r="B7308">
        <v>89</v>
      </c>
      <c r="C7308">
        <v>0.21997</v>
      </c>
      <c r="D7308">
        <v>0.19818</v>
      </c>
      <c r="E7308">
        <v>0.5</v>
      </c>
      <c r="F7308">
        <v>9935</v>
      </c>
      <c r="G7308">
        <v>1969</v>
      </c>
      <c r="H7308">
        <v>8951</v>
      </c>
      <c r="I7308">
        <v>35991</v>
      </c>
    </row>
    <row r="7309" spans="1:9">
      <c r="A7309" s="2">
        <v>2015</v>
      </c>
      <c r="B7309">
        <v>90</v>
      </c>
      <c r="C7309">
        <v>0.22536</v>
      </c>
      <c r="D7309">
        <v>0.20252999999999999</v>
      </c>
      <c r="E7309">
        <v>0.5</v>
      </c>
      <c r="F7309">
        <v>7966</v>
      </c>
      <c r="G7309">
        <v>1613</v>
      </c>
      <c r="H7309">
        <v>7160</v>
      </c>
      <c r="I7309">
        <v>27040</v>
      </c>
    </row>
    <row r="7310" spans="1:9">
      <c r="A7310" s="2">
        <v>2015</v>
      </c>
      <c r="B7310">
        <v>91</v>
      </c>
      <c r="C7310">
        <v>0.26900000000000002</v>
      </c>
      <c r="D7310">
        <v>0.23710999999999999</v>
      </c>
      <c r="E7310">
        <v>0.5</v>
      </c>
      <c r="F7310">
        <v>6353</v>
      </c>
      <c r="G7310">
        <v>1506</v>
      </c>
      <c r="H7310">
        <v>5600</v>
      </c>
      <c r="I7310">
        <v>19880</v>
      </c>
    </row>
    <row r="7311" spans="1:9">
      <c r="A7311" s="2">
        <v>2015</v>
      </c>
      <c r="B7311">
        <v>92</v>
      </c>
      <c r="C7311">
        <v>0.29232999999999998</v>
      </c>
      <c r="D7311">
        <v>0.25505</v>
      </c>
      <c r="E7311">
        <v>0.5</v>
      </c>
      <c r="F7311">
        <v>4847</v>
      </c>
      <c r="G7311">
        <v>1236</v>
      </c>
      <c r="H7311">
        <v>4228</v>
      </c>
      <c r="I7311">
        <v>14281</v>
      </c>
    </row>
    <row r="7312" spans="1:9">
      <c r="A7312" s="2">
        <v>2015</v>
      </c>
      <c r="B7312">
        <v>93</v>
      </c>
      <c r="C7312">
        <v>0.32107000000000002</v>
      </c>
      <c r="D7312">
        <v>0.27666000000000002</v>
      </c>
      <c r="E7312">
        <v>0.5</v>
      </c>
      <c r="F7312">
        <v>3610</v>
      </c>
      <c r="G7312">
        <v>999</v>
      </c>
      <c r="H7312">
        <v>3111</v>
      </c>
      <c r="I7312">
        <v>10052</v>
      </c>
    </row>
    <row r="7313" spans="1:9">
      <c r="A7313" s="2">
        <v>2015</v>
      </c>
      <c r="B7313">
        <v>94</v>
      </c>
      <c r="C7313">
        <v>0.32812999999999998</v>
      </c>
      <c r="D7313">
        <v>0.28188000000000002</v>
      </c>
      <c r="E7313">
        <v>0.5</v>
      </c>
      <c r="F7313">
        <v>2612</v>
      </c>
      <c r="G7313">
        <v>736</v>
      </c>
      <c r="H7313">
        <v>2243</v>
      </c>
      <c r="I7313">
        <v>6941</v>
      </c>
    </row>
    <row r="7314" spans="1:9">
      <c r="A7314" s="2">
        <v>2015</v>
      </c>
      <c r="B7314">
        <v>95</v>
      </c>
      <c r="C7314">
        <v>0.35210000000000002</v>
      </c>
      <c r="D7314">
        <v>0.29938999999999999</v>
      </c>
      <c r="E7314">
        <v>0.5</v>
      </c>
      <c r="F7314">
        <v>1875</v>
      </c>
      <c r="G7314">
        <v>561</v>
      </c>
      <c r="H7314">
        <v>1595</v>
      </c>
      <c r="I7314">
        <v>4698</v>
      </c>
    </row>
    <row r="7315" spans="1:9">
      <c r="A7315" s="2">
        <v>2015</v>
      </c>
      <c r="B7315">
        <v>96</v>
      </c>
      <c r="C7315">
        <v>0.37846999999999997</v>
      </c>
      <c r="D7315">
        <v>0.31824000000000002</v>
      </c>
      <c r="E7315">
        <v>0.5</v>
      </c>
      <c r="F7315">
        <v>1314</v>
      </c>
      <c r="G7315">
        <v>418</v>
      </c>
      <c r="H7315">
        <v>1105</v>
      </c>
      <c r="I7315">
        <v>3103</v>
      </c>
    </row>
    <row r="7316" spans="1:9">
      <c r="A7316" s="2">
        <v>2015</v>
      </c>
      <c r="B7316">
        <v>97</v>
      </c>
      <c r="C7316">
        <v>0.40556999999999999</v>
      </c>
      <c r="D7316">
        <v>0.33718999999999999</v>
      </c>
      <c r="E7316">
        <v>0.5</v>
      </c>
      <c r="F7316">
        <v>896</v>
      </c>
      <c r="G7316">
        <v>302</v>
      </c>
      <c r="H7316">
        <v>745</v>
      </c>
      <c r="I7316">
        <v>1998</v>
      </c>
    </row>
    <row r="7317" spans="1:9">
      <c r="A7317" s="2">
        <v>2015</v>
      </c>
      <c r="B7317">
        <v>98</v>
      </c>
      <c r="C7317">
        <v>0.43325999999999998</v>
      </c>
      <c r="D7317">
        <v>0.35611999999999999</v>
      </c>
      <c r="E7317">
        <v>0.5</v>
      </c>
      <c r="F7317">
        <v>594</v>
      </c>
      <c r="G7317">
        <v>211</v>
      </c>
      <c r="H7317">
        <v>488</v>
      </c>
      <c r="I7317">
        <v>1253</v>
      </c>
    </row>
    <row r="7318" spans="1:9">
      <c r="A7318" s="2">
        <v>2015</v>
      </c>
      <c r="B7318">
        <v>99</v>
      </c>
      <c r="C7318">
        <v>0.46138000000000001</v>
      </c>
      <c r="D7318">
        <v>0.37490000000000001</v>
      </c>
      <c r="E7318">
        <v>0.5</v>
      </c>
      <c r="F7318">
        <v>382</v>
      </c>
      <c r="G7318">
        <v>143</v>
      </c>
      <c r="H7318">
        <v>311</v>
      </c>
      <c r="I7318">
        <v>765</v>
      </c>
    </row>
    <row r="7319" spans="1:9">
      <c r="A7319" s="2">
        <v>2015</v>
      </c>
      <c r="B7319">
        <v>100</v>
      </c>
      <c r="C7319">
        <v>0.48974000000000001</v>
      </c>
      <c r="D7319">
        <v>0.39340999999999998</v>
      </c>
      <c r="E7319">
        <v>0.5</v>
      </c>
      <c r="F7319">
        <v>239</v>
      </c>
      <c r="G7319">
        <v>94</v>
      </c>
      <c r="H7319">
        <v>192</v>
      </c>
      <c r="I7319">
        <v>455</v>
      </c>
    </row>
    <row r="7320" spans="1:9">
      <c r="A7320" s="2">
        <v>2015</v>
      </c>
      <c r="B7320">
        <v>101</v>
      </c>
      <c r="C7320">
        <v>0.51817999999999997</v>
      </c>
      <c r="D7320">
        <v>0.41155000000000003</v>
      </c>
      <c r="E7320">
        <v>0.5</v>
      </c>
      <c r="F7320">
        <v>145</v>
      </c>
      <c r="G7320">
        <v>60</v>
      </c>
      <c r="H7320">
        <v>115</v>
      </c>
      <c r="I7320">
        <v>263</v>
      </c>
    </row>
    <row r="7321" spans="1:9">
      <c r="A7321" s="2">
        <v>2015</v>
      </c>
      <c r="B7321">
        <v>102</v>
      </c>
      <c r="C7321">
        <v>0.54649000000000003</v>
      </c>
      <c r="D7321">
        <v>0.42920999999999998</v>
      </c>
      <c r="E7321">
        <v>0.5</v>
      </c>
      <c r="F7321">
        <v>85</v>
      </c>
      <c r="G7321">
        <v>37</v>
      </c>
      <c r="H7321">
        <v>67</v>
      </c>
      <c r="I7321">
        <v>148</v>
      </c>
    </row>
    <row r="7322" spans="1:9">
      <c r="A7322" s="2">
        <v>2015</v>
      </c>
      <c r="B7322">
        <v>103</v>
      </c>
      <c r="C7322">
        <v>0.57450000000000001</v>
      </c>
      <c r="D7322">
        <v>0.44629999999999997</v>
      </c>
      <c r="E7322">
        <v>0.5</v>
      </c>
      <c r="F7322">
        <v>49</v>
      </c>
      <c r="G7322">
        <v>22</v>
      </c>
      <c r="H7322">
        <v>38</v>
      </c>
      <c r="I7322">
        <v>81</v>
      </c>
    </row>
    <row r="7323" spans="1:9">
      <c r="A7323" s="2">
        <v>2015</v>
      </c>
      <c r="B7323">
        <v>104</v>
      </c>
      <c r="C7323">
        <v>0.60204999999999997</v>
      </c>
      <c r="D7323">
        <v>0.46274999999999999</v>
      </c>
      <c r="E7323">
        <v>0.5</v>
      </c>
      <c r="F7323">
        <v>27</v>
      </c>
      <c r="G7323">
        <v>12</v>
      </c>
      <c r="H7323">
        <v>21</v>
      </c>
      <c r="I7323">
        <v>43</v>
      </c>
    </row>
    <row r="7324" spans="1:9">
      <c r="A7324" s="2">
        <v>2015</v>
      </c>
      <c r="B7324">
        <v>105</v>
      </c>
      <c r="C7324">
        <v>0.62895999999999996</v>
      </c>
      <c r="D7324">
        <v>0.47849000000000003</v>
      </c>
      <c r="E7324">
        <v>0.5</v>
      </c>
      <c r="F7324">
        <v>14</v>
      </c>
      <c r="G7324">
        <v>7</v>
      </c>
      <c r="H7324">
        <v>11</v>
      </c>
      <c r="I7324">
        <v>22</v>
      </c>
    </row>
    <row r="7325" spans="1:9">
      <c r="A7325" s="2">
        <v>2015</v>
      </c>
      <c r="B7325">
        <v>106</v>
      </c>
      <c r="C7325">
        <v>0.65510000000000002</v>
      </c>
      <c r="D7325">
        <v>0.49347000000000002</v>
      </c>
      <c r="E7325">
        <v>0.5</v>
      </c>
      <c r="F7325">
        <v>8</v>
      </c>
      <c r="G7325">
        <v>4</v>
      </c>
      <c r="H7325">
        <v>6</v>
      </c>
      <c r="I7325">
        <v>11</v>
      </c>
    </row>
    <row r="7326" spans="1:9">
      <c r="A7326" s="2">
        <v>2015</v>
      </c>
      <c r="B7326">
        <v>107</v>
      </c>
      <c r="C7326">
        <v>0.68032999999999999</v>
      </c>
      <c r="D7326">
        <v>0.50765000000000005</v>
      </c>
      <c r="E7326">
        <v>0.5</v>
      </c>
      <c r="F7326">
        <v>4</v>
      </c>
      <c r="G7326">
        <v>2</v>
      </c>
      <c r="H7326">
        <v>3</v>
      </c>
      <c r="I7326">
        <v>5</v>
      </c>
    </row>
    <row r="7327" spans="1:9">
      <c r="A7327" s="2">
        <v>2015</v>
      </c>
      <c r="B7327">
        <v>108</v>
      </c>
      <c r="C7327">
        <v>0.70455000000000001</v>
      </c>
      <c r="D7327">
        <v>0.52100999999999997</v>
      </c>
      <c r="E7327">
        <v>0.5</v>
      </c>
      <c r="F7327">
        <v>2</v>
      </c>
      <c r="G7327">
        <v>1</v>
      </c>
      <c r="H7327">
        <v>1</v>
      </c>
      <c r="I7327">
        <v>3</v>
      </c>
    </row>
    <row r="7328" spans="1:9">
      <c r="A7328" s="2">
        <v>2015</v>
      </c>
      <c r="B7328">
        <v>109</v>
      </c>
      <c r="C7328">
        <v>0.72767000000000004</v>
      </c>
      <c r="D7328">
        <v>0.53354000000000001</v>
      </c>
      <c r="E7328">
        <v>0.5</v>
      </c>
      <c r="F7328">
        <v>1</v>
      </c>
      <c r="G7328">
        <v>0</v>
      </c>
      <c r="H7328">
        <v>1</v>
      </c>
      <c r="I7328">
        <v>1</v>
      </c>
    </row>
    <row r="7329" spans="1:9">
      <c r="A7329" s="2">
        <v>2015</v>
      </c>
      <c r="B7329" t="s">
        <v>26</v>
      </c>
      <c r="C7329">
        <v>0.74961999999999995</v>
      </c>
      <c r="D7329">
        <v>1</v>
      </c>
      <c r="E7329">
        <v>1.33</v>
      </c>
      <c r="F7329">
        <v>0</v>
      </c>
      <c r="G7329">
        <v>0</v>
      </c>
      <c r="H7329">
        <v>1</v>
      </c>
      <c r="I7329">
        <v>1</v>
      </c>
    </row>
    <row r="7330" spans="1:9">
      <c r="A7330" s="2">
        <v>2016</v>
      </c>
      <c r="B7330">
        <v>0</v>
      </c>
      <c r="C7330">
        <v>4.2700000000000004E-3</v>
      </c>
      <c r="D7330">
        <v>4.2500000000000003E-3</v>
      </c>
      <c r="E7330">
        <v>0.14000000000000001</v>
      </c>
      <c r="F7330">
        <v>100000</v>
      </c>
      <c r="G7330">
        <v>425</v>
      </c>
      <c r="H7330">
        <v>99635</v>
      </c>
      <c r="I7330">
        <v>7255993</v>
      </c>
    </row>
    <row r="7331" spans="1:9">
      <c r="A7331" s="2">
        <v>2016</v>
      </c>
      <c r="B7331">
        <v>1</v>
      </c>
      <c r="C7331">
        <v>3.8000000000000002E-4</v>
      </c>
      <c r="D7331">
        <v>3.8000000000000002E-4</v>
      </c>
      <c r="E7331">
        <v>0.5</v>
      </c>
      <c r="F7331">
        <v>99575</v>
      </c>
      <c r="G7331">
        <v>37</v>
      </c>
      <c r="H7331">
        <v>99556</v>
      </c>
      <c r="I7331">
        <v>7156358</v>
      </c>
    </row>
    <row r="7332" spans="1:9">
      <c r="A7332" s="2">
        <v>2016</v>
      </c>
      <c r="B7332">
        <v>2</v>
      </c>
      <c r="C7332">
        <v>2.9999999999999997E-4</v>
      </c>
      <c r="D7332">
        <v>2.9999999999999997E-4</v>
      </c>
      <c r="E7332">
        <v>0.5</v>
      </c>
      <c r="F7332">
        <v>99537</v>
      </c>
      <c r="G7332">
        <v>30</v>
      </c>
      <c r="H7332">
        <v>99523</v>
      </c>
      <c r="I7332">
        <v>7056802</v>
      </c>
    </row>
    <row r="7333" spans="1:9">
      <c r="A7333" s="2">
        <v>2016</v>
      </c>
      <c r="B7333">
        <v>3</v>
      </c>
      <c r="C7333">
        <v>1.7000000000000001E-4</v>
      </c>
      <c r="D7333">
        <v>1.7000000000000001E-4</v>
      </c>
      <c r="E7333">
        <v>0.5</v>
      </c>
      <c r="F7333">
        <v>99508</v>
      </c>
      <c r="G7333">
        <v>17</v>
      </c>
      <c r="H7333">
        <v>99499</v>
      </c>
      <c r="I7333">
        <v>6957279</v>
      </c>
    </row>
    <row r="7334" spans="1:9">
      <c r="A7334" s="2">
        <v>2016</v>
      </c>
      <c r="B7334">
        <v>4</v>
      </c>
      <c r="C7334">
        <v>1.1E-4</v>
      </c>
      <c r="D7334">
        <v>1.1E-4</v>
      </c>
      <c r="E7334">
        <v>0.5</v>
      </c>
      <c r="F7334">
        <v>99491</v>
      </c>
      <c r="G7334">
        <v>11</v>
      </c>
      <c r="H7334">
        <v>99485</v>
      </c>
      <c r="I7334">
        <v>6857780</v>
      </c>
    </row>
    <row r="7335" spans="1:9">
      <c r="A7335" s="2">
        <v>2016</v>
      </c>
      <c r="B7335">
        <v>5</v>
      </c>
      <c r="C7335">
        <v>2.0000000000000002E-5</v>
      </c>
      <c r="D7335">
        <v>2.0000000000000002E-5</v>
      </c>
      <c r="E7335">
        <v>0.5</v>
      </c>
      <c r="F7335">
        <v>99480</v>
      </c>
      <c r="G7335">
        <v>2</v>
      </c>
      <c r="H7335">
        <v>99479</v>
      </c>
      <c r="I7335">
        <v>6758295</v>
      </c>
    </row>
    <row r="7336" spans="1:9">
      <c r="A7336" s="2">
        <v>2016</v>
      </c>
      <c r="B7336">
        <v>6</v>
      </c>
      <c r="C7336">
        <v>1E-4</v>
      </c>
      <c r="D7336">
        <v>1E-4</v>
      </c>
      <c r="E7336">
        <v>0.5</v>
      </c>
      <c r="F7336">
        <v>99478</v>
      </c>
      <c r="G7336">
        <v>10</v>
      </c>
      <c r="H7336">
        <v>99473</v>
      </c>
      <c r="I7336">
        <v>6658816</v>
      </c>
    </row>
    <row r="7337" spans="1:9">
      <c r="A7337" s="2">
        <v>2016</v>
      </c>
      <c r="B7337">
        <v>7</v>
      </c>
      <c r="C7337">
        <v>1E-4</v>
      </c>
      <c r="D7337">
        <v>1E-4</v>
      </c>
      <c r="E7337">
        <v>0.5</v>
      </c>
      <c r="F7337">
        <v>99468</v>
      </c>
      <c r="G7337">
        <v>10</v>
      </c>
      <c r="H7337">
        <v>99463</v>
      </c>
      <c r="I7337">
        <v>6559343</v>
      </c>
    </row>
    <row r="7338" spans="1:9">
      <c r="A7338" s="2">
        <v>2016</v>
      </c>
      <c r="B7338">
        <v>8</v>
      </c>
      <c r="C7338">
        <v>8.0000000000000007E-5</v>
      </c>
      <c r="D7338">
        <v>8.0000000000000007E-5</v>
      </c>
      <c r="E7338">
        <v>0.5</v>
      </c>
      <c r="F7338">
        <v>99458</v>
      </c>
      <c r="G7338">
        <v>8</v>
      </c>
      <c r="H7338">
        <v>99454</v>
      </c>
      <c r="I7338">
        <v>6459880</v>
      </c>
    </row>
    <row r="7339" spans="1:9">
      <c r="A7339" s="2">
        <v>2016</v>
      </c>
      <c r="B7339">
        <v>9</v>
      </c>
      <c r="C7339">
        <v>1.3999999999999999E-4</v>
      </c>
      <c r="D7339">
        <v>1.3999999999999999E-4</v>
      </c>
      <c r="E7339">
        <v>0.5</v>
      </c>
      <c r="F7339">
        <v>99450</v>
      </c>
      <c r="G7339">
        <v>14</v>
      </c>
      <c r="H7339">
        <v>99443</v>
      </c>
      <c r="I7339">
        <v>6360427</v>
      </c>
    </row>
    <row r="7340" spans="1:9">
      <c r="A7340" s="2">
        <v>2016</v>
      </c>
      <c r="B7340">
        <v>10</v>
      </c>
      <c r="C7340">
        <v>1.8000000000000001E-4</v>
      </c>
      <c r="D7340">
        <v>1.8000000000000001E-4</v>
      </c>
      <c r="E7340">
        <v>0.5</v>
      </c>
      <c r="F7340">
        <v>99436</v>
      </c>
      <c r="G7340">
        <v>17</v>
      </c>
      <c r="H7340">
        <v>99428</v>
      </c>
      <c r="I7340">
        <v>6260983</v>
      </c>
    </row>
    <row r="7341" spans="1:9">
      <c r="A7341" s="2">
        <v>2016</v>
      </c>
      <c r="B7341">
        <v>11</v>
      </c>
      <c r="C7341">
        <v>8.0000000000000007E-5</v>
      </c>
      <c r="D7341">
        <v>8.0000000000000007E-5</v>
      </c>
      <c r="E7341">
        <v>0.5</v>
      </c>
      <c r="F7341">
        <v>99419</v>
      </c>
      <c r="G7341">
        <v>8</v>
      </c>
      <c r="H7341">
        <v>99415</v>
      </c>
      <c r="I7341">
        <v>6161556</v>
      </c>
    </row>
    <row r="7342" spans="1:9">
      <c r="A7342" s="2">
        <v>2016</v>
      </c>
      <c r="B7342">
        <v>12</v>
      </c>
      <c r="C7342">
        <v>2.3000000000000001E-4</v>
      </c>
      <c r="D7342">
        <v>2.3000000000000001E-4</v>
      </c>
      <c r="E7342">
        <v>0.5</v>
      </c>
      <c r="F7342">
        <v>99411</v>
      </c>
      <c r="G7342">
        <v>23</v>
      </c>
      <c r="H7342">
        <v>99400</v>
      </c>
      <c r="I7342">
        <v>6062141</v>
      </c>
    </row>
    <row r="7343" spans="1:9">
      <c r="A7343" s="2">
        <v>2016</v>
      </c>
      <c r="B7343">
        <v>13</v>
      </c>
      <c r="C7343">
        <v>2.2000000000000001E-4</v>
      </c>
      <c r="D7343">
        <v>2.2000000000000001E-4</v>
      </c>
      <c r="E7343">
        <v>0.5</v>
      </c>
      <c r="F7343">
        <v>99388</v>
      </c>
      <c r="G7343">
        <v>22</v>
      </c>
      <c r="H7343">
        <v>99377</v>
      </c>
      <c r="I7343">
        <v>5962741</v>
      </c>
    </row>
    <row r="7344" spans="1:9">
      <c r="A7344" s="2">
        <v>2016</v>
      </c>
      <c r="B7344">
        <v>14</v>
      </c>
      <c r="C7344">
        <v>1E-4</v>
      </c>
      <c r="D7344">
        <v>1E-4</v>
      </c>
      <c r="E7344">
        <v>0.5</v>
      </c>
      <c r="F7344">
        <v>99366</v>
      </c>
      <c r="G7344">
        <v>10</v>
      </c>
      <c r="H7344">
        <v>99361</v>
      </c>
      <c r="I7344">
        <v>5863364</v>
      </c>
    </row>
    <row r="7345" spans="1:9">
      <c r="A7345" s="2">
        <v>2016</v>
      </c>
      <c r="B7345">
        <v>15</v>
      </c>
      <c r="C7345">
        <v>2.5999999999999998E-4</v>
      </c>
      <c r="D7345">
        <v>2.5999999999999998E-4</v>
      </c>
      <c r="E7345">
        <v>0.5</v>
      </c>
      <c r="F7345">
        <v>99356</v>
      </c>
      <c r="G7345">
        <v>25</v>
      </c>
      <c r="H7345">
        <v>99343</v>
      </c>
      <c r="I7345">
        <v>5764003</v>
      </c>
    </row>
    <row r="7346" spans="1:9">
      <c r="A7346" s="2">
        <v>2016</v>
      </c>
      <c r="B7346">
        <v>16</v>
      </c>
      <c r="C7346">
        <v>2.7999999999999998E-4</v>
      </c>
      <c r="D7346">
        <v>2.7999999999999998E-4</v>
      </c>
      <c r="E7346">
        <v>0.5</v>
      </c>
      <c r="F7346">
        <v>99331</v>
      </c>
      <c r="G7346">
        <v>28</v>
      </c>
      <c r="H7346">
        <v>99317</v>
      </c>
      <c r="I7346">
        <v>5664660</v>
      </c>
    </row>
    <row r="7347" spans="1:9">
      <c r="A7347" s="2">
        <v>2016</v>
      </c>
      <c r="B7347">
        <v>17</v>
      </c>
      <c r="C7347">
        <v>3.8999999999999999E-4</v>
      </c>
      <c r="D7347">
        <v>3.8999999999999999E-4</v>
      </c>
      <c r="E7347">
        <v>0.5</v>
      </c>
      <c r="F7347">
        <v>99302</v>
      </c>
      <c r="G7347">
        <v>38</v>
      </c>
      <c r="H7347">
        <v>99283</v>
      </c>
      <c r="I7347">
        <v>5565343</v>
      </c>
    </row>
    <row r="7348" spans="1:9">
      <c r="A7348" s="2">
        <v>2016</v>
      </c>
      <c r="B7348">
        <v>18</v>
      </c>
      <c r="C7348">
        <v>6.6E-4</v>
      </c>
      <c r="D7348">
        <v>6.6E-4</v>
      </c>
      <c r="E7348">
        <v>0.5</v>
      </c>
      <c r="F7348">
        <v>99264</v>
      </c>
      <c r="G7348">
        <v>65</v>
      </c>
      <c r="H7348">
        <v>99232</v>
      </c>
      <c r="I7348">
        <v>5466060</v>
      </c>
    </row>
    <row r="7349" spans="1:9">
      <c r="A7349" s="2">
        <v>2016</v>
      </c>
      <c r="B7349">
        <v>19</v>
      </c>
      <c r="C7349">
        <v>5.4000000000000001E-4</v>
      </c>
      <c r="D7349">
        <v>5.4000000000000001E-4</v>
      </c>
      <c r="E7349">
        <v>0.5</v>
      </c>
      <c r="F7349">
        <v>99199</v>
      </c>
      <c r="G7349">
        <v>54</v>
      </c>
      <c r="H7349">
        <v>99172</v>
      </c>
      <c r="I7349">
        <v>5366828</v>
      </c>
    </row>
    <row r="7350" spans="1:9">
      <c r="A7350" s="2">
        <v>2016</v>
      </c>
      <c r="B7350">
        <v>20</v>
      </c>
      <c r="C7350">
        <v>5.5000000000000003E-4</v>
      </c>
      <c r="D7350">
        <v>5.5000000000000003E-4</v>
      </c>
      <c r="E7350">
        <v>0.5</v>
      </c>
      <c r="F7350">
        <v>99145</v>
      </c>
      <c r="G7350">
        <v>55</v>
      </c>
      <c r="H7350">
        <v>99118</v>
      </c>
      <c r="I7350">
        <v>5267656</v>
      </c>
    </row>
    <row r="7351" spans="1:9">
      <c r="A7351" s="2">
        <v>2016</v>
      </c>
      <c r="B7351">
        <v>21</v>
      </c>
      <c r="C7351">
        <v>5.5000000000000003E-4</v>
      </c>
      <c r="D7351">
        <v>5.5000000000000003E-4</v>
      </c>
      <c r="E7351">
        <v>0.5</v>
      </c>
      <c r="F7351">
        <v>99090</v>
      </c>
      <c r="G7351">
        <v>54</v>
      </c>
      <c r="H7351">
        <v>99063</v>
      </c>
      <c r="I7351">
        <v>5168538</v>
      </c>
    </row>
    <row r="7352" spans="1:9">
      <c r="A7352" s="2">
        <v>2016</v>
      </c>
      <c r="B7352">
        <v>22</v>
      </c>
      <c r="C7352">
        <v>5.1000000000000004E-4</v>
      </c>
      <c r="D7352">
        <v>5.1000000000000004E-4</v>
      </c>
      <c r="E7352">
        <v>0.5</v>
      </c>
      <c r="F7352">
        <v>99036</v>
      </c>
      <c r="G7352">
        <v>51</v>
      </c>
      <c r="H7352">
        <v>99011</v>
      </c>
      <c r="I7352">
        <v>5069475</v>
      </c>
    </row>
    <row r="7353" spans="1:9">
      <c r="A7353" s="2">
        <v>2016</v>
      </c>
      <c r="B7353">
        <v>23</v>
      </c>
      <c r="C7353">
        <v>5.5000000000000003E-4</v>
      </c>
      <c r="D7353">
        <v>5.5000000000000003E-4</v>
      </c>
      <c r="E7353">
        <v>0.5</v>
      </c>
      <c r="F7353">
        <v>98986</v>
      </c>
      <c r="G7353">
        <v>55</v>
      </c>
      <c r="H7353">
        <v>98958</v>
      </c>
      <c r="I7353">
        <v>4970464</v>
      </c>
    </row>
    <row r="7354" spans="1:9">
      <c r="A7354" s="2">
        <v>2016</v>
      </c>
      <c r="B7354">
        <v>24</v>
      </c>
      <c r="C7354">
        <v>5.1999999999999995E-4</v>
      </c>
      <c r="D7354">
        <v>5.1999999999999995E-4</v>
      </c>
      <c r="E7354">
        <v>0.5</v>
      </c>
      <c r="F7354">
        <v>98931</v>
      </c>
      <c r="G7354">
        <v>51</v>
      </c>
      <c r="H7354">
        <v>98905</v>
      </c>
      <c r="I7354">
        <v>4871506</v>
      </c>
    </row>
    <row r="7355" spans="1:9">
      <c r="A7355" s="2">
        <v>2016</v>
      </c>
      <c r="B7355">
        <v>25</v>
      </c>
      <c r="C7355">
        <v>7.6999999999999996E-4</v>
      </c>
      <c r="D7355">
        <v>7.6999999999999996E-4</v>
      </c>
      <c r="E7355">
        <v>0.5</v>
      </c>
      <c r="F7355">
        <v>98879</v>
      </c>
      <c r="G7355">
        <v>76</v>
      </c>
      <c r="H7355">
        <v>98841</v>
      </c>
      <c r="I7355">
        <v>4772601</v>
      </c>
    </row>
    <row r="7356" spans="1:9">
      <c r="A7356" s="2">
        <v>2016</v>
      </c>
      <c r="B7356">
        <v>26</v>
      </c>
      <c r="C7356">
        <v>4.8000000000000001E-4</v>
      </c>
      <c r="D7356">
        <v>4.8000000000000001E-4</v>
      </c>
      <c r="E7356">
        <v>0.5</v>
      </c>
      <c r="F7356">
        <v>98803</v>
      </c>
      <c r="G7356">
        <v>48</v>
      </c>
      <c r="H7356">
        <v>98779</v>
      </c>
      <c r="I7356">
        <v>4673759</v>
      </c>
    </row>
    <row r="7357" spans="1:9">
      <c r="A7357" s="2">
        <v>2016</v>
      </c>
      <c r="B7357">
        <v>27</v>
      </c>
      <c r="C7357">
        <v>5.4000000000000001E-4</v>
      </c>
      <c r="D7357">
        <v>5.4000000000000001E-4</v>
      </c>
      <c r="E7357">
        <v>0.5</v>
      </c>
      <c r="F7357">
        <v>98756</v>
      </c>
      <c r="G7357">
        <v>53</v>
      </c>
      <c r="H7357">
        <v>98729</v>
      </c>
      <c r="I7357">
        <v>4574980</v>
      </c>
    </row>
    <row r="7358" spans="1:9">
      <c r="A7358" s="2">
        <v>2016</v>
      </c>
      <c r="B7358">
        <v>28</v>
      </c>
      <c r="C7358">
        <v>8.4000000000000003E-4</v>
      </c>
      <c r="D7358">
        <v>8.4000000000000003E-4</v>
      </c>
      <c r="E7358">
        <v>0.5</v>
      </c>
      <c r="F7358">
        <v>98703</v>
      </c>
      <c r="G7358">
        <v>83</v>
      </c>
      <c r="H7358">
        <v>98661</v>
      </c>
      <c r="I7358">
        <v>4476251</v>
      </c>
    </row>
    <row r="7359" spans="1:9">
      <c r="A7359" s="2">
        <v>2016</v>
      </c>
      <c r="B7359">
        <v>29</v>
      </c>
      <c r="C7359">
        <v>7.5000000000000002E-4</v>
      </c>
      <c r="D7359">
        <v>7.5000000000000002E-4</v>
      </c>
      <c r="E7359">
        <v>0.5</v>
      </c>
      <c r="F7359">
        <v>98619</v>
      </c>
      <c r="G7359">
        <v>74</v>
      </c>
      <c r="H7359">
        <v>98582</v>
      </c>
      <c r="I7359">
        <v>4377590</v>
      </c>
    </row>
    <row r="7360" spans="1:9">
      <c r="A7360" s="2">
        <v>2016</v>
      </c>
      <c r="B7360">
        <v>30</v>
      </c>
      <c r="C7360">
        <v>7.2999999999999996E-4</v>
      </c>
      <c r="D7360">
        <v>7.2999999999999996E-4</v>
      </c>
      <c r="E7360">
        <v>0.5</v>
      </c>
      <c r="F7360">
        <v>98545</v>
      </c>
      <c r="G7360">
        <v>72</v>
      </c>
      <c r="H7360">
        <v>98509</v>
      </c>
      <c r="I7360">
        <v>4279008</v>
      </c>
    </row>
    <row r="7361" spans="1:9">
      <c r="A7361" s="2">
        <v>2016</v>
      </c>
      <c r="B7361">
        <v>31</v>
      </c>
      <c r="C7361">
        <v>9.3999999999999997E-4</v>
      </c>
      <c r="D7361">
        <v>9.3999999999999997E-4</v>
      </c>
      <c r="E7361">
        <v>0.5</v>
      </c>
      <c r="F7361">
        <v>98474</v>
      </c>
      <c r="G7361">
        <v>93</v>
      </c>
      <c r="H7361">
        <v>98427</v>
      </c>
      <c r="I7361">
        <v>4180498</v>
      </c>
    </row>
    <row r="7362" spans="1:9">
      <c r="A7362" s="2">
        <v>2016</v>
      </c>
      <c r="B7362">
        <v>32</v>
      </c>
      <c r="C7362">
        <v>8.8999999999999995E-4</v>
      </c>
      <c r="D7362">
        <v>8.8999999999999995E-4</v>
      </c>
      <c r="E7362">
        <v>0.5</v>
      </c>
      <c r="F7362">
        <v>98381</v>
      </c>
      <c r="G7362">
        <v>88</v>
      </c>
      <c r="H7362">
        <v>98337</v>
      </c>
      <c r="I7362">
        <v>4082071</v>
      </c>
    </row>
    <row r="7363" spans="1:9">
      <c r="A7363" s="2">
        <v>2016</v>
      </c>
      <c r="B7363">
        <v>33</v>
      </c>
      <c r="C7363">
        <v>8.4999999999999995E-4</v>
      </c>
      <c r="D7363">
        <v>8.4999999999999995E-4</v>
      </c>
      <c r="E7363">
        <v>0.5</v>
      </c>
      <c r="F7363">
        <v>98293</v>
      </c>
      <c r="G7363">
        <v>83</v>
      </c>
      <c r="H7363">
        <v>98251</v>
      </c>
      <c r="I7363">
        <v>3983735</v>
      </c>
    </row>
    <row r="7364" spans="1:9">
      <c r="A7364" s="2">
        <v>2016</v>
      </c>
      <c r="B7364">
        <v>34</v>
      </c>
      <c r="C7364">
        <v>9.2000000000000003E-4</v>
      </c>
      <c r="D7364">
        <v>9.2000000000000003E-4</v>
      </c>
      <c r="E7364">
        <v>0.5</v>
      </c>
      <c r="F7364">
        <v>98209</v>
      </c>
      <c r="G7364">
        <v>91</v>
      </c>
      <c r="H7364">
        <v>98164</v>
      </c>
      <c r="I7364">
        <v>3885484</v>
      </c>
    </row>
    <row r="7365" spans="1:9">
      <c r="A7365" s="2">
        <v>2016</v>
      </c>
      <c r="B7365">
        <v>35</v>
      </c>
      <c r="C7365">
        <v>1.34E-3</v>
      </c>
      <c r="D7365">
        <v>1.34E-3</v>
      </c>
      <c r="E7365">
        <v>0.5</v>
      </c>
      <c r="F7365">
        <v>98119</v>
      </c>
      <c r="G7365">
        <v>132</v>
      </c>
      <c r="H7365">
        <v>98053</v>
      </c>
      <c r="I7365">
        <v>3787320</v>
      </c>
    </row>
    <row r="7366" spans="1:9">
      <c r="A7366" s="2">
        <v>2016</v>
      </c>
      <c r="B7366">
        <v>36</v>
      </c>
      <c r="C7366">
        <v>9.6000000000000002E-4</v>
      </c>
      <c r="D7366">
        <v>9.6000000000000002E-4</v>
      </c>
      <c r="E7366">
        <v>0.5</v>
      </c>
      <c r="F7366">
        <v>97987</v>
      </c>
      <c r="G7366">
        <v>94</v>
      </c>
      <c r="H7366">
        <v>97941</v>
      </c>
      <c r="I7366">
        <v>3689267</v>
      </c>
    </row>
    <row r="7367" spans="1:9">
      <c r="A7367" s="2">
        <v>2016</v>
      </c>
      <c r="B7367">
        <v>37</v>
      </c>
      <c r="C7367">
        <v>1.4400000000000001E-3</v>
      </c>
      <c r="D7367">
        <v>1.4300000000000001E-3</v>
      </c>
      <c r="E7367">
        <v>0.5</v>
      </c>
      <c r="F7367">
        <v>97894</v>
      </c>
      <c r="G7367">
        <v>140</v>
      </c>
      <c r="H7367">
        <v>97824</v>
      </c>
      <c r="I7367">
        <v>3591326</v>
      </c>
    </row>
    <row r="7368" spans="1:9">
      <c r="A7368" s="2">
        <v>2016</v>
      </c>
      <c r="B7368">
        <v>38</v>
      </c>
      <c r="C7368">
        <v>1.3600000000000001E-3</v>
      </c>
      <c r="D7368">
        <v>1.3600000000000001E-3</v>
      </c>
      <c r="E7368">
        <v>0.5</v>
      </c>
      <c r="F7368">
        <v>97753</v>
      </c>
      <c r="G7368">
        <v>133</v>
      </c>
      <c r="H7368">
        <v>97687</v>
      </c>
      <c r="I7368">
        <v>3493502</v>
      </c>
    </row>
    <row r="7369" spans="1:9">
      <c r="A7369" s="2">
        <v>2016</v>
      </c>
      <c r="B7369">
        <v>39</v>
      </c>
      <c r="C7369">
        <v>1.6999999999999999E-3</v>
      </c>
      <c r="D7369">
        <v>1.6999999999999999E-3</v>
      </c>
      <c r="E7369">
        <v>0.5</v>
      </c>
      <c r="F7369">
        <v>97621</v>
      </c>
      <c r="G7369">
        <v>166</v>
      </c>
      <c r="H7369">
        <v>97538</v>
      </c>
      <c r="I7369">
        <v>3395815</v>
      </c>
    </row>
    <row r="7370" spans="1:9">
      <c r="A7370" s="2">
        <v>2016</v>
      </c>
      <c r="B7370">
        <v>40</v>
      </c>
      <c r="C7370">
        <v>1.6999999999999999E-3</v>
      </c>
      <c r="D7370">
        <v>1.6999999999999999E-3</v>
      </c>
      <c r="E7370">
        <v>0.5</v>
      </c>
      <c r="F7370">
        <v>97455</v>
      </c>
      <c r="G7370">
        <v>166</v>
      </c>
      <c r="H7370">
        <v>97372</v>
      </c>
      <c r="I7370">
        <v>3298278</v>
      </c>
    </row>
    <row r="7371" spans="1:9">
      <c r="A7371" s="2">
        <v>2016</v>
      </c>
      <c r="B7371">
        <v>41</v>
      </c>
      <c r="C7371">
        <v>2.0400000000000001E-3</v>
      </c>
      <c r="D7371">
        <v>2.0400000000000001E-3</v>
      </c>
      <c r="E7371">
        <v>0.5</v>
      </c>
      <c r="F7371">
        <v>97289</v>
      </c>
      <c r="G7371">
        <v>198</v>
      </c>
      <c r="H7371">
        <v>97190</v>
      </c>
      <c r="I7371">
        <v>3200905</v>
      </c>
    </row>
    <row r="7372" spans="1:9">
      <c r="A7372" s="2">
        <v>2016</v>
      </c>
      <c r="B7372">
        <v>42</v>
      </c>
      <c r="C7372">
        <v>2.3700000000000001E-3</v>
      </c>
      <c r="D7372">
        <v>2.3600000000000001E-3</v>
      </c>
      <c r="E7372">
        <v>0.5</v>
      </c>
      <c r="F7372">
        <v>97091</v>
      </c>
      <c r="G7372">
        <v>230</v>
      </c>
      <c r="H7372">
        <v>96976</v>
      </c>
      <c r="I7372">
        <v>3103715</v>
      </c>
    </row>
    <row r="7373" spans="1:9">
      <c r="A7373" s="2">
        <v>2016</v>
      </c>
      <c r="B7373">
        <v>43</v>
      </c>
      <c r="C7373">
        <v>2.9199999999999999E-3</v>
      </c>
      <c r="D7373">
        <v>2.9199999999999999E-3</v>
      </c>
      <c r="E7373">
        <v>0.5</v>
      </c>
      <c r="F7373">
        <v>96861</v>
      </c>
      <c r="G7373">
        <v>283</v>
      </c>
      <c r="H7373">
        <v>96720</v>
      </c>
      <c r="I7373">
        <v>3006739</v>
      </c>
    </row>
    <row r="7374" spans="1:9">
      <c r="A7374" s="2">
        <v>2016</v>
      </c>
      <c r="B7374">
        <v>44</v>
      </c>
      <c r="C7374">
        <v>2.66E-3</v>
      </c>
      <c r="D7374">
        <v>2.65E-3</v>
      </c>
      <c r="E7374">
        <v>0.5</v>
      </c>
      <c r="F7374">
        <v>96579</v>
      </c>
      <c r="G7374">
        <v>256</v>
      </c>
      <c r="H7374">
        <v>96451</v>
      </c>
      <c r="I7374">
        <v>2910019</v>
      </c>
    </row>
    <row r="7375" spans="1:9">
      <c r="A7375" s="2">
        <v>2016</v>
      </c>
      <c r="B7375">
        <v>45</v>
      </c>
      <c r="C7375">
        <v>3.2399999999999998E-3</v>
      </c>
      <c r="D7375">
        <v>3.2299999999999998E-3</v>
      </c>
      <c r="E7375">
        <v>0.5</v>
      </c>
      <c r="F7375">
        <v>96322</v>
      </c>
      <c r="G7375">
        <v>311</v>
      </c>
      <c r="H7375">
        <v>96167</v>
      </c>
      <c r="I7375">
        <v>2813568</v>
      </c>
    </row>
    <row r="7376" spans="1:9">
      <c r="A7376" s="2">
        <v>2016</v>
      </c>
      <c r="B7376">
        <v>46</v>
      </c>
      <c r="C7376">
        <v>4.0499999999999998E-3</v>
      </c>
      <c r="D7376">
        <v>4.0400000000000002E-3</v>
      </c>
      <c r="E7376">
        <v>0.5</v>
      </c>
      <c r="F7376">
        <v>96011</v>
      </c>
      <c r="G7376">
        <v>388</v>
      </c>
      <c r="H7376">
        <v>95817</v>
      </c>
      <c r="I7376">
        <v>2717401</v>
      </c>
    </row>
    <row r="7377" spans="1:9">
      <c r="A7377" s="2">
        <v>2016</v>
      </c>
      <c r="B7377">
        <v>47</v>
      </c>
      <c r="C7377">
        <v>4.9399999999999999E-3</v>
      </c>
      <c r="D7377">
        <v>4.9300000000000004E-3</v>
      </c>
      <c r="E7377">
        <v>0.5</v>
      </c>
      <c r="F7377">
        <v>95623</v>
      </c>
      <c r="G7377">
        <v>471</v>
      </c>
      <c r="H7377">
        <v>95388</v>
      </c>
      <c r="I7377">
        <v>2621584</v>
      </c>
    </row>
    <row r="7378" spans="1:9">
      <c r="A7378" s="2">
        <v>2016</v>
      </c>
      <c r="B7378">
        <v>48</v>
      </c>
      <c r="C7378">
        <v>6.6400000000000001E-3</v>
      </c>
      <c r="D7378">
        <v>6.62E-3</v>
      </c>
      <c r="E7378">
        <v>0.5</v>
      </c>
      <c r="F7378">
        <v>95152</v>
      </c>
      <c r="G7378">
        <v>630</v>
      </c>
      <c r="H7378">
        <v>94837</v>
      </c>
      <c r="I7378">
        <v>2526197</v>
      </c>
    </row>
    <row r="7379" spans="1:9">
      <c r="A7379" s="2">
        <v>2016</v>
      </c>
      <c r="B7379">
        <v>49</v>
      </c>
      <c r="C7379">
        <v>6.0899999999999999E-3</v>
      </c>
      <c r="D7379">
        <v>6.0699999999999999E-3</v>
      </c>
      <c r="E7379">
        <v>0.5</v>
      </c>
      <c r="F7379">
        <v>94522</v>
      </c>
      <c r="G7379">
        <v>574</v>
      </c>
      <c r="H7379">
        <v>94235</v>
      </c>
      <c r="I7379">
        <v>2431360</v>
      </c>
    </row>
    <row r="7380" spans="1:9">
      <c r="A7380" s="2">
        <v>2016</v>
      </c>
      <c r="B7380">
        <v>50</v>
      </c>
      <c r="C7380">
        <v>7.7400000000000004E-3</v>
      </c>
      <c r="D7380">
        <v>7.7099999999999998E-3</v>
      </c>
      <c r="E7380">
        <v>0.5</v>
      </c>
      <c r="F7380">
        <v>93948</v>
      </c>
      <c r="G7380">
        <v>725</v>
      </c>
      <c r="H7380">
        <v>93586</v>
      </c>
      <c r="I7380">
        <v>2337125</v>
      </c>
    </row>
    <row r="7381" spans="1:9">
      <c r="A7381" s="2">
        <v>2016</v>
      </c>
      <c r="B7381">
        <v>51</v>
      </c>
      <c r="C7381">
        <v>8.4100000000000008E-3</v>
      </c>
      <c r="D7381">
        <v>8.3700000000000007E-3</v>
      </c>
      <c r="E7381">
        <v>0.5</v>
      </c>
      <c r="F7381">
        <v>93223</v>
      </c>
      <c r="G7381">
        <v>780</v>
      </c>
      <c r="H7381">
        <v>92833</v>
      </c>
      <c r="I7381">
        <v>2243539</v>
      </c>
    </row>
    <row r="7382" spans="1:9">
      <c r="A7382" s="2">
        <v>2016</v>
      </c>
      <c r="B7382">
        <v>52</v>
      </c>
      <c r="C7382">
        <v>1.0319999999999999E-2</v>
      </c>
      <c r="D7382">
        <v>1.027E-2</v>
      </c>
      <c r="E7382">
        <v>0.5</v>
      </c>
      <c r="F7382">
        <v>92443</v>
      </c>
      <c r="G7382">
        <v>949</v>
      </c>
      <c r="H7382">
        <v>91968</v>
      </c>
      <c r="I7382">
        <v>2150706</v>
      </c>
    </row>
    <row r="7383" spans="1:9">
      <c r="A7383" s="2">
        <v>2016</v>
      </c>
      <c r="B7383">
        <v>53</v>
      </c>
      <c r="C7383">
        <v>1.09E-2</v>
      </c>
      <c r="D7383">
        <v>1.0840000000000001E-2</v>
      </c>
      <c r="E7383">
        <v>0.5</v>
      </c>
      <c r="F7383">
        <v>91494</v>
      </c>
      <c r="G7383">
        <v>992</v>
      </c>
      <c r="H7383">
        <v>90998</v>
      </c>
      <c r="I7383">
        <v>2058738</v>
      </c>
    </row>
    <row r="7384" spans="1:9">
      <c r="A7384" s="2">
        <v>2016</v>
      </c>
      <c r="B7384">
        <v>54</v>
      </c>
      <c r="C7384">
        <v>1.1849999999999999E-2</v>
      </c>
      <c r="D7384">
        <v>1.1780000000000001E-2</v>
      </c>
      <c r="E7384">
        <v>0.5</v>
      </c>
      <c r="F7384">
        <v>90502</v>
      </c>
      <c r="G7384">
        <v>1066</v>
      </c>
      <c r="H7384">
        <v>89969</v>
      </c>
      <c r="I7384">
        <v>1967740</v>
      </c>
    </row>
    <row r="7385" spans="1:9">
      <c r="A7385" s="2">
        <v>2016</v>
      </c>
      <c r="B7385">
        <v>55</v>
      </c>
      <c r="C7385">
        <v>1.3899999999999999E-2</v>
      </c>
      <c r="D7385">
        <v>1.38E-2</v>
      </c>
      <c r="E7385">
        <v>0.5</v>
      </c>
      <c r="F7385">
        <v>89436</v>
      </c>
      <c r="G7385">
        <v>1234</v>
      </c>
      <c r="H7385">
        <v>88819</v>
      </c>
      <c r="I7385">
        <v>1877771</v>
      </c>
    </row>
    <row r="7386" spans="1:9">
      <c r="A7386" s="2">
        <v>2016</v>
      </c>
      <c r="B7386">
        <v>56</v>
      </c>
      <c r="C7386">
        <v>1.508E-2</v>
      </c>
      <c r="D7386">
        <v>1.4970000000000001E-2</v>
      </c>
      <c r="E7386">
        <v>0.5</v>
      </c>
      <c r="F7386">
        <v>88202</v>
      </c>
      <c r="G7386">
        <v>1320</v>
      </c>
      <c r="H7386">
        <v>87542</v>
      </c>
      <c r="I7386">
        <v>1788952</v>
      </c>
    </row>
    <row r="7387" spans="1:9">
      <c r="A7387" s="2">
        <v>2016</v>
      </c>
      <c r="B7387">
        <v>57</v>
      </c>
      <c r="C7387">
        <v>1.7170000000000001E-2</v>
      </c>
      <c r="D7387">
        <v>1.703E-2</v>
      </c>
      <c r="E7387">
        <v>0.5</v>
      </c>
      <c r="F7387">
        <v>86881</v>
      </c>
      <c r="G7387">
        <v>1479</v>
      </c>
      <c r="H7387">
        <v>86142</v>
      </c>
      <c r="I7387">
        <v>1701410</v>
      </c>
    </row>
    <row r="7388" spans="1:9">
      <c r="A7388" s="2">
        <v>2016</v>
      </c>
      <c r="B7388">
        <v>58</v>
      </c>
      <c r="C7388">
        <v>1.8489999999999999E-2</v>
      </c>
      <c r="D7388">
        <v>1.8319999999999999E-2</v>
      </c>
      <c r="E7388">
        <v>0.5</v>
      </c>
      <c r="F7388">
        <v>85402</v>
      </c>
      <c r="G7388">
        <v>1565</v>
      </c>
      <c r="H7388">
        <v>84620</v>
      </c>
      <c r="I7388">
        <v>1615268</v>
      </c>
    </row>
    <row r="7389" spans="1:9">
      <c r="A7389" s="2">
        <v>2016</v>
      </c>
      <c r="B7389">
        <v>59</v>
      </c>
      <c r="C7389">
        <v>1.925E-2</v>
      </c>
      <c r="D7389">
        <v>1.9060000000000001E-2</v>
      </c>
      <c r="E7389">
        <v>0.5</v>
      </c>
      <c r="F7389">
        <v>83837</v>
      </c>
      <c r="G7389">
        <v>1598</v>
      </c>
      <c r="H7389">
        <v>83038</v>
      </c>
      <c r="I7389">
        <v>1530649</v>
      </c>
    </row>
    <row r="7390" spans="1:9">
      <c r="A7390" s="2">
        <v>2016</v>
      </c>
      <c r="B7390">
        <v>60</v>
      </c>
      <c r="C7390">
        <v>2.1069999999999998E-2</v>
      </c>
      <c r="D7390">
        <v>2.086E-2</v>
      </c>
      <c r="E7390">
        <v>0.5</v>
      </c>
      <c r="F7390">
        <v>82239</v>
      </c>
      <c r="G7390">
        <v>1715</v>
      </c>
      <c r="H7390">
        <v>81382</v>
      </c>
      <c r="I7390">
        <v>1447610</v>
      </c>
    </row>
    <row r="7391" spans="1:9">
      <c r="A7391" s="2">
        <v>2016</v>
      </c>
      <c r="B7391">
        <v>61</v>
      </c>
      <c r="C7391">
        <v>2.2409999999999999E-2</v>
      </c>
      <c r="D7391">
        <v>2.2159999999999999E-2</v>
      </c>
      <c r="E7391">
        <v>0.5</v>
      </c>
      <c r="F7391">
        <v>80524</v>
      </c>
      <c r="G7391">
        <v>1785</v>
      </c>
      <c r="H7391">
        <v>79632</v>
      </c>
      <c r="I7391">
        <v>1366229</v>
      </c>
    </row>
    <row r="7392" spans="1:9">
      <c r="A7392" s="2">
        <v>2016</v>
      </c>
      <c r="B7392">
        <v>62</v>
      </c>
      <c r="C7392">
        <v>2.3689999999999999E-2</v>
      </c>
      <c r="D7392">
        <v>2.341E-2</v>
      </c>
      <c r="E7392">
        <v>0.5</v>
      </c>
      <c r="F7392">
        <v>78739</v>
      </c>
      <c r="G7392">
        <v>1844</v>
      </c>
      <c r="H7392">
        <v>77818</v>
      </c>
      <c r="I7392">
        <v>1286597</v>
      </c>
    </row>
    <row r="7393" spans="1:9">
      <c r="A7393" s="2">
        <v>2016</v>
      </c>
      <c r="B7393">
        <v>63</v>
      </c>
      <c r="C7393">
        <v>2.7310000000000001E-2</v>
      </c>
      <c r="D7393">
        <v>2.6939999999999999E-2</v>
      </c>
      <c r="E7393">
        <v>0.5</v>
      </c>
      <c r="F7393">
        <v>76896</v>
      </c>
      <c r="G7393">
        <v>2072</v>
      </c>
      <c r="H7393">
        <v>75860</v>
      </c>
      <c r="I7393">
        <v>1208780</v>
      </c>
    </row>
    <row r="7394" spans="1:9">
      <c r="A7394" s="2">
        <v>2016</v>
      </c>
      <c r="B7394">
        <v>64</v>
      </c>
      <c r="C7394">
        <v>2.9159999999999998E-2</v>
      </c>
      <c r="D7394">
        <v>2.8740000000000002E-2</v>
      </c>
      <c r="E7394">
        <v>0.5</v>
      </c>
      <c r="F7394">
        <v>74824</v>
      </c>
      <c r="G7394">
        <v>2151</v>
      </c>
      <c r="H7394">
        <v>73748</v>
      </c>
      <c r="I7394">
        <v>1132920</v>
      </c>
    </row>
    <row r="7395" spans="1:9">
      <c r="A7395" s="2">
        <v>2016</v>
      </c>
      <c r="B7395">
        <v>65</v>
      </c>
      <c r="C7395">
        <v>3.1669999999999997E-2</v>
      </c>
      <c r="D7395">
        <v>3.117E-2</v>
      </c>
      <c r="E7395">
        <v>0.5</v>
      </c>
      <c r="F7395">
        <v>72673</v>
      </c>
      <c r="G7395">
        <v>2265</v>
      </c>
      <c r="H7395">
        <v>71540</v>
      </c>
      <c r="I7395">
        <v>1059171</v>
      </c>
    </row>
    <row r="7396" spans="1:9">
      <c r="A7396" s="2">
        <v>2016</v>
      </c>
      <c r="B7396">
        <v>66</v>
      </c>
      <c r="C7396">
        <v>3.1440000000000003E-2</v>
      </c>
      <c r="D7396">
        <v>3.0949999999999998E-2</v>
      </c>
      <c r="E7396">
        <v>0.5</v>
      </c>
      <c r="F7396">
        <v>70408</v>
      </c>
      <c r="G7396">
        <v>2179</v>
      </c>
      <c r="H7396">
        <v>69318</v>
      </c>
      <c r="I7396">
        <v>987631</v>
      </c>
    </row>
    <row r="7397" spans="1:9">
      <c r="A7397" s="2">
        <v>2016</v>
      </c>
      <c r="B7397">
        <v>67</v>
      </c>
      <c r="C7397">
        <v>3.3210000000000003E-2</v>
      </c>
      <c r="D7397">
        <v>3.2669999999999998E-2</v>
      </c>
      <c r="E7397">
        <v>0.5</v>
      </c>
      <c r="F7397">
        <v>68228</v>
      </c>
      <c r="G7397">
        <v>2229</v>
      </c>
      <c r="H7397">
        <v>67114</v>
      </c>
      <c r="I7397">
        <v>918313</v>
      </c>
    </row>
    <row r="7398" spans="1:9">
      <c r="A7398" s="2">
        <v>2016</v>
      </c>
      <c r="B7398">
        <v>68</v>
      </c>
      <c r="C7398">
        <v>3.4380000000000001E-2</v>
      </c>
      <c r="D7398">
        <v>3.3799999999999997E-2</v>
      </c>
      <c r="E7398">
        <v>0.5</v>
      </c>
      <c r="F7398">
        <v>65999</v>
      </c>
      <c r="G7398">
        <v>2231</v>
      </c>
      <c r="H7398">
        <v>64884</v>
      </c>
      <c r="I7398">
        <v>851199</v>
      </c>
    </row>
    <row r="7399" spans="1:9">
      <c r="A7399" s="2">
        <v>2016</v>
      </c>
      <c r="B7399">
        <v>69</v>
      </c>
      <c r="C7399">
        <v>3.9269999999999999E-2</v>
      </c>
      <c r="D7399">
        <v>3.8510000000000003E-2</v>
      </c>
      <c r="E7399">
        <v>0.5</v>
      </c>
      <c r="F7399">
        <v>63769</v>
      </c>
      <c r="G7399">
        <v>2456</v>
      </c>
      <c r="H7399">
        <v>62541</v>
      </c>
      <c r="I7399">
        <v>786315</v>
      </c>
    </row>
    <row r="7400" spans="1:9">
      <c r="A7400" s="2">
        <v>2016</v>
      </c>
      <c r="B7400">
        <v>70</v>
      </c>
      <c r="C7400">
        <v>3.7229999999999999E-2</v>
      </c>
      <c r="D7400">
        <v>3.6549999999999999E-2</v>
      </c>
      <c r="E7400">
        <v>0.5</v>
      </c>
      <c r="F7400">
        <v>61313</v>
      </c>
      <c r="G7400">
        <v>2241</v>
      </c>
      <c r="H7400">
        <v>60192</v>
      </c>
      <c r="I7400">
        <v>723774</v>
      </c>
    </row>
    <row r="7401" spans="1:9">
      <c r="A7401" s="2">
        <v>2016</v>
      </c>
      <c r="B7401">
        <v>71</v>
      </c>
      <c r="C7401">
        <v>4.3650000000000001E-2</v>
      </c>
      <c r="D7401">
        <v>4.2720000000000001E-2</v>
      </c>
      <c r="E7401">
        <v>0.5</v>
      </c>
      <c r="F7401">
        <v>59072</v>
      </c>
      <c r="G7401">
        <v>2523</v>
      </c>
      <c r="H7401">
        <v>57810</v>
      </c>
      <c r="I7401">
        <v>663582</v>
      </c>
    </row>
    <row r="7402" spans="1:9">
      <c r="A7402" s="2">
        <v>2016</v>
      </c>
      <c r="B7402">
        <v>72</v>
      </c>
      <c r="C7402">
        <v>4.6730000000000001E-2</v>
      </c>
      <c r="D7402">
        <v>4.5670000000000002E-2</v>
      </c>
      <c r="E7402">
        <v>0.5</v>
      </c>
      <c r="F7402">
        <v>56549</v>
      </c>
      <c r="G7402">
        <v>2582</v>
      </c>
      <c r="H7402">
        <v>55257</v>
      </c>
      <c r="I7402">
        <v>605771</v>
      </c>
    </row>
    <row r="7403" spans="1:9">
      <c r="A7403" s="2">
        <v>2016</v>
      </c>
      <c r="B7403">
        <v>73</v>
      </c>
      <c r="C7403">
        <v>4.9500000000000002E-2</v>
      </c>
      <c r="D7403">
        <v>4.8309999999999999E-2</v>
      </c>
      <c r="E7403">
        <v>0.5</v>
      </c>
      <c r="F7403">
        <v>53966</v>
      </c>
      <c r="G7403">
        <v>2607</v>
      </c>
      <c r="H7403">
        <v>52663</v>
      </c>
      <c r="I7403">
        <v>550514</v>
      </c>
    </row>
    <row r="7404" spans="1:9">
      <c r="A7404" s="2">
        <v>2016</v>
      </c>
      <c r="B7404">
        <v>74</v>
      </c>
      <c r="C7404">
        <v>5.1889999999999999E-2</v>
      </c>
      <c r="D7404">
        <v>5.058E-2</v>
      </c>
      <c r="E7404">
        <v>0.5</v>
      </c>
      <c r="F7404">
        <v>51359</v>
      </c>
      <c r="G7404">
        <v>2598</v>
      </c>
      <c r="H7404">
        <v>50060</v>
      </c>
      <c r="I7404">
        <v>497851</v>
      </c>
    </row>
    <row r="7405" spans="1:9">
      <c r="A7405" s="2">
        <v>2016</v>
      </c>
      <c r="B7405">
        <v>75</v>
      </c>
      <c r="C7405">
        <v>5.6300000000000003E-2</v>
      </c>
      <c r="D7405">
        <v>5.4760000000000003E-2</v>
      </c>
      <c r="E7405">
        <v>0.5</v>
      </c>
      <c r="F7405">
        <v>48762</v>
      </c>
      <c r="G7405">
        <v>2670</v>
      </c>
      <c r="H7405">
        <v>47426</v>
      </c>
      <c r="I7405">
        <v>447791</v>
      </c>
    </row>
    <row r="7406" spans="1:9">
      <c r="A7406" s="2">
        <v>2016</v>
      </c>
      <c r="B7406">
        <v>76</v>
      </c>
      <c r="C7406">
        <v>6.1150000000000003E-2</v>
      </c>
      <c r="D7406">
        <v>5.9339999999999997E-2</v>
      </c>
      <c r="E7406">
        <v>0.5</v>
      </c>
      <c r="F7406">
        <v>46091</v>
      </c>
      <c r="G7406">
        <v>2735</v>
      </c>
      <c r="H7406">
        <v>44724</v>
      </c>
      <c r="I7406">
        <v>400364</v>
      </c>
    </row>
    <row r="7407" spans="1:9">
      <c r="A7407" s="2">
        <v>2016</v>
      </c>
      <c r="B7407">
        <v>77</v>
      </c>
      <c r="C7407">
        <v>6.7299999999999999E-2</v>
      </c>
      <c r="D7407">
        <v>6.5110000000000001E-2</v>
      </c>
      <c r="E7407">
        <v>0.5</v>
      </c>
      <c r="F7407">
        <v>43356</v>
      </c>
      <c r="G7407">
        <v>2823</v>
      </c>
      <c r="H7407">
        <v>41945</v>
      </c>
      <c r="I7407">
        <v>355641</v>
      </c>
    </row>
    <row r="7408" spans="1:9">
      <c r="A7408" s="2">
        <v>2016</v>
      </c>
      <c r="B7408">
        <v>78</v>
      </c>
      <c r="C7408">
        <v>7.4550000000000005E-2</v>
      </c>
      <c r="D7408">
        <v>7.1870000000000003E-2</v>
      </c>
      <c r="E7408">
        <v>0.5</v>
      </c>
      <c r="F7408">
        <v>40533</v>
      </c>
      <c r="G7408">
        <v>2913</v>
      </c>
      <c r="H7408">
        <v>39077</v>
      </c>
      <c r="I7408">
        <v>313696</v>
      </c>
    </row>
    <row r="7409" spans="1:9">
      <c r="A7409" s="2">
        <v>2016</v>
      </c>
      <c r="B7409">
        <v>79</v>
      </c>
      <c r="C7409">
        <v>8.1030000000000005E-2</v>
      </c>
      <c r="D7409">
        <v>7.7880000000000005E-2</v>
      </c>
      <c r="E7409">
        <v>0.5</v>
      </c>
      <c r="F7409">
        <v>37620</v>
      </c>
      <c r="G7409">
        <v>2930</v>
      </c>
      <c r="H7409">
        <v>36155</v>
      </c>
      <c r="I7409">
        <v>274619</v>
      </c>
    </row>
    <row r="7410" spans="1:9">
      <c r="A7410" s="2">
        <v>2016</v>
      </c>
      <c r="B7410">
        <v>80</v>
      </c>
      <c r="C7410">
        <v>9.0240000000000001E-2</v>
      </c>
      <c r="D7410">
        <v>8.6349999999999996E-2</v>
      </c>
      <c r="E7410">
        <v>0.5</v>
      </c>
      <c r="F7410">
        <v>34691</v>
      </c>
      <c r="G7410">
        <v>2995</v>
      </c>
      <c r="H7410">
        <v>33193</v>
      </c>
      <c r="I7410">
        <v>238463</v>
      </c>
    </row>
    <row r="7411" spans="1:9">
      <c r="A7411" s="2">
        <v>2016</v>
      </c>
      <c r="B7411">
        <v>81</v>
      </c>
      <c r="C7411">
        <v>0.10294</v>
      </c>
      <c r="D7411">
        <v>9.7900000000000001E-2</v>
      </c>
      <c r="E7411">
        <v>0.5</v>
      </c>
      <c r="F7411">
        <v>31695</v>
      </c>
      <c r="G7411">
        <v>3103</v>
      </c>
      <c r="H7411">
        <v>30144</v>
      </c>
      <c r="I7411">
        <v>205270</v>
      </c>
    </row>
    <row r="7412" spans="1:9">
      <c r="A7412" s="2">
        <v>2016</v>
      </c>
      <c r="B7412">
        <v>82</v>
      </c>
      <c r="C7412">
        <v>0.10679</v>
      </c>
      <c r="D7412">
        <v>0.10138</v>
      </c>
      <c r="E7412">
        <v>0.5</v>
      </c>
      <c r="F7412">
        <v>28592</v>
      </c>
      <c r="G7412">
        <v>2899</v>
      </c>
      <c r="H7412">
        <v>27143</v>
      </c>
      <c r="I7412">
        <v>175127</v>
      </c>
    </row>
    <row r="7413" spans="1:9">
      <c r="A7413" s="2">
        <v>2016</v>
      </c>
      <c r="B7413">
        <v>83</v>
      </c>
      <c r="C7413">
        <v>0.11545</v>
      </c>
      <c r="D7413">
        <v>0.10915</v>
      </c>
      <c r="E7413">
        <v>0.5</v>
      </c>
      <c r="F7413">
        <v>25694</v>
      </c>
      <c r="G7413">
        <v>2804</v>
      </c>
      <c r="H7413">
        <v>24291</v>
      </c>
      <c r="I7413">
        <v>147984</v>
      </c>
    </row>
    <row r="7414" spans="1:9">
      <c r="A7414" s="2">
        <v>2016</v>
      </c>
      <c r="B7414">
        <v>84</v>
      </c>
      <c r="C7414">
        <v>0.12742000000000001</v>
      </c>
      <c r="D7414">
        <v>0.11978999999999999</v>
      </c>
      <c r="E7414">
        <v>0.5</v>
      </c>
      <c r="F7414">
        <v>22889</v>
      </c>
      <c r="G7414">
        <v>2742</v>
      </c>
      <c r="H7414">
        <v>21518</v>
      </c>
      <c r="I7414">
        <v>123692</v>
      </c>
    </row>
    <row r="7415" spans="1:9">
      <c r="A7415" s="2">
        <v>2016</v>
      </c>
      <c r="B7415">
        <v>85</v>
      </c>
      <c r="C7415">
        <v>0.13553000000000001</v>
      </c>
      <c r="D7415">
        <v>0.12692999999999999</v>
      </c>
      <c r="E7415">
        <v>0.5</v>
      </c>
      <c r="F7415">
        <v>20147</v>
      </c>
      <c r="G7415">
        <v>2557</v>
      </c>
      <c r="H7415">
        <v>18869</v>
      </c>
      <c r="I7415">
        <v>102174</v>
      </c>
    </row>
    <row r="7416" spans="1:9">
      <c r="A7416" s="2">
        <v>2016</v>
      </c>
      <c r="B7416">
        <v>86</v>
      </c>
      <c r="C7416">
        <v>0.14474000000000001</v>
      </c>
      <c r="D7416">
        <v>0.13497999999999999</v>
      </c>
      <c r="E7416">
        <v>0.5</v>
      </c>
      <c r="F7416">
        <v>17590</v>
      </c>
      <c r="G7416">
        <v>2374</v>
      </c>
      <c r="H7416">
        <v>16403</v>
      </c>
      <c r="I7416">
        <v>83305</v>
      </c>
    </row>
    <row r="7417" spans="1:9">
      <c r="A7417" s="2">
        <v>2016</v>
      </c>
      <c r="B7417">
        <v>87</v>
      </c>
      <c r="C7417">
        <v>0.16108</v>
      </c>
      <c r="D7417">
        <v>0.14907000000000001</v>
      </c>
      <c r="E7417">
        <v>0.5</v>
      </c>
      <c r="F7417">
        <v>15216</v>
      </c>
      <c r="G7417">
        <v>2268</v>
      </c>
      <c r="H7417">
        <v>14082</v>
      </c>
      <c r="I7417">
        <v>66902</v>
      </c>
    </row>
    <row r="7418" spans="1:9">
      <c r="A7418" s="2">
        <v>2016</v>
      </c>
      <c r="B7418">
        <v>88</v>
      </c>
      <c r="C7418">
        <v>0.18053</v>
      </c>
      <c r="D7418">
        <v>0.16558999999999999</v>
      </c>
      <c r="E7418">
        <v>0.5</v>
      </c>
      <c r="F7418">
        <v>12948</v>
      </c>
      <c r="G7418">
        <v>2144</v>
      </c>
      <c r="H7418">
        <v>11876</v>
      </c>
      <c r="I7418">
        <v>52821</v>
      </c>
    </row>
    <row r="7419" spans="1:9">
      <c r="A7419" s="2">
        <v>2016</v>
      </c>
      <c r="B7419">
        <v>89</v>
      </c>
      <c r="C7419">
        <v>0.20283999999999999</v>
      </c>
      <c r="D7419">
        <v>0.18415999999999999</v>
      </c>
      <c r="E7419">
        <v>0.5</v>
      </c>
      <c r="F7419">
        <v>10804</v>
      </c>
      <c r="G7419">
        <v>1990</v>
      </c>
      <c r="H7419">
        <v>9809</v>
      </c>
      <c r="I7419">
        <v>40945</v>
      </c>
    </row>
    <row r="7420" spans="1:9">
      <c r="A7420" s="2">
        <v>2016</v>
      </c>
      <c r="B7420">
        <v>90</v>
      </c>
      <c r="C7420">
        <v>0.22564999999999999</v>
      </c>
      <c r="D7420">
        <v>0.20277000000000001</v>
      </c>
      <c r="E7420">
        <v>0.5</v>
      </c>
      <c r="F7420">
        <v>8814</v>
      </c>
      <c r="G7420">
        <v>1787</v>
      </c>
      <c r="H7420">
        <v>7920</v>
      </c>
      <c r="I7420">
        <v>31136</v>
      </c>
    </row>
    <row r="7421" spans="1:9">
      <c r="A7421" s="2">
        <v>2016</v>
      </c>
      <c r="B7421">
        <v>91</v>
      </c>
      <c r="C7421">
        <v>0.23945</v>
      </c>
      <c r="D7421">
        <v>0.21385000000000001</v>
      </c>
      <c r="E7421">
        <v>0.5</v>
      </c>
      <c r="F7421">
        <v>7027</v>
      </c>
      <c r="G7421">
        <v>1503</v>
      </c>
      <c r="H7421">
        <v>6275</v>
      </c>
      <c r="I7421">
        <v>23216</v>
      </c>
    </row>
    <row r="7422" spans="1:9">
      <c r="A7422" s="2">
        <v>2016</v>
      </c>
      <c r="B7422">
        <v>92</v>
      </c>
      <c r="C7422">
        <v>0.27787000000000001</v>
      </c>
      <c r="D7422">
        <v>0.24396999999999999</v>
      </c>
      <c r="E7422">
        <v>0.5</v>
      </c>
      <c r="F7422">
        <v>5524</v>
      </c>
      <c r="G7422">
        <v>1348</v>
      </c>
      <c r="H7422">
        <v>4850</v>
      </c>
      <c r="I7422">
        <v>16940</v>
      </c>
    </row>
    <row r="7423" spans="1:9">
      <c r="A7423" s="2">
        <v>2016</v>
      </c>
      <c r="B7423">
        <v>93</v>
      </c>
      <c r="C7423">
        <v>0.30092999999999998</v>
      </c>
      <c r="D7423">
        <v>0.26157000000000002</v>
      </c>
      <c r="E7423">
        <v>0.5</v>
      </c>
      <c r="F7423">
        <v>4176</v>
      </c>
      <c r="G7423">
        <v>1092</v>
      </c>
      <c r="H7423">
        <v>3630</v>
      </c>
      <c r="I7423">
        <v>12090</v>
      </c>
    </row>
    <row r="7424" spans="1:9">
      <c r="A7424" s="2">
        <v>2016</v>
      </c>
      <c r="B7424">
        <v>94</v>
      </c>
      <c r="C7424">
        <v>0.34161000000000002</v>
      </c>
      <c r="D7424">
        <v>0.29176999999999997</v>
      </c>
      <c r="E7424">
        <v>0.5</v>
      </c>
      <c r="F7424">
        <v>3084</v>
      </c>
      <c r="G7424">
        <v>900</v>
      </c>
      <c r="H7424">
        <v>2634</v>
      </c>
      <c r="I7424">
        <v>8460</v>
      </c>
    </row>
    <row r="7425" spans="1:9">
      <c r="A7425" s="2">
        <v>2016</v>
      </c>
      <c r="B7425">
        <v>95</v>
      </c>
      <c r="C7425">
        <v>0.32768000000000003</v>
      </c>
      <c r="D7425">
        <v>0.28155000000000002</v>
      </c>
      <c r="E7425">
        <v>0.5</v>
      </c>
      <c r="F7425">
        <v>2184</v>
      </c>
      <c r="G7425">
        <v>615</v>
      </c>
      <c r="H7425">
        <v>1877</v>
      </c>
      <c r="I7425">
        <v>5826</v>
      </c>
    </row>
    <row r="7426" spans="1:9">
      <c r="A7426" s="2">
        <v>2016</v>
      </c>
      <c r="B7426">
        <v>96</v>
      </c>
      <c r="C7426">
        <v>0.35199999999999998</v>
      </c>
      <c r="D7426">
        <v>0.29931999999999997</v>
      </c>
      <c r="E7426">
        <v>0.5</v>
      </c>
      <c r="F7426">
        <v>1569</v>
      </c>
      <c r="G7426">
        <v>470</v>
      </c>
      <c r="H7426">
        <v>1334</v>
      </c>
      <c r="I7426">
        <v>3949</v>
      </c>
    </row>
    <row r="7427" spans="1:9">
      <c r="A7427" s="2">
        <v>2016</v>
      </c>
      <c r="B7427">
        <v>97</v>
      </c>
      <c r="C7427">
        <v>0.37712000000000001</v>
      </c>
      <c r="D7427">
        <v>0.31729000000000002</v>
      </c>
      <c r="E7427">
        <v>0.5</v>
      </c>
      <c r="F7427">
        <v>1100</v>
      </c>
      <c r="G7427">
        <v>349</v>
      </c>
      <c r="H7427">
        <v>925</v>
      </c>
      <c r="I7427">
        <v>2615</v>
      </c>
    </row>
    <row r="7428" spans="1:9">
      <c r="A7428" s="2">
        <v>2016</v>
      </c>
      <c r="B7428">
        <v>98</v>
      </c>
      <c r="C7428">
        <v>0.40290999999999999</v>
      </c>
      <c r="D7428">
        <v>0.33534999999999998</v>
      </c>
      <c r="E7428">
        <v>0.5</v>
      </c>
      <c r="F7428">
        <v>751</v>
      </c>
      <c r="G7428">
        <v>252</v>
      </c>
      <c r="H7428">
        <v>625</v>
      </c>
      <c r="I7428">
        <v>1690</v>
      </c>
    </row>
    <row r="7429" spans="1:9">
      <c r="A7429" s="2">
        <v>2016</v>
      </c>
      <c r="B7429">
        <v>99</v>
      </c>
      <c r="C7429">
        <v>0.42925000000000002</v>
      </c>
      <c r="D7429">
        <v>0.35339999999999999</v>
      </c>
      <c r="E7429">
        <v>0.5</v>
      </c>
      <c r="F7429">
        <v>499</v>
      </c>
      <c r="G7429">
        <v>176</v>
      </c>
      <c r="H7429">
        <v>411</v>
      </c>
      <c r="I7429">
        <v>1065</v>
      </c>
    </row>
    <row r="7430" spans="1:9">
      <c r="A7430" s="2">
        <v>2016</v>
      </c>
      <c r="B7430">
        <v>100</v>
      </c>
      <c r="C7430">
        <v>0.45600000000000002</v>
      </c>
      <c r="D7430">
        <v>0.37134</v>
      </c>
      <c r="E7430">
        <v>0.5</v>
      </c>
      <c r="F7430">
        <v>323</v>
      </c>
      <c r="G7430">
        <v>120</v>
      </c>
      <c r="H7430">
        <v>263</v>
      </c>
      <c r="I7430">
        <v>654</v>
      </c>
    </row>
    <row r="7431" spans="1:9">
      <c r="A7431" s="2">
        <v>2016</v>
      </c>
      <c r="B7431">
        <v>101</v>
      </c>
      <c r="C7431">
        <v>0.48300999999999999</v>
      </c>
      <c r="D7431">
        <v>0.38905000000000001</v>
      </c>
      <c r="E7431">
        <v>0.5</v>
      </c>
      <c r="F7431">
        <v>203</v>
      </c>
      <c r="G7431">
        <v>79</v>
      </c>
      <c r="H7431">
        <v>163</v>
      </c>
      <c r="I7431">
        <v>392</v>
      </c>
    </row>
    <row r="7432" spans="1:9">
      <c r="A7432" s="2">
        <v>2016</v>
      </c>
      <c r="B7432">
        <v>102</v>
      </c>
      <c r="C7432">
        <v>0.51010999999999995</v>
      </c>
      <c r="D7432">
        <v>0.40644000000000002</v>
      </c>
      <c r="E7432">
        <v>0.5</v>
      </c>
      <c r="F7432">
        <v>124</v>
      </c>
      <c r="G7432">
        <v>50</v>
      </c>
      <c r="H7432">
        <v>99</v>
      </c>
      <c r="I7432">
        <v>228</v>
      </c>
    </row>
    <row r="7433" spans="1:9">
      <c r="A7433" s="2">
        <v>2016</v>
      </c>
      <c r="B7433">
        <v>103</v>
      </c>
      <c r="C7433">
        <v>0.53715000000000002</v>
      </c>
      <c r="D7433">
        <v>0.42342999999999997</v>
      </c>
      <c r="E7433">
        <v>0.5</v>
      </c>
      <c r="F7433">
        <v>74</v>
      </c>
      <c r="G7433">
        <v>31</v>
      </c>
      <c r="H7433">
        <v>58</v>
      </c>
      <c r="I7433">
        <v>130</v>
      </c>
    </row>
    <row r="7434" spans="1:9">
      <c r="A7434" s="2">
        <v>2016</v>
      </c>
      <c r="B7434">
        <v>104</v>
      </c>
      <c r="C7434">
        <v>0.56398000000000004</v>
      </c>
      <c r="D7434">
        <v>0.43992999999999999</v>
      </c>
      <c r="E7434">
        <v>0.5</v>
      </c>
      <c r="F7434">
        <v>42</v>
      </c>
      <c r="G7434">
        <v>19</v>
      </c>
      <c r="H7434">
        <v>33</v>
      </c>
      <c r="I7434">
        <v>72</v>
      </c>
    </row>
    <row r="7435" spans="1:9">
      <c r="A7435" s="2">
        <v>2016</v>
      </c>
      <c r="B7435">
        <v>105</v>
      </c>
      <c r="C7435">
        <v>0.59043999999999996</v>
      </c>
      <c r="D7435">
        <v>0.45585999999999999</v>
      </c>
      <c r="E7435">
        <v>0.5</v>
      </c>
      <c r="F7435">
        <v>24</v>
      </c>
      <c r="G7435">
        <v>11</v>
      </c>
      <c r="H7435">
        <v>18</v>
      </c>
      <c r="I7435">
        <v>39</v>
      </c>
    </row>
    <row r="7436" spans="1:9">
      <c r="A7436" s="2">
        <v>2016</v>
      </c>
      <c r="B7436">
        <v>106</v>
      </c>
      <c r="C7436">
        <v>0.61638999999999999</v>
      </c>
      <c r="D7436">
        <v>0.47116999999999998</v>
      </c>
      <c r="E7436">
        <v>0.5</v>
      </c>
      <c r="F7436">
        <v>13</v>
      </c>
      <c r="G7436">
        <v>6</v>
      </c>
      <c r="H7436">
        <v>10</v>
      </c>
      <c r="I7436">
        <v>20</v>
      </c>
    </row>
    <row r="7437" spans="1:9">
      <c r="A7437" s="2">
        <v>2016</v>
      </c>
      <c r="B7437">
        <v>107</v>
      </c>
      <c r="C7437">
        <v>0.64168999999999998</v>
      </c>
      <c r="D7437">
        <v>0.48581999999999997</v>
      </c>
      <c r="E7437">
        <v>0.5</v>
      </c>
      <c r="F7437">
        <v>7</v>
      </c>
      <c r="G7437">
        <v>3</v>
      </c>
      <c r="H7437">
        <v>5</v>
      </c>
      <c r="I7437">
        <v>10</v>
      </c>
    </row>
    <row r="7438" spans="1:9">
      <c r="A7438" s="2">
        <v>2016</v>
      </c>
      <c r="B7438">
        <v>108</v>
      </c>
      <c r="C7438">
        <v>0.66622000000000003</v>
      </c>
      <c r="D7438">
        <v>0.49975000000000003</v>
      </c>
      <c r="E7438">
        <v>0.5</v>
      </c>
      <c r="F7438">
        <v>4</v>
      </c>
      <c r="G7438">
        <v>2</v>
      </c>
      <c r="H7438">
        <v>3</v>
      </c>
      <c r="I7438">
        <v>5</v>
      </c>
    </row>
    <row r="7439" spans="1:9">
      <c r="A7439" s="2">
        <v>2016</v>
      </c>
      <c r="B7439">
        <v>109</v>
      </c>
      <c r="C7439">
        <v>0.68989</v>
      </c>
      <c r="D7439">
        <v>0.51295000000000002</v>
      </c>
      <c r="E7439">
        <v>0.5</v>
      </c>
      <c r="F7439">
        <v>2</v>
      </c>
      <c r="G7439">
        <v>1</v>
      </c>
      <c r="H7439">
        <v>1</v>
      </c>
      <c r="I7439">
        <v>3</v>
      </c>
    </row>
    <row r="7440" spans="1:9">
      <c r="A7440" s="2">
        <v>2016</v>
      </c>
      <c r="B7440" t="s">
        <v>26</v>
      </c>
      <c r="C7440">
        <v>0.71260000000000001</v>
      </c>
      <c r="D7440">
        <v>1</v>
      </c>
      <c r="E7440">
        <v>1.4</v>
      </c>
      <c r="F7440">
        <v>1</v>
      </c>
      <c r="G7440">
        <v>1</v>
      </c>
      <c r="H7440">
        <v>1</v>
      </c>
      <c r="I7440">
        <v>1</v>
      </c>
    </row>
    <row r="7441" spans="1:9">
      <c r="A7441" s="2">
        <v>2017</v>
      </c>
      <c r="B7441">
        <v>0</v>
      </c>
      <c r="C7441">
        <v>3.8700000000000002E-3</v>
      </c>
      <c r="D7441">
        <v>3.8600000000000001E-3</v>
      </c>
      <c r="E7441">
        <v>0.14000000000000001</v>
      </c>
      <c r="F7441">
        <v>100000</v>
      </c>
      <c r="G7441">
        <v>386</v>
      </c>
      <c r="H7441">
        <v>99669</v>
      </c>
      <c r="I7441">
        <v>7255449</v>
      </c>
    </row>
    <row r="7442" spans="1:9">
      <c r="A7442" s="2">
        <v>2017</v>
      </c>
      <c r="B7442">
        <v>1</v>
      </c>
      <c r="C7442">
        <v>3.1E-4</v>
      </c>
      <c r="D7442">
        <v>3.1E-4</v>
      </c>
      <c r="E7442">
        <v>0.5</v>
      </c>
      <c r="F7442">
        <v>99614</v>
      </c>
      <c r="G7442">
        <v>31</v>
      </c>
      <c r="H7442">
        <v>99598</v>
      </c>
      <c r="I7442">
        <v>7155780</v>
      </c>
    </row>
    <row r="7443" spans="1:9">
      <c r="A7443" s="2">
        <v>2017</v>
      </c>
      <c r="B7443">
        <v>2</v>
      </c>
      <c r="C7443">
        <v>2.9E-4</v>
      </c>
      <c r="D7443">
        <v>2.9E-4</v>
      </c>
      <c r="E7443">
        <v>0.5</v>
      </c>
      <c r="F7443">
        <v>99583</v>
      </c>
      <c r="G7443">
        <v>29</v>
      </c>
      <c r="H7443">
        <v>99568</v>
      </c>
      <c r="I7443">
        <v>7056182</v>
      </c>
    </row>
    <row r="7444" spans="1:9">
      <c r="A7444" s="2">
        <v>2017</v>
      </c>
      <c r="B7444">
        <v>3</v>
      </c>
      <c r="C7444">
        <v>1.1E-4</v>
      </c>
      <c r="D7444">
        <v>1.1E-4</v>
      </c>
      <c r="E7444">
        <v>0.5</v>
      </c>
      <c r="F7444">
        <v>99554</v>
      </c>
      <c r="G7444">
        <v>11</v>
      </c>
      <c r="H7444">
        <v>99548</v>
      </c>
      <c r="I7444">
        <v>6956613</v>
      </c>
    </row>
    <row r="7445" spans="1:9">
      <c r="A7445" s="2">
        <v>2017</v>
      </c>
      <c r="B7445">
        <v>4</v>
      </c>
      <c r="C7445">
        <v>2.0000000000000002E-5</v>
      </c>
      <c r="D7445">
        <v>2.0000000000000002E-5</v>
      </c>
      <c r="E7445">
        <v>0.5</v>
      </c>
      <c r="F7445">
        <v>99543</v>
      </c>
      <c r="G7445">
        <v>2</v>
      </c>
      <c r="H7445">
        <v>99542</v>
      </c>
      <c r="I7445">
        <v>6857065</v>
      </c>
    </row>
    <row r="7446" spans="1:9">
      <c r="A7446" s="2">
        <v>2017</v>
      </c>
      <c r="B7446">
        <v>5</v>
      </c>
      <c r="C7446">
        <v>1.7000000000000001E-4</v>
      </c>
      <c r="D7446">
        <v>1.7000000000000001E-4</v>
      </c>
      <c r="E7446">
        <v>0.5</v>
      </c>
      <c r="F7446">
        <v>99541</v>
      </c>
      <c r="G7446">
        <v>17</v>
      </c>
      <c r="H7446">
        <v>99532</v>
      </c>
      <c r="I7446">
        <v>6757523</v>
      </c>
    </row>
    <row r="7447" spans="1:9">
      <c r="A7447" s="2">
        <v>2017</v>
      </c>
      <c r="B7447">
        <v>6</v>
      </c>
      <c r="C7447">
        <v>9.0000000000000006E-5</v>
      </c>
      <c r="D7447">
        <v>9.0000000000000006E-5</v>
      </c>
      <c r="E7447">
        <v>0.5</v>
      </c>
      <c r="F7447">
        <v>99524</v>
      </c>
      <c r="G7447">
        <v>9</v>
      </c>
      <c r="H7447">
        <v>99520</v>
      </c>
      <c r="I7447">
        <v>6657991</v>
      </c>
    </row>
    <row r="7448" spans="1:9">
      <c r="A7448" s="2">
        <v>2017</v>
      </c>
      <c r="B7448">
        <v>7</v>
      </c>
      <c r="C7448">
        <v>4.0000000000000003E-5</v>
      </c>
      <c r="D7448">
        <v>4.0000000000000003E-5</v>
      </c>
      <c r="E7448">
        <v>0.5</v>
      </c>
      <c r="F7448">
        <v>99515</v>
      </c>
      <c r="G7448">
        <v>4</v>
      </c>
      <c r="H7448">
        <v>99513</v>
      </c>
      <c r="I7448">
        <v>6558471</v>
      </c>
    </row>
    <row r="7449" spans="1:9">
      <c r="A7449" s="2">
        <v>2017</v>
      </c>
      <c r="B7449">
        <v>8</v>
      </c>
      <c r="C7449">
        <v>1.3999999999999999E-4</v>
      </c>
      <c r="D7449">
        <v>1.3999999999999999E-4</v>
      </c>
      <c r="E7449">
        <v>0.5</v>
      </c>
      <c r="F7449">
        <v>99511</v>
      </c>
      <c r="G7449">
        <v>14</v>
      </c>
      <c r="H7449">
        <v>99504</v>
      </c>
      <c r="I7449">
        <v>6458958</v>
      </c>
    </row>
    <row r="7450" spans="1:9">
      <c r="A7450" s="2">
        <v>2017</v>
      </c>
      <c r="B7450">
        <v>9</v>
      </c>
      <c r="C7450">
        <v>1.2E-4</v>
      </c>
      <c r="D7450">
        <v>1.2E-4</v>
      </c>
      <c r="E7450">
        <v>0.5</v>
      </c>
      <c r="F7450">
        <v>99497</v>
      </c>
      <c r="G7450">
        <v>12</v>
      </c>
      <c r="H7450">
        <v>99491</v>
      </c>
      <c r="I7450">
        <v>6359454</v>
      </c>
    </row>
    <row r="7451" spans="1:9">
      <c r="A7451" s="2">
        <v>2017</v>
      </c>
      <c r="B7451">
        <v>10</v>
      </c>
      <c r="C7451">
        <v>6.0000000000000002E-5</v>
      </c>
      <c r="D7451">
        <v>6.0000000000000002E-5</v>
      </c>
      <c r="E7451">
        <v>0.5</v>
      </c>
      <c r="F7451">
        <v>99486</v>
      </c>
      <c r="G7451">
        <v>6</v>
      </c>
      <c r="H7451">
        <v>99483</v>
      </c>
      <c r="I7451">
        <v>6259963</v>
      </c>
    </row>
    <row r="7452" spans="1:9">
      <c r="A7452" s="2">
        <v>2017</v>
      </c>
      <c r="B7452">
        <v>11</v>
      </c>
      <c r="C7452">
        <v>1.8000000000000001E-4</v>
      </c>
      <c r="D7452">
        <v>1.8000000000000001E-4</v>
      </c>
      <c r="E7452">
        <v>0.5</v>
      </c>
      <c r="F7452">
        <v>99480</v>
      </c>
      <c r="G7452">
        <v>17</v>
      </c>
      <c r="H7452">
        <v>99471</v>
      </c>
      <c r="I7452">
        <v>6160480</v>
      </c>
    </row>
    <row r="7453" spans="1:9">
      <c r="A7453" s="2">
        <v>2017</v>
      </c>
      <c r="B7453">
        <v>12</v>
      </c>
      <c r="C7453">
        <v>2.0000000000000001E-4</v>
      </c>
      <c r="D7453">
        <v>2.0000000000000001E-4</v>
      </c>
      <c r="E7453">
        <v>0.5</v>
      </c>
      <c r="F7453">
        <v>99462</v>
      </c>
      <c r="G7453">
        <v>20</v>
      </c>
      <c r="H7453">
        <v>99452</v>
      </c>
      <c r="I7453">
        <v>6061009</v>
      </c>
    </row>
    <row r="7454" spans="1:9">
      <c r="A7454" s="2">
        <v>2017</v>
      </c>
      <c r="B7454">
        <v>13</v>
      </c>
      <c r="C7454">
        <v>1.2E-4</v>
      </c>
      <c r="D7454">
        <v>1.2E-4</v>
      </c>
      <c r="E7454">
        <v>0.5</v>
      </c>
      <c r="F7454">
        <v>99442</v>
      </c>
      <c r="G7454">
        <v>12</v>
      </c>
      <c r="H7454">
        <v>99436</v>
      </c>
      <c r="I7454">
        <v>5961557</v>
      </c>
    </row>
    <row r="7455" spans="1:9">
      <c r="A7455" s="2">
        <v>2017</v>
      </c>
      <c r="B7455">
        <v>14</v>
      </c>
      <c r="C7455">
        <v>2.9999999999999997E-4</v>
      </c>
      <c r="D7455">
        <v>2.9999999999999997E-4</v>
      </c>
      <c r="E7455">
        <v>0.5</v>
      </c>
      <c r="F7455">
        <v>99430</v>
      </c>
      <c r="G7455">
        <v>30</v>
      </c>
      <c r="H7455">
        <v>99415</v>
      </c>
      <c r="I7455">
        <v>5862120</v>
      </c>
    </row>
    <row r="7456" spans="1:9">
      <c r="A7456" s="2">
        <v>2017</v>
      </c>
      <c r="B7456">
        <v>15</v>
      </c>
      <c r="C7456">
        <v>2.4000000000000001E-4</v>
      </c>
      <c r="D7456">
        <v>2.4000000000000001E-4</v>
      </c>
      <c r="E7456">
        <v>0.5</v>
      </c>
      <c r="F7456">
        <v>99400</v>
      </c>
      <c r="G7456">
        <v>24</v>
      </c>
      <c r="H7456">
        <v>99388</v>
      </c>
      <c r="I7456">
        <v>5762706</v>
      </c>
    </row>
    <row r="7457" spans="1:9">
      <c r="A7457" s="2">
        <v>2017</v>
      </c>
      <c r="B7457">
        <v>16</v>
      </c>
      <c r="C7457">
        <v>2.0000000000000001E-4</v>
      </c>
      <c r="D7457">
        <v>2.0000000000000001E-4</v>
      </c>
      <c r="E7457">
        <v>0.5</v>
      </c>
      <c r="F7457">
        <v>99376</v>
      </c>
      <c r="G7457">
        <v>20</v>
      </c>
      <c r="H7457">
        <v>99366</v>
      </c>
      <c r="I7457">
        <v>5663318</v>
      </c>
    </row>
    <row r="7458" spans="1:9">
      <c r="A7458" s="2">
        <v>2017</v>
      </c>
      <c r="B7458">
        <v>17</v>
      </c>
      <c r="C7458">
        <v>3.6000000000000002E-4</v>
      </c>
      <c r="D7458">
        <v>3.6000000000000002E-4</v>
      </c>
      <c r="E7458">
        <v>0.5</v>
      </c>
      <c r="F7458">
        <v>99356</v>
      </c>
      <c r="G7458">
        <v>36</v>
      </c>
      <c r="H7458">
        <v>99338</v>
      </c>
      <c r="I7458">
        <v>5563952</v>
      </c>
    </row>
    <row r="7459" spans="1:9">
      <c r="A7459" s="2">
        <v>2017</v>
      </c>
      <c r="B7459">
        <v>18</v>
      </c>
      <c r="C7459">
        <v>5.1999999999999995E-4</v>
      </c>
      <c r="D7459">
        <v>5.1999999999999995E-4</v>
      </c>
      <c r="E7459">
        <v>0.5</v>
      </c>
      <c r="F7459">
        <v>99320</v>
      </c>
      <c r="G7459">
        <v>52</v>
      </c>
      <c r="H7459">
        <v>99294</v>
      </c>
      <c r="I7459">
        <v>5464614</v>
      </c>
    </row>
    <row r="7460" spans="1:9">
      <c r="A7460" s="2">
        <v>2017</v>
      </c>
      <c r="B7460">
        <v>19</v>
      </c>
      <c r="C7460">
        <v>5.5000000000000003E-4</v>
      </c>
      <c r="D7460">
        <v>5.5000000000000003E-4</v>
      </c>
      <c r="E7460">
        <v>0.5</v>
      </c>
      <c r="F7460">
        <v>99268</v>
      </c>
      <c r="G7460">
        <v>55</v>
      </c>
      <c r="H7460">
        <v>99241</v>
      </c>
      <c r="I7460">
        <v>5365319</v>
      </c>
    </row>
    <row r="7461" spans="1:9">
      <c r="A7461" s="2">
        <v>2017</v>
      </c>
      <c r="B7461">
        <v>20</v>
      </c>
      <c r="C7461">
        <v>5.0000000000000001E-4</v>
      </c>
      <c r="D7461">
        <v>5.0000000000000001E-4</v>
      </c>
      <c r="E7461">
        <v>0.5</v>
      </c>
      <c r="F7461">
        <v>99213</v>
      </c>
      <c r="G7461">
        <v>50</v>
      </c>
      <c r="H7461">
        <v>99188</v>
      </c>
      <c r="I7461">
        <v>5266078</v>
      </c>
    </row>
    <row r="7462" spans="1:9">
      <c r="A7462" s="2">
        <v>2017</v>
      </c>
      <c r="B7462">
        <v>21</v>
      </c>
      <c r="C7462">
        <v>3.6999999999999999E-4</v>
      </c>
      <c r="D7462">
        <v>3.6999999999999999E-4</v>
      </c>
      <c r="E7462">
        <v>0.5</v>
      </c>
      <c r="F7462">
        <v>99164</v>
      </c>
      <c r="G7462">
        <v>36</v>
      </c>
      <c r="H7462">
        <v>99145</v>
      </c>
      <c r="I7462">
        <v>5166890</v>
      </c>
    </row>
    <row r="7463" spans="1:9">
      <c r="A7463" s="2">
        <v>2017</v>
      </c>
      <c r="B7463">
        <v>22</v>
      </c>
      <c r="C7463">
        <v>6.0999999999999997E-4</v>
      </c>
      <c r="D7463">
        <v>6.0999999999999997E-4</v>
      </c>
      <c r="E7463">
        <v>0.5</v>
      </c>
      <c r="F7463">
        <v>99127</v>
      </c>
      <c r="G7463">
        <v>61</v>
      </c>
      <c r="H7463">
        <v>99097</v>
      </c>
      <c r="I7463">
        <v>5067745</v>
      </c>
    </row>
    <row r="7464" spans="1:9">
      <c r="A7464" s="2">
        <v>2017</v>
      </c>
      <c r="B7464">
        <v>23</v>
      </c>
      <c r="C7464">
        <v>6.4000000000000005E-4</v>
      </c>
      <c r="D7464">
        <v>6.4000000000000005E-4</v>
      </c>
      <c r="E7464">
        <v>0.5</v>
      </c>
      <c r="F7464">
        <v>99066</v>
      </c>
      <c r="G7464">
        <v>63</v>
      </c>
      <c r="H7464">
        <v>99035</v>
      </c>
      <c r="I7464">
        <v>4968648</v>
      </c>
    </row>
    <row r="7465" spans="1:9">
      <c r="A7465" s="2">
        <v>2017</v>
      </c>
      <c r="B7465">
        <v>24</v>
      </c>
      <c r="C7465">
        <v>5.5000000000000003E-4</v>
      </c>
      <c r="D7465">
        <v>5.5000000000000003E-4</v>
      </c>
      <c r="E7465">
        <v>0.5</v>
      </c>
      <c r="F7465">
        <v>99003</v>
      </c>
      <c r="G7465">
        <v>55</v>
      </c>
      <c r="H7465">
        <v>98976</v>
      </c>
      <c r="I7465">
        <v>4869613</v>
      </c>
    </row>
    <row r="7466" spans="1:9">
      <c r="A7466" s="2">
        <v>2017</v>
      </c>
      <c r="B7466">
        <v>25</v>
      </c>
      <c r="C7466">
        <v>6.0999999999999997E-4</v>
      </c>
      <c r="D7466">
        <v>6.0999999999999997E-4</v>
      </c>
      <c r="E7466">
        <v>0.5</v>
      </c>
      <c r="F7466">
        <v>98949</v>
      </c>
      <c r="G7466">
        <v>60</v>
      </c>
      <c r="H7466">
        <v>98918</v>
      </c>
      <c r="I7466">
        <v>4770637</v>
      </c>
    </row>
    <row r="7467" spans="1:9">
      <c r="A7467" s="2">
        <v>2017</v>
      </c>
      <c r="B7467">
        <v>26</v>
      </c>
      <c r="C7467">
        <v>6.4999999999999997E-4</v>
      </c>
      <c r="D7467">
        <v>6.4999999999999997E-4</v>
      </c>
      <c r="E7467">
        <v>0.5</v>
      </c>
      <c r="F7467">
        <v>98888</v>
      </c>
      <c r="G7467">
        <v>64</v>
      </c>
      <c r="H7467">
        <v>98856</v>
      </c>
      <c r="I7467">
        <v>4671719</v>
      </c>
    </row>
    <row r="7468" spans="1:9">
      <c r="A7468" s="2">
        <v>2017</v>
      </c>
      <c r="B7468">
        <v>27</v>
      </c>
      <c r="C7468">
        <v>7.2999999999999996E-4</v>
      </c>
      <c r="D7468">
        <v>7.2999999999999996E-4</v>
      </c>
      <c r="E7468">
        <v>0.5</v>
      </c>
      <c r="F7468">
        <v>98824</v>
      </c>
      <c r="G7468">
        <v>73</v>
      </c>
      <c r="H7468">
        <v>98788</v>
      </c>
      <c r="I7468">
        <v>4572863</v>
      </c>
    </row>
    <row r="7469" spans="1:9">
      <c r="A7469" s="2">
        <v>2017</v>
      </c>
      <c r="B7469">
        <v>28</v>
      </c>
      <c r="C7469">
        <v>9.5E-4</v>
      </c>
      <c r="D7469">
        <v>9.5E-4</v>
      </c>
      <c r="E7469">
        <v>0.5</v>
      </c>
      <c r="F7469">
        <v>98751</v>
      </c>
      <c r="G7469">
        <v>94</v>
      </c>
      <c r="H7469">
        <v>98705</v>
      </c>
      <c r="I7469">
        <v>4474075</v>
      </c>
    </row>
    <row r="7470" spans="1:9">
      <c r="A7470" s="2">
        <v>2017</v>
      </c>
      <c r="B7470">
        <v>29</v>
      </c>
      <c r="C7470">
        <v>6.9999999999999999E-4</v>
      </c>
      <c r="D7470">
        <v>6.9999999999999999E-4</v>
      </c>
      <c r="E7470">
        <v>0.5</v>
      </c>
      <c r="F7470">
        <v>98658</v>
      </c>
      <c r="G7470">
        <v>69</v>
      </c>
      <c r="H7470">
        <v>98623</v>
      </c>
      <c r="I7470">
        <v>4375370</v>
      </c>
    </row>
    <row r="7471" spans="1:9">
      <c r="A7471" s="2">
        <v>2017</v>
      </c>
      <c r="B7471">
        <v>30</v>
      </c>
      <c r="C7471">
        <v>7.7999999999999999E-4</v>
      </c>
      <c r="D7471">
        <v>7.7999999999999999E-4</v>
      </c>
      <c r="E7471">
        <v>0.5</v>
      </c>
      <c r="F7471">
        <v>98589</v>
      </c>
      <c r="G7471">
        <v>77</v>
      </c>
      <c r="H7471">
        <v>98550</v>
      </c>
      <c r="I7471">
        <v>4276747</v>
      </c>
    </row>
    <row r="7472" spans="1:9">
      <c r="A7472" s="2">
        <v>2017</v>
      </c>
      <c r="B7472">
        <v>31</v>
      </c>
      <c r="C7472">
        <v>1.0399999999999999E-3</v>
      </c>
      <c r="D7472">
        <v>1.0399999999999999E-3</v>
      </c>
      <c r="E7472">
        <v>0.5</v>
      </c>
      <c r="F7472">
        <v>98512</v>
      </c>
      <c r="G7472">
        <v>102</v>
      </c>
      <c r="H7472">
        <v>98460</v>
      </c>
      <c r="I7472">
        <v>4178197</v>
      </c>
    </row>
    <row r="7473" spans="1:9">
      <c r="A7473" s="2">
        <v>2017</v>
      </c>
      <c r="B7473">
        <v>32</v>
      </c>
      <c r="C7473">
        <v>1.15E-3</v>
      </c>
      <c r="D7473">
        <v>1.15E-3</v>
      </c>
      <c r="E7473">
        <v>0.5</v>
      </c>
      <c r="F7473">
        <v>98409</v>
      </c>
      <c r="G7473">
        <v>114</v>
      </c>
      <c r="H7473">
        <v>98352</v>
      </c>
      <c r="I7473">
        <v>4079736</v>
      </c>
    </row>
    <row r="7474" spans="1:9">
      <c r="A7474" s="2">
        <v>2017</v>
      </c>
      <c r="B7474">
        <v>33</v>
      </c>
      <c r="C7474">
        <v>1.1100000000000001E-3</v>
      </c>
      <c r="D7474">
        <v>1.1100000000000001E-3</v>
      </c>
      <c r="E7474">
        <v>0.5</v>
      </c>
      <c r="F7474">
        <v>98296</v>
      </c>
      <c r="G7474">
        <v>109</v>
      </c>
      <c r="H7474">
        <v>98241</v>
      </c>
      <c r="I7474">
        <v>3981384</v>
      </c>
    </row>
    <row r="7475" spans="1:9">
      <c r="A7475" s="2">
        <v>2017</v>
      </c>
      <c r="B7475">
        <v>34</v>
      </c>
      <c r="C7475">
        <v>1.15E-3</v>
      </c>
      <c r="D7475">
        <v>1.15E-3</v>
      </c>
      <c r="E7475">
        <v>0.5</v>
      </c>
      <c r="F7475">
        <v>98187</v>
      </c>
      <c r="G7475">
        <v>113</v>
      </c>
      <c r="H7475">
        <v>98130</v>
      </c>
      <c r="I7475">
        <v>3883143</v>
      </c>
    </row>
    <row r="7476" spans="1:9">
      <c r="A7476" s="2">
        <v>2017</v>
      </c>
      <c r="B7476">
        <v>35</v>
      </c>
      <c r="C7476">
        <v>1.0399999999999999E-3</v>
      </c>
      <c r="D7476">
        <v>1.0399999999999999E-3</v>
      </c>
      <c r="E7476">
        <v>0.5</v>
      </c>
      <c r="F7476">
        <v>98074</v>
      </c>
      <c r="G7476">
        <v>102</v>
      </c>
      <c r="H7476">
        <v>98023</v>
      </c>
      <c r="I7476">
        <v>3785012</v>
      </c>
    </row>
    <row r="7477" spans="1:9">
      <c r="A7477" s="2">
        <v>2017</v>
      </c>
      <c r="B7477">
        <v>36</v>
      </c>
      <c r="C7477">
        <v>1.4400000000000001E-3</v>
      </c>
      <c r="D7477">
        <v>1.4400000000000001E-3</v>
      </c>
      <c r="E7477">
        <v>0.5</v>
      </c>
      <c r="F7477">
        <v>97972</v>
      </c>
      <c r="G7477">
        <v>141</v>
      </c>
      <c r="H7477">
        <v>97902</v>
      </c>
      <c r="I7477">
        <v>3686989</v>
      </c>
    </row>
    <row r="7478" spans="1:9">
      <c r="A7478" s="2">
        <v>2017</v>
      </c>
      <c r="B7478">
        <v>37</v>
      </c>
      <c r="C7478">
        <v>1.49E-3</v>
      </c>
      <c r="D7478">
        <v>1.49E-3</v>
      </c>
      <c r="E7478">
        <v>0.5</v>
      </c>
      <c r="F7478">
        <v>97831</v>
      </c>
      <c r="G7478">
        <v>146</v>
      </c>
      <c r="H7478">
        <v>97758</v>
      </c>
      <c r="I7478">
        <v>3589088</v>
      </c>
    </row>
    <row r="7479" spans="1:9">
      <c r="A7479" s="2">
        <v>2017</v>
      </c>
      <c r="B7479">
        <v>38</v>
      </c>
      <c r="C7479">
        <v>1.4599999999999999E-3</v>
      </c>
      <c r="D7479">
        <v>1.4599999999999999E-3</v>
      </c>
      <c r="E7479">
        <v>0.5</v>
      </c>
      <c r="F7479">
        <v>97685</v>
      </c>
      <c r="G7479">
        <v>143</v>
      </c>
      <c r="H7479">
        <v>97614</v>
      </c>
      <c r="I7479">
        <v>3491329</v>
      </c>
    </row>
    <row r="7480" spans="1:9">
      <c r="A7480" s="2">
        <v>2017</v>
      </c>
      <c r="B7480">
        <v>39</v>
      </c>
      <c r="C7480">
        <v>1.42E-3</v>
      </c>
      <c r="D7480">
        <v>1.42E-3</v>
      </c>
      <c r="E7480">
        <v>0.5</v>
      </c>
      <c r="F7480">
        <v>97543</v>
      </c>
      <c r="G7480">
        <v>138</v>
      </c>
      <c r="H7480">
        <v>97473</v>
      </c>
      <c r="I7480">
        <v>3393715</v>
      </c>
    </row>
    <row r="7481" spans="1:9">
      <c r="A7481" s="2">
        <v>2017</v>
      </c>
      <c r="B7481">
        <v>40</v>
      </c>
      <c r="C7481">
        <v>1.7099999999999999E-3</v>
      </c>
      <c r="D7481">
        <v>1.7099999999999999E-3</v>
      </c>
      <c r="E7481">
        <v>0.5</v>
      </c>
      <c r="F7481">
        <v>97404</v>
      </c>
      <c r="G7481">
        <v>167</v>
      </c>
      <c r="H7481">
        <v>97321</v>
      </c>
      <c r="I7481">
        <v>3296242</v>
      </c>
    </row>
    <row r="7482" spans="1:9">
      <c r="A7482" s="2">
        <v>2017</v>
      </c>
      <c r="B7482">
        <v>41</v>
      </c>
      <c r="C7482">
        <v>1.98E-3</v>
      </c>
      <c r="D7482">
        <v>1.98E-3</v>
      </c>
      <c r="E7482">
        <v>0.5</v>
      </c>
      <c r="F7482">
        <v>97238</v>
      </c>
      <c r="G7482">
        <v>192</v>
      </c>
      <c r="H7482">
        <v>97142</v>
      </c>
      <c r="I7482">
        <v>3198921</v>
      </c>
    </row>
    <row r="7483" spans="1:9">
      <c r="A7483" s="2">
        <v>2017</v>
      </c>
      <c r="B7483">
        <v>42</v>
      </c>
      <c r="C7483">
        <v>2.16E-3</v>
      </c>
      <c r="D7483">
        <v>2.16E-3</v>
      </c>
      <c r="E7483">
        <v>0.5</v>
      </c>
      <c r="F7483">
        <v>97045</v>
      </c>
      <c r="G7483">
        <v>210</v>
      </c>
      <c r="H7483">
        <v>96940</v>
      </c>
      <c r="I7483">
        <v>3101779</v>
      </c>
    </row>
    <row r="7484" spans="1:9">
      <c r="A7484" s="2">
        <v>2017</v>
      </c>
      <c r="B7484">
        <v>43</v>
      </c>
      <c r="C7484">
        <v>2.1900000000000001E-3</v>
      </c>
      <c r="D7484">
        <v>2.1900000000000001E-3</v>
      </c>
      <c r="E7484">
        <v>0.5</v>
      </c>
      <c r="F7484">
        <v>96836</v>
      </c>
      <c r="G7484">
        <v>212</v>
      </c>
      <c r="H7484">
        <v>96729</v>
      </c>
      <c r="I7484">
        <v>3004839</v>
      </c>
    </row>
    <row r="7485" spans="1:9">
      <c r="A7485" s="2">
        <v>2017</v>
      </c>
      <c r="B7485">
        <v>44</v>
      </c>
      <c r="C7485">
        <v>2.6800000000000001E-3</v>
      </c>
      <c r="D7485">
        <v>2.6800000000000001E-3</v>
      </c>
      <c r="E7485">
        <v>0.5</v>
      </c>
      <c r="F7485">
        <v>96623</v>
      </c>
      <c r="G7485">
        <v>259</v>
      </c>
      <c r="H7485">
        <v>96494</v>
      </c>
      <c r="I7485">
        <v>2908109</v>
      </c>
    </row>
    <row r="7486" spans="1:9">
      <c r="A7486" s="2">
        <v>2017</v>
      </c>
      <c r="B7486">
        <v>45</v>
      </c>
      <c r="C7486">
        <v>3.5999999999999999E-3</v>
      </c>
      <c r="D7486">
        <v>3.5899999999999999E-3</v>
      </c>
      <c r="E7486">
        <v>0.5</v>
      </c>
      <c r="F7486">
        <v>96365</v>
      </c>
      <c r="G7486">
        <v>346</v>
      </c>
      <c r="H7486">
        <v>96192</v>
      </c>
      <c r="I7486">
        <v>2811615</v>
      </c>
    </row>
    <row r="7487" spans="1:9">
      <c r="A7487" s="2">
        <v>2017</v>
      </c>
      <c r="B7487">
        <v>46</v>
      </c>
      <c r="C7487">
        <v>4.2300000000000003E-3</v>
      </c>
      <c r="D7487">
        <v>4.2199999999999998E-3</v>
      </c>
      <c r="E7487">
        <v>0.5</v>
      </c>
      <c r="F7487">
        <v>96018</v>
      </c>
      <c r="G7487">
        <v>405</v>
      </c>
      <c r="H7487">
        <v>95816</v>
      </c>
      <c r="I7487">
        <v>2715424</v>
      </c>
    </row>
    <row r="7488" spans="1:9">
      <c r="A7488" s="2">
        <v>2017</v>
      </c>
      <c r="B7488">
        <v>47</v>
      </c>
      <c r="C7488">
        <v>4.7000000000000002E-3</v>
      </c>
      <c r="D7488">
        <v>4.6899999999999997E-3</v>
      </c>
      <c r="E7488">
        <v>0.5</v>
      </c>
      <c r="F7488">
        <v>95613</v>
      </c>
      <c r="G7488">
        <v>448</v>
      </c>
      <c r="H7488">
        <v>95389</v>
      </c>
      <c r="I7488">
        <v>2619608</v>
      </c>
    </row>
    <row r="7489" spans="1:9">
      <c r="A7489" s="2">
        <v>2017</v>
      </c>
      <c r="B7489">
        <v>48</v>
      </c>
      <c r="C7489">
        <v>5.6899999999999997E-3</v>
      </c>
      <c r="D7489">
        <v>5.6699999999999997E-3</v>
      </c>
      <c r="E7489">
        <v>0.5</v>
      </c>
      <c r="F7489">
        <v>95165</v>
      </c>
      <c r="G7489">
        <v>540</v>
      </c>
      <c r="H7489">
        <v>94895</v>
      </c>
      <c r="I7489">
        <v>2524219</v>
      </c>
    </row>
    <row r="7490" spans="1:9">
      <c r="A7490" s="2">
        <v>2017</v>
      </c>
      <c r="B7490">
        <v>49</v>
      </c>
      <c r="C7490">
        <v>6.2199999999999998E-3</v>
      </c>
      <c r="D7490">
        <v>6.1999999999999998E-3</v>
      </c>
      <c r="E7490">
        <v>0.5</v>
      </c>
      <c r="F7490">
        <v>94625</v>
      </c>
      <c r="G7490">
        <v>587</v>
      </c>
      <c r="H7490">
        <v>94332</v>
      </c>
      <c r="I7490">
        <v>2429324</v>
      </c>
    </row>
    <row r="7491" spans="1:9">
      <c r="A7491" s="2">
        <v>2017</v>
      </c>
      <c r="B7491">
        <v>50</v>
      </c>
      <c r="C7491">
        <v>6.9800000000000001E-3</v>
      </c>
      <c r="D7491">
        <v>6.9499999999999996E-3</v>
      </c>
      <c r="E7491">
        <v>0.5</v>
      </c>
      <c r="F7491">
        <v>94039</v>
      </c>
      <c r="G7491">
        <v>654</v>
      </c>
      <c r="H7491">
        <v>93712</v>
      </c>
      <c r="I7491">
        <v>2334992</v>
      </c>
    </row>
    <row r="7492" spans="1:9">
      <c r="A7492" s="2">
        <v>2017</v>
      </c>
      <c r="B7492">
        <v>51</v>
      </c>
      <c r="C7492">
        <v>8.4499999999999992E-3</v>
      </c>
      <c r="D7492">
        <v>8.4100000000000008E-3</v>
      </c>
      <c r="E7492">
        <v>0.5</v>
      </c>
      <c r="F7492">
        <v>93385</v>
      </c>
      <c r="G7492">
        <v>785</v>
      </c>
      <c r="H7492">
        <v>92992</v>
      </c>
      <c r="I7492">
        <v>2241281</v>
      </c>
    </row>
    <row r="7493" spans="1:9">
      <c r="A7493" s="2">
        <v>2017</v>
      </c>
      <c r="B7493">
        <v>52</v>
      </c>
      <c r="C7493">
        <v>9.0600000000000003E-3</v>
      </c>
      <c r="D7493">
        <v>9.0200000000000002E-3</v>
      </c>
      <c r="E7493">
        <v>0.5</v>
      </c>
      <c r="F7493">
        <v>92599</v>
      </c>
      <c r="G7493">
        <v>836</v>
      </c>
      <c r="H7493">
        <v>92181</v>
      </c>
      <c r="I7493">
        <v>2148289</v>
      </c>
    </row>
    <row r="7494" spans="1:9">
      <c r="A7494" s="2">
        <v>2017</v>
      </c>
      <c r="B7494">
        <v>53</v>
      </c>
      <c r="C7494">
        <v>1.1169999999999999E-2</v>
      </c>
      <c r="D7494">
        <v>1.111E-2</v>
      </c>
      <c r="E7494">
        <v>0.5</v>
      </c>
      <c r="F7494">
        <v>91763</v>
      </c>
      <c r="G7494">
        <v>1020</v>
      </c>
      <c r="H7494">
        <v>91254</v>
      </c>
      <c r="I7494">
        <v>2056107</v>
      </c>
    </row>
    <row r="7495" spans="1:9">
      <c r="A7495" s="2">
        <v>2017</v>
      </c>
      <c r="B7495">
        <v>54</v>
      </c>
      <c r="C7495">
        <v>1.1650000000000001E-2</v>
      </c>
      <c r="D7495">
        <v>1.158E-2</v>
      </c>
      <c r="E7495">
        <v>0.5</v>
      </c>
      <c r="F7495">
        <v>90744</v>
      </c>
      <c r="G7495">
        <v>1051</v>
      </c>
      <c r="H7495">
        <v>90218</v>
      </c>
      <c r="I7495">
        <v>1964854</v>
      </c>
    </row>
    <row r="7496" spans="1:9">
      <c r="A7496" s="2">
        <v>2017</v>
      </c>
      <c r="B7496">
        <v>55</v>
      </c>
      <c r="C7496">
        <v>1.302E-2</v>
      </c>
      <c r="D7496">
        <v>1.2930000000000001E-2</v>
      </c>
      <c r="E7496">
        <v>0.5</v>
      </c>
      <c r="F7496">
        <v>89693</v>
      </c>
      <c r="G7496">
        <v>1160</v>
      </c>
      <c r="H7496">
        <v>89113</v>
      </c>
      <c r="I7496">
        <v>1874636</v>
      </c>
    </row>
    <row r="7497" spans="1:9">
      <c r="A7497" s="2">
        <v>2017</v>
      </c>
      <c r="B7497">
        <v>56</v>
      </c>
      <c r="C7497">
        <v>1.443E-2</v>
      </c>
      <c r="D7497">
        <v>1.4330000000000001E-2</v>
      </c>
      <c r="E7497">
        <v>0.5</v>
      </c>
      <c r="F7497">
        <v>88533</v>
      </c>
      <c r="G7497">
        <v>1269</v>
      </c>
      <c r="H7497">
        <v>87898</v>
      </c>
      <c r="I7497">
        <v>1785523</v>
      </c>
    </row>
    <row r="7498" spans="1:9">
      <c r="A7498" s="2">
        <v>2017</v>
      </c>
      <c r="B7498">
        <v>57</v>
      </c>
      <c r="C7498">
        <v>1.6449999999999999E-2</v>
      </c>
      <c r="D7498">
        <v>1.6310000000000002E-2</v>
      </c>
      <c r="E7498">
        <v>0.5</v>
      </c>
      <c r="F7498">
        <v>87264</v>
      </c>
      <c r="G7498">
        <v>1424</v>
      </c>
      <c r="H7498">
        <v>86552</v>
      </c>
      <c r="I7498">
        <v>1697624</v>
      </c>
    </row>
    <row r="7499" spans="1:9">
      <c r="A7499" s="2">
        <v>2017</v>
      </c>
      <c r="B7499">
        <v>58</v>
      </c>
      <c r="C7499">
        <v>1.7680000000000001E-2</v>
      </c>
      <c r="D7499">
        <v>1.753E-2</v>
      </c>
      <c r="E7499">
        <v>0.5</v>
      </c>
      <c r="F7499">
        <v>85841</v>
      </c>
      <c r="G7499">
        <v>1504</v>
      </c>
      <c r="H7499">
        <v>85088</v>
      </c>
      <c r="I7499">
        <v>1611072</v>
      </c>
    </row>
    <row r="7500" spans="1:9">
      <c r="A7500" s="2">
        <v>2017</v>
      </c>
      <c r="B7500">
        <v>59</v>
      </c>
      <c r="C7500">
        <v>1.9650000000000001E-2</v>
      </c>
      <c r="D7500">
        <v>1.9460000000000002E-2</v>
      </c>
      <c r="E7500">
        <v>0.5</v>
      </c>
      <c r="F7500">
        <v>84336</v>
      </c>
      <c r="G7500">
        <v>1641</v>
      </c>
      <c r="H7500">
        <v>83516</v>
      </c>
      <c r="I7500">
        <v>1525984</v>
      </c>
    </row>
    <row r="7501" spans="1:9">
      <c r="A7501" s="2">
        <v>2017</v>
      </c>
      <c r="B7501">
        <v>60</v>
      </c>
      <c r="C7501">
        <v>2.1760000000000002E-2</v>
      </c>
      <c r="D7501">
        <v>2.1520000000000001E-2</v>
      </c>
      <c r="E7501">
        <v>0.5</v>
      </c>
      <c r="F7501">
        <v>82695</v>
      </c>
      <c r="G7501">
        <v>1780</v>
      </c>
      <c r="H7501">
        <v>81805</v>
      </c>
      <c r="I7501">
        <v>1442468</v>
      </c>
    </row>
    <row r="7502" spans="1:9">
      <c r="A7502" s="2">
        <v>2017</v>
      </c>
      <c r="B7502">
        <v>61</v>
      </c>
      <c r="C7502">
        <v>2.3E-2</v>
      </c>
      <c r="D7502">
        <v>2.274E-2</v>
      </c>
      <c r="E7502">
        <v>0.5</v>
      </c>
      <c r="F7502">
        <v>80915</v>
      </c>
      <c r="G7502">
        <v>1840</v>
      </c>
      <c r="H7502">
        <v>79995</v>
      </c>
      <c r="I7502">
        <v>1360663</v>
      </c>
    </row>
    <row r="7503" spans="1:9">
      <c r="A7503" s="2">
        <v>2017</v>
      </c>
      <c r="B7503">
        <v>62</v>
      </c>
      <c r="C7503">
        <v>2.436E-2</v>
      </c>
      <c r="D7503">
        <v>2.4070000000000001E-2</v>
      </c>
      <c r="E7503">
        <v>0.5</v>
      </c>
      <c r="F7503">
        <v>79075</v>
      </c>
      <c r="G7503">
        <v>1903</v>
      </c>
      <c r="H7503">
        <v>78124</v>
      </c>
      <c r="I7503">
        <v>1280667</v>
      </c>
    </row>
    <row r="7504" spans="1:9">
      <c r="A7504" s="2">
        <v>2017</v>
      </c>
      <c r="B7504">
        <v>63</v>
      </c>
      <c r="C7504">
        <v>2.6849999999999999E-2</v>
      </c>
      <c r="D7504">
        <v>2.6499999999999999E-2</v>
      </c>
      <c r="E7504">
        <v>0.5</v>
      </c>
      <c r="F7504">
        <v>77172</v>
      </c>
      <c r="G7504">
        <v>2045</v>
      </c>
      <c r="H7504">
        <v>76150</v>
      </c>
      <c r="I7504">
        <v>1202543</v>
      </c>
    </row>
    <row r="7505" spans="1:9">
      <c r="A7505" s="2">
        <v>2017</v>
      </c>
      <c r="B7505">
        <v>64</v>
      </c>
      <c r="C7505">
        <v>2.9950000000000001E-2</v>
      </c>
      <c r="D7505">
        <v>2.9510000000000002E-2</v>
      </c>
      <c r="E7505">
        <v>0.5</v>
      </c>
      <c r="F7505">
        <v>75128</v>
      </c>
      <c r="G7505">
        <v>2217</v>
      </c>
      <c r="H7505">
        <v>74019</v>
      </c>
      <c r="I7505">
        <v>1126394</v>
      </c>
    </row>
    <row r="7506" spans="1:9">
      <c r="A7506" s="2">
        <v>2017</v>
      </c>
      <c r="B7506">
        <v>65</v>
      </c>
      <c r="C7506">
        <v>3.1099999999999999E-2</v>
      </c>
      <c r="D7506">
        <v>3.0620000000000001E-2</v>
      </c>
      <c r="E7506">
        <v>0.5</v>
      </c>
      <c r="F7506">
        <v>72911</v>
      </c>
      <c r="G7506">
        <v>2233</v>
      </c>
      <c r="H7506">
        <v>71795</v>
      </c>
      <c r="I7506">
        <v>1052374</v>
      </c>
    </row>
    <row r="7507" spans="1:9">
      <c r="A7507" s="2">
        <v>2017</v>
      </c>
      <c r="B7507">
        <v>66</v>
      </c>
      <c r="C7507">
        <v>3.1519999999999999E-2</v>
      </c>
      <c r="D7507">
        <v>3.1029999999999999E-2</v>
      </c>
      <c r="E7507">
        <v>0.5</v>
      </c>
      <c r="F7507">
        <v>70678</v>
      </c>
      <c r="G7507">
        <v>2193</v>
      </c>
      <c r="H7507">
        <v>69582</v>
      </c>
      <c r="I7507">
        <v>980580</v>
      </c>
    </row>
    <row r="7508" spans="1:9">
      <c r="A7508" s="2">
        <v>2017</v>
      </c>
      <c r="B7508">
        <v>67</v>
      </c>
      <c r="C7508">
        <v>3.5929999999999997E-2</v>
      </c>
      <c r="D7508">
        <v>3.5290000000000002E-2</v>
      </c>
      <c r="E7508">
        <v>0.5</v>
      </c>
      <c r="F7508">
        <v>68485</v>
      </c>
      <c r="G7508">
        <v>2417</v>
      </c>
      <c r="H7508">
        <v>67277</v>
      </c>
      <c r="I7508">
        <v>910998</v>
      </c>
    </row>
    <row r="7509" spans="1:9">
      <c r="A7509" s="2">
        <v>2017</v>
      </c>
      <c r="B7509">
        <v>68</v>
      </c>
      <c r="C7509">
        <v>3.61E-2</v>
      </c>
      <c r="D7509">
        <v>3.5459999999999998E-2</v>
      </c>
      <c r="E7509">
        <v>0.5</v>
      </c>
      <c r="F7509">
        <v>66068</v>
      </c>
      <c r="G7509">
        <v>2343</v>
      </c>
      <c r="H7509">
        <v>64897</v>
      </c>
      <c r="I7509">
        <v>843721</v>
      </c>
    </row>
    <row r="7510" spans="1:9">
      <c r="A7510" s="2">
        <v>2017</v>
      </c>
      <c r="B7510">
        <v>69</v>
      </c>
      <c r="C7510">
        <v>3.7830000000000003E-2</v>
      </c>
      <c r="D7510">
        <v>3.7130000000000003E-2</v>
      </c>
      <c r="E7510">
        <v>0.5</v>
      </c>
      <c r="F7510">
        <v>63725</v>
      </c>
      <c r="G7510">
        <v>2366</v>
      </c>
      <c r="H7510">
        <v>62542</v>
      </c>
      <c r="I7510">
        <v>778825</v>
      </c>
    </row>
    <row r="7511" spans="1:9">
      <c r="A7511" s="2">
        <v>2017</v>
      </c>
      <c r="B7511">
        <v>70</v>
      </c>
      <c r="C7511">
        <v>4.1820000000000003E-2</v>
      </c>
      <c r="D7511">
        <v>4.0969999999999999E-2</v>
      </c>
      <c r="E7511">
        <v>0.5</v>
      </c>
      <c r="F7511">
        <v>61360</v>
      </c>
      <c r="G7511">
        <v>2514</v>
      </c>
      <c r="H7511">
        <v>60103</v>
      </c>
      <c r="I7511">
        <v>716282</v>
      </c>
    </row>
    <row r="7512" spans="1:9">
      <c r="A7512" s="2">
        <v>2017</v>
      </c>
      <c r="B7512">
        <v>71</v>
      </c>
      <c r="C7512">
        <v>4.1579999999999999E-2</v>
      </c>
      <c r="D7512">
        <v>4.0730000000000002E-2</v>
      </c>
      <c r="E7512">
        <v>0.5</v>
      </c>
      <c r="F7512">
        <v>58846</v>
      </c>
      <c r="G7512">
        <v>2397</v>
      </c>
      <c r="H7512">
        <v>57647</v>
      </c>
      <c r="I7512">
        <v>656179</v>
      </c>
    </row>
    <row r="7513" spans="1:9">
      <c r="A7513" s="2">
        <v>2017</v>
      </c>
      <c r="B7513">
        <v>72</v>
      </c>
      <c r="C7513">
        <v>4.7919999999999997E-2</v>
      </c>
      <c r="D7513">
        <v>4.6800000000000001E-2</v>
      </c>
      <c r="E7513">
        <v>0.5</v>
      </c>
      <c r="F7513">
        <v>56449</v>
      </c>
      <c r="G7513">
        <v>2642</v>
      </c>
      <c r="H7513">
        <v>55128</v>
      </c>
      <c r="I7513">
        <v>598532</v>
      </c>
    </row>
    <row r="7514" spans="1:9">
      <c r="A7514" s="2">
        <v>2017</v>
      </c>
      <c r="B7514">
        <v>73</v>
      </c>
      <c r="C7514">
        <v>4.897E-2</v>
      </c>
      <c r="D7514">
        <v>4.7800000000000002E-2</v>
      </c>
      <c r="E7514">
        <v>0.5</v>
      </c>
      <c r="F7514">
        <v>53807</v>
      </c>
      <c r="G7514">
        <v>2572</v>
      </c>
      <c r="H7514">
        <v>52521</v>
      </c>
      <c r="I7514">
        <v>543404</v>
      </c>
    </row>
    <row r="7515" spans="1:9">
      <c r="A7515" s="2">
        <v>2017</v>
      </c>
      <c r="B7515">
        <v>74</v>
      </c>
      <c r="C7515">
        <v>5.271E-2</v>
      </c>
      <c r="D7515">
        <v>5.135E-2</v>
      </c>
      <c r="E7515">
        <v>0.5</v>
      </c>
      <c r="F7515">
        <v>51235</v>
      </c>
      <c r="G7515">
        <v>2631</v>
      </c>
      <c r="H7515">
        <v>49920</v>
      </c>
      <c r="I7515">
        <v>490882</v>
      </c>
    </row>
    <row r="7516" spans="1:9">
      <c r="A7516" s="2">
        <v>2017</v>
      </c>
      <c r="B7516">
        <v>75</v>
      </c>
      <c r="C7516">
        <v>5.9119999999999999E-2</v>
      </c>
      <c r="D7516">
        <v>5.7419999999999999E-2</v>
      </c>
      <c r="E7516">
        <v>0.5</v>
      </c>
      <c r="F7516">
        <v>48604</v>
      </c>
      <c r="G7516">
        <v>2791</v>
      </c>
      <c r="H7516">
        <v>47209</v>
      </c>
      <c r="I7516">
        <v>440962</v>
      </c>
    </row>
    <row r="7517" spans="1:9">
      <c r="A7517" s="2">
        <v>2017</v>
      </c>
      <c r="B7517">
        <v>76</v>
      </c>
      <c r="C7517">
        <v>6.139E-2</v>
      </c>
      <c r="D7517">
        <v>5.9560000000000002E-2</v>
      </c>
      <c r="E7517">
        <v>0.5</v>
      </c>
      <c r="F7517">
        <v>45813</v>
      </c>
      <c r="G7517">
        <v>2729</v>
      </c>
      <c r="H7517">
        <v>44449</v>
      </c>
      <c r="I7517">
        <v>393754</v>
      </c>
    </row>
    <row r="7518" spans="1:9">
      <c r="A7518" s="2">
        <v>2017</v>
      </c>
      <c r="B7518">
        <v>77</v>
      </c>
      <c r="C7518">
        <v>6.9760000000000003E-2</v>
      </c>
      <c r="D7518">
        <v>6.7409999999999998E-2</v>
      </c>
      <c r="E7518">
        <v>0.5</v>
      </c>
      <c r="F7518">
        <v>43084</v>
      </c>
      <c r="G7518">
        <v>2904</v>
      </c>
      <c r="H7518">
        <v>41632</v>
      </c>
      <c r="I7518">
        <v>349305</v>
      </c>
    </row>
    <row r="7519" spans="1:9">
      <c r="A7519" s="2">
        <v>2017</v>
      </c>
      <c r="B7519">
        <v>78</v>
      </c>
      <c r="C7519">
        <v>7.7560000000000004E-2</v>
      </c>
      <c r="D7519">
        <v>7.4660000000000004E-2</v>
      </c>
      <c r="E7519">
        <v>0.5</v>
      </c>
      <c r="F7519">
        <v>40180</v>
      </c>
      <c r="G7519">
        <v>3000</v>
      </c>
      <c r="H7519">
        <v>38680</v>
      </c>
      <c r="I7519">
        <v>307673</v>
      </c>
    </row>
    <row r="7520" spans="1:9">
      <c r="A7520" s="2">
        <v>2017</v>
      </c>
      <c r="B7520">
        <v>79</v>
      </c>
      <c r="C7520">
        <v>8.1019999999999995E-2</v>
      </c>
      <c r="D7520">
        <v>7.7869999999999995E-2</v>
      </c>
      <c r="E7520">
        <v>0.5</v>
      </c>
      <c r="F7520">
        <v>37180</v>
      </c>
      <c r="G7520">
        <v>2895</v>
      </c>
      <c r="H7520">
        <v>35733</v>
      </c>
      <c r="I7520">
        <v>268992</v>
      </c>
    </row>
    <row r="7521" spans="1:9">
      <c r="A7521" s="2">
        <v>2017</v>
      </c>
      <c r="B7521">
        <v>80</v>
      </c>
      <c r="C7521">
        <v>8.8429999999999995E-2</v>
      </c>
      <c r="D7521">
        <v>8.4690000000000001E-2</v>
      </c>
      <c r="E7521">
        <v>0.5</v>
      </c>
      <c r="F7521">
        <v>34285</v>
      </c>
      <c r="G7521">
        <v>2903</v>
      </c>
      <c r="H7521">
        <v>32833</v>
      </c>
      <c r="I7521">
        <v>233259</v>
      </c>
    </row>
    <row r="7522" spans="1:9">
      <c r="A7522" s="2">
        <v>2017</v>
      </c>
      <c r="B7522">
        <v>81</v>
      </c>
      <c r="C7522">
        <v>9.9279999999999993E-2</v>
      </c>
      <c r="D7522">
        <v>9.4579999999999997E-2</v>
      </c>
      <c r="E7522">
        <v>0.5</v>
      </c>
      <c r="F7522">
        <v>31382</v>
      </c>
      <c r="G7522">
        <v>2968</v>
      </c>
      <c r="H7522">
        <v>29898</v>
      </c>
      <c r="I7522">
        <v>200426</v>
      </c>
    </row>
    <row r="7523" spans="1:9">
      <c r="A7523" s="2">
        <v>2017</v>
      </c>
      <c r="B7523">
        <v>82</v>
      </c>
      <c r="C7523">
        <v>0.11112</v>
      </c>
      <c r="D7523">
        <v>0.10527</v>
      </c>
      <c r="E7523">
        <v>0.5</v>
      </c>
      <c r="F7523">
        <v>28414</v>
      </c>
      <c r="G7523">
        <v>2991</v>
      </c>
      <c r="H7523">
        <v>26918</v>
      </c>
      <c r="I7523">
        <v>170528</v>
      </c>
    </row>
    <row r="7524" spans="1:9">
      <c r="A7524" s="2">
        <v>2017</v>
      </c>
      <c r="B7524">
        <v>83</v>
      </c>
      <c r="C7524">
        <v>0.12431</v>
      </c>
      <c r="D7524">
        <v>0.11704000000000001</v>
      </c>
      <c r="E7524">
        <v>0.5</v>
      </c>
      <c r="F7524">
        <v>25422</v>
      </c>
      <c r="G7524">
        <v>2975</v>
      </c>
      <c r="H7524">
        <v>23935</v>
      </c>
      <c r="I7524">
        <v>143610</v>
      </c>
    </row>
    <row r="7525" spans="1:9">
      <c r="A7525" s="2">
        <v>2017</v>
      </c>
      <c r="B7525">
        <v>84</v>
      </c>
      <c r="C7525">
        <v>0.13067000000000001</v>
      </c>
      <c r="D7525">
        <v>0.12266000000000001</v>
      </c>
      <c r="E7525">
        <v>0.5</v>
      </c>
      <c r="F7525">
        <v>22447</v>
      </c>
      <c r="G7525">
        <v>2753</v>
      </c>
      <c r="H7525">
        <v>21070</v>
      </c>
      <c r="I7525">
        <v>119676</v>
      </c>
    </row>
    <row r="7526" spans="1:9">
      <c r="A7526" s="2">
        <v>2017</v>
      </c>
      <c r="B7526">
        <v>85</v>
      </c>
      <c r="C7526">
        <v>0.14785000000000001</v>
      </c>
      <c r="D7526">
        <v>0.13768</v>
      </c>
      <c r="E7526">
        <v>0.5</v>
      </c>
      <c r="F7526">
        <v>19694</v>
      </c>
      <c r="G7526">
        <v>2711</v>
      </c>
      <c r="H7526">
        <v>18338</v>
      </c>
      <c r="I7526">
        <v>98605</v>
      </c>
    </row>
    <row r="7527" spans="1:9">
      <c r="A7527" s="2">
        <v>2017</v>
      </c>
      <c r="B7527">
        <v>86</v>
      </c>
      <c r="C7527">
        <v>0.14548</v>
      </c>
      <c r="D7527">
        <v>0.13561999999999999</v>
      </c>
      <c r="E7527">
        <v>0.5</v>
      </c>
      <c r="F7527">
        <v>16982</v>
      </c>
      <c r="G7527">
        <v>2303</v>
      </c>
      <c r="H7527">
        <v>15831</v>
      </c>
      <c r="I7527">
        <v>80267</v>
      </c>
    </row>
    <row r="7528" spans="1:9">
      <c r="A7528" s="2">
        <v>2017</v>
      </c>
      <c r="B7528">
        <v>87</v>
      </c>
      <c r="C7528">
        <v>0.16519</v>
      </c>
      <c r="D7528">
        <v>0.15257999999999999</v>
      </c>
      <c r="E7528">
        <v>0.5</v>
      </c>
      <c r="F7528">
        <v>14679</v>
      </c>
      <c r="G7528">
        <v>2240</v>
      </c>
      <c r="H7528">
        <v>13559</v>
      </c>
      <c r="I7528">
        <v>64436</v>
      </c>
    </row>
    <row r="7529" spans="1:9">
      <c r="A7529" s="2">
        <v>2017</v>
      </c>
      <c r="B7529">
        <v>88</v>
      </c>
      <c r="C7529">
        <v>0.17910999999999999</v>
      </c>
      <c r="D7529">
        <v>0.16439000000000001</v>
      </c>
      <c r="E7529">
        <v>0.5</v>
      </c>
      <c r="F7529">
        <v>12440</v>
      </c>
      <c r="G7529">
        <v>2045</v>
      </c>
      <c r="H7529">
        <v>11417</v>
      </c>
      <c r="I7529">
        <v>50877</v>
      </c>
    </row>
    <row r="7530" spans="1:9">
      <c r="A7530" s="2">
        <v>2017</v>
      </c>
      <c r="B7530">
        <v>89</v>
      </c>
      <c r="C7530">
        <v>0.20291999999999999</v>
      </c>
      <c r="D7530">
        <v>0.18421999999999999</v>
      </c>
      <c r="E7530">
        <v>0.5</v>
      </c>
      <c r="F7530">
        <v>10395</v>
      </c>
      <c r="G7530">
        <v>1915</v>
      </c>
      <c r="H7530">
        <v>9437</v>
      </c>
      <c r="I7530">
        <v>39460</v>
      </c>
    </row>
    <row r="7531" spans="1:9">
      <c r="A7531" s="2">
        <v>2017</v>
      </c>
      <c r="B7531">
        <v>90</v>
      </c>
      <c r="C7531">
        <v>0.22825000000000001</v>
      </c>
      <c r="D7531">
        <v>0.20487</v>
      </c>
      <c r="E7531">
        <v>0.5</v>
      </c>
      <c r="F7531">
        <v>8480</v>
      </c>
      <c r="G7531">
        <v>1737</v>
      </c>
      <c r="H7531">
        <v>7611</v>
      </c>
      <c r="I7531">
        <v>30023</v>
      </c>
    </row>
    <row r="7532" spans="1:9">
      <c r="A7532" s="2">
        <v>2017</v>
      </c>
      <c r="B7532">
        <v>91</v>
      </c>
      <c r="C7532">
        <v>0.24379999999999999</v>
      </c>
      <c r="D7532">
        <v>0.21731</v>
      </c>
      <c r="E7532">
        <v>0.5</v>
      </c>
      <c r="F7532">
        <v>6742</v>
      </c>
      <c r="G7532">
        <v>1465</v>
      </c>
      <c r="H7532">
        <v>6010</v>
      </c>
      <c r="I7532">
        <v>22411</v>
      </c>
    </row>
    <row r="7533" spans="1:9">
      <c r="A7533" s="2">
        <v>2017</v>
      </c>
      <c r="B7533">
        <v>92</v>
      </c>
      <c r="C7533">
        <v>0.28027999999999997</v>
      </c>
      <c r="D7533">
        <v>0.24582999999999999</v>
      </c>
      <c r="E7533">
        <v>0.5</v>
      </c>
      <c r="F7533">
        <v>5277</v>
      </c>
      <c r="G7533">
        <v>1297</v>
      </c>
      <c r="H7533">
        <v>4629</v>
      </c>
      <c r="I7533">
        <v>16402</v>
      </c>
    </row>
    <row r="7534" spans="1:9">
      <c r="A7534" s="2">
        <v>2017</v>
      </c>
      <c r="B7534">
        <v>93</v>
      </c>
      <c r="C7534">
        <v>0.29898000000000002</v>
      </c>
      <c r="D7534">
        <v>0.2601</v>
      </c>
      <c r="E7534">
        <v>0.5</v>
      </c>
      <c r="F7534">
        <v>3980</v>
      </c>
      <c r="G7534">
        <v>1035</v>
      </c>
      <c r="H7534">
        <v>3462</v>
      </c>
      <c r="I7534">
        <v>11773</v>
      </c>
    </row>
    <row r="7535" spans="1:9">
      <c r="A7535" s="2">
        <v>2017</v>
      </c>
      <c r="B7535">
        <v>94</v>
      </c>
      <c r="C7535">
        <v>0.29615000000000002</v>
      </c>
      <c r="D7535">
        <v>0.25795000000000001</v>
      </c>
      <c r="E7535">
        <v>0.5</v>
      </c>
      <c r="F7535">
        <v>2945</v>
      </c>
      <c r="G7535">
        <v>760</v>
      </c>
      <c r="H7535">
        <v>2565</v>
      </c>
      <c r="I7535">
        <v>8311</v>
      </c>
    </row>
    <row r="7536" spans="1:9">
      <c r="A7536" s="2">
        <v>2017</v>
      </c>
      <c r="B7536">
        <v>95</v>
      </c>
      <c r="C7536">
        <v>0.33334999999999998</v>
      </c>
      <c r="D7536">
        <v>0.28572999999999998</v>
      </c>
      <c r="E7536">
        <v>0.5</v>
      </c>
      <c r="F7536">
        <v>2185</v>
      </c>
      <c r="G7536">
        <v>624</v>
      </c>
      <c r="H7536">
        <v>1873</v>
      </c>
      <c r="I7536">
        <v>5746</v>
      </c>
    </row>
    <row r="7537" spans="1:9">
      <c r="A7537" s="2">
        <v>2017</v>
      </c>
      <c r="B7537">
        <v>96</v>
      </c>
      <c r="C7537">
        <v>0.35798999999999997</v>
      </c>
      <c r="D7537">
        <v>0.30364000000000002</v>
      </c>
      <c r="E7537">
        <v>0.5</v>
      </c>
      <c r="F7537">
        <v>1561</v>
      </c>
      <c r="G7537">
        <v>474</v>
      </c>
      <c r="H7537">
        <v>1324</v>
      </c>
      <c r="I7537">
        <v>3873</v>
      </c>
    </row>
    <row r="7538" spans="1:9">
      <c r="A7538" s="2">
        <v>2017</v>
      </c>
      <c r="B7538">
        <v>97</v>
      </c>
      <c r="C7538">
        <v>0.38340000000000002</v>
      </c>
      <c r="D7538">
        <v>0.32173000000000002</v>
      </c>
      <c r="E7538">
        <v>0.5</v>
      </c>
      <c r="F7538">
        <v>1087</v>
      </c>
      <c r="G7538">
        <v>350</v>
      </c>
      <c r="H7538">
        <v>912</v>
      </c>
      <c r="I7538">
        <v>2549</v>
      </c>
    </row>
    <row r="7539" spans="1:9">
      <c r="A7539" s="2">
        <v>2017</v>
      </c>
      <c r="B7539">
        <v>98</v>
      </c>
      <c r="C7539">
        <v>0.40947</v>
      </c>
      <c r="D7539">
        <v>0.33989000000000003</v>
      </c>
      <c r="E7539">
        <v>0.5</v>
      </c>
      <c r="F7539">
        <v>737</v>
      </c>
      <c r="G7539">
        <v>251</v>
      </c>
      <c r="H7539">
        <v>612</v>
      </c>
      <c r="I7539">
        <v>1637</v>
      </c>
    </row>
    <row r="7540" spans="1:9">
      <c r="A7540" s="2">
        <v>2017</v>
      </c>
      <c r="B7540">
        <v>99</v>
      </c>
      <c r="C7540">
        <v>0.43606</v>
      </c>
      <c r="D7540">
        <v>0.35799999999999998</v>
      </c>
      <c r="E7540">
        <v>0.5</v>
      </c>
      <c r="F7540">
        <v>487</v>
      </c>
      <c r="G7540">
        <v>174</v>
      </c>
      <c r="H7540">
        <v>400</v>
      </c>
      <c r="I7540">
        <v>1025</v>
      </c>
    </row>
    <row r="7541" spans="1:9">
      <c r="A7541" s="2">
        <v>2017</v>
      </c>
      <c r="B7541">
        <v>100</v>
      </c>
      <c r="C7541">
        <v>0.46301999999999999</v>
      </c>
      <c r="D7541">
        <v>0.37597999999999998</v>
      </c>
      <c r="E7541">
        <v>0.5</v>
      </c>
      <c r="F7541">
        <v>312</v>
      </c>
      <c r="G7541">
        <v>117</v>
      </c>
      <c r="H7541">
        <v>254</v>
      </c>
      <c r="I7541">
        <v>625</v>
      </c>
    </row>
    <row r="7542" spans="1:9">
      <c r="A7542" s="2">
        <v>2017</v>
      </c>
      <c r="B7542">
        <v>101</v>
      </c>
      <c r="C7542">
        <v>0.49019000000000001</v>
      </c>
      <c r="D7542">
        <v>0.39369999999999999</v>
      </c>
      <c r="E7542">
        <v>0.5</v>
      </c>
      <c r="F7542">
        <v>195</v>
      </c>
      <c r="G7542">
        <v>77</v>
      </c>
      <c r="H7542">
        <v>157</v>
      </c>
      <c r="I7542">
        <v>372</v>
      </c>
    </row>
    <row r="7543" spans="1:9">
      <c r="A7543" s="2">
        <v>2017</v>
      </c>
      <c r="B7543">
        <v>102</v>
      </c>
      <c r="C7543">
        <v>0.51742999999999995</v>
      </c>
      <c r="D7543">
        <v>0.41108</v>
      </c>
      <c r="E7543">
        <v>0.5</v>
      </c>
      <c r="F7543">
        <v>118</v>
      </c>
      <c r="G7543">
        <v>49</v>
      </c>
      <c r="H7543">
        <v>94</v>
      </c>
      <c r="I7543">
        <v>215</v>
      </c>
    </row>
    <row r="7544" spans="1:9">
      <c r="A7544" s="2">
        <v>2017</v>
      </c>
      <c r="B7544">
        <v>103</v>
      </c>
      <c r="C7544">
        <v>0.54456000000000004</v>
      </c>
      <c r="D7544">
        <v>0.42802000000000001</v>
      </c>
      <c r="E7544">
        <v>0.5</v>
      </c>
      <c r="F7544">
        <v>70</v>
      </c>
      <c r="G7544">
        <v>30</v>
      </c>
      <c r="H7544">
        <v>55</v>
      </c>
      <c r="I7544">
        <v>121</v>
      </c>
    </row>
    <row r="7545" spans="1:9">
      <c r="A7545" s="2">
        <v>2017</v>
      </c>
      <c r="B7545">
        <v>104</v>
      </c>
      <c r="C7545">
        <v>0.57142999999999999</v>
      </c>
      <c r="D7545">
        <v>0.44445000000000001</v>
      </c>
      <c r="E7545">
        <v>0.5</v>
      </c>
      <c r="F7545">
        <v>40</v>
      </c>
      <c r="G7545">
        <v>18</v>
      </c>
      <c r="H7545">
        <v>31</v>
      </c>
      <c r="I7545">
        <v>66</v>
      </c>
    </row>
    <row r="7546" spans="1:9">
      <c r="A7546" s="2">
        <v>2017</v>
      </c>
      <c r="B7546">
        <v>105</v>
      </c>
      <c r="C7546">
        <v>0.59789000000000003</v>
      </c>
      <c r="D7546">
        <v>0.46028999999999998</v>
      </c>
      <c r="E7546">
        <v>0.5</v>
      </c>
      <c r="F7546">
        <v>22</v>
      </c>
      <c r="G7546">
        <v>10</v>
      </c>
      <c r="H7546">
        <v>17</v>
      </c>
      <c r="I7546">
        <v>35</v>
      </c>
    </row>
    <row r="7547" spans="1:9">
      <c r="A7547" s="2">
        <v>2017</v>
      </c>
      <c r="B7547">
        <v>106</v>
      </c>
      <c r="C7547">
        <v>0.62378</v>
      </c>
      <c r="D7547">
        <v>0.47548000000000001</v>
      </c>
      <c r="E7547">
        <v>0.5</v>
      </c>
      <c r="F7547">
        <v>12</v>
      </c>
      <c r="G7547">
        <v>6</v>
      </c>
      <c r="H7547">
        <v>9</v>
      </c>
      <c r="I7547">
        <v>18</v>
      </c>
    </row>
    <row r="7548" spans="1:9">
      <c r="A7548" s="2">
        <v>2017</v>
      </c>
      <c r="B7548">
        <v>107</v>
      </c>
      <c r="C7548">
        <v>0.64898999999999996</v>
      </c>
      <c r="D7548">
        <v>0.48998999999999998</v>
      </c>
      <c r="E7548">
        <v>0.5</v>
      </c>
      <c r="F7548">
        <v>6</v>
      </c>
      <c r="G7548">
        <v>3</v>
      </c>
      <c r="H7548">
        <v>5</v>
      </c>
      <c r="I7548">
        <v>9</v>
      </c>
    </row>
    <row r="7549" spans="1:9">
      <c r="A7549" s="2">
        <v>2017</v>
      </c>
      <c r="B7549">
        <v>108</v>
      </c>
      <c r="C7549">
        <v>0.6734</v>
      </c>
      <c r="D7549">
        <v>0.50378000000000001</v>
      </c>
      <c r="E7549">
        <v>0.5</v>
      </c>
      <c r="F7549">
        <v>3</v>
      </c>
      <c r="G7549">
        <v>2</v>
      </c>
      <c r="H7549">
        <v>2</v>
      </c>
      <c r="I7549">
        <v>5</v>
      </c>
    </row>
    <row r="7550" spans="1:9">
      <c r="A7550" s="2">
        <v>2017</v>
      </c>
      <c r="B7550">
        <v>109</v>
      </c>
      <c r="C7550">
        <v>0.69689999999999996</v>
      </c>
      <c r="D7550">
        <v>0.51680999999999999</v>
      </c>
      <c r="E7550">
        <v>0.5</v>
      </c>
      <c r="F7550">
        <v>2</v>
      </c>
      <c r="G7550">
        <v>1</v>
      </c>
      <c r="H7550">
        <v>1</v>
      </c>
      <c r="I7550">
        <v>2</v>
      </c>
    </row>
    <row r="7551" spans="1:9">
      <c r="A7551" s="2">
        <v>2017</v>
      </c>
      <c r="B7551" t="s">
        <v>26</v>
      </c>
      <c r="C7551">
        <v>0.71940999999999999</v>
      </c>
      <c r="D7551">
        <v>1</v>
      </c>
      <c r="E7551">
        <v>1.39</v>
      </c>
      <c r="F7551">
        <v>1</v>
      </c>
      <c r="G7551">
        <v>1</v>
      </c>
      <c r="H7551">
        <v>1</v>
      </c>
      <c r="I7551">
        <v>1</v>
      </c>
    </row>
    <row r="7552" spans="1:9">
      <c r="A7552" s="2">
        <v>2018</v>
      </c>
      <c r="B7552">
        <v>0</v>
      </c>
      <c r="C7552">
        <v>3.31E-3</v>
      </c>
      <c r="D7552">
        <v>3.3E-3</v>
      </c>
      <c r="E7552">
        <v>0.14000000000000001</v>
      </c>
      <c r="F7552">
        <v>100000</v>
      </c>
      <c r="G7552">
        <v>330</v>
      </c>
      <c r="H7552">
        <v>99717</v>
      </c>
      <c r="I7552">
        <v>7271751</v>
      </c>
    </row>
    <row r="7553" spans="1:9">
      <c r="A7553" s="2">
        <v>2018</v>
      </c>
      <c r="B7553">
        <v>1</v>
      </c>
      <c r="C7553">
        <v>2.9E-4</v>
      </c>
      <c r="D7553">
        <v>2.9E-4</v>
      </c>
      <c r="E7553">
        <v>0.5</v>
      </c>
      <c r="F7553">
        <v>99670</v>
      </c>
      <c r="G7553">
        <v>29</v>
      </c>
      <c r="H7553">
        <v>99655</v>
      </c>
      <c r="I7553">
        <v>7172035</v>
      </c>
    </row>
    <row r="7554" spans="1:9">
      <c r="A7554" s="2">
        <v>2018</v>
      </c>
      <c r="B7554">
        <v>2</v>
      </c>
      <c r="C7554">
        <v>3.1E-4</v>
      </c>
      <c r="D7554">
        <v>3.1E-4</v>
      </c>
      <c r="E7554">
        <v>0.5</v>
      </c>
      <c r="F7554">
        <v>99641</v>
      </c>
      <c r="G7554">
        <v>31</v>
      </c>
      <c r="H7554">
        <v>99625</v>
      </c>
      <c r="I7554">
        <v>7072379</v>
      </c>
    </row>
    <row r="7555" spans="1:9">
      <c r="A7555" s="2">
        <v>2018</v>
      </c>
      <c r="B7555">
        <v>3</v>
      </c>
      <c r="C7555">
        <v>1E-4</v>
      </c>
      <c r="D7555">
        <v>1E-4</v>
      </c>
      <c r="E7555">
        <v>0.5</v>
      </c>
      <c r="F7555">
        <v>99610</v>
      </c>
      <c r="G7555">
        <v>10</v>
      </c>
      <c r="H7555">
        <v>99605</v>
      </c>
      <c r="I7555">
        <v>6972754</v>
      </c>
    </row>
    <row r="7556" spans="1:9">
      <c r="A7556" s="2">
        <v>2018</v>
      </c>
      <c r="B7556">
        <v>4</v>
      </c>
      <c r="C7556">
        <v>1.9000000000000001E-4</v>
      </c>
      <c r="D7556">
        <v>1.9000000000000001E-4</v>
      </c>
      <c r="E7556">
        <v>0.5</v>
      </c>
      <c r="F7556">
        <v>99599</v>
      </c>
      <c r="G7556">
        <v>19</v>
      </c>
      <c r="H7556">
        <v>99590</v>
      </c>
      <c r="I7556">
        <v>6873149</v>
      </c>
    </row>
    <row r="7557" spans="1:9">
      <c r="A7557" s="2">
        <v>2018</v>
      </c>
      <c r="B7557">
        <v>5</v>
      </c>
      <c r="C7557">
        <v>4.0000000000000003E-5</v>
      </c>
      <c r="D7557">
        <v>4.0000000000000003E-5</v>
      </c>
      <c r="E7557">
        <v>0.5</v>
      </c>
      <c r="F7557">
        <v>99580</v>
      </c>
      <c r="G7557">
        <v>4</v>
      </c>
      <c r="H7557">
        <v>99578</v>
      </c>
      <c r="I7557">
        <v>6773559</v>
      </c>
    </row>
    <row r="7558" spans="1:9">
      <c r="A7558" s="2">
        <v>2018</v>
      </c>
      <c r="B7558">
        <v>6</v>
      </c>
      <c r="C7558">
        <v>4.0000000000000003E-5</v>
      </c>
      <c r="D7558">
        <v>4.0000000000000003E-5</v>
      </c>
      <c r="E7558">
        <v>0.5</v>
      </c>
      <c r="F7558">
        <v>99576</v>
      </c>
      <c r="G7558">
        <v>4</v>
      </c>
      <c r="H7558">
        <v>99574</v>
      </c>
      <c r="I7558">
        <v>6673981</v>
      </c>
    </row>
    <row r="7559" spans="1:9">
      <c r="A7559" s="2">
        <v>2018</v>
      </c>
      <c r="B7559">
        <v>7</v>
      </c>
      <c r="C7559">
        <v>4.0000000000000003E-5</v>
      </c>
      <c r="D7559">
        <v>4.0000000000000003E-5</v>
      </c>
      <c r="E7559">
        <v>0.5</v>
      </c>
      <c r="F7559">
        <v>99572</v>
      </c>
      <c r="G7559">
        <v>4</v>
      </c>
      <c r="H7559">
        <v>99570</v>
      </c>
      <c r="I7559">
        <v>6574407</v>
      </c>
    </row>
    <row r="7560" spans="1:9">
      <c r="A7560" s="2">
        <v>2018</v>
      </c>
      <c r="B7560">
        <v>8</v>
      </c>
      <c r="C7560">
        <v>4.0000000000000003E-5</v>
      </c>
      <c r="D7560">
        <v>4.0000000000000003E-5</v>
      </c>
      <c r="E7560">
        <v>0.5</v>
      </c>
      <c r="F7560">
        <v>99568</v>
      </c>
      <c r="G7560">
        <v>4</v>
      </c>
      <c r="H7560">
        <v>99565</v>
      </c>
      <c r="I7560">
        <v>6474837</v>
      </c>
    </row>
    <row r="7561" spans="1:9">
      <c r="A7561" s="2">
        <v>2018</v>
      </c>
      <c r="B7561">
        <v>9</v>
      </c>
      <c r="C7561">
        <v>1.3999999999999999E-4</v>
      </c>
      <c r="D7561">
        <v>1.3999999999999999E-4</v>
      </c>
      <c r="E7561">
        <v>0.5</v>
      </c>
      <c r="F7561">
        <v>99563</v>
      </c>
      <c r="G7561">
        <v>14</v>
      </c>
      <c r="H7561">
        <v>99557</v>
      </c>
      <c r="I7561">
        <v>6375272</v>
      </c>
    </row>
    <row r="7562" spans="1:9">
      <c r="A7562" s="2">
        <v>2018</v>
      </c>
      <c r="B7562">
        <v>10</v>
      </c>
      <c r="C7562">
        <v>6.0000000000000002E-5</v>
      </c>
      <c r="D7562">
        <v>6.0000000000000002E-5</v>
      </c>
      <c r="E7562">
        <v>0.5</v>
      </c>
      <c r="F7562">
        <v>99550</v>
      </c>
      <c r="G7562">
        <v>6</v>
      </c>
      <c r="H7562">
        <v>99547</v>
      </c>
      <c r="I7562">
        <v>6275715</v>
      </c>
    </row>
    <row r="7563" spans="1:9">
      <c r="A7563" s="2">
        <v>2018</v>
      </c>
      <c r="B7563">
        <v>11</v>
      </c>
      <c r="C7563">
        <v>8.0000000000000007E-5</v>
      </c>
      <c r="D7563">
        <v>8.0000000000000007E-5</v>
      </c>
      <c r="E7563">
        <v>0.5</v>
      </c>
      <c r="F7563">
        <v>99544</v>
      </c>
      <c r="G7563">
        <v>8</v>
      </c>
      <c r="H7563">
        <v>99540</v>
      </c>
      <c r="I7563">
        <v>6176169</v>
      </c>
    </row>
    <row r="7564" spans="1:9">
      <c r="A7564" s="2">
        <v>2018</v>
      </c>
      <c r="B7564">
        <v>12</v>
      </c>
      <c r="C7564">
        <v>1E-4</v>
      </c>
      <c r="D7564">
        <v>1E-4</v>
      </c>
      <c r="E7564">
        <v>0.5</v>
      </c>
      <c r="F7564">
        <v>99536</v>
      </c>
      <c r="G7564">
        <v>10</v>
      </c>
      <c r="H7564">
        <v>99531</v>
      </c>
      <c r="I7564">
        <v>6076629</v>
      </c>
    </row>
    <row r="7565" spans="1:9">
      <c r="A7565" s="2">
        <v>2018</v>
      </c>
      <c r="B7565">
        <v>13</v>
      </c>
      <c r="C7565">
        <v>8.0000000000000007E-5</v>
      </c>
      <c r="D7565">
        <v>8.0000000000000007E-5</v>
      </c>
      <c r="E7565">
        <v>0.5</v>
      </c>
      <c r="F7565">
        <v>99526</v>
      </c>
      <c r="G7565">
        <v>8</v>
      </c>
      <c r="H7565">
        <v>99522</v>
      </c>
      <c r="I7565">
        <v>5977097</v>
      </c>
    </row>
    <row r="7566" spans="1:9">
      <c r="A7566" s="2">
        <v>2018</v>
      </c>
      <c r="B7566">
        <v>14</v>
      </c>
      <c r="C7566">
        <v>1.9000000000000001E-4</v>
      </c>
      <c r="D7566">
        <v>1.9000000000000001E-4</v>
      </c>
      <c r="E7566">
        <v>0.5</v>
      </c>
      <c r="F7566">
        <v>99518</v>
      </c>
      <c r="G7566">
        <v>19</v>
      </c>
      <c r="H7566">
        <v>99509</v>
      </c>
      <c r="I7566">
        <v>5877575</v>
      </c>
    </row>
    <row r="7567" spans="1:9">
      <c r="A7567" s="2">
        <v>2018</v>
      </c>
      <c r="B7567">
        <v>15</v>
      </c>
      <c r="C7567">
        <v>1.3999999999999999E-4</v>
      </c>
      <c r="D7567">
        <v>1.3999999999999999E-4</v>
      </c>
      <c r="E7567">
        <v>0.5</v>
      </c>
      <c r="F7567">
        <v>99500</v>
      </c>
      <c r="G7567">
        <v>14</v>
      </c>
      <c r="H7567">
        <v>99493</v>
      </c>
      <c r="I7567">
        <v>5778066</v>
      </c>
    </row>
    <row r="7568" spans="1:9">
      <c r="A7568" s="2">
        <v>2018</v>
      </c>
      <c r="B7568">
        <v>16</v>
      </c>
      <c r="C7568">
        <v>2.7999999999999998E-4</v>
      </c>
      <c r="D7568">
        <v>2.7999999999999998E-4</v>
      </c>
      <c r="E7568">
        <v>0.5</v>
      </c>
      <c r="F7568">
        <v>99486</v>
      </c>
      <c r="G7568">
        <v>28</v>
      </c>
      <c r="H7568">
        <v>99472</v>
      </c>
      <c r="I7568">
        <v>5678573</v>
      </c>
    </row>
    <row r="7569" spans="1:9">
      <c r="A7569" s="2">
        <v>2018</v>
      </c>
      <c r="B7569">
        <v>17</v>
      </c>
      <c r="C7569">
        <v>3.1E-4</v>
      </c>
      <c r="D7569">
        <v>3.1E-4</v>
      </c>
      <c r="E7569">
        <v>0.5</v>
      </c>
      <c r="F7569">
        <v>99458</v>
      </c>
      <c r="G7569">
        <v>31</v>
      </c>
      <c r="H7569">
        <v>99442</v>
      </c>
      <c r="I7569">
        <v>5579101</v>
      </c>
    </row>
    <row r="7570" spans="1:9">
      <c r="A7570" s="2">
        <v>2018</v>
      </c>
      <c r="B7570">
        <v>18</v>
      </c>
      <c r="C7570">
        <v>4.6000000000000001E-4</v>
      </c>
      <c r="D7570">
        <v>4.6000000000000001E-4</v>
      </c>
      <c r="E7570">
        <v>0.5</v>
      </c>
      <c r="F7570">
        <v>99426</v>
      </c>
      <c r="G7570">
        <v>45</v>
      </c>
      <c r="H7570">
        <v>99404</v>
      </c>
      <c r="I7570">
        <v>5479659</v>
      </c>
    </row>
    <row r="7571" spans="1:9">
      <c r="A7571" s="2">
        <v>2018</v>
      </c>
      <c r="B7571">
        <v>19</v>
      </c>
      <c r="C7571">
        <v>6.0999999999999997E-4</v>
      </c>
      <c r="D7571">
        <v>6.0999999999999997E-4</v>
      </c>
      <c r="E7571">
        <v>0.5</v>
      </c>
      <c r="F7571">
        <v>99381</v>
      </c>
      <c r="G7571">
        <v>61</v>
      </c>
      <c r="H7571">
        <v>99351</v>
      </c>
      <c r="I7571">
        <v>5380256</v>
      </c>
    </row>
    <row r="7572" spans="1:9">
      <c r="A7572" s="2">
        <v>2018</v>
      </c>
      <c r="B7572">
        <v>20</v>
      </c>
      <c r="C7572">
        <v>5.6999999999999998E-4</v>
      </c>
      <c r="D7572">
        <v>5.6999999999999998E-4</v>
      </c>
      <c r="E7572">
        <v>0.5</v>
      </c>
      <c r="F7572">
        <v>99320</v>
      </c>
      <c r="G7572">
        <v>56</v>
      </c>
      <c r="H7572">
        <v>99292</v>
      </c>
      <c r="I7572">
        <v>5280905</v>
      </c>
    </row>
    <row r="7573" spans="1:9">
      <c r="A7573" s="2">
        <v>2018</v>
      </c>
      <c r="B7573">
        <v>21</v>
      </c>
      <c r="C7573">
        <v>4.8000000000000001E-4</v>
      </c>
      <c r="D7573">
        <v>4.8000000000000001E-4</v>
      </c>
      <c r="E7573">
        <v>0.5</v>
      </c>
      <c r="F7573">
        <v>99264</v>
      </c>
      <c r="G7573">
        <v>48</v>
      </c>
      <c r="H7573">
        <v>99240</v>
      </c>
      <c r="I7573">
        <v>5181613</v>
      </c>
    </row>
    <row r="7574" spans="1:9">
      <c r="A7574" s="2">
        <v>2018</v>
      </c>
      <c r="B7574">
        <v>22</v>
      </c>
      <c r="C7574">
        <v>4.6000000000000001E-4</v>
      </c>
      <c r="D7574">
        <v>4.6000000000000001E-4</v>
      </c>
      <c r="E7574">
        <v>0.5</v>
      </c>
      <c r="F7574">
        <v>99216</v>
      </c>
      <c r="G7574">
        <v>46</v>
      </c>
      <c r="H7574">
        <v>99193</v>
      </c>
      <c r="I7574">
        <v>5082373</v>
      </c>
    </row>
    <row r="7575" spans="1:9">
      <c r="A7575" s="2">
        <v>2018</v>
      </c>
      <c r="B7575">
        <v>23</v>
      </c>
      <c r="C7575">
        <v>6.0999999999999997E-4</v>
      </c>
      <c r="D7575">
        <v>6.0999999999999997E-4</v>
      </c>
      <c r="E7575">
        <v>0.5</v>
      </c>
      <c r="F7575">
        <v>99170</v>
      </c>
      <c r="G7575">
        <v>60</v>
      </c>
      <c r="H7575">
        <v>99140</v>
      </c>
      <c r="I7575">
        <v>4983180</v>
      </c>
    </row>
    <row r="7576" spans="1:9">
      <c r="A7576" s="2">
        <v>2018</v>
      </c>
      <c r="B7576">
        <v>24</v>
      </c>
      <c r="C7576">
        <v>6.2E-4</v>
      </c>
      <c r="D7576">
        <v>6.2E-4</v>
      </c>
      <c r="E7576">
        <v>0.5</v>
      </c>
      <c r="F7576">
        <v>99110</v>
      </c>
      <c r="G7576">
        <v>61</v>
      </c>
      <c r="H7576">
        <v>99080</v>
      </c>
      <c r="I7576">
        <v>4884039</v>
      </c>
    </row>
    <row r="7577" spans="1:9">
      <c r="A7577" s="2">
        <v>2018</v>
      </c>
      <c r="B7577">
        <v>25</v>
      </c>
      <c r="C7577">
        <v>5.6999999999999998E-4</v>
      </c>
      <c r="D7577">
        <v>5.6999999999999998E-4</v>
      </c>
      <c r="E7577">
        <v>0.5</v>
      </c>
      <c r="F7577">
        <v>99049</v>
      </c>
      <c r="G7577">
        <v>56</v>
      </c>
      <c r="H7577">
        <v>99021</v>
      </c>
      <c r="I7577">
        <v>4784960</v>
      </c>
    </row>
    <row r="7578" spans="1:9">
      <c r="A7578" s="2">
        <v>2018</v>
      </c>
      <c r="B7578">
        <v>26</v>
      </c>
      <c r="C7578">
        <v>6.7000000000000002E-4</v>
      </c>
      <c r="D7578">
        <v>6.7000000000000002E-4</v>
      </c>
      <c r="E7578">
        <v>0.5</v>
      </c>
      <c r="F7578">
        <v>98993</v>
      </c>
      <c r="G7578">
        <v>66</v>
      </c>
      <c r="H7578">
        <v>98960</v>
      </c>
      <c r="I7578">
        <v>4685939</v>
      </c>
    </row>
    <row r="7579" spans="1:9">
      <c r="A7579" s="2">
        <v>2018</v>
      </c>
      <c r="B7579">
        <v>27</v>
      </c>
      <c r="C7579">
        <v>5.5999999999999995E-4</v>
      </c>
      <c r="D7579">
        <v>5.5999999999999995E-4</v>
      </c>
      <c r="E7579">
        <v>0.5</v>
      </c>
      <c r="F7579">
        <v>98927</v>
      </c>
      <c r="G7579">
        <v>55</v>
      </c>
      <c r="H7579">
        <v>98899</v>
      </c>
      <c r="I7579">
        <v>4586979</v>
      </c>
    </row>
    <row r="7580" spans="1:9">
      <c r="A7580" s="2">
        <v>2018</v>
      </c>
      <c r="B7580">
        <v>28</v>
      </c>
      <c r="C7580">
        <v>8.1999999999999998E-4</v>
      </c>
      <c r="D7580">
        <v>8.1999999999999998E-4</v>
      </c>
      <c r="E7580">
        <v>0.5</v>
      </c>
      <c r="F7580">
        <v>98872</v>
      </c>
      <c r="G7580">
        <v>81</v>
      </c>
      <c r="H7580">
        <v>98831</v>
      </c>
      <c r="I7580">
        <v>4488079</v>
      </c>
    </row>
    <row r="7581" spans="1:9">
      <c r="A7581" s="2">
        <v>2018</v>
      </c>
      <c r="B7581">
        <v>29</v>
      </c>
      <c r="C7581">
        <v>8.1999999999999998E-4</v>
      </c>
      <c r="D7581">
        <v>8.1999999999999998E-4</v>
      </c>
      <c r="E7581">
        <v>0.5</v>
      </c>
      <c r="F7581">
        <v>98791</v>
      </c>
      <c r="G7581">
        <v>81</v>
      </c>
      <c r="H7581">
        <v>98750</v>
      </c>
      <c r="I7581">
        <v>4389248</v>
      </c>
    </row>
    <row r="7582" spans="1:9">
      <c r="A7582" s="2">
        <v>2018</v>
      </c>
      <c r="B7582">
        <v>30</v>
      </c>
      <c r="C7582">
        <v>8.4999999999999995E-4</v>
      </c>
      <c r="D7582">
        <v>8.4999999999999995E-4</v>
      </c>
      <c r="E7582">
        <v>0.5</v>
      </c>
      <c r="F7582">
        <v>98710</v>
      </c>
      <c r="G7582">
        <v>84</v>
      </c>
      <c r="H7582">
        <v>98668</v>
      </c>
      <c r="I7582">
        <v>4290498</v>
      </c>
    </row>
    <row r="7583" spans="1:9">
      <c r="A7583" s="2">
        <v>2018</v>
      </c>
      <c r="B7583">
        <v>31</v>
      </c>
      <c r="C7583">
        <v>1.1100000000000001E-3</v>
      </c>
      <c r="D7583">
        <v>1.1100000000000001E-3</v>
      </c>
      <c r="E7583">
        <v>0.5</v>
      </c>
      <c r="F7583">
        <v>98626</v>
      </c>
      <c r="G7583">
        <v>110</v>
      </c>
      <c r="H7583">
        <v>98571</v>
      </c>
      <c r="I7583">
        <v>4191830</v>
      </c>
    </row>
    <row r="7584" spans="1:9">
      <c r="A7584" s="2">
        <v>2018</v>
      </c>
      <c r="B7584">
        <v>32</v>
      </c>
      <c r="C7584">
        <v>9.7000000000000005E-4</v>
      </c>
      <c r="D7584">
        <v>9.7000000000000005E-4</v>
      </c>
      <c r="E7584">
        <v>0.5</v>
      </c>
      <c r="F7584">
        <v>98516</v>
      </c>
      <c r="G7584">
        <v>96</v>
      </c>
      <c r="H7584">
        <v>98468</v>
      </c>
      <c r="I7584">
        <v>4093259</v>
      </c>
    </row>
    <row r="7585" spans="1:9">
      <c r="A7585" s="2">
        <v>2018</v>
      </c>
      <c r="B7585">
        <v>33</v>
      </c>
      <c r="C7585">
        <v>1.16E-3</v>
      </c>
      <c r="D7585">
        <v>1.16E-3</v>
      </c>
      <c r="E7585">
        <v>0.5</v>
      </c>
      <c r="F7585">
        <v>98420</v>
      </c>
      <c r="G7585">
        <v>114</v>
      </c>
      <c r="H7585">
        <v>98363</v>
      </c>
      <c r="I7585">
        <v>3994791</v>
      </c>
    </row>
    <row r="7586" spans="1:9">
      <c r="A7586" s="2">
        <v>2018</v>
      </c>
      <c r="B7586">
        <v>34</v>
      </c>
      <c r="C7586">
        <v>1.0200000000000001E-3</v>
      </c>
      <c r="D7586">
        <v>1.0200000000000001E-3</v>
      </c>
      <c r="E7586">
        <v>0.5</v>
      </c>
      <c r="F7586">
        <v>98306</v>
      </c>
      <c r="G7586">
        <v>100</v>
      </c>
      <c r="H7586">
        <v>98256</v>
      </c>
      <c r="I7586">
        <v>3896428</v>
      </c>
    </row>
    <row r="7587" spans="1:9">
      <c r="A7587" s="2">
        <v>2018</v>
      </c>
      <c r="B7587">
        <v>35</v>
      </c>
      <c r="C7587">
        <v>1.2199999999999999E-3</v>
      </c>
      <c r="D7587">
        <v>1.2199999999999999E-3</v>
      </c>
      <c r="E7587">
        <v>0.5</v>
      </c>
      <c r="F7587">
        <v>98206</v>
      </c>
      <c r="G7587">
        <v>120</v>
      </c>
      <c r="H7587">
        <v>98146</v>
      </c>
      <c r="I7587">
        <v>3798172</v>
      </c>
    </row>
    <row r="7588" spans="1:9">
      <c r="A7588" s="2">
        <v>2018</v>
      </c>
      <c r="B7588">
        <v>36</v>
      </c>
      <c r="C7588">
        <v>1.1999999999999999E-3</v>
      </c>
      <c r="D7588">
        <v>1.1999999999999999E-3</v>
      </c>
      <c r="E7588">
        <v>0.5</v>
      </c>
      <c r="F7588">
        <v>98086</v>
      </c>
      <c r="G7588">
        <v>118</v>
      </c>
      <c r="H7588">
        <v>98027</v>
      </c>
      <c r="I7588">
        <v>3700026</v>
      </c>
    </row>
    <row r="7589" spans="1:9">
      <c r="A7589" s="2">
        <v>2018</v>
      </c>
      <c r="B7589">
        <v>37</v>
      </c>
      <c r="C7589">
        <v>1.39E-3</v>
      </c>
      <c r="D7589">
        <v>1.39E-3</v>
      </c>
      <c r="E7589">
        <v>0.5</v>
      </c>
      <c r="F7589">
        <v>97968</v>
      </c>
      <c r="G7589">
        <v>136</v>
      </c>
      <c r="H7589">
        <v>97900</v>
      </c>
      <c r="I7589">
        <v>3601999</v>
      </c>
    </row>
    <row r="7590" spans="1:9">
      <c r="A7590" s="2">
        <v>2018</v>
      </c>
      <c r="B7590">
        <v>38</v>
      </c>
      <c r="C7590">
        <v>1.4499999999999999E-3</v>
      </c>
      <c r="D7590">
        <v>1.4499999999999999E-3</v>
      </c>
      <c r="E7590">
        <v>0.5</v>
      </c>
      <c r="F7590">
        <v>97832</v>
      </c>
      <c r="G7590">
        <v>141</v>
      </c>
      <c r="H7590">
        <v>97762</v>
      </c>
      <c r="I7590">
        <v>3504099</v>
      </c>
    </row>
    <row r="7591" spans="1:9">
      <c r="A7591" s="2">
        <v>2018</v>
      </c>
      <c r="B7591">
        <v>39</v>
      </c>
      <c r="C7591">
        <v>1.66E-3</v>
      </c>
      <c r="D7591">
        <v>1.66E-3</v>
      </c>
      <c r="E7591">
        <v>0.5</v>
      </c>
      <c r="F7591">
        <v>97691</v>
      </c>
      <c r="G7591">
        <v>162</v>
      </c>
      <c r="H7591">
        <v>97610</v>
      </c>
      <c r="I7591">
        <v>3406337</v>
      </c>
    </row>
    <row r="7592" spans="1:9">
      <c r="A7592" s="2">
        <v>2018</v>
      </c>
      <c r="B7592">
        <v>40</v>
      </c>
      <c r="C7592">
        <v>1.72E-3</v>
      </c>
      <c r="D7592">
        <v>1.72E-3</v>
      </c>
      <c r="E7592">
        <v>0.5</v>
      </c>
      <c r="F7592">
        <v>97529</v>
      </c>
      <c r="G7592">
        <v>167</v>
      </c>
      <c r="H7592">
        <v>97445</v>
      </c>
      <c r="I7592">
        <v>3308727</v>
      </c>
    </row>
    <row r="7593" spans="1:9">
      <c r="A7593" s="2">
        <v>2018</v>
      </c>
      <c r="B7593">
        <v>41</v>
      </c>
      <c r="C7593">
        <v>2.2899999999999999E-3</v>
      </c>
      <c r="D7593">
        <v>2.2899999999999999E-3</v>
      </c>
      <c r="E7593">
        <v>0.5</v>
      </c>
      <c r="F7593">
        <v>97362</v>
      </c>
      <c r="G7593">
        <v>223</v>
      </c>
      <c r="H7593">
        <v>97250</v>
      </c>
      <c r="I7593">
        <v>3211281</v>
      </c>
    </row>
    <row r="7594" spans="1:9">
      <c r="A7594" s="2">
        <v>2018</v>
      </c>
      <c r="B7594">
        <v>42</v>
      </c>
      <c r="C7594">
        <v>2.33E-3</v>
      </c>
      <c r="D7594">
        <v>2.33E-3</v>
      </c>
      <c r="E7594">
        <v>0.5</v>
      </c>
      <c r="F7594">
        <v>97139</v>
      </c>
      <c r="G7594">
        <v>226</v>
      </c>
      <c r="H7594">
        <v>97025</v>
      </c>
      <c r="I7594">
        <v>3114031</v>
      </c>
    </row>
    <row r="7595" spans="1:9">
      <c r="A7595" s="2">
        <v>2018</v>
      </c>
      <c r="B7595">
        <v>43</v>
      </c>
      <c r="C7595">
        <v>2.7200000000000002E-3</v>
      </c>
      <c r="D7595">
        <v>2.7100000000000002E-3</v>
      </c>
      <c r="E7595">
        <v>0.5</v>
      </c>
      <c r="F7595">
        <v>96912</v>
      </c>
      <c r="G7595">
        <v>263</v>
      </c>
      <c r="H7595">
        <v>96781</v>
      </c>
      <c r="I7595">
        <v>3017006</v>
      </c>
    </row>
    <row r="7596" spans="1:9">
      <c r="A7596" s="2">
        <v>2018</v>
      </c>
      <c r="B7596">
        <v>44</v>
      </c>
      <c r="C7596">
        <v>3.0100000000000001E-3</v>
      </c>
      <c r="D7596">
        <v>3.0100000000000001E-3</v>
      </c>
      <c r="E7596">
        <v>0.5</v>
      </c>
      <c r="F7596">
        <v>96649</v>
      </c>
      <c r="G7596">
        <v>290</v>
      </c>
      <c r="H7596">
        <v>96504</v>
      </c>
      <c r="I7596">
        <v>2920225</v>
      </c>
    </row>
    <row r="7597" spans="1:9">
      <c r="A7597" s="2">
        <v>2018</v>
      </c>
      <c r="B7597">
        <v>45</v>
      </c>
      <c r="C7597">
        <v>3.3500000000000001E-3</v>
      </c>
      <c r="D7597">
        <v>3.3400000000000001E-3</v>
      </c>
      <c r="E7597">
        <v>0.5</v>
      </c>
      <c r="F7597">
        <v>96359</v>
      </c>
      <c r="G7597">
        <v>322</v>
      </c>
      <c r="H7597">
        <v>96198</v>
      </c>
      <c r="I7597">
        <v>2823721</v>
      </c>
    </row>
    <row r="7598" spans="1:9">
      <c r="A7598" s="2">
        <v>2018</v>
      </c>
      <c r="B7598">
        <v>46</v>
      </c>
      <c r="C7598">
        <v>3.7100000000000002E-3</v>
      </c>
      <c r="D7598">
        <v>3.7000000000000002E-3</v>
      </c>
      <c r="E7598">
        <v>0.5</v>
      </c>
      <c r="F7598">
        <v>96037</v>
      </c>
      <c r="G7598">
        <v>356</v>
      </c>
      <c r="H7598">
        <v>95859</v>
      </c>
      <c r="I7598">
        <v>2727523</v>
      </c>
    </row>
    <row r="7599" spans="1:9">
      <c r="A7599" s="2">
        <v>2018</v>
      </c>
      <c r="B7599">
        <v>47</v>
      </c>
      <c r="C7599">
        <v>4.4999999999999997E-3</v>
      </c>
      <c r="D7599">
        <v>4.4900000000000001E-3</v>
      </c>
      <c r="E7599">
        <v>0.5</v>
      </c>
      <c r="F7599">
        <v>95681</v>
      </c>
      <c r="G7599">
        <v>430</v>
      </c>
      <c r="H7599">
        <v>95466</v>
      </c>
      <c r="I7599">
        <v>2631664</v>
      </c>
    </row>
    <row r="7600" spans="1:9">
      <c r="A7600" s="2">
        <v>2018</v>
      </c>
      <c r="B7600">
        <v>48</v>
      </c>
      <c r="C7600">
        <v>5.3800000000000002E-3</v>
      </c>
      <c r="D7600">
        <v>5.3699999999999998E-3</v>
      </c>
      <c r="E7600">
        <v>0.5</v>
      </c>
      <c r="F7600">
        <v>95251</v>
      </c>
      <c r="G7600">
        <v>511</v>
      </c>
      <c r="H7600">
        <v>94996</v>
      </c>
      <c r="I7600">
        <v>2536198</v>
      </c>
    </row>
    <row r="7601" spans="1:9">
      <c r="A7601" s="2">
        <v>2018</v>
      </c>
      <c r="B7601">
        <v>49</v>
      </c>
      <c r="C7601">
        <v>5.7999999999999996E-3</v>
      </c>
      <c r="D7601">
        <v>5.79E-3</v>
      </c>
      <c r="E7601">
        <v>0.5</v>
      </c>
      <c r="F7601">
        <v>94740</v>
      </c>
      <c r="G7601">
        <v>548</v>
      </c>
      <c r="H7601">
        <v>94466</v>
      </c>
      <c r="I7601">
        <v>2441203</v>
      </c>
    </row>
    <row r="7602" spans="1:9">
      <c r="A7602" s="2">
        <v>2018</v>
      </c>
      <c r="B7602">
        <v>50</v>
      </c>
      <c r="C7602">
        <v>7.4799999999999997E-3</v>
      </c>
      <c r="D7602">
        <v>7.45E-3</v>
      </c>
      <c r="E7602">
        <v>0.5</v>
      </c>
      <c r="F7602">
        <v>94192</v>
      </c>
      <c r="G7602">
        <v>702</v>
      </c>
      <c r="H7602">
        <v>93841</v>
      </c>
      <c r="I7602">
        <v>2346737</v>
      </c>
    </row>
    <row r="7603" spans="1:9">
      <c r="A7603" s="2">
        <v>2018</v>
      </c>
      <c r="B7603">
        <v>51</v>
      </c>
      <c r="C7603">
        <v>7.7000000000000002E-3</v>
      </c>
      <c r="D7603">
        <v>7.6699999999999997E-3</v>
      </c>
      <c r="E7603">
        <v>0.5</v>
      </c>
      <c r="F7603">
        <v>93490</v>
      </c>
      <c r="G7603">
        <v>717</v>
      </c>
      <c r="H7603">
        <v>93131</v>
      </c>
      <c r="I7603">
        <v>2252896</v>
      </c>
    </row>
    <row r="7604" spans="1:9">
      <c r="A7604" s="2">
        <v>2018</v>
      </c>
      <c r="B7604">
        <v>52</v>
      </c>
      <c r="C7604">
        <v>8.6300000000000005E-3</v>
      </c>
      <c r="D7604">
        <v>8.6E-3</v>
      </c>
      <c r="E7604">
        <v>0.5</v>
      </c>
      <c r="F7604">
        <v>92773</v>
      </c>
      <c r="G7604">
        <v>797</v>
      </c>
      <c r="H7604">
        <v>92374</v>
      </c>
      <c r="I7604">
        <v>2159765</v>
      </c>
    </row>
    <row r="7605" spans="1:9">
      <c r="A7605" s="2">
        <v>2018</v>
      </c>
      <c r="B7605">
        <v>53</v>
      </c>
      <c r="C7605">
        <v>1.076E-2</v>
      </c>
      <c r="D7605">
        <v>1.0699999999999999E-2</v>
      </c>
      <c r="E7605">
        <v>0.5</v>
      </c>
      <c r="F7605">
        <v>91975</v>
      </c>
      <c r="G7605">
        <v>984</v>
      </c>
      <c r="H7605">
        <v>91483</v>
      </c>
      <c r="I7605">
        <v>2067391</v>
      </c>
    </row>
    <row r="7606" spans="1:9">
      <c r="A7606" s="2">
        <v>2018</v>
      </c>
      <c r="B7606">
        <v>54</v>
      </c>
      <c r="C7606">
        <v>1.172E-2</v>
      </c>
      <c r="D7606">
        <v>1.1650000000000001E-2</v>
      </c>
      <c r="E7606">
        <v>0.5</v>
      </c>
      <c r="F7606">
        <v>90991</v>
      </c>
      <c r="G7606">
        <v>1060</v>
      </c>
      <c r="H7606">
        <v>90461</v>
      </c>
      <c r="I7606">
        <v>1975908</v>
      </c>
    </row>
    <row r="7607" spans="1:9">
      <c r="A7607" s="2">
        <v>2018</v>
      </c>
      <c r="B7607">
        <v>55</v>
      </c>
      <c r="C7607">
        <v>1.349E-2</v>
      </c>
      <c r="D7607">
        <v>1.34E-2</v>
      </c>
      <c r="E7607">
        <v>0.5</v>
      </c>
      <c r="F7607">
        <v>89931</v>
      </c>
      <c r="G7607">
        <v>1205</v>
      </c>
      <c r="H7607">
        <v>89329</v>
      </c>
      <c r="I7607">
        <v>1885447</v>
      </c>
    </row>
    <row r="7608" spans="1:9">
      <c r="A7608" s="2">
        <v>2018</v>
      </c>
      <c r="B7608">
        <v>56</v>
      </c>
      <c r="C7608">
        <v>1.4919999999999999E-2</v>
      </c>
      <c r="D7608">
        <v>1.481E-2</v>
      </c>
      <c r="E7608">
        <v>0.5</v>
      </c>
      <c r="F7608">
        <v>88726</v>
      </c>
      <c r="G7608">
        <v>1314</v>
      </c>
      <c r="H7608">
        <v>88069</v>
      </c>
      <c r="I7608">
        <v>1796118</v>
      </c>
    </row>
    <row r="7609" spans="1:9">
      <c r="A7609" s="2">
        <v>2018</v>
      </c>
      <c r="B7609">
        <v>57</v>
      </c>
      <c r="C7609">
        <v>1.6E-2</v>
      </c>
      <c r="D7609">
        <v>1.5869999999999999E-2</v>
      </c>
      <c r="E7609">
        <v>0.5</v>
      </c>
      <c r="F7609">
        <v>87412</v>
      </c>
      <c r="G7609">
        <v>1387</v>
      </c>
      <c r="H7609">
        <v>86718</v>
      </c>
      <c r="I7609">
        <v>1708049</v>
      </c>
    </row>
    <row r="7610" spans="1:9">
      <c r="A7610" s="2">
        <v>2018</v>
      </c>
      <c r="B7610">
        <v>58</v>
      </c>
      <c r="C7610">
        <v>1.738E-2</v>
      </c>
      <c r="D7610">
        <v>1.7229999999999999E-2</v>
      </c>
      <c r="E7610">
        <v>0.5</v>
      </c>
      <c r="F7610">
        <v>86025</v>
      </c>
      <c r="G7610">
        <v>1482</v>
      </c>
      <c r="H7610">
        <v>85283</v>
      </c>
      <c r="I7610">
        <v>1621331</v>
      </c>
    </row>
    <row r="7611" spans="1:9">
      <c r="A7611" s="2">
        <v>2018</v>
      </c>
      <c r="B7611">
        <v>59</v>
      </c>
      <c r="C7611">
        <v>1.95E-2</v>
      </c>
      <c r="D7611">
        <v>1.9310000000000001E-2</v>
      </c>
      <c r="E7611">
        <v>0.5</v>
      </c>
      <c r="F7611">
        <v>84542</v>
      </c>
      <c r="G7611">
        <v>1633</v>
      </c>
      <c r="H7611">
        <v>83726</v>
      </c>
      <c r="I7611">
        <v>1536048</v>
      </c>
    </row>
    <row r="7612" spans="1:9">
      <c r="A7612" s="2">
        <v>2018</v>
      </c>
      <c r="B7612">
        <v>60</v>
      </c>
      <c r="C7612">
        <v>2.085E-2</v>
      </c>
      <c r="D7612">
        <v>2.0639999999999999E-2</v>
      </c>
      <c r="E7612">
        <v>0.5</v>
      </c>
      <c r="F7612">
        <v>82910</v>
      </c>
      <c r="G7612">
        <v>1711</v>
      </c>
      <c r="H7612">
        <v>82054</v>
      </c>
      <c r="I7612">
        <v>1452322</v>
      </c>
    </row>
    <row r="7613" spans="1:9">
      <c r="A7613" s="2">
        <v>2018</v>
      </c>
      <c r="B7613">
        <v>61</v>
      </c>
      <c r="C7613">
        <v>2.3650000000000001E-2</v>
      </c>
      <c r="D7613">
        <v>2.3380000000000001E-2</v>
      </c>
      <c r="E7613">
        <v>0.5</v>
      </c>
      <c r="F7613">
        <v>81199</v>
      </c>
      <c r="G7613">
        <v>1898</v>
      </c>
      <c r="H7613">
        <v>80250</v>
      </c>
      <c r="I7613">
        <v>1370268</v>
      </c>
    </row>
    <row r="7614" spans="1:9">
      <c r="A7614" s="2">
        <v>2018</v>
      </c>
      <c r="B7614">
        <v>62</v>
      </c>
      <c r="C7614">
        <v>2.5270000000000001E-2</v>
      </c>
      <c r="D7614">
        <v>2.495E-2</v>
      </c>
      <c r="E7614">
        <v>0.5</v>
      </c>
      <c r="F7614">
        <v>79300</v>
      </c>
      <c r="G7614">
        <v>1979</v>
      </c>
      <c r="H7614">
        <v>78311</v>
      </c>
      <c r="I7614">
        <v>1290018</v>
      </c>
    </row>
    <row r="7615" spans="1:9">
      <c r="A7615" s="2">
        <v>2018</v>
      </c>
      <c r="B7615">
        <v>63</v>
      </c>
      <c r="C7615">
        <v>2.7130000000000001E-2</v>
      </c>
      <c r="D7615">
        <v>2.6769999999999999E-2</v>
      </c>
      <c r="E7615">
        <v>0.5</v>
      </c>
      <c r="F7615">
        <v>77322</v>
      </c>
      <c r="G7615">
        <v>2070</v>
      </c>
      <c r="H7615">
        <v>76287</v>
      </c>
      <c r="I7615">
        <v>1211707</v>
      </c>
    </row>
    <row r="7616" spans="1:9">
      <c r="A7616" s="2">
        <v>2018</v>
      </c>
      <c r="B7616">
        <v>64</v>
      </c>
      <c r="C7616">
        <v>2.998E-2</v>
      </c>
      <c r="D7616">
        <v>2.9530000000000001E-2</v>
      </c>
      <c r="E7616">
        <v>0.5</v>
      </c>
      <c r="F7616">
        <v>75252</v>
      </c>
      <c r="G7616">
        <v>2222</v>
      </c>
      <c r="H7616">
        <v>74141</v>
      </c>
      <c r="I7616">
        <v>1135420</v>
      </c>
    </row>
    <row r="7617" spans="1:9">
      <c r="A7617" s="2">
        <v>2018</v>
      </c>
      <c r="B7617">
        <v>65</v>
      </c>
      <c r="C7617">
        <v>3.2030000000000003E-2</v>
      </c>
      <c r="D7617">
        <v>3.1530000000000002E-2</v>
      </c>
      <c r="E7617">
        <v>0.5</v>
      </c>
      <c r="F7617">
        <v>73029</v>
      </c>
      <c r="G7617">
        <v>2302</v>
      </c>
      <c r="H7617">
        <v>71878</v>
      </c>
      <c r="I7617">
        <v>1061280</v>
      </c>
    </row>
    <row r="7618" spans="1:9">
      <c r="A7618" s="2">
        <v>2018</v>
      </c>
      <c r="B7618">
        <v>66</v>
      </c>
      <c r="C7618">
        <v>3.1739999999999997E-2</v>
      </c>
      <c r="D7618">
        <v>3.124E-2</v>
      </c>
      <c r="E7618">
        <v>0.5</v>
      </c>
      <c r="F7618">
        <v>70727</v>
      </c>
      <c r="G7618">
        <v>2210</v>
      </c>
      <c r="H7618">
        <v>69622</v>
      </c>
      <c r="I7618">
        <v>989402</v>
      </c>
    </row>
    <row r="7619" spans="1:9">
      <c r="A7619" s="2">
        <v>2018</v>
      </c>
      <c r="B7619">
        <v>67</v>
      </c>
      <c r="C7619">
        <v>3.4430000000000002E-2</v>
      </c>
      <c r="D7619">
        <v>3.3840000000000002E-2</v>
      </c>
      <c r="E7619">
        <v>0.5</v>
      </c>
      <c r="F7619">
        <v>68517</v>
      </c>
      <c r="G7619">
        <v>2319</v>
      </c>
      <c r="H7619">
        <v>67358</v>
      </c>
      <c r="I7619">
        <v>919779</v>
      </c>
    </row>
    <row r="7620" spans="1:9">
      <c r="A7620" s="2">
        <v>2018</v>
      </c>
      <c r="B7620">
        <v>68</v>
      </c>
      <c r="C7620">
        <v>3.6080000000000001E-2</v>
      </c>
      <c r="D7620">
        <v>3.5439999999999999E-2</v>
      </c>
      <c r="E7620">
        <v>0.5</v>
      </c>
      <c r="F7620">
        <v>66199</v>
      </c>
      <c r="G7620">
        <v>2346</v>
      </c>
      <c r="H7620">
        <v>65026</v>
      </c>
      <c r="I7620">
        <v>852421</v>
      </c>
    </row>
    <row r="7621" spans="1:9">
      <c r="A7621" s="2">
        <v>2018</v>
      </c>
      <c r="B7621">
        <v>69</v>
      </c>
      <c r="C7621">
        <v>3.8519999999999999E-2</v>
      </c>
      <c r="D7621">
        <v>3.7789999999999997E-2</v>
      </c>
      <c r="E7621">
        <v>0.5</v>
      </c>
      <c r="F7621">
        <v>63852</v>
      </c>
      <c r="G7621">
        <v>2413</v>
      </c>
      <c r="H7621">
        <v>62646</v>
      </c>
      <c r="I7621">
        <v>787396</v>
      </c>
    </row>
    <row r="7622" spans="1:9">
      <c r="A7622" s="2">
        <v>2018</v>
      </c>
      <c r="B7622">
        <v>70</v>
      </c>
      <c r="C7622">
        <v>4.011E-2</v>
      </c>
      <c r="D7622">
        <v>3.9320000000000001E-2</v>
      </c>
      <c r="E7622">
        <v>0.5</v>
      </c>
      <c r="F7622">
        <v>61439</v>
      </c>
      <c r="G7622">
        <v>2416</v>
      </c>
      <c r="H7622">
        <v>60231</v>
      </c>
      <c r="I7622">
        <v>724750</v>
      </c>
    </row>
    <row r="7623" spans="1:9">
      <c r="A7623" s="2">
        <v>2018</v>
      </c>
      <c r="B7623">
        <v>71</v>
      </c>
      <c r="C7623">
        <v>4.3360000000000003E-2</v>
      </c>
      <c r="D7623">
        <v>4.2439999999999999E-2</v>
      </c>
      <c r="E7623">
        <v>0.5</v>
      </c>
      <c r="F7623">
        <v>59024</v>
      </c>
      <c r="G7623">
        <v>2505</v>
      </c>
      <c r="H7623">
        <v>57771</v>
      </c>
      <c r="I7623">
        <v>664519</v>
      </c>
    </row>
    <row r="7624" spans="1:9">
      <c r="A7624" s="2">
        <v>2018</v>
      </c>
      <c r="B7624">
        <v>72</v>
      </c>
      <c r="C7624">
        <v>4.657E-2</v>
      </c>
      <c r="D7624">
        <v>4.5510000000000002E-2</v>
      </c>
      <c r="E7624">
        <v>0.5</v>
      </c>
      <c r="F7624">
        <v>56519</v>
      </c>
      <c r="G7624">
        <v>2572</v>
      </c>
      <c r="H7624">
        <v>55233</v>
      </c>
      <c r="I7624">
        <v>606747</v>
      </c>
    </row>
    <row r="7625" spans="1:9">
      <c r="A7625" s="2">
        <v>2018</v>
      </c>
      <c r="B7625">
        <v>73</v>
      </c>
      <c r="C7625">
        <v>4.9399999999999999E-2</v>
      </c>
      <c r="D7625">
        <v>4.8210000000000003E-2</v>
      </c>
      <c r="E7625">
        <v>0.5</v>
      </c>
      <c r="F7625">
        <v>53946</v>
      </c>
      <c r="G7625">
        <v>2601</v>
      </c>
      <c r="H7625">
        <v>52646</v>
      </c>
      <c r="I7625">
        <v>551515</v>
      </c>
    </row>
    <row r="7626" spans="1:9">
      <c r="A7626" s="2">
        <v>2018</v>
      </c>
      <c r="B7626">
        <v>74</v>
      </c>
      <c r="C7626">
        <v>5.4899999999999997E-2</v>
      </c>
      <c r="D7626">
        <v>5.3429999999999998E-2</v>
      </c>
      <c r="E7626">
        <v>0.5</v>
      </c>
      <c r="F7626">
        <v>51346</v>
      </c>
      <c r="G7626">
        <v>2744</v>
      </c>
      <c r="H7626">
        <v>49974</v>
      </c>
      <c r="I7626">
        <v>498869</v>
      </c>
    </row>
    <row r="7627" spans="1:9">
      <c r="A7627" s="2">
        <v>2018</v>
      </c>
      <c r="B7627">
        <v>75</v>
      </c>
      <c r="C7627">
        <v>5.5449999999999999E-2</v>
      </c>
      <c r="D7627">
        <v>5.3949999999999998E-2</v>
      </c>
      <c r="E7627">
        <v>0.5</v>
      </c>
      <c r="F7627">
        <v>48602</v>
      </c>
      <c r="G7627">
        <v>2622</v>
      </c>
      <c r="H7627">
        <v>47291</v>
      </c>
      <c r="I7627">
        <v>448895</v>
      </c>
    </row>
    <row r="7628" spans="1:9">
      <c r="A7628" s="2">
        <v>2018</v>
      </c>
      <c r="B7628">
        <v>76</v>
      </c>
      <c r="C7628">
        <v>6.1199999999999997E-2</v>
      </c>
      <c r="D7628">
        <v>5.9380000000000002E-2</v>
      </c>
      <c r="E7628">
        <v>0.5</v>
      </c>
      <c r="F7628">
        <v>45980</v>
      </c>
      <c r="G7628">
        <v>2731</v>
      </c>
      <c r="H7628">
        <v>44615</v>
      </c>
      <c r="I7628">
        <v>401604</v>
      </c>
    </row>
    <row r="7629" spans="1:9">
      <c r="A7629" s="2">
        <v>2018</v>
      </c>
      <c r="B7629">
        <v>77</v>
      </c>
      <c r="C7629">
        <v>6.6659999999999997E-2</v>
      </c>
      <c r="D7629">
        <v>6.4509999999999998E-2</v>
      </c>
      <c r="E7629">
        <v>0.5</v>
      </c>
      <c r="F7629">
        <v>43249</v>
      </c>
      <c r="G7629">
        <v>2790</v>
      </c>
      <c r="H7629">
        <v>41855</v>
      </c>
      <c r="I7629">
        <v>356989</v>
      </c>
    </row>
    <row r="7630" spans="1:9">
      <c r="A7630" s="2">
        <v>2018</v>
      </c>
      <c r="B7630">
        <v>78</v>
      </c>
      <c r="C7630">
        <v>7.492E-2</v>
      </c>
      <c r="D7630">
        <v>7.2220000000000006E-2</v>
      </c>
      <c r="E7630">
        <v>0.5</v>
      </c>
      <c r="F7630">
        <v>40460</v>
      </c>
      <c r="G7630">
        <v>2922</v>
      </c>
      <c r="H7630">
        <v>38999</v>
      </c>
      <c r="I7630">
        <v>315135</v>
      </c>
    </row>
    <row r="7631" spans="1:9">
      <c r="A7631" s="2">
        <v>2018</v>
      </c>
      <c r="B7631">
        <v>79</v>
      </c>
      <c r="C7631">
        <v>7.85E-2</v>
      </c>
      <c r="D7631">
        <v>7.553E-2</v>
      </c>
      <c r="E7631">
        <v>0.5</v>
      </c>
      <c r="F7631">
        <v>37538</v>
      </c>
      <c r="G7631">
        <v>2835</v>
      </c>
      <c r="H7631">
        <v>36120</v>
      </c>
      <c r="I7631">
        <v>276136</v>
      </c>
    </row>
    <row r="7632" spans="1:9">
      <c r="A7632" s="2">
        <v>2018</v>
      </c>
      <c r="B7632">
        <v>80</v>
      </c>
      <c r="C7632">
        <v>9.1679999999999998E-2</v>
      </c>
      <c r="D7632">
        <v>8.7660000000000002E-2</v>
      </c>
      <c r="E7632">
        <v>0.5</v>
      </c>
      <c r="F7632">
        <v>34702</v>
      </c>
      <c r="G7632">
        <v>3042</v>
      </c>
      <c r="H7632">
        <v>33181</v>
      </c>
      <c r="I7632">
        <v>240016</v>
      </c>
    </row>
    <row r="7633" spans="1:9">
      <c r="A7633" s="2">
        <v>2018</v>
      </c>
      <c r="B7633">
        <v>81</v>
      </c>
      <c r="C7633">
        <v>9.8129999999999995E-2</v>
      </c>
      <c r="D7633">
        <v>9.3539999999999998E-2</v>
      </c>
      <c r="E7633">
        <v>0.5</v>
      </c>
      <c r="F7633">
        <v>31660</v>
      </c>
      <c r="G7633">
        <v>2962</v>
      </c>
      <c r="H7633">
        <v>30179</v>
      </c>
      <c r="I7633">
        <v>206835</v>
      </c>
    </row>
    <row r="7634" spans="1:9">
      <c r="A7634" s="2">
        <v>2018</v>
      </c>
      <c r="B7634">
        <v>82</v>
      </c>
      <c r="C7634">
        <v>0.10931</v>
      </c>
      <c r="D7634">
        <v>0.10365000000000001</v>
      </c>
      <c r="E7634">
        <v>0.5</v>
      </c>
      <c r="F7634">
        <v>28699</v>
      </c>
      <c r="G7634">
        <v>2975</v>
      </c>
      <c r="H7634">
        <v>27211</v>
      </c>
      <c r="I7634">
        <v>176655</v>
      </c>
    </row>
    <row r="7635" spans="1:9">
      <c r="A7635" s="2">
        <v>2018</v>
      </c>
      <c r="B7635">
        <v>83</v>
      </c>
      <c r="C7635">
        <v>0.11698</v>
      </c>
      <c r="D7635">
        <v>0.11051999999999999</v>
      </c>
      <c r="E7635">
        <v>0.5</v>
      </c>
      <c r="F7635">
        <v>25724</v>
      </c>
      <c r="G7635">
        <v>2843</v>
      </c>
      <c r="H7635">
        <v>24303</v>
      </c>
      <c r="I7635">
        <v>149444</v>
      </c>
    </row>
    <row r="7636" spans="1:9">
      <c r="A7636" s="2">
        <v>2018</v>
      </c>
      <c r="B7636">
        <v>84</v>
      </c>
      <c r="C7636">
        <v>0.12605</v>
      </c>
      <c r="D7636">
        <v>0.11856999999999999</v>
      </c>
      <c r="E7636">
        <v>0.5</v>
      </c>
      <c r="F7636">
        <v>22881</v>
      </c>
      <c r="G7636">
        <v>2713</v>
      </c>
      <c r="H7636">
        <v>21525</v>
      </c>
      <c r="I7636">
        <v>125141</v>
      </c>
    </row>
    <row r="7637" spans="1:9">
      <c r="A7637" s="2">
        <v>2018</v>
      </c>
      <c r="B7637">
        <v>85</v>
      </c>
      <c r="C7637">
        <v>0.13938</v>
      </c>
      <c r="D7637">
        <v>0.1303</v>
      </c>
      <c r="E7637">
        <v>0.5</v>
      </c>
      <c r="F7637">
        <v>20168</v>
      </c>
      <c r="G7637">
        <v>2628</v>
      </c>
      <c r="H7637">
        <v>18854</v>
      </c>
      <c r="I7637">
        <v>103617</v>
      </c>
    </row>
    <row r="7638" spans="1:9">
      <c r="A7638" s="2">
        <v>2018</v>
      </c>
      <c r="B7638">
        <v>86</v>
      </c>
      <c r="C7638">
        <v>0.14802999999999999</v>
      </c>
      <c r="D7638">
        <v>0.13783000000000001</v>
      </c>
      <c r="E7638">
        <v>0.5</v>
      </c>
      <c r="F7638">
        <v>17540</v>
      </c>
      <c r="G7638">
        <v>2418</v>
      </c>
      <c r="H7638">
        <v>16331</v>
      </c>
      <c r="I7638">
        <v>84763</v>
      </c>
    </row>
    <row r="7639" spans="1:9">
      <c r="A7639" s="2">
        <v>2018</v>
      </c>
      <c r="B7639">
        <v>87</v>
      </c>
      <c r="C7639">
        <v>0.16353000000000001</v>
      </c>
      <c r="D7639">
        <v>0.15117</v>
      </c>
      <c r="E7639">
        <v>0.5</v>
      </c>
      <c r="F7639">
        <v>15123</v>
      </c>
      <c r="G7639">
        <v>2286</v>
      </c>
      <c r="H7639">
        <v>13980</v>
      </c>
      <c r="I7639">
        <v>68431</v>
      </c>
    </row>
    <row r="7640" spans="1:9">
      <c r="A7640" s="2">
        <v>2018</v>
      </c>
      <c r="B7640">
        <v>88</v>
      </c>
      <c r="C7640">
        <v>0.17344000000000001</v>
      </c>
      <c r="D7640">
        <v>0.15959999999999999</v>
      </c>
      <c r="E7640">
        <v>0.5</v>
      </c>
      <c r="F7640">
        <v>12836</v>
      </c>
      <c r="G7640">
        <v>2049</v>
      </c>
      <c r="H7640">
        <v>11812</v>
      </c>
      <c r="I7640">
        <v>54452</v>
      </c>
    </row>
    <row r="7641" spans="1:9">
      <c r="A7641" s="2">
        <v>2018</v>
      </c>
      <c r="B7641">
        <v>89</v>
      </c>
      <c r="C7641">
        <v>0.19950000000000001</v>
      </c>
      <c r="D7641">
        <v>0.18140000000000001</v>
      </c>
      <c r="E7641">
        <v>0.5</v>
      </c>
      <c r="F7641">
        <v>10788</v>
      </c>
      <c r="G7641">
        <v>1957</v>
      </c>
      <c r="H7641">
        <v>9809</v>
      </c>
      <c r="I7641">
        <v>42640</v>
      </c>
    </row>
    <row r="7642" spans="1:9">
      <c r="A7642" s="2">
        <v>2018</v>
      </c>
      <c r="B7642">
        <v>90</v>
      </c>
      <c r="C7642">
        <v>0.21271999999999999</v>
      </c>
      <c r="D7642">
        <v>0.19227</v>
      </c>
      <c r="E7642">
        <v>0.5</v>
      </c>
      <c r="F7642">
        <v>8831</v>
      </c>
      <c r="G7642">
        <v>1698</v>
      </c>
      <c r="H7642">
        <v>7982</v>
      </c>
      <c r="I7642">
        <v>32830</v>
      </c>
    </row>
    <row r="7643" spans="1:9">
      <c r="A7643" s="2">
        <v>2018</v>
      </c>
      <c r="B7643">
        <v>91</v>
      </c>
      <c r="C7643">
        <v>0.22314999999999999</v>
      </c>
      <c r="D7643">
        <v>0.20075000000000001</v>
      </c>
      <c r="E7643">
        <v>0.5</v>
      </c>
      <c r="F7643">
        <v>7133</v>
      </c>
      <c r="G7643">
        <v>1432</v>
      </c>
      <c r="H7643">
        <v>6417</v>
      </c>
      <c r="I7643">
        <v>24848</v>
      </c>
    </row>
    <row r="7644" spans="1:9">
      <c r="A7644" s="2">
        <v>2018</v>
      </c>
      <c r="B7644">
        <v>92</v>
      </c>
      <c r="C7644">
        <v>0.2656</v>
      </c>
      <c r="D7644">
        <v>0.23447000000000001</v>
      </c>
      <c r="E7644">
        <v>0.5</v>
      </c>
      <c r="F7644">
        <v>5701</v>
      </c>
      <c r="G7644">
        <v>1337</v>
      </c>
      <c r="H7644">
        <v>5033</v>
      </c>
      <c r="I7644">
        <v>18431</v>
      </c>
    </row>
    <row r="7645" spans="1:9">
      <c r="A7645" s="2">
        <v>2018</v>
      </c>
      <c r="B7645">
        <v>93</v>
      </c>
      <c r="C7645">
        <v>0.28555000000000003</v>
      </c>
      <c r="D7645">
        <v>0.24987000000000001</v>
      </c>
      <c r="E7645">
        <v>0.5</v>
      </c>
      <c r="F7645">
        <v>4364</v>
      </c>
      <c r="G7645">
        <v>1091</v>
      </c>
      <c r="H7645">
        <v>3819</v>
      </c>
      <c r="I7645">
        <v>13399</v>
      </c>
    </row>
    <row r="7646" spans="1:9">
      <c r="A7646" s="2">
        <v>2018</v>
      </c>
      <c r="B7646">
        <v>94</v>
      </c>
      <c r="C7646">
        <v>0.29265000000000002</v>
      </c>
      <c r="D7646">
        <v>0.25530000000000003</v>
      </c>
      <c r="E7646">
        <v>0.5</v>
      </c>
      <c r="F7646">
        <v>3274</v>
      </c>
      <c r="G7646">
        <v>836</v>
      </c>
      <c r="H7646">
        <v>2856</v>
      </c>
      <c r="I7646">
        <v>9580</v>
      </c>
    </row>
    <row r="7647" spans="1:9">
      <c r="A7647" s="2">
        <v>2018</v>
      </c>
      <c r="B7647">
        <v>95</v>
      </c>
      <c r="C7647">
        <v>0.31609999999999999</v>
      </c>
      <c r="D7647">
        <v>0.27295999999999998</v>
      </c>
      <c r="E7647">
        <v>0.5</v>
      </c>
      <c r="F7647">
        <v>2438</v>
      </c>
      <c r="G7647">
        <v>665</v>
      </c>
      <c r="H7647">
        <v>2105</v>
      </c>
      <c r="I7647">
        <v>6724</v>
      </c>
    </row>
    <row r="7648" spans="1:9">
      <c r="A7648" s="2">
        <v>2018</v>
      </c>
      <c r="B7648">
        <v>96</v>
      </c>
      <c r="C7648">
        <v>0.33900000000000002</v>
      </c>
      <c r="D7648">
        <v>0.28987000000000002</v>
      </c>
      <c r="E7648">
        <v>0.5</v>
      </c>
      <c r="F7648">
        <v>1773</v>
      </c>
      <c r="G7648">
        <v>514</v>
      </c>
      <c r="H7648">
        <v>1516</v>
      </c>
      <c r="I7648">
        <v>4618</v>
      </c>
    </row>
    <row r="7649" spans="1:9">
      <c r="A7649" s="2">
        <v>2018</v>
      </c>
      <c r="B7649">
        <v>97</v>
      </c>
      <c r="C7649">
        <v>0.36268</v>
      </c>
      <c r="D7649">
        <v>0.30701000000000001</v>
      </c>
      <c r="E7649">
        <v>0.5</v>
      </c>
      <c r="F7649">
        <v>1259</v>
      </c>
      <c r="G7649">
        <v>386</v>
      </c>
      <c r="H7649">
        <v>1066</v>
      </c>
      <c r="I7649">
        <v>3103</v>
      </c>
    </row>
    <row r="7650" spans="1:9">
      <c r="A7650" s="2">
        <v>2018</v>
      </c>
      <c r="B7650">
        <v>98</v>
      </c>
      <c r="C7650">
        <v>0.38705000000000001</v>
      </c>
      <c r="D7650">
        <v>0.32429000000000002</v>
      </c>
      <c r="E7650">
        <v>0.5</v>
      </c>
      <c r="F7650">
        <v>872</v>
      </c>
      <c r="G7650">
        <v>283</v>
      </c>
      <c r="H7650">
        <v>731</v>
      </c>
      <c r="I7650">
        <v>2037</v>
      </c>
    </row>
    <row r="7651" spans="1:9">
      <c r="A7651" s="2">
        <v>2018</v>
      </c>
      <c r="B7651">
        <v>99</v>
      </c>
      <c r="C7651">
        <v>0.41199999999999998</v>
      </c>
      <c r="D7651">
        <v>0.34161999999999998</v>
      </c>
      <c r="E7651">
        <v>0.5</v>
      </c>
      <c r="F7651">
        <v>589</v>
      </c>
      <c r="G7651">
        <v>201</v>
      </c>
      <c r="H7651">
        <v>489</v>
      </c>
      <c r="I7651">
        <v>1306</v>
      </c>
    </row>
    <row r="7652" spans="1:9">
      <c r="A7652" s="2">
        <v>2018</v>
      </c>
      <c r="B7652">
        <v>100</v>
      </c>
      <c r="C7652">
        <v>0.43740000000000001</v>
      </c>
      <c r="D7652">
        <v>0.35891000000000001</v>
      </c>
      <c r="E7652">
        <v>0.5</v>
      </c>
      <c r="F7652">
        <v>388</v>
      </c>
      <c r="G7652">
        <v>139</v>
      </c>
      <c r="H7652">
        <v>318</v>
      </c>
      <c r="I7652">
        <v>818</v>
      </c>
    </row>
    <row r="7653" spans="1:9">
      <c r="A7653" s="2">
        <v>2018</v>
      </c>
      <c r="B7653">
        <v>101</v>
      </c>
      <c r="C7653">
        <v>0.46314</v>
      </c>
      <c r="D7653">
        <v>0.37606000000000001</v>
      </c>
      <c r="E7653">
        <v>0.5</v>
      </c>
      <c r="F7653">
        <v>249</v>
      </c>
      <c r="G7653">
        <v>94</v>
      </c>
      <c r="H7653">
        <v>202</v>
      </c>
      <c r="I7653">
        <v>499</v>
      </c>
    </row>
    <row r="7654" spans="1:9">
      <c r="A7654" s="2">
        <v>2018</v>
      </c>
      <c r="B7654">
        <v>102</v>
      </c>
      <c r="C7654">
        <v>0.48908000000000001</v>
      </c>
      <c r="D7654">
        <v>0.39298</v>
      </c>
      <c r="E7654">
        <v>0.5</v>
      </c>
      <c r="F7654">
        <v>155</v>
      </c>
      <c r="G7654">
        <v>61</v>
      </c>
      <c r="H7654">
        <v>125</v>
      </c>
      <c r="I7654">
        <v>297</v>
      </c>
    </row>
    <row r="7655" spans="1:9">
      <c r="A7655" s="2">
        <v>2018</v>
      </c>
      <c r="B7655">
        <v>103</v>
      </c>
      <c r="C7655">
        <v>0.51507999999999998</v>
      </c>
      <c r="D7655">
        <v>0.40959000000000001</v>
      </c>
      <c r="E7655">
        <v>0.5</v>
      </c>
      <c r="F7655">
        <v>94</v>
      </c>
      <c r="G7655">
        <v>39</v>
      </c>
      <c r="H7655">
        <v>75</v>
      </c>
      <c r="I7655">
        <v>173</v>
      </c>
    </row>
    <row r="7656" spans="1:9">
      <c r="A7656" s="2">
        <v>2018</v>
      </c>
      <c r="B7656">
        <v>104</v>
      </c>
      <c r="C7656">
        <v>0.54098999999999997</v>
      </c>
      <c r="D7656">
        <v>0.42581000000000002</v>
      </c>
      <c r="E7656">
        <v>0.5</v>
      </c>
      <c r="F7656">
        <v>56</v>
      </c>
      <c r="G7656">
        <v>24</v>
      </c>
      <c r="H7656">
        <v>44</v>
      </c>
      <c r="I7656">
        <v>98</v>
      </c>
    </row>
    <row r="7657" spans="1:9">
      <c r="A7657" s="2">
        <v>2018</v>
      </c>
      <c r="B7657">
        <v>105</v>
      </c>
      <c r="C7657">
        <v>0.56669000000000003</v>
      </c>
      <c r="D7657">
        <v>0.44157000000000002</v>
      </c>
      <c r="E7657">
        <v>0.5</v>
      </c>
      <c r="F7657">
        <v>32</v>
      </c>
      <c r="G7657">
        <v>14</v>
      </c>
      <c r="H7657">
        <v>25</v>
      </c>
      <c r="I7657">
        <v>54</v>
      </c>
    </row>
    <row r="7658" spans="1:9">
      <c r="A7658" s="2">
        <v>2018</v>
      </c>
      <c r="B7658">
        <v>106</v>
      </c>
      <c r="C7658">
        <v>0.59202999999999995</v>
      </c>
      <c r="D7658">
        <v>0.45680999999999999</v>
      </c>
      <c r="E7658">
        <v>0.5</v>
      </c>
      <c r="F7658">
        <v>18</v>
      </c>
      <c r="G7658">
        <v>8</v>
      </c>
      <c r="H7658">
        <v>14</v>
      </c>
      <c r="I7658">
        <v>29</v>
      </c>
    </row>
    <row r="7659" spans="1:9">
      <c r="A7659" s="2">
        <v>2018</v>
      </c>
      <c r="B7659">
        <v>107</v>
      </c>
      <c r="C7659">
        <v>0.61689000000000005</v>
      </c>
      <c r="D7659">
        <v>0.47147</v>
      </c>
      <c r="E7659">
        <v>0.5</v>
      </c>
      <c r="F7659">
        <v>10</v>
      </c>
      <c r="G7659">
        <v>5</v>
      </c>
      <c r="H7659">
        <v>7</v>
      </c>
      <c r="I7659">
        <v>15</v>
      </c>
    </row>
    <row r="7660" spans="1:9">
      <c r="A7660" s="2">
        <v>2018</v>
      </c>
      <c r="B7660">
        <v>108</v>
      </c>
      <c r="C7660">
        <v>0.64115</v>
      </c>
      <c r="D7660">
        <v>0.48551</v>
      </c>
      <c r="E7660">
        <v>0.5</v>
      </c>
      <c r="F7660">
        <v>5</v>
      </c>
      <c r="G7660">
        <v>2</v>
      </c>
      <c r="H7660">
        <v>4</v>
      </c>
      <c r="I7660">
        <v>8</v>
      </c>
    </row>
    <row r="7661" spans="1:9">
      <c r="A7661" s="2">
        <v>2018</v>
      </c>
      <c r="B7661">
        <v>109</v>
      </c>
      <c r="C7661">
        <v>0.66471999999999998</v>
      </c>
      <c r="D7661">
        <v>0.49890000000000001</v>
      </c>
      <c r="E7661">
        <v>0.5</v>
      </c>
      <c r="F7661">
        <v>3</v>
      </c>
      <c r="G7661">
        <v>1</v>
      </c>
      <c r="H7661">
        <v>2</v>
      </c>
      <c r="I7661">
        <v>4</v>
      </c>
    </row>
    <row r="7662" spans="1:9">
      <c r="A7662" s="2">
        <v>2018</v>
      </c>
      <c r="B7662" t="s">
        <v>26</v>
      </c>
      <c r="C7662">
        <v>0.68749000000000005</v>
      </c>
      <c r="D7662">
        <v>1</v>
      </c>
      <c r="E7662">
        <v>1.45</v>
      </c>
      <c r="F7662">
        <v>1</v>
      </c>
      <c r="G7662">
        <v>1</v>
      </c>
      <c r="H7662">
        <v>2</v>
      </c>
      <c r="I7662">
        <v>2</v>
      </c>
    </row>
    <row r="7663" spans="1:9">
      <c r="A7663" s="2">
        <v>2019</v>
      </c>
      <c r="B7663">
        <v>0</v>
      </c>
      <c r="C7663">
        <v>4.0499999999999998E-3</v>
      </c>
      <c r="D7663">
        <v>4.0400000000000002E-3</v>
      </c>
      <c r="E7663">
        <v>0.14000000000000001</v>
      </c>
      <c r="F7663">
        <v>100000</v>
      </c>
      <c r="G7663">
        <v>404</v>
      </c>
      <c r="H7663">
        <v>99653</v>
      </c>
      <c r="I7663">
        <v>7304826</v>
      </c>
    </row>
    <row r="7664" spans="1:9">
      <c r="A7664" s="2">
        <v>2019</v>
      </c>
      <c r="B7664">
        <v>1</v>
      </c>
      <c r="C7664">
        <v>1.7000000000000001E-4</v>
      </c>
      <c r="D7664">
        <v>1.7000000000000001E-4</v>
      </c>
      <c r="E7664">
        <v>0.5</v>
      </c>
      <c r="F7664">
        <v>99596</v>
      </c>
      <c r="G7664">
        <v>17</v>
      </c>
      <c r="H7664">
        <v>99588</v>
      </c>
      <c r="I7664">
        <v>7205172</v>
      </c>
    </row>
    <row r="7665" spans="1:9">
      <c r="A7665" s="2">
        <v>2019</v>
      </c>
      <c r="B7665">
        <v>2</v>
      </c>
      <c r="C7665">
        <v>2.7E-4</v>
      </c>
      <c r="D7665">
        <v>2.7E-4</v>
      </c>
      <c r="E7665">
        <v>0.5</v>
      </c>
      <c r="F7665">
        <v>99580</v>
      </c>
      <c r="G7665">
        <v>26</v>
      </c>
      <c r="H7665">
        <v>99566</v>
      </c>
      <c r="I7665">
        <v>7105584</v>
      </c>
    </row>
    <row r="7666" spans="1:9">
      <c r="A7666" s="2">
        <v>2019</v>
      </c>
      <c r="B7666">
        <v>3</v>
      </c>
      <c r="C7666">
        <v>1.9000000000000001E-4</v>
      </c>
      <c r="D7666">
        <v>1.9000000000000001E-4</v>
      </c>
      <c r="E7666">
        <v>0.5</v>
      </c>
      <c r="F7666">
        <v>99553</v>
      </c>
      <c r="G7666">
        <v>19</v>
      </c>
      <c r="H7666">
        <v>99544</v>
      </c>
      <c r="I7666">
        <v>7006018</v>
      </c>
    </row>
    <row r="7667" spans="1:9">
      <c r="A7667" s="2">
        <v>2019</v>
      </c>
      <c r="B7667">
        <v>4</v>
      </c>
      <c r="C7667">
        <v>2.3000000000000001E-4</v>
      </c>
      <c r="D7667">
        <v>2.3000000000000001E-4</v>
      </c>
      <c r="E7667">
        <v>0.5</v>
      </c>
      <c r="F7667">
        <v>99535</v>
      </c>
      <c r="G7667">
        <v>23</v>
      </c>
      <c r="H7667">
        <v>99523</v>
      </c>
      <c r="I7667">
        <v>6906474</v>
      </c>
    </row>
    <row r="7668" spans="1:9">
      <c r="A7668" s="2">
        <v>2019</v>
      </c>
      <c r="B7668">
        <v>5</v>
      </c>
      <c r="C7668">
        <v>1.9000000000000001E-4</v>
      </c>
      <c r="D7668">
        <v>1.9000000000000001E-4</v>
      </c>
      <c r="E7668">
        <v>0.5</v>
      </c>
      <c r="F7668">
        <v>99512</v>
      </c>
      <c r="G7668">
        <v>19</v>
      </c>
      <c r="H7668">
        <v>99502</v>
      </c>
      <c r="I7668">
        <v>6806951</v>
      </c>
    </row>
    <row r="7669" spans="1:9">
      <c r="A7669" s="2">
        <v>2019</v>
      </c>
      <c r="B7669">
        <v>6</v>
      </c>
      <c r="C7669">
        <v>6.0000000000000002E-5</v>
      </c>
      <c r="D7669">
        <v>6.0000000000000002E-5</v>
      </c>
      <c r="E7669">
        <v>0.5</v>
      </c>
      <c r="F7669">
        <v>99493</v>
      </c>
      <c r="G7669">
        <v>6</v>
      </c>
      <c r="H7669">
        <v>99490</v>
      </c>
      <c r="I7669">
        <v>6707448</v>
      </c>
    </row>
    <row r="7670" spans="1:9">
      <c r="A7670" s="2">
        <v>2019</v>
      </c>
      <c r="B7670">
        <v>7</v>
      </c>
      <c r="C7670">
        <v>1.4999999999999999E-4</v>
      </c>
      <c r="D7670">
        <v>1.4999999999999999E-4</v>
      </c>
      <c r="E7670">
        <v>0.5</v>
      </c>
      <c r="F7670">
        <v>99486</v>
      </c>
      <c r="G7670">
        <v>15</v>
      </c>
      <c r="H7670">
        <v>99479</v>
      </c>
      <c r="I7670">
        <v>6607959</v>
      </c>
    </row>
    <row r="7671" spans="1:9">
      <c r="A7671" s="2">
        <v>2019</v>
      </c>
      <c r="B7671">
        <v>8</v>
      </c>
      <c r="C7671">
        <v>1.4999999999999999E-4</v>
      </c>
      <c r="D7671">
        <v>1.4999999999999999E-4</v>
      </c>
      <c r="E7671">
        <v>0.5</v>
      </c>
      <c r="F7671">
        <v>99472</v>
      </c>
      <c r="G7671">
        <v>15</v>
      </c>
      <c r="H7671">
        <v>99464</v>
      </c>
      <c r="I7671">
        <v>6508480</v>
      </c>
    </row>
    <row r="7672" spans="1:9">
      <c r="A7672" s="2">
        <v>2019</v>
      </c>
      <c r="B7672">
        <v>9</v>
      </c>
      <c r="C7672">
        <v>1.9000000000000001E-4</v>
      </c>
      <c r="D7672">
        <v>1.9000000000000001E-4</v>
      </c>
      <c r="E7672">
        <v>0.5</v>
      </c>
      <c r="F7672">
        <v>99456</v>
      </c>
      <c r="G7672">
        <v>18</v>
      </c>
      <c r="H7672">
        <v>99447</v>
      </c>
      <c r="I7672">
        <v>6409016</v>
      </c>
    </row>
    <row r="7673" spans="1:9">
      <c r="A7673" s="2">
        <v>2019</v>
      </c>
      <c r="B7673">
        <v>10</v>
      </c>
      <c r="C7673">
        <v>1.2E-4</v>
      </c>
      <c r="D7673">
        <v>1.2E-4</v>
      </c>
      <c r="E7673">
        <v>0.5</v>
      </c>
      <c r="F7673">
        <v>99438</v>
      </c>
      <c r="G7673">
        <v>12</v>
      </c>
      <c r="H7673">
        <v>99432</v>
      </c>
      <c r="I7673">
        <v>6309569</v>
      </c>
    </row>
    <row r="7674" spans="1:9">
      <c r="A7674" s="2">
        <v>2019</v>
      </c>
      <c r="B7674">
        <v>11</v>
      </c>
      <c r="C7674">
        <v>8.0000000000000007E-5</v>
      </c>
      <c r="D7674">
        <v>8.0000000000000007E-5</v>
      </c>
      <c r="E7674">
        <v>0.5</v>
      </c>
      <c r="F7674">
        <v>99426</v>
      </c>
      <c r="G7674">
        <v>8</v>
      </c>
      <c r="H7674">
        <v>99422</v>
      </c>
      <c r="I7674">
        <v>6210137</v>
      </c>
    </row>
    <row r="7675" spans="1:9">
      <c r="A7675" s="2">
        <v>2019</v>
      </c>
      <c r="B7675">
        <v>12</v>
      </c>
      <c r="C7675">
        <v>8.0000000000000007E-5</v>
      </c>
      <c r="D7675">
        <v>8.0000000000000007E-5</v>
      </c>
      <c r="E7675">
        <v>0.5</v>
      </c>
      <c r="F7675">
        <v>99418</v>
      </c>
      <c r="G7675">
        <v>8</v>
      </c>
      <c r="H7675">
        <v>99414</v>
      </c>
      <c r="I7675">
        <v>6110715</v>
      </c>
    </row>
    <row r="7676" spans="1:9">
      <c r="A7676" s="2">
        <v>2019</v>
      </c>
      <c r="B7676">
        <v>13</v>
      </c>
      <c r="C7676">
        <v>3.1E-4</v>
      </c>
      <c r="D7676">
        <v>3.1E-4</v>
      </c>
      <c r="E7676">
        <v>0.5</v>
      </c>
      <c r="F7676">
        <v>99410</v>
      </c>
      <c r="G7676">
        <v>31</v>
      </c>
      <c r="H7676">
        <v>99395</v>
      </c>
      <c r="I7676">
        <v>6011300</v>
      </c>
    </row>
    <row r="7677" spans="1:9">
      <c r="A7677" s="2">
        <v>2019</v>
      </c>
      <c r="B7677">
        <v>14</v>
      </c>
      <c r="C7677">
        <v>1.6000000000000001E-4</v>
      </c>
      <c r="D7677">
        <v>1.6000000000000001E-4</v>
      </c>
      <c r="E7677">
        <v>0.5</v>
      </c>
      <c r="F7677">
        <v>99380</v>
      </c>
      <c r="G7677">
        <v>16</v>
      </c>
      <c r="H7677">
        <v>99372</v>
      </c>
      <c r="I7677">
        <v>5911905</v>
      </c>
    </row>
    <row r="7678" spans="1:9">
      <c r="A7678" s="2">
        <v>2019</v>
      </c>
      <c r="B7678">
        <v>15</v>
      </c>
      <c r="C7678">
        <v>1.2E-4</v>
      </c>
      <c r="D7678">
        <v>1.2E-4</v>
      </c>
      <c r="E7678">
        <v>0.5</v>
      </c>
      <c r="F7678">
        <v>99364</v>
      </c>
      <c r="G7678">
        <v>12</v>
      </c>
      <c r="H7678">
        <v>99358</v>
      </c>
      <c r="I7678">
        <v>5812534</v>
      </c>
    </row>
    <row r="7679" spans="1:9">
      <c r="A7679" s="2">
        <v>2019</v>
      </c>
      <c r="B7679">
        <v>16</v>
      </c>
      <c r="C7679">
        <v>3.6000000000000002E-4</v>
      </c>
      <c r="D7679">
        <v>3.6000000000000002E-4</v>
      </c>
      <c r="E7679">
        <v>0.5</v>
      </c>
      <c r="F7679">
        <v>99351</v>
      </c>
      <c r="G7679">
        <v>36</v>
      </c>
      <c r="H7679">
        <v>99333</v>
      </c>
      <c r="I7679">
        <v>5713176</v>
      </c>
    </row>
    <row r="7680" spans="1:9">
      <c r="A7680" s="2">
        <v>2019</v>
      </c>
      <c r="B7680">
        <v>17</v>
      </c>
      <c r="C7680">
        <v>2.5999999999999998E-4</v>
      </c>
      <c r="D7680">
        <v>2.5999999999999998E-4</v>
      </c>
      <c r="E7680">
        <v>0.5</v>
      </c>
      <c r="F7680">
        <v>99315</v>
      </c>
      <c r="G7680">
        <v>26</v>
      </c>
      <c r="H7680">
        <v>99302</v>
      </c>
      <c r="I7680">
        <v>5613843</v>
      </c>
    </row>
    <row r="7681" spans="1:9">
      <c r="A7681" s="2">
        <v>2019</v>
      </c>
      <c r="B7681">
        <v>18</v>
      </c>
      <c r="C7681">
        <v>3.8999999999999999E-4</v>
      </c>
      <c r="D7681">
        <v>3.8999999999999999E-4</v>
      </c>
      <c r="E7681">
        <v>0.5</v>
      </c>
      <c r="F7681">
        <v>99289</v>
      </c>
      <c r="G7681">
        <v>39</v>
      </c>
      <c r="H7681">
        <v>99270</v>
      </c>
      <c r="I7681">
        <v>5514541</v>
      </c>
    </row>
    <row r="7682" spans="1:9">
      <c r="A7682" s="2">
        <v>2019</v>
      </c>
      <c r="B7682">
        <v>19</v>
      </c>
      <c r="C7682">
        <v>4.4999999999999999E-4</v>
      </c>
      <c r="D7682">
        <v>4.4999999999999999E-4</v>
      </c>
      <c r="E7682">
        <v>0.5</v>
      </c>
      <c r="F7682">
        <v>99251</v>
      </c>
      <c r="G7682">
        <v>45</v>
      </c>
      <c r="H7682">
        <v>99228</v>
      </c>
      <c r="I7682">
        <v>5415271</v>
      </c>
    </row>
    <row r="7683" spans="1:9">
      <c r="A7683" s="2">
        <v>2019</v>
      </c>
      <c r="B7683">
        <v>20</v>
      </c>
      <c r="C7683">
        <v>4.4999999999999999E-4</v>
      </c>
      <c r="D7683">
        <v>4.4999999999999999E-4</v>
      </c>
      <c r="E7683">
        <v>0.5</v>
      </c>
      <c r="F7683">
        <v>99206</v>
      </c>
      <c r="G7683">
        <v>45</v>
      </c>
      <c r="H7683">
        <v>99184</v>
      </c>
      <c r="I7683">
        <v>5316042</v>
      </c>
    </row>
    <row r="7684" spans="1:9">
      <c r="A7684" s="2">
        <v>2019</v>
      </c>
      <c r="B7684">
        <v>21</v>
      </c>
      <c r="C7684">
        <v>6.4000000000000005E-4</v>
      </c>
      <c r="D7684">
        <v>6.4000000000000005E-4</v>
      </c>
      <c r="E7684">
        <v>0.5</v>
      </c>
      <c r="F7684">
        <v>99162</v>
      </c>
      <c r="G7684">
        <v>63</v>
      </c>
      <c r="H7684">
        <v>99130</v>
      </c>
      <c r="I7684">
        <v>5216858</v>
      </c>
    </row>
    <row r="7685" spans="1:9">
      <c r="A7685" s="2">
        <v>2019</v>
      </c>
      <c r="B7685">
        <v>22</v>
      </c>
      <c r="C7685">
        <v>4.8000000000000001E-4</v>
      </c>
      <c r="D7685">
        <v>4.8000000000000001E-4</v>
      </c>
      <c r="E7685">
        <v>0.5</v>
      </c>
      <c r="F7685">
        <v>99099</v>
      </c>
      <c r="G7685">
        <v>47</v>
      </c>
      <c r="H7685">
        <v>99075</v>
      </c>
      <c r="I7685">
        <v>5117728</v>
      </c>
    </row>
    <row r="7686" spans="1:9">
      <c r="A7686" s="2">
        <v>2019</v>
      </c>
      <c r="B7686">
        <v>23</v>
      </c>
      <c r="C7686">
        <v>5.1000000000000004E-4</v>
      </c>
      <c r="D7686">
        <v>5.1000000000000004E-4</v>
      </c>
      <c r="E7686">
        <v>0.5</v>
      </c>
      <c r="F7686">
        <v>99051</v>
      </c>
      <c r="G7686">
        <v>50</v>
      </c>
      <c r="H7686">
        <v>99026</v>
      </c>
      <c r="I7686">
        <v>5018653</v>
      </c>
    </row>
    <row r="7687" spans="1:9">
      <c r="A7687" s="2">
        <v>2019</v>
      </c>
      <c r="B7687">
        <v>24</v>
      </c>
      <c r="C7687">
        <v>6.9999999999999999E-4</v>
      </c>
      <c r="D7687">
        <v>6.9999999999999999E-4</v>
      </c>
      <c r="E7687">
        <v>0.5</v>
      </c>
      <c r="F7687">
        <v>99001</v>
      </c>
      <c r="G7687">
        <v>69</v>
      </c>
      <c r="H7687">
        <v>98966</v>
      </c>
      <c r="I7687">
        <v>4919627</v>
      </c>
    </row>
    <row r="7688" spans="1:9">
      <c r="A7688" s="2">
        <v>2019</v>
      </c>
      <c r="B7688">
        <v>25</v>
      </c>
      <c r="C7688">
        <v>7.3999999999999999E-4</v>
      </c>
      <c r="D7688">
        <v>7.3999999999999999E-4</v>
      </c>
      <c r="E7688">
        <v>0.5</v>
      </c>
      <c r="F7688">
        <v>98932</v>
      </c>
      <c r="G7688">
        <v>73</v>
      </c>
      <c r="H7688">
        <v>98895</v>
      </c>
      <c r="I7688">
        <v>4820661</v>
      </c>
    </row>
    <row r="7689" spans="1:9">
      <c r="A7689" s="2">
        <v>2019</v>
      </c>
      <c r="B7689">
        <v>26</v>
      </c>
      <c r="C7689">
        <v>6.7000000000000002E-4</v>
      </c>
      <c r="D7689">
        <v>6.7000000000000002E-4</v>
      </c>
      <c r="E7689">
        <v>0.5</v>
      </c>
      <c r="F7689">
        <v>98859</v>
      </c>
      <c r="G7689">
        <v>66</v>
      </c>
      <c r="H7689">
        <v>98826</v>
      </c>
      <c r="I7689">
        <v>4721765</v>
      </c>
    </row>
    <row r="7690" spans="1:9">
      <c r="A7690" s="2">
        <v>2019</v>
      </c>
      <c r="B7690">
        <v>27</v>
      </c>
      <c r="C7690">
        <v>7.3999999999999999E-4</v>
      </c>
      <c r="D7690">
        <v>7.3999999999999999E-4</v>
      </c>
      <c r="E7690">
        <v>0.5</v>
      </c>
      <c r="F7690">
        <v>98793</v>
      </c>
      <c r="G7690">
        <v>73</v>
      </c>
      <c r="H7690">
        <v>98756</v>
      </c>
      <c r="I7690">
        <v>4622940</v>
      </c>
    </row>
    <row r="7691" spans="1:9">
      <c r="A7691" s="2">
        <v>2019</v>
      </c>
      <c r="B7691">
        <v>28</v>
      </c>
      <c r="C7691">
        <v>6.9999999999999999E-4</v>
      </c>
      <c r="D7691">
        <v>6.9999999999999999E-4</v>
      </c>
      <c r="E7691">
        <v>0.5</v>
      </c>
      <c r="F7691">
        <v>98720</v>
      </c>
      <c r="G7691">
        <v>69</v>
      </c>
      <c r="H7691">
        <v>98685</v>
      </c>
      <c r="I7691">
        <v>4524183</v>
      </c>
    </row>
    <row r="7692" spans="1:9">
      <c r="A7692" s="2">
        <v>2019</v>
      </c>
      <c r="B7692">
        <v>29</v>
      </c>
      <c r="C7692">
        <v>6.4999999999999997E-4</v>
      </c>
      <c r="D7692">
        <v>6.4999999999999997E-4</v>
      </c>
      <c r="E7692">
        <v>0.5</v>
      </c>
      <c r="F7692">
        <v>98650</v>
      </c>
      <c r="G7692">
        <v>64</v>
      </c>
      <c r="H7692">
        <v>98618</v>
      </c>
      <c r="I7692">
        <v>4425498</v>
      </c>
    </row>
    <row r="7693" spans="1:9">
      <c r="A7693" s="2">
        <v>2019</v>
      </c>
      <c r="B7693">
        <v>30</v>
      </c>
      <c r="C7693">
        <v>7.2999999999999996E-4</v>
      </c>
      <c r="D7693">
        <v>7.2999999999999996E-4</v>
      </c>
      <c r="E7693">
        <v>0.5</v>
      </c>
      <c r="F7693">
        <v>98586</v>
      </c>
      <c r="G7693">
        <v>72</v>
      </c>
      <c r="H7693">
        <v>98550</v>
      </c>
      <c r="I7693">
        <v>4326880</v>
      </c>
    </row>
    <row r="7694" spans="1:9">
      <c r="A7694" s="2">
        <v>2019</v>
      </c>
      <c r="B7694">
        <v>31</v>
      </c>
      <c r="C7694">
        <v>6.7000000000000002E-4</v>
      </c>
      <c r="D7694">
        <v>6.7000000000000002E-4</v>
      </c>
      <c r="E7694">
        <v>0.5</v>
      </c>
      <c r="F7694">
        <v>98514</v>
      </c>
      <c r="G7694">
        <v>66</v>
      </c>
      <c r="H7694">
        <v>98481</v>
      </c>
      <c r="I7694">
        <v>4228330</v>
      </c>
    </row>
    <row r="7695" spans="1:9">
      <c r="A7695" s="2">
        <v>2019</v>
      </c>
      <c r="B7695">
        <v>32</v>
      </c>
      <c r="C7695">
        <v>9.3000000000000005E-4</v>
      </c>
      <c r="D7695">
        <v>9.3000000000000005E-4</v>
      </c>
      <c r="E7695">
        <v>0.5</v>
      </c>
      <c r="F7695">
        <v>98448</v>
      </c>
      <c r="G7695">
        <v>92</v>
      </c>
      <c r="H7695">
        <v>98402</v>
      </c>
      <c r="I7695">
        <v>4129849</v>
      </c>
    </row>
    <row r="7696" spans="1:9">
      <c r="A7696" s="2">
        <v>2019</v>
      </c>
      <c r="B7696">
        <v>33</v>
      </c>
      <c r="C7696">
        <v>9.8999999999999999E-4</v>
      </c>
      <c r="D7696">
        <v>9.8999999999999999E-4</v>
      </c>
      <c r="E7696">
        <v>0.5</v>
      </c>
      <c r="F7696">
        <v>98356</v>
      </c>
      <c r="G7696">
        <v>98</v>
      </c>
      <c r="H7696">
        <v>98307</v>
      </c>
      <c r="I7696">
        <v>4031447</v>
      </c>
    </row>
    <row r="7697" spans="1:9">
      <c r="A7697" s="2">
        <v>2019</v>
      </c>
      <c r="B7697">
        <v>34</v>
      </c>
      <c r="C7697">
        <v>9.1E-4</v>
      </c>
      <c r="D7697">
        <v>9.1E-4</v>
      </c>
      <c r="E7697">
        <v>0.5</v>
      </c>
      <c r="F7697">
        <v>98258</v>
      </c>
      <c r="G7697">
        <v>90</v>
      </c>
      <c r="H7697">
        <v>98213</v>
      </c>
      <c r="I7697">
        <v>3933140</v>
      </c>
    </row>
    <row r="7698" spans="1:9">
      <c r="A7698" s="2">
        <v>2019</v>
      </c>
      <c r="B7698">
        <v>35</v>
      </c>
      <c r="C7698">
        <v>1.34E-3</v>
      </c>
      <c r="D7698">
        <v>1.34E-3</v>
      </c>
      <c r="E7698">
        <v>0.5</v>
      </c>
      <c r="F7698">
        <v>98169</v>
      </c>
      <c r="G7698">
        <v>131</v>
      </c>
      <c r="H7698">
        <v>98103</v>
      </c>
      <c r="I7698">
        <v>3834927</v>
      </c>
    </row>
    <row r="7699" spans="1:9">
      <c r="A7699" s="2">
        <v>2019</v>
      </c>
      <c r="B7699">
        <v>36</v>
      </c>
      <c r="C7699">
        <v>1.5100000000000001E-3</v>
      </c>
      <c r="D7699">
        <v>1.5100000000000001E-3</v>
      </c>
      <c r="E7699">
        <v>0.5</v>
      </c>
      <c r="F7699">
        <v>98037</v>
      </c>
      <c r="G7699">
        <v>148</v>
      </c>
      <c r="H7699">
        <v>97964</v>
      </c>
      <c r="I7699">
        <v>3736824</v>
      </c>
    </row>
    <row r="7700" spans="1:9">
      <c r="A7700" s="2">
        <v>2019</v>
      </c>
      <c r="B7700">
        <v>37</v>
      </c>
      <c r="C7700">
        <v>1.2999999999999999E-3</v>
      </c>
      <c r="D7700">
        <v>1.2999999999999999E-3</v>
      </c>
      <c r="E7700">
        <v>0.5</v>
      </c>
      <c r="F7700">
        <v>97890</v>
      </c>
      <c r="G7700">
        <v>127</v>
      </c>
      <c r="H7700">
        <v>97826</v>
      </c>
      <c r="I7700">
        <v>3638860</v>
      </c>
    </row>
    <row r="7701" spans="1:9">
      <c r="A7701" s="2">
        <v>2019</v>
      </c>
      <c r="B7701">
        <v>38</v>
      </c>
      <c r="C7701">
        <v>1.5200000000000001E-3</v>
      </c>
      <c r="D7701">
        <v>1.5200000000000001E-3</v>
      </c>
      <c r="E7701">
        <v>0.5</v>
      </c>
      <c r="F7701">
        <v>97763</v>
      </c>
      <c r="G7701">
        <v>149</v>
      </c>
      <c r="H7701">
        <v>97689</v>
      </c>
      <c r="I7701">
        <v>3541034</v>
      </c>
    </row>
    <row r="7702" spans="1:9">
      <c r="A7702" s="2">
        <v>2019</v>
      </c>
      <c r="B7702">
        <v>39</v>
      </c>
      <c r="C7702">
        <v>1.31E-3</v>
      </c>
      <c r="D7702">
        <v>1.2999999999999999E-3</v>
      </c>
      <c r="E7702">
        <v>0.5</v>
      </c>
      <c r="F7702">
        <v>97614</v>
      </c>
      <c r="G7702">
        <v>127</v>
      </c>
      <c r="H7702">
        <v>97551</v>
      </c>
      <c r="I7702">
        <v>3443345</v>
      </c>
    </row>
    <row r="7703" spans="1:9">
      <c r="A7703" s="2">
        <v>2019</v>
      </c>
      <c r="B7703">
        <v>40</v>
      </c>
      <c r="C7703">
        <v>1.6900000000000001E-3</v>
      </c>
      <c r="D7703">
        <v>1.6900000000000001E-3</v>
      </c>
      <c r="E7703">
        <v>0.5</v>
      </c>
      <c r="F7703">
        <v>97487</v>
      </c>
      <c r="G7703">
        <v>164</v>
      </c>
      <c r="H7703">
        <v>97405</v>
      </c>
      <c r="I7703">
        <v>3345794</v>
      </c>
    </row>
    <row r="7704" spans="1:9">
      <c r="A7704" s="2">
        <v>2019</v>
      </c>
      <c r="B7704">
        <v>41</v>
      </c>
      <c r="C7704">
        <v>1.89E-3</v>
      </c>
      <c r="D7704">
        <v>1.89E-3</v>
      </c>
      <c r="E7704">
        <v>0.5</v>
      </c>
      <c r="F7704">
        <v>97322</v>
      </c>
      <c r="G7704">
        <v>184</v>
      </c>
      <c r="H7704">
        <v>97231</v>
      </c>
      <c r="I7704">
        <v>3248390</v>
      </c>
    </row>
    <row r="7705" spans="1:9">
      <c r="A7705" s="2">
        <v>2019</v>
      </c>
      <c r="B7705">
        <v>42</v>
      </c>
      <c r="C7705">
        <v>2.3600000000000001E-3</v>
      </c>
      <c r="D7705">
        <v>2.3500000000000001E-3</v>
      </c>
      <c r="E7705">
        <v>0.5</v>
      </c>
      <c r="F7705">
        <v>97139</v>
      </c>
      <c r="G7705">
        <v>229</v>
      </c>
      <c r="H7705">
        <v>97024</v>
      </c>
      <c r="I7705">
        <v>3151159</v>
      </c>
    </row>
    <row r="7706" spans="1:9">
      <c r="A7706" s="2">
        <v>2019</v>
      </c>
      <c r="B7706">
        <v>43</v>
      </c>
      <c r="C7706">
        <v>2.3500000000000001E-3</v>
      </c>
      <c r="D7706">
        <v>2.3500000000000001E-3</v>
      </c>
      <c r="E7706">
        <v>0.5</v>
      </c>
      <c r="F7706">
        <v>96910</v>
      </c>
      <c r="G7706">
        <v>228</v>
      </c>
      <c r="H7706">
        <v>96796</v>
      </c>
      <c r="I7706">
        <v>3054135</v>
      </c>
    </row>
    <row r="7707" spans="1:9">
      <c r="A7707" s="2">
        <v>2019</v>
      </c>
      <c r="B7707">
        <v>44</v>
      </c>
      <c r="C7707">
        <v>2.9099999999999998E-3</v>
      </c>
      <c r="D7707">
        <v>2.8999999999999998E-3</v>
      </c>
      <c r="E7707">
        <v>0.5</v>
      </c>
      <c r="F7707">
        <v>96682</v>
      </c>
      <c r="G7707">
        <v>281</v>
      </c>
      <c r="H7707">
        <v>96542</v>
      </c>
      <c r="I7707">
        <v>2957339</v>
      </c>
    </row>
    <row r="7708" spans="1:9">
      <c r="A7708" s="2">
        <v>2019</v>
      </c>
      <c r="B7708">
        <v>45</v>
      </c>
      <c r="C7708">
        <v>3.4099999999999998E-3</v>
      </c>
      <c r="D7708">
        <v>3.3999999999999998E-3</v>
      </c>
      <c r="E7708">
        <v>0.5</v>
      </c>
      <c r="F7708">
        <v>96401</v>
      </c>
      <c r="G7708">
        <v>328</v>
      </c>
      <c r="H7708">
        <v>96238</v>
      </c>
      <c r="I7708">
        <v>2860797</v>
      </c>
    </row>
    <row r="7709" spans="1:9">
      <c r="A7709" s="2">
        <v>2019</v>
      </c>
      <c r="B7709">
        <v>46</v>
      </c>
      <c r="C7709">
        <v>3.5999999999999999E-3</v>
      </c>
      <c r="D7709">
        <v>3.5999999999999999E-3</v>
      </c>
      <c r="E7709">
        <v>0.5</v>
      </c>
      <c r="F7709">
        <v>96074</v>
      </c>
      <c r="G7709">
        <v>345</v>
      </c>
      <c r="H7709">
        <v>95901</v>
      </c>
      <c r="I7709">
        <v>2764560</v>
      </c>
    </row>
    <row r="7710" spans="1:9">
      <c r="A7710" s="2">
        <v>2019</v>
      </c>
      <c r="B7710">
        <v>47</v>
      </c>
      <c r="C7710">
        <v>3.98E-3</v>
      </c>
      <c r="D7710">
        <v>3.9699999999999996E-3</v>
      </c>
      <c r="E7710">
        <v>0.5</v>
      </c>
      <c r="F7710">
        <v>95728</v>
      </c>
      <c r="G7710">
        <v>380</v>
      </c>
      <c r="H7710">
        <v>95538</v>
      </c>
      <c r="I7710">
        <v>2668659</v>
      </c>
    </row>
    <row r="7711" spans="1:9">
      <c r="A7711" s="2">
        <v>2019</v>
      </c>
      <c r="B7711">
        <v>48</v>
      </c>
      <c r="C7711">
        <v>4.9699999999999996E-3</v>
      </c>
      <c r="D7711">
        <v>4.96E-3</v>
      </c>
      <c r="E7711">
        <v>0.5</v>
      </c>
      <c r="F7711">
        <v>95348</v>
      </c>
      <c r="G7711">
        <v>473</v>
      </c>
      <c r="H7711">
        <v>95112</v>
      </c>
      <c r="I7711">
        <v>2573121</v>
      </c>
    </row>
    <row r="7712" spans="1:9">
      <c r="A7712" s="2">
        <v>2019</v>
      </c>
      <c r="B7712">
        <v>49</v>
      </c>
      <c r="C7712">
        <v>5.8900000000000003E-3</v>
      </c>
      <c r="D7712">
        <v>5.8700000000000002E-3</v>
      </c>
      <c r="E7712">
        <v>0.5</v>
      </c>
      <c r="F7712">
        <v>94876</v>
      </c>
      <c r="G7712">
        <v>557</v>
      </c>
      <c r="H7712">
        <v>94597</v>
      </c>
      <c r="I7712">
        <v>2478009</v>
      </c>
    </row>
    <row r="7713" spans="1:9">
      <c r="A7713" s="2">
        <v>2019</v>
      </c>
      <c r="B7713">
        <v>50</v>
      </c>
      <c r="C7713">
        <v>6.94E-3</v>
      </c>
      <c r="D7713">
        <v>6.9199999999999999E-3</v>
      </c>
      <c r="E7713">
        <v>0.5</v>
      </c>
      <c r="F7713">
        <v>94318</v>
      </c>
      <c r="G7713">
        <v>653</v>
      </c>
      <c r="H7713">
        <v>93992</v>
      </c>
      <c r="I7713">
        <v>2383412</v>
      </c>
    </row>
    <row r="7714" spans="1:9">
      <c r="A7714" s="2">
        <v>2019</v>
      </c>
      <c r="B7714">
        <v>51</v>
      </c>
      <c r="C7714">
        <v>7.45E-3</v>
      </c>
      <c r="D7714">
        <v>7.4200000000000004E-3</v>
      </c>
      <c r="E7714">
        <v>0.5</v>
      </c>
      <c r="F7714">
        <v>93666</v>
      </c>
      <c r="G7714">
        <v>695</v>
      </c>
      <c r="H7714">
        <v>93318</v>
      </c>
      <c r="I7714">
        <v>2289419</v>
      </c>
    </row>
    <row r="7715" spans="1:9">
      <c r="A7715" s="2">
        <v>2019</v>
      </c>
      <c r="B7715">
        <v>52</v>
      </c>
      <c r="C7715">
        <v>8.6499999999999997E-3</v>
      </c>
      <c r="D7715">
        <v>8.6099999999999996E-3</v>
      </c>
      <c r="E7715">
        <v>0.5</v>
      </c>
      <c r="F7715">
        <v>92971</v>
      </c>
      <c r="G7715">
        <v>801</v>
      </c>
      <c r="H7715">
        <v>92570</v>
      </c>
      <c r="I7715">
        <v>2196101</v>
      </c>
    </row>
    <row r="7716" spans="1:9">
      <c r="A7716" s="2">
        <v>2019</v>
      </c>
      <c r="B7716">
        <v>53</v>
      </c>
      <c r="C7716">
        <v>9.3100000000000006E-3</v>
      </c>
      <c r="D7716">
        <v>9.2599999999999991E-3</v>
      </c>
      <c r="E7716">
        <v>0.5</v>
      </c>
      <c r="F7716">
        <v>92170</v>
      </c>
      <c r="G7716">
        <v>854</v>
      </c>
      <c r="H7716">
        <v>91743</v>
      </c>
      <c r="I7716">
        <v>2103531</v>
      </c>
    </row>
    <row r="7717" spans="1:9">
      <c r="A7717" s="2">
        <v>2019</v>
      </c>
      <c r="B7717">
        <v>54</v>
      </c>
      <c r="C7717">
        <v>1.0699999999999999E-2</v>
      </c>
      <c r="D7717">
        <v>1.065E-2</v>
      </c>
      <c r="E7717">
        <v>0.5</v>
      </c>
      <c r="F7717">
        <v>91316</v>
      </c>
      <c r="G7717">
        <v>972</v>
      </c>
      <c r="H7717">
        <v>90830</v>
      </c>
      <c r="I7717">
        <v>2011788</v>
      </c>
    </row>
    <row r="7718" spans="1:9">
      <c r="A7718" s="2">
        <v>2019</v>
      </c>
      <c r="B7718">
        <v>55</v>
      </c>
      <c r="C7718">
        <v>1.2619999999999999E-2</v>
      </c>
      <c r="D7718">
        <v>1.2540000000000001E-2</v>
      </c>
      <c r="E7718">
        <v>0.5</v>
      </c>
      <c r="F7718">
        <v>90344</v>
      </c>
      <c r="G7718">
        <v>1133</v>
      </c>
      <c r="H7718">
        <v>89777</v>
      </c>
      <c r="I7718">
        <v>1920958</v>
      </c>
    </row>
    <row r="7719" spans="1:9">
      <c r="A7719" s="2">
        <v>2019</v>
      </c>
      <c r="B7719">
        <v>56</v>
      </c>
      <c r="C7719">
        <v>1.383E-2</v>
      </c>
      <c r="D7719">
        <v>1.3729999999999999E-2</v>
      </c>
      <c r="E7719">
        <v>0.5</v>
      </c>
      <c r="F7719">
        <v>89211</v>
      </c>
      <c r="G7719">
        <v>1225</v>
      </c>
      <c r="H7719">
        <v>88598</v>
      </c>
      <c r="I7719">
        <v>1831181</v>
      </c>
    </row>
    <row r="7720" spans="1:9">
      <c r="A7720" s="2">
        <v>2019</v>
      </c>
      <c r="B7720">
        <v>57</v>
      </c>
      <c r="C7720">
        <v>1.5939999999999999E-2</v>
      </c>
      <c r="D7720">
        <v>1.5810000000000001E-2</v>
      </c>
      <c r="E7720">
        <v>0.5</v>
      </c>
      <c r="F7720">
        <v>87986</v>
      </c>
      <c r="G7720">
        <v>1391</v>
      </c>
      <c r="H7720">
        <v>87290</v>
      </c>
      <c r="I7720">
        <v>1742583</v>
      </c>
    </row>
    <row r="7721" spans="1:9">
      <c r="A7721" s="2">
        <v>2019</v>
      </c>
      <c r="B7721">
        <v>58</v>
      </c>
      <c r="C7721">
        <v>1.7639999999999999E-2</v>
      </c>
      <c r="D7721">
        <v>1.7489999999999999E-2</v>
      </c>
      <c r="E7721">
        <v>0.5</v>
      </c>
      <c r="F7721">
        <v>86594</v>
      </c>
      <c r="G7721">
        <v>1514</v>
      </c>
      <c r="H7721">
        <v>85837</v>
      </c>
      <c r="I7721">
        <v>1655293</v>
      </c>
    </row>
    <row r="7722" spans="1:9">
      <c r="A7722" s="2">
        <v>2019</v>
      </c>
      <c r="B7722">
        <v>59</v>
      </c>
      <c r="C7722">
        <v>1.8169999999999999E-2</v>
      </c>
      <c r="D7722">
        <v>1.8010000000000002E-2</v>
      </c>
      <c r="E7722">
        <v>0.5</v>
      </c>
      <c r="F7722">
        <v>85080</v>
      </c>
      <c r="G7722">
        <v>1532</v>
      </c>
      <c r="H7722">
        <v>84314</v>
      </c>
      <c r="I7722">
        <v>1569456</v>
      </c>
    </row>
    <row r="7723" spans="1:9">
      <c r="A7723" s="2">
        <v>2019</v>
      </c>
      <c r="B7723">
        <v>60</v>
      </c>
      <c r="C7723">
        <v>2.0240000000000001E-2</v>
      </c>
      <c r="D7723">
        <v>2.0039999999999999E-2</v>
      </c>
      <c r="E7723">
        <v>0.5</v>
      </c>
      <c r="F7723">
        <v>83548</v>
      </c>
      <c r="G7723">
        <v>1674</v>
      </c>
      <c r="H7723">
        <v>82711</v>
      </c>
      <c r="I7723">
        <v>1485142</v>
      </c>
    </row>
    <row r="7724" spans="1:9">
      <c r="A7724" s="2">
        <v>2019</v>
      </c>
      <c r="B7724">
        <v>61</v>
      </c>
      <c r="C7724">
        <v>2.1430000000000001E-2</v>
      </c>
      <c r="D7724">
        <v>2.12E-2</v>
      </c>
      <c r="E7724">
        <v>0.5</v>
      </c>
      <c r="F7724">
        <v>81874</v>
      </c>
      <c r="G7724">
        <v>1736</v>
      </c>
      <c r="H7724">
        <v>81006</v>
      </c>
      <c r="I7724">
        <v>1402431</v>
      </c>
    </row>
    <row r="7725" spans="1:9">
      <c r="A7725" s="2">
        <v>2019</v>
      </c>
      <c r="B7725">
        <v>62</v>
      </c>
      <c r="C7725">
        <v>2.409E-2</v>
      </c>
      <c r="D7725">
        <v>2.3800000000000002E-2</v>
      </c>
      <c r="E7725">
        <v>0.5</v>
      </c>
      <c r="F7725">
        <v>80138</v>
      </c>
      <c r="G7725">
        <v>1907</v>
      </c>
      <c r="H7725">
        <v>79184</v>
      </c>
      <c r="I7725">
        <v>1321425</v>
      </c>
    </row>
    <row r="7726" spans="1:9">
      <c r="A7726" s="2">
        <v>2019</v>
      </c>
      <c r="B7726">
        <v>63</v>
      </c>
      <c r="C7726">
        <v>2.5739999999999999E-2</v>
      </c>
      <c r="D7726">
        <v>2.5409999999999999E-2</v>
      </c>
      <c r="E7726">
        <v>0.5</v>
      </c>
      <c r="F7726">
        <v>78231</v>
      </c>
      <c r="G7726">
        <v>1988</v>
      </c>
      <c r="H7726">
        <v>77237</v>
      </c>
      <c r="I7726">
        <v>1242240</v>
      </c>
    </row>
    <row r="7727" spans="1:9">
      <c r="A7727" s="2">
        <v>2019</v>
      </c>
      <c r="B7727">
        <v>64</v>
      </c>
      <c r="C7727">
        <v>3.015E-2</v>
      </c>
      <c r="D7727">
        <v>2.9700000000000001E-2</v>
      </c>
      <c r="E7727">
        <v>0.5</v>
      </c>
      <c r="F7727">
        <v>76243</v>
      </c>
      <c r="G7727">
        <v>2265</v>
      </c>
      <c r="H7727">
        <v>75110</v>
      </c>
      <c r="I7727">
        <v>1165004</v>
      </c>
    </row>
    <row r="7728" spans="1:9">
      <c r="A7728" s="2">
        <v>2019</v>
      </c>
      <c r="B7728">
        <v>65</v>
      </c>
      <c r="C7728">
        <v>3.0530000000000002E-2</v>
      </c>
      <c r="D7728">
        <v>3.007E-2</v>
      </c>
      <c r="E7728">
        <v>0.5</v>
      </c>
      <c r="F7728">
        <v>73978</v>
      </c>
      <c r="G7728">
        <v>2225</v>
      </c>
      <c r="H7728">
        <v>72866</v>
      </c>
      <c r="I7728">
        <v>1089893</v>
      </c>
    </row>
    <row r="7729" spans="1:9">
      <c r="A7729" s="2">
        <v>2019</v>
      </c>
      <c r="B7729">
        <v>66</v>
      </c>
      <c r="C7729">
        <v>3.2439999999999997E-2</v>
      </c>
      <c r="D7729">
        <v>3.193E-2</v>
      </c>
      <c r="E7729">
        <v>0.5</v>
      </c>
      <c r="F7729">
        <v>71754</v>
      </c>
      <c r="G7729">
        <v>2291</v>
      </c>
      <c r="H7729">
        <v>70608</v>
      </c>
      <c r="I7729">
        <v>1017028</v>
      </c>
    </row>
    <row r="7730" spans="1:9">
      <c r="A7730" s="2">
        <v>2019</v>
      </c>
      <c r="B7730">
        <v>67</v>
      </c>
      <c r="C7730">
        <v>3.381E-2</v>
      </c>
      <c r="D7730">
        <v>3.3239999999999999E-2</v>
      </c>
      <c r="E7730">
        <v>0.5</v>
      </c>
      <c r="F7730">
        <v>69463</v>
      </c>
      <c r="G7730">
        <v>2309</v>
      </c>
      <c r="H7730">
        <v>68308</v>
      </c>
      <c r="I7730">
        <v>946419</v>
      </c>
    </row>
    <row r="7731" spans="1:9">
      <c r="A7731" s="2">
        <v>2019</v>
      </c>
      <c r="B7731">
        <v>68</v>
      </c>
      <c r="C7731">
        <v>3.6200000000000003E-2</v>
      </c>
      <c r="D7731">
        <v>3.5560000000000001E-2</v>
      </c>
      <c r="E7731">
        <v>0.5</v>
      </c>
      <c r="F7731">
        <v>67154</v>
      </c>
      <c r="G7731">
        <v>2388</v>
      </c>
      <c r="H7731">
        <v>65960</v>
      </c>
      <c r="I7731">
        <v>878111</v>
      </c>
    </row>
    <row r="7732" spans="1:9">
      <c r="A7732" s="2">
        <v>2019</v>
      </c>
      <c r="B7732">
        <v>69</v>
      </c>
      <c r="C7732">
        <v>3.8240000000000003E-2</v>
      </c>
      <c r="D7732">
        <v>3.7519999999999998E-2</v>
      </c>
      <c r="E7732">
        <v>0.5</v>
      </c>
      <c r="F7732">
        <v>64766</v>
      </c>
      <c r="G7732">
        <v>2430</v>
      </c>
      <c r="H7732">
        <v>63551</v>
      </c>
      <c r="I7732">
        <v>812151</v>
      </c>
    </row>
    <row r="7733" spans="1:9">
      <c r="A7733" s="2">
        <v>2019</v>
      </c>
      <c r="B7733">
        <v>70</v>
      </c>
      <c r="C7733">
        <v>4.122E-2</v>
      </c>
      <c r="D7733">
        <v>4.0390000000000002E-2</v>
      </c>
      <c r="E7733">
        <v>0.5</v>
      </c>
      <c r="F7733">
        <v>62336</v>
      </c>
      <c r="G7733">
        <v>2518</v>
      </c>
      <c r="H7733">
        <v>61077</v>
      </c>
      <c r="I7733">
        <v>748601</v>
      </c>
    </row>
    <row r="7734" spans="1:9">
      <c r="A7734" s="2">
        <v>2019</v>
      </c>
      <c r="B7734">
        <v>71</v>
      </c>
      <c r="C7734">
        <v>4.1529999999999997E-2</v>
      </c>
      <c r="D7734">
        <v>4.0680000000000001E-2</v>
      </c>
      <c r="E7734">
        <v>0.5</v>
      </c>
      <c r="F7734">
        <v>59818</v>
      </c>
      <c r="G7734">
        <v>2434</v>
      </c>
      <c r="H7734">
        <v>58601</v>
      </c>
      <c r="I7734">
        <v>687524</v>
      </c>
    </row>
    <row r="7735" spans="1:9">
      <c r="A7735" s="2">
        <v>2019</v>
      </c>
      <c r="B7735">
        <v>72</v>
      </c>
      <c r="C7735">
        <v>4.3240000000000001E-2</v>
      </c>
      <c r="D7735">
        <v>4.233E-2</v>
      </c>
      <c r="E7735">
        <v>0.5</v>
      </c>
      <c r="F7735">
        <v>57384</v>
      </c>
      <c r="G7735">
        <v>2429</v>
      </c>
      <c r="H7735">
        <v>56170</v>
      </c>
      <c r="I7735">
        <v>628923</v>
      </c>
    </row>
    <row r="7736" spans="1:9">
      <c r="A7736" s="2">
        <v>2019</v>
      </c>
      <c r="B7736">
        <v>73</v>
      </c>
      <c r="C7736">
        <v>4.6489999999999997E-2</v>
      </c>
      <c r="D7736">
        <v>4.5429999999999998E-2</v>
      </c>
      <c r="E7736">
        <v>0.5</v>
      </c>
      <c r="F7736">
        <v>54955</v>
      </c>
      <c r="G7736">
        <v>2497</v>
      </c>
      <c r="H7736">
        <v>53707</v>
      </c>
      <c r="I7736">
        <v>572753</v>
      </c>
    </row>
    <row r="7737" spans="1:9">
      <c r="A7737" s="2">
        <v>2019</v>
      </c>
      <c r="B7737">
        <v>74</v>
      </c>
      <c r="C7737">
        <v>5.0540000000000002E-2</v>
      </c>
      <c r="D7737">
        <v>4.929E-2</v>
      </c>
      <c r="E7737">
        <v>0.5</v>
      </c>
      <c r="F7737">
        <v>52459</v>
      </c>
      <c r="G7737">
        <v>2586</v>
      </c>
      <c r="H7737">
        <v>51166</v>
      </c>
      <c r="I7737">
        <v>519046</v>
      </c>
    </row>
    <row r="7738" spans="1:9">
      <c r="A7738" s="2">
        <v>2019</v>
      </c>
      <c r="B7738">
        <v>75</v>
      </c>
      <c r="C7738">
        <v>5.7169999999999999E-2</v>
      </c>
      <c r="D7738">
        <v>5.5579999999999997E-2</v>
      </c>
      <c r="E7738">
        <v>0.5</v>
      </c>
      <c r="F7738">
        <v>49873</v>
      </c>
      <c r="G7738">
        <v>2772</v>
      </c>
      <c r="H7738">
        <v>48487</v>
      </c>
      <c r="I7738">
        <v>467880</v>
      </c>
    </row>
    <row r="7739" spans="1:9">
      <c r="A7739" s="2">
        <v>2019</v>
      </c>
      <c r="B7739">
        <v>76</v>
      </c>
      <c r="C7739">
        <v>6.1420000000000002E-2</v>
      </c>
      <c r="D7739">
        <v>5.9589999999999997E-2</v>
      </c>
      <c r="E7739">
        <v>0.5</v>
      </c>
      <c r="F7739">
        <v>47101</v>
      </c>
      <c r="G7739">
        <v>2807</v>
      </c>
      <c r="H7739">
        <v>45698</v>
      </c>
      <c r="I7739">
        <v>419393</v>
      </c>
    </row>
    <row r="7740" spans="1:9">
      <c r="A7740" s="2">
        <v>2019</v>
      </c>
      <c r="B7740">
        <v>77</v>
      </c>
      <c r="C7740">
        <v>6.5170000000000006E-2</v>
      </c>
      <c r="D7740">
        <v>6.3109999999999999E-2</v>
      </c>
      <c r="E7740">
        <v>0.5</v>
      </c>
      <c r="F7740">
        <v>44294</v>
      </c>
      <c r="G7740">
        <v>2796</v>
      </c>
      <c r="H7740">
        <v>42897</v>
      </c>
      <c r="I7740">
        <v>373696</v>
      </c>
    </row>
    <row r="7741" spans="1:9">
      <c r="A7741" s="2">
        <v>2019</v>
      </c>
      <c r="B7741">
        <v>78</v>
      </c>
      <c r="C7741">
        <v>7.2300000000000003E-2</v>
      </c>
      <c r="D7741">
        <v>6.9769999999999999E-2</v>
      </c>
      <c r="E7741">
        <v>0.5</v>
      </c>
      <c r="F7741">
        <v>41499</v>
      </c>
      <c r="G7741">
        <v>2896</v>
      </c>
      <c r="H7741">
        <v>40051</v>
      </c>
      <c r="I7741">
        <v>330799</v>
      </c>
    </row>
    <row r="7742" spans="1:9">
      <c r="A7742" s="2">
        <v>2019</v>
      </c>
      <c r="B7742">
        <v>79</v>
      </c>
      <c r="C7742">
        <v>7.6649999999999996E-2</v>
      </c>
      <c r="D7742">
        <v>7.3819999999999997E-2</v>
      </c>
      <c r="E7742">
        <v>0.5</v>
      </c>
      <c r="F7742">
        <v>38603</v>
      </c>
      <c r="G7742">
        <v>2850</v>
      </c>
      <c r="H7742">
        <v>37178</v>
      </c>
      <c r="I7742">
        <v>290748</v>
      </c>
    </row>
    <row r="7743" spans="1:9">
      <c r="A7743" s="2">
        <v>2019</v>
      </c>
      <c r="B7743">
        <v>80</v>
      </c>
      <c r="C7743">
        <v>8.5699999999999998E-2</v>
      </c>
      <c r="D7743">
        <v>8.2170000000000007E-2</v>
      </c>
      <c r="E7743">
        <v>0.5</v>
      </c>
      <c r="F7743">
        <v>35754</v>
      </c>
      <c r="G7743">
        <v>2938</v>
      </c>
      <c r="H7743">
        <v>34285</v>
      </c>
      <c r="I7743">
        <v>253570</v>
      </c>
    </row>
    <row r="7744" spans="1:9">
      <c r="A7744" s="2">
        <v>2019</v>
      </c>
      <c r="B7744">
        <v>81</v>
      </c>
      <c r="C7744">
        <v>9.35E-2</v>
      </c>
      <c r="D7744">
        <v>8.9330000000000007E-2</v>
      </c>
      <c r="E7744">
        <v>0.5</v>
      </c>
      <c r="F7744">
        <v>32816</v>
      </c>
      <c r="G7744">
        <v>2931</v>
      </c>
      <c r="H7744">
        <v>31350</v>
      </c>
      <c r="I7744">
        <v>219286</v>
      </c>
    </row>
    <row r="7745" spans="1:9">
      <c r="A7745" s="2">
        <v>2019</v>
      </c>
      <c r="B7745">
        <v>82</v>
      </c>
      <c r="C7745">
        <v>0.10042</v>
      </c>
      <c r="D7745">
        <v>9.5619999999999997E-2</v>
      </c>
      <c r="E7745">
        <v>0.5</v>
      </c>
      <c r="F7745">
        <v>29884</v>
      </c>
      <c r="G7745">
        <v>2857</v>
      </c>
      <c r="H7745">
        <v>28455</v>
      </c>
      <c r="I7745">
        <v>187936</v>
      </c>
    </row>
    <row r="7746" spans="1:9">
      <c r="A7746" s="2">
        <v>2019</v>
      </c>
      <c r="B7746">
        <v>83</v>
      </c>
      <c r="C7746">
        <v>0.11049</v>
      </c>
      <c r="D7746">
        <v>0.10471</v>
      </c>
      <c r="E7746">
        <v>0.5</v>
      </c>
      <c r="F7746">
        <v>27027</v>
      </c>
      <c r="G7746">
        <v>2830</v>
      </c>
      <c r="H7746">
        <v>25612</v>
      </c>
      <c r="I7746">
        <v>159480</v>
      </c>
    </row>
    <row r="7747" spans="1:9">
      <c r="A7747" s="2">
        <v>2019</v>
      </c>
      <c r="B7747">
        <v>84</v>
      </c>
      <c r="C7747">
        <v>0.12189</v>
      </c>
      <c r="D7747">
        <v>0.11489000000000001</v>
      </c>
      <c r="E7747">
        <v>0.5</v>
      </c>
      <c r="F7747">
        <v>24197</v>
      </c>
      <c r="G7747">
        <v>2780</v>
      </c>
      <c r="H7747">
        <v>22807</v>
      </c>
      <c r="I7747">
        <v>133868</v>
      </c>
    </row>
    <row r="7748" spans="1:9">
      <c r="A7748" s="2">
        <v>2019</v>
      </c>
      <c r="B7748">
        <v>85</v>
      </c>
      <c r="C7748">
        <v>0.14485999999999999</v>
      </c>
      <c r="D7748">
        <v>0.13508000000000001</v>
      </c>
      <c r="E7748">
        <v>0.5</v>
      </c>
      <c r="F7748">
        <v>21417</v>
      </c>
      <c r="G7748">
        <v>2893</v>
      </c>
      <c r="H7748">
        <v>19970</v>
      </c>
      <c r="I7748">
        <v>111061</v>
      </c>
    </row>
    <row r="7749" spans="1:9">
      <c r="A7749" s="2">
        <v>2019</v>
      </c>
      <c r="B7749">
        <v>86</v>
      </c>
      <c r="C7749">
        <v>0.15665000000000001</v>
      </c>
      <c r="D7749">
        <v>0.14527000000000001</v>
      </c>
      <c r="E7749">
        <v>0.5</v>
      </c>
      <c r="F7749">
        <v>18524</v>
      </c>
      <c r="G7749">
        <v>2691</v>
      </c>
      <c r="H7749">
        <v>17178</v>
      </c>
      <c r="I7749">
        <v>91091</v>
      </c>
    </row>
    <row r="7750" spans="1:9">
      <c r="A7750" s="2">
        <v>2019</v>
      </c>
      <c r="B7750">
        <v>87</v>
      </c>
      <c r="C7750">
        <v>0.16761999999999999</v>
      </c>
      <c r="D7750">
        <v>0.15465999999999999</v>
      </c>
      <c r="E7750">
        <v>0.5</v>
      </c>
      <c r="F7750">
        <v>15833</v>
      </c>
      <c r="G7750">
        <v>2449</v>
      </c>
      <c r="H7750">
        <v>14609</v>
      </c>
      <c r="I7750">
        <v>73912</v>
      </c>
    </row>
    <row r="7751" spans="1:9">
      <c r="A7751" s="2">
        <v>2019</v>
      </c>
      <c r="B7751">
        <v>88</v>
      </c>
      <c r="C7751">
        <v>0.17258999999999999</v>
      </c>
      <c r="D7751">
        <v>0.15887999999999999</v>
      </c>
      <c r="E7751">
        <v>0.5</v>
      </c>
      <c r="F7751">
        <v>13384</v>
      </c>
      <c r="G7751">
        <v>2127</v>
      </c>
      <c r="H7751">
        <v>12321</v>
      </c>
      <c r="I7751">
        <v>59304</v>
      </c>
    </row>
    <row r="7752" spans="1:9">
      <c r="A7752" s="2">
        <v>2019</v>
      </c>
      <c r="B7752">
        <v>89</v>
      </c>
      <c r="C7752">
        <v>0.18003</v>
      </c>
      <c r="D7752">
        <v>0.16516</v>
      </c>
      <c r="E7752">
        <v>0.5</v>
      </c>
      <c r="F7752">
        <v>11258</v>
      </c>
      <c r="G7752">
        <v>1859</v>
      </c>
      <c r="H7752">
        <v>10328</v>
      </c>
      <c r="I7752">
        <v>46983</v>
      </c>
    </row>
    <row r="7753" spans="1:9">
      <c r="A7753" s="2">
        <v>2019</v>
      </c>
      <c r="B7753">
        <v>90</v>
      </c>
      <c r="C7753">
        <v>0.19694999999999999</v>
      </c>
      <c r="D7753">
        <v>0.17929999999999999</v>
      </c>
      <c r="E7753">
        <v>0.5</v>
      </c>
      <c r="F7753">
        <v>9398</v>
      </c>
      <c r="G7753">
        <v>1685</v>
      </c>
      <c r="H7753">
        <v>8556</v>
      </c>
      <c r="I7753">
        <v>36655</v>
      </c>
    </row>
    <row r="7754" spans="1:9">
      <c r="A7754" s="2">
        <v>2019</v>
      </c>
      <c r="B7754">
        <v>91</v>
      </c>
      <c r="C7754">
        <v>0.21973000000000001</v>
      </c>
      <c r="D7754">
        <v>0.19797999999999999</v>
      </c>
      <c r="E7754">
        <v>0.5</v>
      </c>
      <c r="F7754">
        <v>7713</v>
      </c>
      <c r="G7754">
        <v>1527</v>
      </c>
      <c r="H7754">
        <v>6950</v>
      </c>
      <c r="I7754">
        <v>28099</v>
      </c>
    </row>
    <row r="7755" spans="1:9">
      <c r="A7755" s="2">
        <v>2019</v>
      </c>
      <c r="B7755">
        <v>92</v>
      </c>
      <c r="C7755">
        <v>0.23501</v>
      </c>
      <c r="D7755">
        <v>0.21029999999999999</v>
      </c>
      <c r="E7755">
        <v>0.5</v>
      </c>
      <c r="F7755">
        <v>6186</v>
      </c>
      <c r="G7755">
        <v>1301</v>
      </c>
      <c r="H7755">
        <v>5536</v>
      </c>
      <c r="I7755">
        <v>21149</v>
      </c>
    </row>
    <row r="7756" spans="1:9">
      <c r="A7756" s="2">
        <v>2019</v>
      </c>
      <c r="B7756">
        <v>93</v>
      </c>
      <c r="C7756">
        <v>0.26652999999999999</v>
      </c>
      <c r="D7756">
        <v>0.23519000000000001</v>
      </c>
      <c r="E7756">
        <v>0.5</v>
      </c>
      <c r="F7756">
        <v>4885</v>
      </c>
      <c r="G7756">
        <v>1149</v>
      </c>
      <c r="H7756">
        <v>4311</v>
      </c>
      <c r="I7756">
        <v>15613</v>
      </c>
    </row>
    <row r="7757" spans="1:9">
      <c r="A7757" s="2">
        <v>2019</v>
      </c>
      <c r="B7757">
        <v>94</v>
      </c>
      <c r="C7757">
        <v>0.27337</v>
      </c>
      <c r="D7757">
        <v>0.24049999999999999</v>
      </c>
      <c r="E7757">
        <v>0.5</v>
      </c>
      <c r="F7757">
        <v>3736</v>
      </c>
      <c r="G7757">
        <v>899</v>
      </c>
      <c r="H7757">
        <v>3287</v>
      </c>
      <c r="I7757">
        <v>11303</v>
      </c>
    </row>
    <row r="7758" spans="1:9">
      <c r="A7758" s="2">
        <v>2019</v>
      </c>
      <c r="B7758">
        <v>95</v>
      </c>
      <c r="C7758">
        <v>0.30690000000000001</v>
      </c>
      <c r="D7758">
        <v>0.26606999999999997</v>
      </c>
      <c r="E7758">
        <v>0.5</v>
      </c>
      <c r="F7758">
        <v>2838</v>
      </c>
      <c r="G7758">
        <v>755</v>
      </c>
      <c r="H7758">
        <v>2460</v>
      </c>
      <c r="I7758">
        <v>8015</v>
      </c>
    </row>
    <row r="7759" spans="1:9">
      <c r="A7759" s="2">
        <v>2019</v>
      </c>
      <c r="B7759">
        <v>96</v>
      </c>
      <c r="C7759">
        <v>0.32943</v>
      </c>
      <c r="D7759">
        <v>0.28283999999999998</v>
      </c>
      <c r="E7759">
        <v>0.5</v>
      </c>
      <c r="F7759">
        <v>2083</v>
      </c>
      <c r="G7759">
        <v>589</v>
      </c>
      <c r="H7759">
        <v>1788</v>
      </c>
      <c r="I7759">
        <v>5555</v>
      </c>
    </row>
    <row r="7760" spans="1:9">
      <c r="A7760" s="2">
        <v>2019</v>
      </c>
      <c r="B7760">
        <v>97</v>
      </c>
      <c r="C7760">
        <v>0.35277999999999998</v>
      </c>
      <c r="D7760">
        <v>0.29987999999999998</v>
      </c>
      <c r="E7760">
        <v>0.5</v>
      </c>
      <c r="F7760">
        <v>1494</v>
      </c>
      <c r="G7760">
        <v>448</v>
      </c>
      <c r="H7760">
        <v>1270</v>
      </c>
      <c r="I7760">
        <v>3767</v>
      </c>
    </row>
    <row r="7761" spans="1:9">
      <c r="A7761" s="2">
        <v>2019</v>
      </c>
      <c r="B7761">
        <v>98</v>
      </c>
      <c r="C7761">
        <v>0.37685000000000002</v>
      </c>
      <c r="D7761">
        <v>0.31709999999999999</v>
      </c>
      <c r="E7761">
        <v>0.5</v>
      </c>
      <c r="F7761">
        <v>1046</v>
      </c>
      <c r="G7761">
        <v>332</v>
      </c>
      <c r="H7761">
        <v>880</v>
      </c>
      <c r="I7761">
        <v>2497</v>
      </c>
    </row>
    <row r="7762" spans="1:9">
      <c r="A7762" s="2">
        <v>2019</v>
      </c>
      <c r="B7762">
        <v>99</v>
      </c>
      <c r="C7762">
        <v>0.40155000000000002</v>
      </c>
      <c r="D7762">
        <v>0.33440999999999999</v>
      </c>
      <c r="E7762">
        <v>0.5</v>
      </c>
      <c r="F7762">
        <v>714</v>
      </c>
      <c r="G7762">
        <v>239</v>
      </c>
      <c r="H7762">
        <v>595</v>
      </c>
      <c r="I7762">
        <v>1617</v>
      </c>
    </row>
    <row r="7763" spans="1:9">
      <c r="A7763" s="2">
        <v>2019</v>
      </c>
      <c r="B7763">
        <v>100</v>
      </c>
      <c r="C7763">
        <v>0.42675000000000002</v>
      </c>
      <c r="D7763">
        <v>0.35171000000000002</v>
      </c>
      <c r="E7763">
        <v>0.5</v>
      </c>
      <c r="F7763">
        <v>475</v>
      </c>
      <c r="G7763">
        <v>167</v>
      </c>
      <c r="H7763">
        <v>392</v>
      </c>
      <c r="I7763">
        <v>1023</v>
      </c>
    </row>
    <row r="7764" spans="1:9">
      <c r="A7764" s="2">
        <v>2019</v>
      </c>
      <c r="B7764">
        <v>101</v>
      </c>
      <c r="C7764">
        <v>0.45234000000000002</v>
      </c>
      <c r="D7764">
        <v>0.36891000000000002</v>
      </c>
      <c r="E7764">
        <v>0.5</v>
      </c>
      <c r="F7764">
        <v>308</v>
      </c>
      <c r="G7764">
        <v>114</v>
      </c>
      <c r="H7764">
        <v>251</v>
      </c>
      <c r="I7764">
        <v>631</v>
      </c>
    </row>
    <row r="7765" spans="1:9">
      <c r="A7765" s="2">
        <v>2019</v>
      </c>
      <c r="B7765">
        <v>102</v>
      </c>
      <c r="C7765">
        <v>0.47819</v>
      </c>
      <c r="D7765">
        <v>0.38591999999999999</v>
      </c>
      <c r="E7765">
        <v>0.5</v>
      </c>
      <c r="F7765">
        <v>194</v>
      </c>
      <c r="G7765">
        <v>75</v>
      </c>
      <c r="H7765">
        <v>157</v>
      </c>
      <c r="I7765">
        <v>380</v>
      </c>
    </row>
    <row r="7766" spans="1:9">
      <c r="A7766" s="2">
        <v>2019</v>
      </c>
      <c r="B7766">
        <v>103</v>
      </c>
      <c r="C7766">
        <v>0.50414999999999999</v>
      </c>
      <c r="D7766">
        <v>0.40265000000000001</v>
      </c>
      <c r="E7766">
        <v>0.5</v>
      </c>
      <c r="F7766">
        <v>119</v>
      </c>
      <c r="G7766">
        <v>48</v>
      </c>
      <c r="H7766">
        <v>95</v>
      </c>
      <c r="I7766">
        <v>223</v>
      </c>
    </row>
    <row r="7767" spans="1:9">
      <c r="A7767" s="2">
        <v>2019</v>
      </c>
      <c r="B7767">
        <v>104</v>
      </c>
      <c r="C7767">
        <v>0.53008999999999995</v>
      </c>
      <c r="D7767">
        <v>0.41903000000000001</v>
      </c>
      <c r="E7767">
        <v>0.5</v>
      </c>
      <c r="F7767">
        <v>71</v>
      </c>
      <c r="G7767">
        <v>30</v>
      </c>
      <c r="H7767">
        <v>56</v>
      </c>
      <c r="I7767">
        <v>127</v>
      </c>
    </row>
    <row r="7768" spans="1:9">
      <c r="A7768" s="2">
        <v>2019</v>
      </c>
      <c r="B7768">
        <v>105</v>
      </c>
      <c r="C7768">
        <v>0.55586999999999998</v>
      </c>
      <c r="D7768">
        <v>0.43497999999999998</v>
      </c>
      <c r="E7768">
        <v>0.5</v>
      </c>
      <c r="F7768">
        <v>41</v>
      </c>
      <c r="G7768">
        <v>18</v>
      </c>
      <c r="H7768">
        <v>32</v>
      </c>
      <c r="I7768">
        <v>71</v>
      </c>
    </row>
    <row r="7769" spans="1:9">
      <c r="A7769" s="2">
        <v>2019</v>
      </c>
      <c r="B7769">
        <v>106</v>
      </c>
      <c r="C7769">
        <v>0.58135000000000003</v>
      </c>
      <c r="D7769">
        <v>0.45043</v>
      </c>
      <c r="E7769">
        <v>0.5</v>
      </c>
      <c r="F7769">
        <v>23</v>
      </c>
      <c r="G7769">
        <v>11</v>
      </c>
      <c r="H7769">
        <v>18</v>
      </c>
      <c r="I7769">
        <v>39</v>
      </c>
    </row>
    <row r="7770" spans="1:9">
      <c r="A7770" s="2">
        <v>2019</v>
      </c>
      <c r="B7770">
        <v>107</v>
      </c>
      <c r="C7770">
        <v>0.60641</v>
      </c>
      <c r="D7770">
        <v>0.46532000000000001</v>
      </c>
      <c r="E7770">
        <v>0.5</v>
      </c>
      <c r="F7770">
        <v>13</v>
      </c>
      <c r="G7770">
        <v>6</v>
      </c>
      <c r="H7770">
        <v>10</v>
      </c>
      <c r="I7770">
        <v>20</v>
      </c>
    </row>
    <row r="7771" spans="1:9">
      <c r="A7771" s="2">
        <v>2019</v>
      </c>
      <c r="B7771">
        <v>108</v>
      </c>
      <c r="C7771">
        <v>0.63092000000000004</v>
      </c>
      <c r="D7771">
        <v>0.47961999999999999</v>
      </c>
      <c r="E7771">
        <v>0.5</v>
      </c>
      <c r="F7771">
        <v>7</v>
      </c>
      <c r="G7771">
        <v>3</v>
      </c>
      <c r="H7771">
        <v>5</v>
      </c>
      <c r="I7771">
        <v>11</v>
      </c>
    </row>
    <row r="7772" spans="1:9">
      <c r="A7772" s="2">
        <v>2019</v>
      </c>
      <c r="B7772">
        <v>109</v>
      </c>
      <c r="C7772">
        <v>0.65476999999999996</v>
      </c>
      <c r="D7772">
        <v>0.49328</v>
      </c>
      <c r="E7772">
        <v>0.5</v>
      </c>
      <c r="F7772">
        <v>4</v>
      </c>
      <c r="G7772">
        <v>2</v>
      </c>
      <c r="H7772">
        <v>3</v>
      </c>
      <c r="I7772">
        <v>5</v>
      </c>
    </row>
    <row r="7773" spans="1:9">
      <c r="A7773" s="2">
        <v>2019</v>
      </c>
      <c r="B7773" t="s">
        <v>26</v>
      </c>
      <c r="C7773">
        <v>0.67786000000000002</v>
      </c>
      <c r="D7773">
        <v>1</v>
      </c>
      <c r="E7773">
        <v>1.48</v>
      </c>
      <c r="F7773">
        <v>2</v>
      </c>
      <c r="G7773">
        <v>2</v>
      </c>
      <c r="H7773">
        <v>3</v>
      </c>
      <c r="I7773">
        <v>3</v>
      </c>
    </row>
    <row r="7774" spans="1:9">
      <c r="A7774" s="2">
        <v>2020</v>
      </c>
      <c r="B7774">
        <v>0</v>
      </c>
      <c r="C7774">
        <v>4.0499999999999998E-3</v>
      </c>
      <c r="D7774">
        <v>4.0400000000000002E-3</v>
      </c>
      <c r="E7774">
        <v>0.14000000000000001</v>
      </c>
      <c r="F7774">
        <v>100000</v>
      </c>
      <c r="G7774">
        <v>404</v>
      </c>
      <c r="H7774">
        <v>99653</v>
      </c>
      <c r="I7774">
        <v>7231627</v>
      </c>
    </row>
    <row r="7775" spans="1:9">
      <c r="A7775" s="2">
        <v>2020</v>
      </c>
      <c r="B7775">
        <v>1</v>
      </c>
      <c r="C7775">
        <v>1.4999999999999999E-4</v>
      </c>
      <c r="D7775">
        <v>1.4999999999999999E-4</v>
      </c>
      <c r="E7775">
        <v>0.5</v>
      </c>
      <c r="F7775">
        <v>99596</v>
      </c>
      <c r="G7775">
        <v>15</v>
      </c>
      <c r="H7775">
        <v>99589</v>
      </c>
      <c r="I7775">
        <v>7131974</v>
      </c>
    </row>
    <row r="7776" spans="1:9">
      <c r="A7776" s="2">
        <v>2020</v>
      </c>
      <c r="B7776">
        <v>2</v>
      </c>
      <c r="C7776">
        <v>1.2E-4</v>
      </c>
      <c r="D7776">
        <v>1.2E-4</v>
      </c>
      <c r="E7776">
        <v>0.5</v>
      </c>
      <c r="F7776">
        <v>99582</v>
      </c>
      <c r="G7776">
        <v>12</v>
      </c>
      <c r="H7776">
        <v>99576</v>
      </c>
      <c r="I7776">
        <v>7032385</v>
      </c>
    </row>
    <row r="7777" spans="1:9">
      <c r="A7777" s="2">
        <v>2020</v>
      </c>
      <c r="B7777">
        <v>3</v>
      </c>
      <c r="C7777">
        <v>6.0000000000000002E-5</v>
      </c>
      <c r="D7777">
        <v>6.0000000000000002E-5</v>
      </c>
      <c r="E7777">
        <v>0.5</v>
      </c>
      <c r="F7777">
        <v>99569</v>
      </c>
      <c r="G7777">
        <v>6</v>
      </c>
      <c r="H7777">
        <v>99566</v>
      </c>
      <c r="I7777">
        <v>6932809</v>
      </c>
    </row>
    <row r="7778" spans="1:9">
      <c r="A7778" s="2">
        <v>2020</v>
      </c>
      <c r="B7778">
        <v>4</v>
      </c>
      <c r="C7778">
        <v>1E-4</v>
      </c>
      <c r="D7778">
        <v>1E-4</v>
      </c>
      <c r="E7778">
        <v>0.5</v>
      </c>
      <c r="F7778">
        <v>99563</v>
      </c>
      <c r="G7778">
        <v>10</v>
      </c>
      <c r="H7778">
        <v>99558</v>
      </c>
      <c r="I7778">
        <v>6833243</v>
      </c>
    </row>
    <row r="7779" spans="1:9">
      <c r="A7779" s="2">
        <v>2020</v>
      </c>
      <c r="B7779">
        <v>5</v>
      </c>
      <c r="C7779">
        <v>1.2E-4</v>
      </c>
      <c r="D7779">
        <v>1.2E-4</v>
      </c>
      <c r="E7779">
        <v>0.5</v>
      </c>
      <c r="F7779">
        <v>99553</v>
      </c>
      <c r="G7779">
        <v>12</v>
      </c>
      <c r="H7779">
        <v>99547</v>
      </c>
      <c r="I7779">
        <v>6733685</v>
      </c>
    </row>
    <row r="7780" spans="1:9">
      <c r="A7780" s="2">
        <v>2020</v>
      </c>
      <c r="B7780">
        <v>6</v>
      </c>
      <c r="C7780">
        <v>1.1E-4</v>
      </c>
      <c r="D7780">
        <v>1.1E-4</v>
      </c>
      <c r="E7780">
        <v>0.5</v>
      </c>
      <c r="F7780">
        <v>99541</v>
      </c>
      <c r="G7780">
        <v>11</v>
      </c>
      <c r="H7780">
        <v>99535</v>
      </c>
      <c r="I7780">
        <v>6634138</v>
      </c>
    </row>
    <row r="7781" spans="1:9">
      <c r="A7781" s="2">
        <v>2020</v>
      </c>
      <c r="B7781">
        <v>7</v>
      </c>
      <c r="C7781">
        <v>9.0000000000000006E-5</v>
      </c>
      <c r="D7781">
        <v>9.0000000000000006E-5</v>
      </c>
      <c r="E7781">
        <v>0.5</v>
      </c>
      <c r="F7781">
        <v>99530</v>
      </c>
      <c r="G7781">
        <v>9</v>
      </c>
      <c r="H7781">
        <v>99526</v>
      </c>
      <c r="I7781">
        <v>6534602</v>
      </c>
    </row>
    <row r="7782" spans="1:9">
      <c r="A7782" s="2">
        <v>2020</v>
      </c>
      <c r="B7782">
        <v>8</v>
      </c>
      <c r="C7782">
        <v>1.9000000000000001E-4</v>
      </c>
      <c r="D7782">
        <v>1.9000000000000001E-4</v>
      </c>
      <c r="E7782">
        <v>0.5</v>
      </c>
      <c r="F7782">
        <v>99522</v>
      </c>
      <c r="G7782">
        <v>19</v>
      </c>
      <c r="H7782">
        <v>99512</v>
      </c>
      <c r="I7782">
        <v>6435077</v>
      </c>
    </row>
    <row r="7783" spans="1:9">
      <c r="A7783" s="2">
        <v>2020</v>
      </c>
      <c r="B7783">
        <v>9</v>
      </c>
      <c r="C7783">
        <v>6.9999999999999994E-5</v>
      </c>
      <c r="D7783">
        <v>6.9999999999999994E-5</v>
      </c>
      <c r="E7783">
        <v>0.5</v>
      </c>
      <c r="F7783">
        <v>99502</v>
      </c>
      <c r="G7783">
        <v>7</v>
      </c>
      <c r="H7783">
        <v>99499</v>
      </c>
      <c r="I7783">
        <v>6335565</v>
      </c>
    </row>
    <row r="7784" spans="1:9">
      <c r="A7784" s="2">
        <v>2020</v>
      </c>
      <c r="B7784">
        <v>10</v>
      </c>
      <c r="C7784">
        <v>4.0000000000000003E-5</v>
      </c>
      <c r="D7784">
        <v>4.0000000000000003E-5</v>
      </c>
      <c r="E7784">
        <v>0.5</v>
      </c>
      <c r="F7784">
        <v>99496</v>
      </c>
      <c r="G7784">
        <v>4</v>
      </c>
      <c r="H7784">
        <v>99494</v>
      </c>
      <c r="I7784">
        <v>6236066</v>
      </c>
    </row>
    <row r="7785" spans="1:9">
      <c r="A7785" s="2">
        <v>2020</v>
      </c>
      <c r="B7785">
        <v>11</v>
      </c>
      <c r="C7785">
        <v>6.0000000000000002E-5</v>
      </c>
      <c r="D7785">
        <v>6.0000000000000002E-5</v>
      </c>
      <c r="E7785">
        <v>0.5</v>
      </c>
      <c r="F7785">
        <v>99492</v>
      </c>
      <c r="G7785">
        <v>6</v>
      </c>
      <c r="H7785">
        <v>99489</v>
      </c>
      <c r="I7785">
        <v>6136572</v>
      </c>
    </row>
    <row r="7786" spans="1:9">
      <c r="A7786" s="2">
        <v>2020</v>
      </c>
      <c r="B7786">
        <v>12</v>
      </c>
      <c r="C7786">
        <v>1E-4</v>
      </c>
      <c r="D7786">
        <v>1E-4</v>
      </c>
      <c r="E7786">
        <v>0.5</v>
      </c>
      <c r="F7786">
        <v>99486</v>
      </c>
      <c r="G7786">
        <v>10</v>
      </c>
      <c r="H7786">
        <v>99481</v>
      </c>
      <c r="I7786">
        <v>6037083</v>
      </c>
    </row>
    <row r="7787" spans="1:9">
      <c r="A7787" s="2">
        <v>2020</v>
      </c>
      <c r="B7787">
        <v>13</v>
      </c>
      <c r="C7787">
        <v>1.2E-4</v>
      </c>
      <c r="D7787">
        <v>1.2E-4</v>
      </c>
      <c r="E7787">
        <v>0.5</v>
      </c>
      <c r="F7787">
        <v>99476</v>
      </c>
      <c r="G7787">
        <v>12</v>
      </c>
      <c r="H7787">
        <v>99470</v>
      </c>
      <c r="I7787">
        <v>5937602</v>
      </c>
    </row>
    <row r="7788" spans="1:9">
      <c r="A7788" s="2">
        <v>2020</v>
      </c>
      <c r="B7788">
        <v>14</v>
      </c>
      <c r="C7788">
        <v>1.6000000000000001E-4</v>
      </c>
      <c r="D7788">
        <v>1.6000000000000001E-4</v>
      </c>
      <c r="E7788">
        <v>0.5</v>
      </c>
      <c r="F7788">
        <v>99464</v>
      </c>
      <c r="G7788">
        <v>15</v>
      </c>
      <c r="H7788">
        <v>99457</v>
      </c>
      <c r="I7788">
        <v>5838132</v>
      </c>
    </row>
    <row r="7789" spans="1:9">
      <c r="A7789" s="2">
        <v>2020</v>
      </c>
      <c r="B7789">
        <v>15</v>
      </c>
      <c r="C7789">
        <v>1.8000000000000001E-4</v>
      </c>
      <c r="D7789">
        <v>1.8000000000000001E-4</v>
      </c>
      <c r="E7789">
        <v>0.5</v>
      </c>
      <c r="F7789">
        <v>99449</v>
      </c>
      <c r="G7789">
        <v>18</v>
      </c>
      <c r="H7789">
        <v>99440</v>
      </c>
      <c r="I7789">
        <v>5738675</v>
      </c>
    </row>
    <row r="7790" spans="1:9">
      <c r="A7790" s="2">
        <v>2020</v>
      </c>
      <c r="B7790">
        <v>16</v>
      </c>
      <c r="C7790">
        <v>2.9E-4</v>
      </c>
      <c r="D7790">
        <v>2.9E-4</v>
      </c>
      <c r="E7790">
        <v>0.5</v>
      </c>
      <c r="F7790">
        <v>99431</v>
      </c>
      <c r="G7790">
        <v>29</v>
      </c>
      <c r="H7790">
        <v>99417</v>
      </c>
      <c r="I7790">
        <v>5639235</v>
      </c>
    </row>
    <row r="7791" spans="1:9">
      <c r="A7791" s="2">
        <v>2020</v>
      </c>
      <c r="B7791">
        <v>17</v>
      </c>
      <c r="C7791">
        <v>4.2000000000000002E-4</v>
      </c>
      <c r="D7791">
        <v>4.2000000000000002E-4</v>
      </c>
      <c r="E7791">
        <v>0.5</v>
      </c>
      <c r="F7791">
        <v>99403</v>
      </c>
      <c r="G7791">
        <v>42</v>
      </c>
      <c r="H7791">
        <v>99382</v>
      </c>
      <c r="I7791">
        <v>5539818</v>
      </c>
    </row>
    <row r="7792" spans="1:9">
      <c r="A7792" s="2">
        <v>2020</v>
      </c>
      <c r="B7792">
        <v>18</v>
      </c>
      <c r="C7792">
        <v>4.2000000000000002E-4</v>
      </c>
      <c r="D7792">
        <v>4.2000000000000002E-4</v>
      </c>
      <c r="E7792">
        <v>0.5</v>
      </c>
      <c r="F7792">
        <v>99360</v>
      </c>
      <c r="G7792">
        <v>41</v>
      </c>
      <c r="H7792">
        <v>99340</v>
      </c>
      <c r="I7792">
        <v>5440436</v>
      </c>
    </row>
    <row r="7793" spans="1:9">
      <c r="A7793" s="2">
        <v>2020</v>
      </c>
      <c r="B7793">
        <v>19</v>
      </c>
      <c r="C7793">
        <v>5.0000000000000001E-4</v>
      </c>
      <c r="D7793">
        <v>5.0000000000000001E-4</v>
      </c>
      <c r="E7793">
        <v>0.5</v>
      </c>
      <c r="F7793">
        <v>99319</v>
      </c>
      <c r="G7793">
        <v>49</v>
      </c>
      <c r="H7793">
        <v>99294</v>
      </c>
      <c r="I7793">
        <v>5341097</v>
      </c>
    </row>
    <row r="7794" spans="1:9">
      <c r="A7794" s="2">
        <v>2020</v>
      </c>
      <c r="B7794">
        <v>20</v>
      </c>
      <c r="C7794">
        <v>7.6000000000000004E-4</v>
      </c>
      <c r="D7794">
        <v>7.6000000000000004E-4</v>
      </c>
      <c r="E7794">
        <v>0.5</v>
      </c>
      <c r="F7794">
        <v>99270</v>
      </c>
      <c r="G7794">
        <v>75</v>
      </c>
      <c r="H7794">
        <v>99232</v>
      </c>
      <c r="I7794">
        <v>5241802</v>
      </c>
    </row>
    <row r="7795" spans="1:9">
      <c r="A7795" s="2">
        <v>2020</v>
      </c>
      <c r="B7795">
        <v>21</v>
      </c>
      <c r="C7795">
        <v>5.4000000000000001E-4</v>
      </c>
      <c r="D7795">
        <v>5.4000000000000001E-4</v>
      </c>
      <c r="E7795">
        <v>0.5</v>
      </c>
      <c r="F7795">
        <v>99195</v>
      </c>
      <c r="G7795">
        <v>54</v>
      </c>
      <c r="H7795">
        <v>99168</v>
      </c>
      <c r="I7795">
        <v>5142570</v>
      </c>
    </row>
    <row r="7796" spans="1:9">
      <c r="A7796" s="2">
        <v>2020</v>
      </c>
      <c r="B7796">
        <v>22</v>
      </c>
      <c r="C7796">
        <v>4.8000000000000001E-4</v>
      </c>
      <c r="D7796">
        <v>4.8000000000000001E-4</v>
      </c>
      <c r="E7796">
        <v>0.5</v>
      </c>
      <c r="F7796">
        <v>99141</v>
      </c>
      <c r="G7796">
        <v>48</v>
      </c>
      <c r="H7796">
        <v>99117</v>
      </c>
      <c r="I7796">
        <v>5043403</v>
      </c>
    </row>
    <row r="7797" spans="1:9">
      <c r="A7797" s="2">
        <v>2020</v>
      </c>
      <c r="B7797">
        <v>23</v>
      </c>
      <c r="C7797">
        <v>5.5999999999999995E-4</v>
      </c>
      <c r="D7797">
        <v>5.5999999999999995E-4</v>
      </c>
      <c r="E7797">
        <v>0.5</v>
      </c>
      <c r="F7797">
        <v>99093</v>
      </c>
      <c r="G7797">
        <v>56</v>
      </c>
      <c r="H7797">
        <v>99065</v>
      </c>
      <c r="I7797">
        <v>4944286</v>
      </c>
    </row>
    <row r="7798" spans="1:9">
      <c r="A7798" s="2">
        <v>2020</v>
      </c>
      <c r="B7798">
        <v>24</v>
      </c>
      <c r="C7798">
        <v>6.0999999999999997E-4</v>
      </c>
      <c r="D7798">
        <v>6.0999999999999997E-4</v>
      </c>
      <c r="E7798">
        <v>0.5</v>
      </c>
      <c r="F7798">
        <v>99037</v>
      </c>
      <c r="G7798">
        <v>60</v>
      </c>
      <c r="H7798">
        <v>99007</v>
      </c>
      <c r="I7798">
        <v>4845222</v>
      </c>
    </row>
    <row r="7799" spans="1:9">
      <c r="A7799" s="2">
        <v>2020</v>
      </c>
      <c r="B7799">
        <v>25</v>
      </c>
      <c r="C7799">
        <v>5.6999999999999998E-4</v>
      </c>
      <c r="D7799">
        <v>5.6999999999999998E-4</v>
      </c>
      <c r="E7799">
        <v>0.5</v>
      </c>
      <c r="F7799">
        <v>98977</v>
      </c>
      <c r="G7799">
        <v>56</v>
      </c>
      <c r="H7799">
        <v>98949</v>
      </c>
      <c r="I7799">
        <v>4746215</v>
      </c>
    </row>
    <row r="7800" spans="1:9">
      <c r="A7800" s="2">
        <v>2020</v>
      </c>
      <c r="B7800">
        <v>26</v>
      </c>
      <c r="C7800">
        <v>6.8999999999999997E-4</v>
      </c>
      <c r="D7800">
        <v>6.8999999999999997E-4</v>
      </c>
      <c r="E7800">
        <v>0.5</v>
      </c>
      <c r="F7800">
        <v>98921</v>
      </c>
      <c r="G7800">
        <v>68</v>
      </c>
      <c r="H7800">
        <v>98886</v>
      </c>
      <c r="I7800">
        <v>4647266</v>
      </c>
    </row>
    <row r="7801" spans="1:9">
      <c r="A7801" s="2">
        <v>2020</v>
      </c>
      <c r="B7801">
        <v>27</v>
      </c>
      <c r="C7801">
        <v>6.8000000000000005E-4</v>
      </c>
      <c r="D7801">
        <v>6.8000000000000005E-4</v>
      </c>
      <c r="E7801">
        <v>0.5</v>
      </c>
      <c r="F7801">
        <v>98852</v>
      </c>
      <c r="G7801">
        <v>68</v>
      </c>
      <c r="H7801">
        <v>98819</v>
      </c>
      <c r="I7801">
        <v>4548380</v>
      </c>
    </row>
    <row r="7802" spans="1:9">
      <c r="A7802" s="2">
        <v>2020</v>
      </c>
      <c r="B7802">
        <v>28</v>
      </c>
      <c r="C7802">
        <v>7.5000000000000002E-4</v>
      </c>
      <c r="D7802">
        <v>7.5000000000000002E-4</v>
      </c>
      <c r="E7802">
        <v>0.5</v>
      </c>
      <c r="F7802">
        <v>98785</v>
      </c>
      <c r="G7802">
        <v>74</v>
      </c>
      <c r="H7802">
        <v>98748</v>
      </c>
      <c r="I7802">
        <v>4449561</v>
      </c>
    </row>
    <row r="7803" spans="1:9">
      <c r="A7803" s="2">
        <v>2020</v>
      </c>
      <c r="B7803">
        <v>29</v>
      </c>
      <c r="C7803">
        <v>1.1299999999999999E-3</v>
      </c>
      <c r="D7803">
        <v>1.1299999999999999E-3</v>
      </c>
      <c r="E7803">
        <v>0.5</v>
      </c>
      <c r="F7803">
        <v>98710</v>
      </c>
      <c r="G7803">
        <v>112</v>
      </c>
      <c r="H7803">
        <v>98655</v>
      </c>
      <c r="I7803">
        <v>4350813</v>
      </c>
    </row>
    <row r="7804" spans="1:9">
      <c r="A7804" s="2">
        <v>2020</v>
      </c>
      <c r="B7804">
        <v>30</v>
      </c>
      <c r="C7804">
        <v>7.6000000000000004E-4</v>
      </c>
      <c r="D7804">
        <v>7.6000000000000004E-4</v>
      </c>
      <c r="E7804">
        <v>0.5</v>
      </c>
      <c r="F7804">
        <v>98599</v>
      </c>
      <c r="G7804">
        <v>75</v>
      </c>
      <c r="H7804">
        <v>98561</v>
      </c>
      <c r="I7804">
        <v>4252159</v>
      </c>
    </row>
    <row r="7805" spans="1:9">
      <c r="A7805" s="2">
        <v>2020</v>
      </c>
      <c r="B7805">
        <v>31</v>
      </c>
      <c r="C7805">
        <v>9.2000000000000003E-4</v>
      </c>
      <c r="D7805">
        <v>9.2000000000000003E-4</v>
      </c>
      <c r="E7805">
        <v>0.5</v>
      </c>
      <c r="F7805">
        <v>98524</v>
      </c>
      <c r="G7805">
        <v>91</v>
      </c>
      <c r="H7805">
        <v>98479</v>
      </c>
      <c r="I7805">
        <v>4153597</v>
      </c>
    </row>
    <row r="7806" spans="1:9">
      <c r="A7806" s="2">
        <v>2020</v>
      </c>
      <c r="B7806">
        <v>32</v>
      </c>
      <c r="C7806">
        <v>8.0999999999999996E-4</v>
      </c>
      <c r="D7806">
        <v>8.0999999999999996E-4</v>
      </c>
      <c r="E7806">
        <v>0.5</v>
      </c>
      <c r="F7806">
        <v>98434</v>
      </c>
      <c r="G7806">
        <v>80</v>
      </c>
      <c r="H7806">
        <v>98394</v>
      </c>
      <c r="I7806">
        <v>4055118</v>
      </c>
    </row>
    <row r="7807" spans="1:9">
      <c r="A7807" s="2">
        <v>2020</v>
      </c>
      <c r="B7807">
        <v>33</v>
      </c>
      <c r="C7807">
        <v>9.3999999999999997E-4</v>
      </c>
      <c r="D7807">
        <v>9.3999999999999997E-4</v>
      </c>
      <c r="E7807">
        <v>0.5</v>
      </c>
      <c r="F7807">
        <v>98354</v>
      </c>
      <c r="G7807">
        <v>93</v>
      </c>
      <c r="H7807">
        <v>98307</v>
      </c>
      <c r="I7807">
        <v>3956725</v>
      </c>
    </row>
    <row r="7808" spans="1:9">
      <c r="A7808" s="2">
        <v>2020</v>
      </c>
      <c r="B7808">
        <v>34</v>
      </c>
      <c r="C7808">
        <v>1.25E-3</v>
      </c>
      <c r="D7808">
        <v>1.25E-3</v>
      </c>
      <c r="E7808">
        <v>0.5</v>
      </c>
      <c r="F7808">
        <v>98261</v>
      </c>
      <c r="G7808">
        <v>123</v>
      </c>
      <c r="H7808">
        <v>98199</v>
      </c>
      <c r="I7808">
        <v>3858418</v>
      </c>
    </row>
    <row r="7809" spans="1:9">
      <c r="A7809" s="2">
        <v>2020</v>
      </c>
      <c r="B7809">
        <v>35</v>
      </c>
      <c r="C7809">
        <v>1.1999999999999999E-3</v>
      </c>
      <c r="D7809">
        <v>1.1999999999999999E-3</v>
      </c>
      <c r="E7809">
        <v>0.5</v>
      </c>
      <c r="F7809">
        <v>98138</v>
      </c>
      <c r="G7809">
        <v>117</v>
      </c>
      <c r="H7809">
        <v>98079</v>
      </c>
      <c r="I7809">
        <v>3760218</v>
      </c>
    </row>
    <row r="7810" spans="1:9">
      <c r="A7810" s="2">
        <v>2020</v>
      </c>
      <c r="B7810">
        <v>36</v>
      </c>
      <c r="C7810">
        <v>1.3799999999999999E-3</v>
      </c>
      <c r="D7810">
        <v>1.3799999999999999E-3</v>
      </c>
      <c r="E7810">
        <v>0.5</v>
      </c>
      <c r="F7810">
        <v>98020</v>
      </c>
      <c r="G7810">
        <v>135</v>
      </c>
      <c r="H7810">
        <v>97953</v>
      </c>
      <c r="I7810">
        <v>3662139</v>
      </c>
    </row>
    <row r="7811" spans="1:9">
      <c r="A7811" s="2">
        <v>2020</v>
      </c>
      <c r="B7811">
        <v>37</v>
      </c>
      <c r="C7811">
        <v>1.57E-3</v>
      </c>
      <c r="D7811">
        <v>1.57E-3</v>
      </c>
      <c r="E7811">
        <v>0.5</v>
      </c>
      <c r="F7811">
        <v>97885</v>
      </c>
      <c r="G7811">
        <v>153</v>
      </c>
      <c r="H7811">
        <v>97808</v>
      </c>
      <c r="I7811">
        <v>3564187</v>
      </c>
    </row>
    <row r="7812" spans="1:9">
      <c r="A7812" s="2">
        <v>2020</v>
      </c>
      <c r="B7812">
        <v>38</v>
      </c>
      <c r="C7812">
        <v>1.5900000000000001E-3</v>
      </c>
      <c r="D7812">
        <v>1.5900000000000001E-3</v>
      </c>
      <c r="E7812">
        <v>0.5</v>
      </c>
      <c r="F7812">
        <v>97732</v>
      </c>
      <c r="G7812">
        <v>155</v>
      </c>
      <c r="H7812">
        <v>97654</v>
      </c>
      <c r="I7812">
        <v>3466378</v>
      </c>
    </row>
    <row r="7813" spans="1:9">
      <c r="A7813" s="2">
        <v>2020</v>
      </c>
      <c r="B7813">
        <v>39</v>
      </c>
      <c r="C7813">
        <v>1.73E-3</v>
      </c>
      <c r="D7813">
        <v>1.73E-3</v>
      </c>
      <c r="E7813">
        <v>0.5</v>
      </c>
      <c r="F7813">
        <v>97576</v>
      </c>
      <c r="G7813">
        <v>169</v>
      </c>
      <c r="H7813">
        <v>97492</v>
      </c>
      <c r="I7813">
        <v>3368724</v>
      </c>
    </row>
    <row r="7814" spans="1:9">
      <c r="A7814" s="2">
        <v>2020</v>
      </c>
      <c r="B7814">
        <v>40</v>
      </c>
      <c r="C7814">
        <v>1.72E-3</v>
      </c>
      <c r="D7814">
        <v>1.7099999999999999E-3</v>
      </c>
      <c r="E7814">
        <v>0.5</v>
      </c>
      <c r="F7814">
        <v>97408</v>
      </c>
      <c r="G7814">
        <v>167</v>
      </c>
      <c r="H7814">
        <v>97324</v>
      </c>
      <c r="I7814">
        <v>3271232</v>
      </c>
    </row>
    <row r="7815" spans="1:9">
      <c r="A7815" s="2">
        <v>2020</v>
      </c>
      <c r="B7815">
        <v>41</v>
      </c>
      <c r="C7815">
        <v>2.1099999999999999E-3</v>
      </c>
      <c r="D7815">
        <v>2.0999999999999999E-3</v>
      </c>
      <c r="E7815">
        <v>0.5</v>
      </c>
      <c r="F7815">
        <v>97241</v>
      </c>
      <c r="G7815">
        <v>204</v>
      </c>
      <c r="H7815">
        <v>97139</v>
      </c>
      <c r="I7815">
        <v>3173908</v>
      </c>
    </row>
    <row r="7816" spans="1:9">
      <c r="A7816" s="2">
        <v>2020</v>
      </c>
      <c r="B7816">
        <v>42</v>
      </c>
      <c r="C7816">
        <v>2.1800000000000001E-3</v>
      </c>
      <c r="D7816">
        <v>2.1800000000000001E-3</v>
      </c>
      <c r="E7816">
        <v>0.5</v>
      </c>
      <c r="F7816">
        <v>97036</v>
      </c>
      <c r="G7816">
        <v>211</v>
      </c>
      <c r="H7816">
        <v>96931</v>
      </c>
      <c r="I7816">
        <v>3076769</v>
      </c>
    </row>
    <row r="7817" spans="1:9">
      <c r="A7817" s="2">
        <v>2020</v>
      </c>
      <c r="B7817">
        <v>43</v>
      </c>
      <c r="C7817">
        <v>2.63E-3</v>
      </c>
      <c r="D7817">
        <v>2.63E-3</v>
      </c>
      <c r="E7817">
        <v>0.5</v>
      </c>
      <c r="F7817">
        <v>96825</v>
      </c>
      <c r="G7817">
        <v>255</v>
      </c>
      <c r="H7817">
        <v>96698</v>
      </c>
      <c r="I7817">
        <v>2979838</v>
      </c>
    </row>
    <row r="7818" spans="1:9">
      <c r="A7818" s="2">
        <v>2020</v>
      </c>
      <c r="B7818">
        <v>44</v>
      </c>
      <c r="C7818">
        <v>2.82E-3</v>
      </c>
      <c r="D7818">
        <v>2.81E-3</v>
      </c>
      <c r="E7818">
        <v>0.5</v>
      </c>
      <c r="F7818">
        <v>96570</v>
      </c>
      <c r="G7818">
        <v>272</v>
      </c>
      <c r="H7818">
        <v>96435</v>
      </c>
      <c r="I7818">
        <v>2883140</v>
      </c>
    </row>
    <row r="7819" spans="1:9">
      <c r="A7819" s="2">
        <v>2020</v>
      </c>
      <c r="B7819">
        <v>45</v>
      </c>
      <c r="C7819">
        <v>3.64E-3</v>
      </c>
      <c r="D7819">
        <v>3.63E-3</v>
      </c>
      <c r="E7819">
        <v>0.5</v>
      </c>
      <c r="F7819">
        <v>96299</v>
      </c>
      <c r="G7819">
        <v>350</v>
      </c>
      <c r="H7819">
        <v>96124</v>
      </c>
      <c r="I7819">
        <v>2786706</v>
      </c>
    </row>
    <row r="7820" spans="1:9">
      <c r="A7820" s="2">
        <v>2020</v>
      </c>
      <c r="B7820">
        <v>46</v>
      </c>
      <c r="C7820">
        <v>3.6600000000000001E-3</v>
      </c>
      <c r="D7820">
        <v>3.6600000000000001E-3</v>
      </c>
      <c r="E7820">
        <v>0.5</v>
      </c>
      <c r="F7820">
        <v>95949</v>
      </c>
      <c r="G7820">
        <v>351</v>
      </c>
      <c r="H7820">
        <v>95774</v>
      </c>
      <c r="I7820">
        <v>2690582</v>
      </c>
    </row>
    <row r="7821" spans="1:9">
      <c r="A7821" s="2">
        <v>2020</v>
      </c>
      <c r="B7821">
        <v>47</v>
      </c>
      <c r="C7821">
        <v>4.8799999999999998E-3</v>
      </c>
      <c r="D7821">
        <v>4.8599999999999997E-3</v>
      </c>
      <c r="E7821">
        <v>0.5</v>
      </c>
      <c r="F7821">
        <v>95598</v>
      </c>
      <c r="G7821">
        <v>465</v>
      </c>
      <c r="H7821">
        <v>95366</v>
      </c>
      <c r="I7821">
        <v>2594808</v>
      </c>
    </row>
    <row r="7822" spans="1:9">
      <c r="A7822" s="2">
        <v>2020</v>
      </c>
      <c r="B7822">
        <v>48</v>
      </c>
      <c r="C7822">
        <v>4.8900000000000002E-3</v>
      </c>
      <c r="D7822">
        <v>4.8799999999999998E-3</v>
      </c>
      <c r="E7822">
        <v>0.5</v>
      </c>
      <c r="F7822">
        <v>95133</v>
      </c>
      <c r="G7822">
        <v>464</v>
      </c>
      <c r="H7822">
        <v>94901</v>
      </c>
      <c r="I7822">
        <v>2499442</v>
      </c>
    </row>
    <row r="7823" spans="1:9">
      <c r="A7823" s="2">
        <v>2020</v>
      </c>
      <c r="B7823">
        <v>49</v>
      </c>
      <c r="C7823">
        <v>5.5300000000000002E-3</v>
      </c>
      <c r="D7823">
        <v>5.5199999999999997E-3</v>
      </c>
      <c r="E7823">
        <v>0.5</v>
      </c>
      <c r="F7823">
        <v>94669</v>
      </c>
      <c r="G7823">
        <v>522</v>
      </c>
      <c r="H7823">
        <v>94408</v>
      </c>
      <c r="I7823">
        <v>2404541</v>
      </c>
    </row>
    <row r="7824" spans="1:9">
      <c r="A7824" s="2">
        <v>2020</v>
      </c>
      <c r="B7824">
        <v>50</v>
      </c>
      <c r="C7824">
        <v>6.3200000000000001E-3</v>
      </c>
      <c r="D7824">
        <v>6.3E-3</v>
      </c>
      <c r="E7824">
        <v>0.5</v>
      </c>
      <c r="F7824">
        <v>94147</v>
      </c>
      <c r="G7824">
        <v>593</v>
      </c>
      <c r="H7824">
        <v>93850</v>
      </c>
      <c r="I7824">
        <v>2310133</v>
      </c>
    </row>
    <row r="7825" spans="1:9">
      <c r="A7825" s="2">
        <v>2020</v>
      </c>
      <c r="B7825">
        <v>51</v>
      </c>
      <c r="C7825">
        <v>7.4400000000000004E-3</v>
      </c>
      <c r="D7825">
        <v>7.4099999999999999E-3</v>
      </c>
      <c r="E7825">
        <v>0.5</v>
      </c>
      <c r="F7825">
        <v>93554</v>
      </c>
      <c r="G7825">
        <v>693</v>
      </c>
      <c r="H7825">
        <v>93207</v>
      </c>
      <c r="I7825">
        <v>2216283</v>
      </c>
    </row>
    <row r="7826" spans="1:9">
      <c r="A7826" s="2">
        <v>2020</v>
      </c>
      <c r="B7826">
        <v>52</v>
      </c>
      <c r="C7826">
        <v>8.9200000000000008E-3</v>
      </c>
      <c r="D7826">
        <v>8.8800000000000007E-3</v>
      </c>
      <c r="E7826">
        <v>0.5</v>
      </c>
      <c r="F7826">
        <v>92860</v>
      </c>
      <c r="G7826">
        <v>825</v>
      </c>
      <c r="H7826">
        <v>92448</v>
      </c>
      <c r="I7826">
        <v>2123076</v>
      </c>
    </row>
    <row r="7827" spans="1:9">
      <c r="A7827" s="2">
        <v>2020</v>
      </c>
      <c r="B7827">
        <v>53</v>
      </c>
      <c r="C7827">
        <v>1.059E-2</v>
      </c>
      <c r="D7827">
        <v>1.0540000000000001E-2</v>
      </c>
      <c r="E7827">
        <v>0.5</v>
      </c>
      <c r="F7827">
        <v>92036</v>
      </c>
      <c r="G7827">
        <v>970</v>
      </c>
      <c r="H7827">
        <v>91551</v>
      </c>
      <c r="I7827">
        <v>2030628</v>
      </c>
    </row>
    <row r="7828" spans="1:9">
      <c r="A7828" s="2">
        <v>2020</v>
      </c>
      <c r="B7828">
        <v>54</v>
      </c>
      <c r="C7828">
        <v>1.14E-2</v>
      </c>
      <c r="D7828">
        <v>1.1339999999999999E-2</v>
      </c>
      <c r="E7828">
        <v>0.5</v>
      </c>
      <c r="F7828">
        <v>91066</v>
      </c>
      <c r="G7828">
        <v>1032</v>
      </c>
      <c r="H7828">
        <v>90550</v>
      </c>
      <c r="I7828">
        <v>1939077</v>
      </c>
    </row>
    <row r="7829" spans="1:9">
      <c r="A7829" s="2">
        <v>2020</v>
      </c>
      <c r="B7829">
        <v>55</v>
      </c>
      <c r="C7829">
        <v>1.3610000000000001E-2</v>
      </c>
      <c r="D7829">
        <v>1.3520000000000001E-2</v>
      </c>
      <c r="E7829">
        <v>0.5</v>
      </c>
      <c r="F7829">
        <v>90034</v>
      </c>
      <c r="G7829">
        <v>1217</v>
      </c>
      <c r="H7829">
        <v>89425</v>
      </c>
      <c r="I7829">
        <v>1848527</v>
      </c>
    </row>
    <row r="7830" spans="1:9">
      <c r="A7830" s="2">
        <v>2020</v>
      </c>
      <c r="B7830">
        <v>56</v>
      </c>
      <c r="C7830">
        <v>1.4080000000000001E-2</v>
      </c>
      <c r="D7830">
        <v>1.3979999999999999E-2</v>
      </c>
      <c r="E7830">
        <v>0.5</v>
      </c>
      <c r="F7830">
        <v>88816</v>
      </c>
      <c r="G7830">
        <v>1241</v>
      </c>
      <c r="H7830">
        <v>88195</v>
      </c>
      <c r="I7830">
        <v>1759102</v>
      </c>
    </row>
    <row r="7831" spans="1:9">
      <c r="A7831" s="2">
        <v>2020</v>
      </c>
      <c r="B7831">
        <v>57</v>
      </c>
      <c r="C7831">
        <v>1.532E-2</v>
      </c>
      <c r="D7831">
        <v>1.52E-2</v>
      </c>
      <c r="E7831">
        <v>0.5</v>
      </c>
      <c r="F7831">
        <v>87575</v>
      </c>
      <c r="G7831">
        <v>1331</v>
      </c>
      <c r="H7831">
        <v>86909</v>
      </c>
      <c r="I7831">
        <v>1670907</v>
      </c>
    </row>
    <row r="7832" spans="1:9">
      <c r="A7832" s="2">
        <v>2020</v>
      </c>
      <c r="B7832">
        <v>58</v>
      </c>
      <c r="C7832">
        <v>1.8370000000000001E-2</v>
      </c>
      <c r="D7832">
        <v>1.821E-2</v>
      </c>
      <c r="E7832">
        <v>0.5</v>
      </c>
      <c r="F7832">
        <v>86243</v>
      </c>
      <c r="G7832">
        <v>1570</v>
      </c>
      <c r="H7832">
        <v>85458</v>
      </c>
      <c r="I7832">
        <v>1583998</v>
      </c>
    </row>
    <row r="7833" spans="1:9">
      <c r="A7833" s="2">
        <v>2020</v>
      </c>
      <c r="B7833">
        <v>59</v>
      </c>
      <c r="C7833">
        <v>1.89E-2</v>
      </c>
      <c r="D7833">
        <v>1.8720000000000001E-2</v>
      </c>
      <c r="E7833">
        <v>0.5</v>
      </c>
      <c r="F7833">
        <v>84673</v>
      </c>
      <c r="G7833">
        <v>1585</v>
      </c>
      <c r="H7833">
        <v>83881</v>
      </c>
      <c r="I7833">
        <v>1498540</v>
      </c>
    </row>
    <row r="7834" spans="1:9">
      <c r="A7834" s="2">
        <v>2020</v>
      </c>
      <c r="B7834">
        <v>60</v>
      </c>
      <c r="C7834">
        <v>2.1669999999999998E-2</v>
      </c>
      <c r="D7834">
        <v>2.1440000000000001E-2</v>
      </c>
      <c r="E7834">
        <v>0.5</v>
      </c>
      <c r="F7834">
        <v>83088</v>
      </c>
      <c r="G7834">
        <v>1782</v>
      </c>
      <c r="H7834">
        <v>82198</v>
      </c>
      <c r="I7834">
        <v>1414659</v>
      </c>
    </row>
    <row r="7835" spans="1:9">
      <c r="A7835" s="2">
        <v>2020</v>
      </c>
      <c r="B7835">
        <v>61</v>
      </c>
      <c r="C7835">
        <v>2.41E-2</v>
      </c>
      <c r="D7835">
        <v>2.3810000000000001E-2</v>
      </c>
      <c r="E7835">
        <v>0.5</v>
      </c>
      <c r="F7835">
        <v>81307</v>
      </c>
      <c r="G7835">
        <v>1936</v>
      </c>
      <c r="H7835">
        <v>80339</v>
      </c>
      <c r="I7835">
        <v>1332461</v>
      </c>
    </row>
    <row r="7836" spans="1:9">
      <c r="A7836" s="2">
        <v>2020</v>
      </c>
      <c r="B7836">
        <v>62</v>
      </c>
      <c r="C7836">
        <v>2.5219999999999999E-2</v>
      </c>
      <c r="D7836">
        <v>2.4910000000000002E-2</v>
      </c>
      <c r="E7836">
        <v>0.5</v>
      </c>
      <c r="F7836">
        <v>79371</v>
      </c>
      <c r="G7836">
        <v>1977</v>
      </c>
      <c r="H7836">
        <v>78382</v>
      </c>
      <c r="I7836">
        <v>1252122</v>
      </c>
    </row>
    <row r="7837" spans="1:9">
      <c r="A7837" s="2">
        <v>2020</v>
      </c>
      <c r="B7837">
        <v>63</v>
      </c>
      <c r="C7837">
        <v>2.7490000000000001E-2</v>
      </c>
      <c r="D7837">
        <v>2.7119999999999998E-2</v>
      </c>
      <c r="E7837">
        <v>0.5</v>
      </c>
      <c r="F7837">
        <v>77394</v>
      </c>
      <c r="G7837">
        <v>2099</v>
      </c>
      <c r="H7837">
        <v>76344</v>
      </c>
      <c r="I7837">
        <v>1173740</v>
      </c>
    </row>
    <row r="7838" spans="1:9">
      <c r="A7838" s="2">
        <v>2020</v>
      </c>
      <c r="B7838">
        <v>64</v>
      </c>
      <c r="C7838">
        <v>3.1910000000000001E-2</v>
      </c>
      <c r="D7838">
        <v>3.141E-2</v>
      </c>
      <c r="E7838">
        <v>0.5</v>
      </c>
      <c r="F7838">
        <v>75295</v>
      </c>
      <c r="G7838">
        <v>2365</v>
      </c>
      <c r="H7838">
        <v>74112</v>
      </c>
      <c r="I7838">
        <v>1097396</v>
      </c>
    </row>
    <row r="7839" spans="1:9">
      <c r="A7839" s="2">
        <v>2020</v>
      </c>
      <c r="B7839">
        <v>65</v>
      </c>
      <c r="C7839">
        <v>3.3169999999999998E-2</v>
      </c>
      <c r="D7839">
        <v>3.2620000000000003E-2</v>
      </c>
      <c r="E7839">
        <v>0.5</v>
      </c>
      <c r="F7839">
        <v>72930</v>
      </c>
      <c r="G7839">
        <v>2379</v>
      </c>
      <c r="H7839">
        <v>71740</v>
      </c>
      <c r="I7839">
        <v>1023284</v>
      </c>
    </row>
    <row r="7840" spans="1:9">
      <c r="A7840" s="2">
        <v>2020</v>
      </c>
      <c r="B7840">
        <v>66</v>
      </c>
      <c r="C7840">
        <v>3.5349999999999999E-2</v>
      </c>
      <c r="D7840">
        <v>3.474E-2</v>
      </c>
      <c r="E7840">
        <v>0.5</v>
      </c>
      <c r="F7840">
        <v>70551</v>
      </c>
      <c r="G7840">
        <v>2451</v>
      </c>
      <c r="H7840">
        <v>69325</v>
      </c>
      <c r="I7840">
        <v>951543</v>
      </c>
    </row>
    <row r="7841" spans="1:9">
      <c r="A7841" s="2">
        <v>2020</v>
      </c>
      <c r="B7841">
        <v>67</v>
      </c>
      <c r="C7841">
        <v>3.6450000000000003E-2</v>
      </c>
      <c r="D7841">
        <v>3.5799999999999998E-2</v>
      </c>
      <c r="E7841">
        <v>0.5</v>
      </c>
      <c r="F7841">
        <v>68100</v>
      </c>
      <c r="G7841">
        <v>2438</v>
      </c>
      <c r="H7841">
        <v>66881</v>
      </c>
      <c r="I7841">
        <v>882218</v>
      </c>
    </row>
    <row r="7842" spans="1:9">
      <c r="A7842" s="2">
        <v>2020</v>
      </c>
      <c r="B7842">
        <v>68</v>
      </c>
      <c r="C7842">
        <v>3.9510000000000003E-2</v>
      </c>
      <c r="D7842">
        <v>3.8739999999999997E-2</v>
      </c>
      <c r="E7842">
        <v>0.5</v>
      </c>
      <c r="F7842">
        <v>65662</v>
      </c>
      <c r="G7842">
        <v>2544</v>
      </c>
      <c r="H7842">
        <v>64390</v>
      </c>
      <c r="I7842">
        <v>815337</v>
      </c>
    </row>
    <row r="7843" spans="1:9">
      <c r="A7843" s="2">
        <v>2020</v>
      </c>
      <c r="B7843">
        <v>69</v>
      </c>
      <c r="C7843">
        <v>4.1140000000000003E-2</v>
      </c>
      <c r="D7843">
        <v>4.0309999999999999E-2</v>
      </c>
      <c r="E7843">
        <v>0.5</v>
      </c>
      <c r="F7843">
        <v>63118</v>
      </c>
      <c r="G7843">
        <v>2544</v>
      </c>
      <c r="H7843">
        <v>61846</v>
      </c>
      <c r="I7843">
        <v>750947</v>
      </c>
    </row>
    <row r="7844" spans="1:9">
      <c r="A7844" s="2">
        <v>2020</v>
      </c>
      <c r="B7844">
        <v>70</v>
      </c>
      <c r="C7844">
        <v>4.2029999999999998E-2</v>
      </c>
      <c r="D7844">
        <v>4.1169999999999998E-2</v>
      </c>
      <c r="E7844">
        <v>0.5</v>
      </c>
      <c r="F7844">
        <v>60574</v>
      </c>
      <c r="G7844">
        <v>2494</v>
      </c>
      <c r="H7844">
        <v>59327</v>
      </c>
      <c r="I7844">
        <v>689101</v>
      </c>
    </row>
    <row r="7845" spans="1:9">
      <c r="A7845" s="2">
        <v>2020</v>
      </c>
      <c r="B7845">
        <v>71</v>
      </c>
      <c r="C7845">
        <v>4.5609999999999998E-2</v>
      </c>
      <c r="D7845">
        <v>4.4589999999999998E-2</v>
      </c>
      <c r="E7845">
        <v>0.5</v>
      </c>
      <c r="F7845">
        <v>58080</v>
      </c>
      <c r="G7845">
        <v>2590</v>
      </c>
      <c r="H7845">
        <v>56785</v>
      </c>
      <c r="I7845">
        <v>629774</v>
      </c>
    </row>
    <row r="7846" spans="1:9">
      <c r="A7846" s="2">
        <v>2020</v>
      </c>
      <c r="B7846">
        <v>72</v>
      </c>
      <c r="C7846">
        <v>5.1279999999999999E-2</v>
      </c>
      <c r="D7846">
        <v>0.05</v>
      </c>
      <c r="E7846">
        <v>0.5</v>
      </c>
      <c r="F7846">
        <v>55490</v>
      </c>
      <c r="G7846">
        <v>2775</v>
      </c>
      <c r="H7846">
        <v>54103</v>
      </c>
      <c r="I7846">
        <v>572989</v>
      </c>
    </row>
    <row r="7847" spans="1:9">
      <c r="A7847" s="2">
        <v>2020</v>
      </c>
      <c r="B7847">
        <v>73</v>
      </c>
      <c r="C7847">
        <v>5.3510000000000002E-2</v>
      </c>
      <c r="D7847">
        <v>5.212E-2</v>
      </c>
      <c r="E7847">
        <v>0.5</v>
      </c>
      <c r="F7847">
        <v>52716</v>
      </c>
      <c r="G7847">
        <v>2747</v>
      </c>
      <c r="H7847">
        <v>51342</v>
      </c>
      <c r="I7847">
        <v>518886</v>
      </c>
    </row>
    <row r="7848" spans="1:9">
      <c r="A7848" s="2">
        <v>2020</v>
      </c>
      <c r="B7848">
        <v>74</v>
      </c>
      <c r="C7848">
        <v>5.2789999999999997E-2</v>
      </c>
      <c r="D7848">
        <v>5.144E-2</v>
      </c>
      <c r="E7848">
        <v>0.5</v>
      </c>
      <c r="F7848">
        <v>49969</v>
      </c>
      <c r="G7848">
        <v>2570</v>
      </c>
      <c r="H7848">
        <v>48683</v>
      </c>
      <c r="I7848">
        <v>467543</v>
      </c>
    </row>
    <row r="7849" spans="1:9">
      <c r="A7849" s="2">
        <v>2020</v>
      </c>
      <c r="B7849">
        <v>75</v>
      </c>
      <c r="C7849">
        <v>6.3500000000000001E-2</v>
      </c>
      <c r="D7849">
        <v>6.1550000000000001E-2</v>
      </c>
      <c r="E7849">
        <v>0.5</v>
      </c>
      <c r="F7849">
        <v>47398</v>
      </c>
      <c r="G7849">
        <v>2917</v>
      </c>
      <c r="H7849">
        <v>45940</v>
      </c>
      <c r="I7849">
        <v>418860</v>
      </c>
    </row>
    <row r="7850" spans="1:9">
      <c r="A7850" s="2">
        <v>2020</v>
      </c>
      <c r="B7850">
        <v>76</v>
      </c>
      <c r="C7850">
        <v>6.8250000000000005E-2</v>
      </c>
      <c r="D7850">
        <v>6.6000000000000003E-2</v>
      </c>
      <c r="E7850">
        <v>0.5</v>
      </c>
      <c r="F7850">
        <v>44481</v>
      </c>
      <c r="G7850">
        <v>2936</v>
      </c>
      <c r="H7850">
        <v>43013</v>
      </c>
      <c r="I7850">
        <v>372920</v>
      </c>
    </row>
    <row r="7851" spans="1:9">
      <c r="A7851" s="2">
        <v>2020</v>
      </c>
      <c r="B7851">
        <v>77</v>
      </c>
      <c r="C7851">
        <v>7.0599999999999996E-2</v>
      </c>
      <c r="D7851">
        <v>6.8190000000000001E-2</v>
      </c>
      <c r="E7851">
        <v>0.5</v>
      </c>
      <c r="F7851">
        <v>41545</v>
      </c>
      <c r="G7851">
        <v>2833</v>
      </c>
      <c r="H7851">
        <v>40129</v>
      </c>
      <c r="I7851">
        <v>329907</v>
      </c>
    </row>
    <row r="7852" spans="1:9">
      <c r="A7852" s="2">
        <v>2020</v>
      </c>
      <c r="B7852">
        <v>78</v>
      </c>
      <c r="C7852">
        <v>8.0600000000000005E-2</v>
      </c>
      <c r="D7852">
        <v>7.7479999999999993E-2</v>
      </c>
      <c r="E7852">
        <v>0.5</v>
      </c>
      <c r="F7852">
        <v>38712</v>
      </c>
      <c r="G7852">
        <v>2999</v>
      </c>
      <c r="H7852">
        <v>37213</v>
      </c>
      <c r="I7852">
        <v>289778</v>
      </c>
    </row>
    <row r="7853" spans="1:9">
      <c r="A7853" s="2">
        <v>2020</v>
      </c>
      <c r="B7853">
        <v>79</v>
      </c>
      <c r="C7853">
        <v>8.2610000000000003E-2</v>
      </c>
      <c r="D7853">
        <v>7.9329999999999998E-2</v>
      </c>
      <c r="E7853">
        <v>0.5</v>
      </c>
      <c r="F7853">
        <v>35713</v>
      </c>
      <c r="G7853">
        <v>2833</v>
      </c>
      <c r="H7853">
        <v>34296</v>
      </c>
      <c r="I7853">
        <v>252566</v>
      </c>
    </row>
    <row r="7854" spans="1:9">
      <c r="A7854" s="2">
        <v>2020</v>
      </c>
      <c r="B7854">
        <v>80</v>
      </c>
      <c r="C7854">
        <v>9.6820000000000003E-2</v>
      </c>
      <c r="D7854">
        <v>9.2350000000000002E-2</v>
      </c>
      <c r="E7854">
        <v>0.5</v>
      </c>
      <c r="F7854">
        <v>32880</v>
      </c>
      <c r="G7854">
        <v>3037</v>
      </c>
      <c r="H7854">
        <v>31361</v>
      </c>
      <c r="I7854">
        <v>218269</v>
      </c>
    </row>
    <row r="7855" spans="1:9">
      <c r="A7855" s="2">
        <v>2020</v>
      </c>
      <c r="B7855">
        <v>81</v>
      </c>
      <c r="C7855">
        <v>0.10309</v>
      </c>
      <c r="D7855">
        <v>9.8040000000000002E-2</v>
      </c>
      <c r="E7855">
        <v>0.5</v>
      </c>
      <c r="F7855">
        <v>29843</v>
      </c>
      <c r="G7855">
        <v>2926</v>
      </c>
      <c r="H7855">
        <v>28380</v>
      </c>
      <c r="I7855">
        <v>186908</v>
      </c>
    </row>
    <row r="7856" spans="1:9">
      <c r="A7856" s="2">
        <v>2020</v>
      </c>
      <c r="B7856">
        <v>82</v>
      </c>
      <c r="C7856">
        <v>0.10908</v>
      </c>
      <c r="D7856">
        <v>0.10344</v>
      </c>
      <c r="E7856">
        <v>0.5</v>
      </c>
      <c r="F7856">
        <v>26917</v>
      </c>
      <c r="G7856">
        <v>2784</v>
      </c>
      <c r="H7856">
        <v>25525</v>
      </c>
      <c r="I7856">
        <v>158528</v>
      </c>
    </row>
    <row r="7857" spans="1:9">
      <c r="A7857" s="2">
        <v>2020</v>
      </c>
      <c r="B7857">
        <v>83</v>
      </c>
      <c r="C7857">
        <v>0.13174</v>
      </c>
      <c r="D7857">
        <v>0.1236</v>
      </c>
      <c r="E7857">
        <v>0.5</v>
      </c>
      <c r="F7857">
        <v>24133</v>
      </c>
      <c r="G7857">
        <v>2983</v>
      </c>
      <c r="H7857">
        <v>22642</v>
      </c>
      <c r="I7857">
        <v>133003</v>
      </c>
    </row>
    <row r="7858" spans="1:9">
      <c r="A7858" s="2">
        <v>2020</v>
      </c>
      <c r="B7858">
        <v>84</v>
      </c>
      <c r="C7858">
        <v>0.13482</v>
      </c>
      <c r="D7858">
        <v>0.12631000000000001</v>
      </c>
      <c r="E7858">
        <v>0.5</v>
      </c>
      <c r="F7858">
        <v>21150</v>
      </c>
      <c r="G7858">
        <v>2671</v>
      </c>
      <c r="H7858">
        <v>19815</v>
      </c>
      <c r="I7858">
        <v>110361</v>
      </c>
    </row>
    <row r="7859" spans="1:9">
      <c r="A7859" s="2">
        <v>2020</v>
      </c>
      <c r="B7859">
        <v>85</v>
      </c>
      <c r="C7859">
        <v>0.15537000000000001</v>
      </c>
      <c r="D7859">
        <v>0.14416999999999999</v>
      </c>
      <c r="E7859">
        <v>0.5</v>
      </c>
      <c r="F7859">
        <v>18479</v>
      </c>
      <c r="G7859">
        <v>2664</v>
      </c>
      <c r="H7859">
        <v>17147</v>
      </c>
      <c r="I7859">
        <v>90546</v>
      </c>
    </row>
    <row r="7860" spans="1:9">
      <c r="A7860" s="2">
        <v>2020</v>
      </c>
      <c r="B7860">
        <v>86</v>
      </c>
      <c r="C7860">
        <v>0.17978</v>
      </c>
      <c r="D7860">
        <v>0.16495000000000001</v>
      </c>
      <c r="E7860">
        <v>0.5</v>
      </c>
      <c r="F7860">
        <v>15815</v>
      </c>
      <c r="G7860">
        <v>2609</v>
      </c>
      <c r="H7860">
        <v>14510</v>
      </c>
      <c r="I7860">
        <v>73399</v>
      </c>
    </row>
    <row r="7861" spans="1:9">
      <c r="A7861" s="2">
        <v>2020</v>
      </c>
      <c r="B7861">
        <v>87</v>
      </c>
      <c r="C7861">
        <v>0.17649999999999999</v>
      </c>
      <c r="D7861">
        <v>0.16219</v>
      </c>
      <c r="E7861">
        <v>0.5</v>
      </c>
      <c r="F7861">
        <v>13206</v>
      </c>
      <c r="G7861">
        <v>2142</v>
      </c>
      <c r="H7861">
        <v>12135</v>
      </c>
      <c r="I7861">
        <v>58889</v>
      </c>
    </row>
    <row r="7862" spans="1:9">
      <c r="A7862" s="2">
        <v>2020</v>
      </c>
      <c r="B7862">
        <v>88</v>
      </c>
      <c r="C7862">
        <v>0.20468</v>
      </c>
      <c r="D7862">
        <v>0.18568000000000001</v>
      </c>
      <c r="E7862">
        <v>0.5</v>
      </c>
      <c r="F7862">
        <v>11064</v>
      </c>
      <c r="G7862">
        <v>2054</v>
      </c>
      <c r="H7862">
        <v>10037</v>
      </c>
      <c r="I7862">
        <v>46754</v>
      </c>
    </row>
    <row r="7863" spans="1:9">
      <c r="A7863" s="2">
        <v>2020</v>
      </c>
      <c r="B7863">
        <v>89</v>
      </c>
      <c r="C7863">
        <v>0.20366999999999999</v>
      </c>
      <c r="D7863">
        <v>0.18484999999999999</v>
      </c>
      <c r="E7863">
        <v>0.5</v>
      </c>
      <c r="F7863">
        <v>9010</v>
      </c>
      <c r="G7863">
        <v>1665</v>
      </c>
      <c r="H7863">
        <v>8177</v>
      </c>
      <c r="I7863">
        <v>36717</v>
      </c>
    </row>
    <row r="7864" spans="1:9">
      <c r="A7864" s="2">
        <v>2020</v>
      </c>
      <c r="B7864">
        <v>90</v>
      </c>
      <c r="C7864">
        <v>0.19056999999999999</v>
      </c>
      <c r="D7864">
        <v>0.17399000000000001</v>
      </c>
      <c r="E7864">
        <v>0.5</v>
      </c>
      <c r="F7864">
        <v>7344</v>
      </c>
      <c r="G7864">
        <v>1278</v>
      </c>
      <c r="H7864">
        <v>6705</v>
      </c>
      <c r="I7864">
        <v>28540</v>
      </c>
    </row>
    <row r="7865" spans="1:9">
      <c r="A7865" s="2">
        <v>2020</v>
      </c>
      <c r="B7865">
        <v>91</v>
      </c>
      <c r="C7865">
        <v>0.21471999999999999</v>
      </c>
      <c r="D7865">
        <v>0.19389999999999999</v>
      </c>
      <c r="E7865">
        <v>0.5</v>
      </c>
      <c r="F7865">
        <v>6067</v>
      </c>
      <c r="G7865">
        <v>1176</v>
      </c>
      <c r="H7865">
        <v>5478</v>
      </c>
      <c r="I7865">
        <v>21834</v>
      </c>
    </row>
    <row r="7866" spans="1:9">
      <c r="A7866" s="2">
        <v>2020</v>
      </c>
      <c r="B7866">
        <v>92</v>
      </c>
      <c r="C7866">
        <v>0.25390000000000001</v>
      </c>
      <c r="D7866">
        <v>0.2253</v>
      </c>
      <c r="E7866">
        <v>0.5</v>
      </c>
      <c r="F7866">
        <v>4890</v>
      </c>
      <c r="G7866">
        <v>1102</v>
      </c>
      <c r="H7866">
        <v>4339</v>
      </c>
      <c r="I7866">
        <v>16356</v>
      </c>
    </row>
    <row r="7867" spans="1:9">
      <c r="A7867" s="2">
        <v>2020</v>
      </c>
      <c r="B7867">
        <v>93</v>
      </c>
      <c r="C7867">
        <v>0.26413999999999999</v>
      </c>
      <c r="D7867">
        <v>0.23332</v>
      </c>
      <c r="E7867">
        <v>0.5</v>
      </c>
      <c r="F7867">
        <v>3788</v>
      </c>
      <c r="G7867">
        <v>884</v>
      </c>
      <c r="H7867">
        <v>3346</v>
      </c>
      <c r="I7867">
        <v>12017</v>
      </c>
    </row>
    <row r="7868" spans="1:9">
      <c r="A7868" s="2">
        <v>2020</v>
      </c>
      <c r="B7868">
        <v>94</v>
      </c>
      <c r="C7868">
        <v>0.29149000000000003</v>
      </c>
      <c r="D7868">
        <v>0.25441000000000003</v>
      </c>
      <c r="E7868">
        <v>0.5</v>
      </c>
      <c r="F7868">
        <v>2905</v>
      </c>
      <c r="G7868">
        <v>739</v>
      </c>
      <c r="H7868">
        <v>2535</v>
      </c>
      <c r="I7868">
        <v>8670</v>
      </c>
    </row>
    <row r="7869" spans="1:9">
      <c r="A7869" s="2">
        <v>2020</v>
      </c>
      <c r="B7869">
        <v>95</v>
      </c>
      <c r="C7869">
        <v>0.30957000000000001</v>
      </c>
      <c r="D7869">
        <v>0.26806999999999997</v>
      </c>
      <c r="E7869">
        <v>0.5</v>
      </c>
      <c r="F7869">
        <v>2166</v>
      </c>
      <c r="G7869">
        <v>581</v>
      </c>
      <c r="H7869">
        <v>1875</v>
      </c>
      <c r="I7869">
        <v>6135</v>
      </c>
    </row>
    <row r="7870" spans="1:9">
      <c r="A7870" s="2">
        <v>2020</v>
      </c>
      <c r="B7870">
        <v>96</v>
      </c>
      <c r="C7870">
        <v>0.3301</v>
      </c>
      <c r="D7870">
        <v>0.28333999999999998</v>
      </c>
      <c r="E7870">
        <v>0.5</v>
      </c>
      <c r="F7870">
        <v>1585</v>
      </c>
      <c r="G7870">
        <v>449</v>
      </c>
      <c r="H7870">
        <v>1360</v>
      </c>
      <c r="I7870">
        <v>4260</v>
      </c>
    </row>
    <row r="7871" spans="1:9">
      <c r="A7871" s="2">
        <v>2020</v>
      </c>
      <c r="B7871">
        <v>97</v>
      </c>
      <c r="C7871">
        <v>0.3513</v>
      </c>
      <c r="D7871">
        <v>0.29881999999999997</v>
      </c>
      <c r="E7871">
        <v>0.5</v>
      </c>
      <c r="F7871">
        <v>1136</v>
      </c>
      <c r="G7871">
        <v>339</v>
      </c>
      <c r="H7871">
        <v>966</v>
      </c>
      <c r="I7871">
        <v>2899</v>
      </c>
    </row>
    <row r="7872" spans="1:9">
      <c r="A7872" s="2">
        <v>2020</v>
      </c>
      <c r="B7872">
        <v>98</v>
      </c>
      <c r="C7872">
        <v>0.37311</v>
      </c>
      <c r="D7872">
        <v>0.31445000000000001</v>
      </c>
      <c r="E7872">
        <v>0.5</v>
      </c>
      <c r="F7872">
        <v>797</v>
      </c>
      <c r="G7872">
        <v>250</v>
      </c>
      <c r="H7872">
        <v>671</v>
      </c>
      <c r="I7872">
        <v>1933</v>
      </c>
    </row>
    <row r="7873" spans="1:9">
      <c r="A7873" s="2">
        <v>2020</v>
      </c>
      <c r="B7873">
        <v>99</v>
      </c>
      <c r="C7873">
        <v>0.39544000000000001</v>
      </c>
      <c r="D7873">
        <v>0.33016000000000001</v>
      </c>
      <c r="E7873">
        <v>0.5</v>
      </c>
      <c r="F7873">
        <v>546</v>
      </c>
      <c r="G7873">
        <v>180</v>
      </c>
      <c r="H7873">
        <v>456</v>
      </c>
      <c r="I7873">
        <v>1262</v>
      </c>
    </row>
    <row r="7874" spans="1:9">
      <c r="A7874" s="2">
        <v>2020</v>
      </c>
      <c r="B7874">
        <v>100</v>
      </c>
      <c r="C7874">
        <v>0.41821999999999998</v>
      </c>
      <c r="D7874">
        <v>0.34588999999999998</v>
      </c>
      <c r="E7874">
        <v>0.5</v>
      </c>
      <c r="F7874">
        <v>366</v>
      </c>
      <c r="G7874">
        <v>127</v>
      </c>
      <c r="H7874">
        <v>303</v>
      </c>
      <c r="I7874">
        <v>806</v>
      </c>
    </row>
    <row r="7875" spans="1:9">
      <c r="A7875" s="2">
        <v>2020</v>
      </c>
      <c r="B7875">
        <v>101</v>
      </c>
      <c r="C7875">
        <v>0.44135000000000002</v>
      </c>
      <c r="D7875">
        <v>0.36155999999999999</v>
      </c>
      <c r="E7875">
        <v>0.5</v>
      </c>
      <c r="F7875">
        <v>239</v>
      </c>
      <c r="G7875">
        <v>87</v>
      </c>
      <c r="H7875">
        <v>196</v>
      </c>
      <c r="I7875">
        <v>503</v>
      </c>
    </row>
    <row r="7876" spans="1:9">
      <c r="A7876" s="2">
        <v>2020</v>
      </c>
      <c r="B7876">
        <v>102</v>
      </c>
      <c r="C7876">
        <v>0.46473999999999999</v>
      </c>
      <c r="D7876">
        <v>0.37711</v>
      </c>
      <c r="E7876">
        <v>0.5</v>
      </c>
      <c r="F7876">
        <v>153</v>
      </c>
      <c r="G7876">
        <v>58</v>
      </c>
      <c r="H7876">
        <v>124</v>
      </c>
      <c r="I7876">
        <v>307</v>
      </c>
    </row>
    <row r="7877" spans="1:9">
      <c r="A7877" s="2">
        <v>2020</v>
      </c>
      <c r="B7877">
        <v>103</v>
      </c>
      <c r="C7877">
        <v>0.48829</v>
      </c>
      <c r="D7877">
        <v>0.39246999999999999</v>
      </c>
      <c r="E7877">
        <v>0.5</v>
      </c>
      <c r="F7877">
        <v>95</v>
      </c>
      <c r="G7877">
        <v>37</v>
      </c>
      <c r="H7877">
        <v>76</v>
      </c>
      <c r="I7877">
        <v>183</v>
      </c>
    </row>
    <row r="7878" spans="1:9">
      <c r="A7878" s="2">
        <v>2020</v>
      </c>
      <c r="B7878">
        <v>104</v>
      </c>
      <c r="C7878">
        <v>0.51188999999999996</v>
      </c>
      <c r="D7878">
        <v>0.40756999999999999</v>
      </c>
      <c r="E7878">
        <v>0.5</v>
      </c>
      <c r="F7878">
        <v>58</v>
      </c>
      <c r="G7878">
        <v>24</v>
      </c>
      <c r="H7878">
        <v>46</v>
      </c>
      <c r="I7878">
        <v>107</v>
      </c>
    </row>
    <row r="7879" spans="1:9">
      <c r="A7879" s="2">
        <v>2020</v>
      </c>
      <c r="B7879">
        <v>105</v>
      </c>
      <c r="C7879">
        <v>0.53542999999999996</v>
      </c>
      <c r="D7879">
        <v>0.42236000000000001</v>
      </c>
      <c r="E7879">
        <v>0.5</v>
      </c>
      <c r="F7879">
        <v>34</v>
      </c>
      <c r="G7879">
        <v>14</v>
      </c>
      <c r="H7879">
        <v>27</v>
      </c>
      <c r="I7879">
        <v>61</v>
      </c>
    </row>
    <row r="7880" spans="1:9">
      <c r="A7880" s="2">
        <v>2020</v>
      </c>
      <c r="B7880">
        <v>106</v>
      </c>
      <c r="C7880">
        <v>0.55881999999999998</v>
      </c>
      <c r="D7880">
        <v>0.43678</v>
      </c>
      <c r="E7880">
        <v>0.5</v>
      </c>
      <c r="F7880">
        <v>20</v>
      </c>
      <c r="G7880">
        <v>9</v>
      </c>
      <c r="H7880">
        <v>15</v>
      </c>
      <c r="I7880">
        <v>34</v>
      </c>
    </row>
    <row r="7881" spans="1:9">
      <c r="A7881" s="2">
        <v>2020</v>
      </c>
      <c r="B7881">
        <v>107</v>
      </c>
      <c r="C7881">
        <v>0.58194999999999997</v>
      </c>
      <c r="D7881">
        <v>0.45078000000000001</v>
      </c>
      <c r="E7881">
        <v>0.5</v>
      </c>
      <c r="F7881">
        <v>11</v>
      </c>
      <c r="G7881">
        <v>5</v>
      </c>
      <c r="H7881">
        <v>9</v>
      </c>
      <c r="I7881">
        <v>18</v>
      </c>
    </row>
    <row r="7882" spans="1:9">
      <c r="A7882" s="2">
        <v>2020</v>
      </c>
      <c r="B7882">
        <v>108</v>
      </c>
      <c r="C7882">
        <v>0.60472999999999999</v>
      </c>
      <c r="D7882">
        <v>0.46433000000000002</v>
      </c>
      <c r="E7882">
        <v>0.5</v>
      </c>
      <c r="F7882">
        <v>6</v>
      </c>
      <c r="G7882">
        <v>3</v>
      </c>
      <c r="H7882">
        <v>5</v>
      </c>
      <c r="I7882">
        <v>10</v>
      </c>
    </row>
    <row r="7883" spans="1:9">
      <c r="A7883" s="2">
        <v>2020</v>
      </c>
      <c r="B7883">
        <v>109</v>
      </c>
      <c r="C7883">
        <v>0.62705999999999995</v>
      </c>
      <c r="D7883">
        <v>0.47738000000000003</v>
      </c>
      <c r="E7883">
        <v>0.5</v>
      </c>
      <c r="F7883">
        <v>3</v>
      </c>
      <c r="G7883">
        <v>2</v>
      </c>
      <c r="H7883">
        <v>2</v>
      </c>
      <c r="I7883">
        <v>5</v>
      </c>
    </row>
    <row r="7884" spans="1:9">
      <c r="A7884" s="2">
        <v>2020</v>
      </c>
      <c r="B7884" t="s">
        <v>26</v>
      </c>
      <c r="C7884">
        <v>0.64885999999999999</v>
      </c>
      <c r="D7884">
        <v>1</v>
      </c>
      <c r="E7884">
        <v>1.54</v>
      </c>
      <c r="F7884">
        <v>2</v>
      </c>
      <c r="G7884">
        <v>2</v>
      </c>
      <c r="H7884">
        <v>3</v>
      </c>
      <c r="I7884">
        <v>3</v>
      </c>
    </row>
  </sheetData>
  <mergeCells count="1">
    <mergeCell ref="A1:I1"/>
  </mergeCells>
  <hyperlinks>
    <hyperlink ref="O2" r:id="rId1" xr:uid="{33CE97CB-3C11-40F4-BF90-7B85043315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Eredmények</vt:lpstr>
      <vt:lpstr>Havi számolás</vt:lpstr>
      <vt:lpstr>Számla egyenleg nyugdíj alatt</vt:lpstr>
      <vt:lpstr>Érzékenység vizsgálat</vt:lpstr>
      <vt:lpstr>Eredmények konzervatív</vt:lpstr>
      <vt:lpstr>Havi számolás konzervatív</vt:lpstr>
      <vt:lpstr>Tábla 2020</vt:lpstr>
      <vt:lpstr>Teljes Tábla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Szirák Szabolcs</dc:creator>
  <cp:lastModifiedBy>Szirák Szabolcs</cp:lastModifiedBy>
  <dcterms:created xsi:type="dcterms:W3CDTF">2026-04-03T17:19:32Z</dcterms:created>
  <dcterms:modified xsi:type="dcterms:W3CDTF">2026-04-07T10:50:29Z</dcterms:modified>
</cp:coreProperties>
</file>