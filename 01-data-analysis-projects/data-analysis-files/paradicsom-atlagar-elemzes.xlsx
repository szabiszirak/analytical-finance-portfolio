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t\1. felev\"/>
    </mc:Choice>
  </mc:AlternateContent>
  <xr:revisionPtr revIDLastSave="0" documentId="13_ncr:1_{5020039A-EFAD-4CF3-ADBC-C423F3F39F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nd" sheetId="1" r:id="rId1"/>
    <sheet name="Szezon" sheetId="4" r:id="rId2"/>
    <sheet name="Felad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1" l="1"/>
  <c r="AK6" i="1"/>
  <c r="J4" i="1"/>
  <c r="H4" i="1"/>
  <c r="G4" i="1"/>
  <c r="F4" i="1" a="1"/>
  <c r="F4" i="1" s="1"/>
  <c r="F15" i="4"/>
  <c r="F12" i="4"/>
  <c r="F4" i="4"/>
  <c r="F5" i="4"/>
  <c r="F6" i="4"/>
  <c r="F7" i="4"/>
  <c r="F8" i="4"/>
  <c r="F9" i="4"/>
  <c r="F10" i="4"/>
  <c r="F11" i="4"/>
  <c r="F13" i="4"/>
  <c r="F14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3" i="4"/>
  <c r="L3" i="4"/>
  <c r="J12" i="4"/>
  <c r="J4" i="4"/>
  <c r="E42" i="4"/>
  <c r="E41" i="4"/>
  <c r="E34" i="4"/>
  <c r="E33" i="4"/>
  <c r="E26" i="4"/>
  <c r="E25" i="4"/>
  <c r="E18" i="4"/>
  <c r="E17" i="4"/>
  <c r="E10" i="4"/>
  <c r="E9" i="4"/>
  <c r="E6" i="4"/>
  <c r="E48" i="4"/>
  <c r="E47" i="4"/>
  <c r="E46" i="4"/>
  <c r="E45" i="4"/>
  <c r="E44" i="4"/>
  <c r="E40" i="4"/>
  <c r="E39" i="4"/>
  <c r="E38" i="4"/>
  <c r="E37" i="4"/>
  <c r="E36" i="4"/>
  <c r="E32" i="4"/>
  <c r="E31" i="4"/>
  <c r="E30" i="4"/>
  <c r="E29" i="4"/>
  <c r="E28" i="4"/>
  <c r="E24" i="4"/>
  <c r="E23" i="4"/>
  <c r="E22" i="4"/>
  <c r="E21" i="4"/>
  <c r="E20" i="4"/>
  <c r="E16" i="4"/>
  <c r="E15" i="4"/>
  <c r="E14" i="4"/>
  <c r="E13" i="4"/>
  <c r="E12" i="4"/>
  <c r="E8" i="4"/>
  <c r="E7" i="4"/>
  <c r="E5" i="4"/>
  <c r="E3" i="4"/>
  <c r="J6" i="4" l="1"/>
  <c r="J5" i="4"/>
  <c r="J8" i="4"/>
  <c r="J14" i="4"/>
  <c r="J13" i="4"/>
  <c r="J9" i="4"/>
  <c r="E4" i="4"/>
  <c r="J10" i="4"/>
  <c r="E11" i="4"/>
  <c r="E19" i="4"/>
  <c r="E27" i="4"/>
  <c r="J3" i="4" s="1"/>
  <c r="E35" i="4"/>
  <c r="E43" i="4"/>
  <c r="J7" i="4" l="1"/>
  <c r="J11" i="4"/>
  <c r="D52" i="1" l="1"/>
  <c r="D51" i="1"/>
  <c r="K4" i="4" l="1"/>
  <c r="K7" i="4"/>
  <c r="K12" i="4"/>
  <c r="K6" i="4"/>
  <c r="K3" i="4"/>
  <c r="K10" i="4"/>
  <c r="K8" i="4"/>
  <c r="K14" i="4"/>
  <c r="K9" i="4"/>
  <c r="K5" i="4"/>
  <c r="K13" i="4"/>
  <c r="K11" i="4"/>
  <c r="AB5" i="1"/>
  <c r="AC5" i="1" s="1"/>
  <c r="AD5" i="1" s="1"/>
  <c r="AB6" i="1"/>
  <c r="AC6" i="1" s="1"/>
  <c r="AD6" i="1" s="1"/>
  <c r="AB7" i="1"/>
  <c r="AC7" i="1" s="1"/>
  <c r="AD7" i="1" s="1"/>
  <c r="AB8" i="1"/>
  <c r="AC8" i="1" s="1"/>
  <c r="AD8" i="1" s="1"/>
  <c r="AB9" i="1"/>
  <c r="AC9" i="1" s="1"/>
  <c r="AD9" i="1" s="1"/>
  <c r="AB10" i="1"/>
  <c r="AC10" i="1" s="1"/>
  <c r="AD10" i="1" s="1"/>
  <c r="AB11" i="1"/>
  <c r="AC11" i="1" s="1"/>
  <c r="AD11" i="1" s="1"/>
  <c r="AB12" i="1"/>
  <c r="AC12" i="1" s="1"/>
  <c r="AD12" i="1" s="1"/>
  <c r="AB13" i="1"/>
  <c r="AC13" i="1" s="1"/>
  <c r="AD13" i="1" s="1"/>
  <c r="AB14" i="1"/>
  <c r="AC14" i="1" s="1"/>
  <c r="AD14" i="1" s="1"/>
  <c r="AB15" i="1"/>
  <c r="AC15" i="1" s="1"/>
  <c r="AD15" i="1" s="1"/>
  <c r="AB16" i="1"/>
  <c r="AC16" i="1" s="1"/>
  <c r="AD16" i="1" s="1"/>
  <c r="AB17" i="1"/>
  <c r="AC17" i="1" s="1"/>
  <c r="AD17" i="1" s="1"/>
  <c r="AB18" i="1"/>
  <c r="AC18" i="1" s="1"/>
  <c r="AD18" i="1" s="1"/>
  <c r="AB19" i="1"/>
  <c r="AC19" i="1" s="1"/>
  <c r="AD19" i="1" s="1"/>
  <c r="AB20" i="1"/>
  <c r="AC20" i="1" s="1"/>
  <c r="AD20" i="1" s="1"/>
  <c r="AB21" i="1"/>
  <c r="AC21" i="1" s="1"/>
  <c r="AD21" i="1" s="1"/>
  <c r="AB22" i="1"/>
  <c r="AC22" i="1" s="1"/>
  <c r="AD22" i="1" s="1"/>
  <c r="AB23" i="1"/>
  <c r="AC23" i="1" s="1"/>
  <c r="AD23" i="1" s="1"/>
  <c r="AB24" i="1"/>
  <c r="AC24" i="1" s="1"/>
  <c r="AD24" i="1" s="1"/>
  <c r="AB25" i="1"/>
  <c r="AC25" i="1" s="1"/>
  <c r="AD25" i="1" s="1"/>
  <c r="AB26" i="1"/>
  <c r="AC26" i="1" s="1"/>
  <c r="AD26" i="1" s="1"/>
  <c r="AB27" i="1"/>
  <c r="AC27" i="1" s="1"/>
  <c r="AD27" i="1" s="1"/>
  <c r="AB28" i="1"/>
  <c r="AC28" i="1" s="1"/>
  <c r="AD28" i="1" s="1"/>
  <c r="AB29" i="1"/>
  <c r="AC29" i="1" s="1"/>
  <c r="AD29" i="1" s="1"/>
  <c r="AB30" i="1"/>
  <c r="AC30" i="1" s="1"/>
  <c r="AD30" i="1" s="1"/>
  <c r="AB31" i="1"/>
  <c r="AC31" i="1" s="1"/>
  <c r="AD31" i="1" s="1"/>
  <c r="AB32" i="1"/>
  <c r="AC32" i="1" s="1"/>
  <c r="AD32" i="1" s="1"/>
  <c r="AB33" i="1"/>
  <c r="AC33" i="1" s="1"/>
  <c r="AD33" i="1" s="1"/>
  <c r="AB34" i="1"/>
  <c r="AC34" i="1" s="1"/>
  <c r="AD34" i="1" s="1"/>
  <c r="AB35" i="1"/>
  <c r="AC35" i="1" s="1"/>
  <c r="AD35" i="1" s="1"/>
  <c r="AB36" i="1"/>
  <c r="AC36" i="1" s="1"/>
  <c r="AD36" i="1" s="1"/>
  <c r="AB37" i="1"/>
  <c r="AC37" i="1" s="1"/>
  <c r="AD37" i="1" s="1"/>
  <c r="AB38" i="1"/>
  <c r="AC38" i="1" s="1"/>
  <c r="AD38" i="1" s="1"/>
  <c r="AB39" i="1"/>
  <c r="AC39" i="1" s="1"/>
  <c r="AD39" i="1" s="1"/>
  <c r="AB40" i="1"/>
  <c r="AC40" i="1" s="1"/>
  <c r="AD40" i="1" s="1"/>
  <c r="AB41" i="1"/>
  <c r="AC41" i="1" s="1"/>
  <c r="AD41" i="1" s="1"/>
  <c r="AB42" i="1"/>
  <c r="AC42" i="1" s="1"/>
  <c r="AD42" i="1" s="1"/>
  <c r="AB43" i="1"/>
  <c r="AC43" i="1" s="1"/>
  <c r="AD43" i="1" s="1"/>
  <c r="AB44" i="1"/>
  <c r="AC44" i="1" s="1"/>
  <c r="AD44" i="1" s="1"/>
  <c r="AB45" i="1"/>
  <c r="AC45" i="1" s="1"/>
  <c r="AD45" i="1" s="1"/>
  <c r="AB46" i="1"/>
  <c r="AC46" i="1" s="1"/>
  <c r="AD46" i="1" s="1"/>
  <c r="AB47" i="1"/>
  <c r="AC47" i="1" s="1"/>
  <c r="AD47" i="1" s="1"/>
  <c r="AB48" i="1"/>
  <c r="AC48" i="1" s="1"/>
  <c r="AD48" i="1" s="1"/>
  <c r="AB49" i="1"/>
  <c r="AC49" i="1" s="1"/>
  <c r="AD49" i="1" s="1"/>
  <c r="AC4" i="1"/>
  <c r="AD4" i="1" s="1"/>
  <c r="AF4" i="1" s="1"/>
  <c r="S11" i="1"/>
  <c r="T11" i="1" s="1"/>
  <c r="S12" i="1"/>
  <c r="T12" i="1" s="1"/>
  <c r="S13" i="1"/>
  <c r="T13" i="1" s="1"/>
  <c r="U13" i="1" s="1"/>
  <c r="S14" i="1"/>
  <c r="T14" i="1" s="1"/>
  <c r="U14" i="1" s="1"/>
  <c r="S15" i="1"/>
  <c r="T15" i="1" s="1"/>
  <c r="U15" i="1" s="1"/>
  <c r="S16" i="1"/>
  <c r="S17" i="1"/>
  <c r="T17" i="1" s="1"/>
  <c r="S18" i="1"/>
  <c r="T18" i="1" s="1"/>
  <c r="S19" i="1"/>
  <c r="T19" i="1" s="1"/>
  <c r="S20" i="1"/>
  <c r="T20" i="1" s="1"/>
  <c r="S21" i="1"/>
  <c r="T21" i="1" s="1"/>
  <c r="U21" i="1" s="1"/>
  <c r="S22" i="1"/>
  <c r="T22" i="1" s="1"/>
  <c r="U22" i="1" s="1"/>
  <c r="S23" i="1"/>
  <c r="T23" i="1" s="1"/>
  <c r="U23" i="1" s="1"/>
  <c r="S24" i="1"/>
  <c r="T24" i="1" s="1"/>
  <c r="U24" i="1" s="1"/>
  <c r="S25" i="1"/>
  <c r="T25" i="1" s="1"/>
  <c r="S26" i="1"/>
  <c r="T26" i="1" s="1"/>
  <c r="S27" i="1"/>
  <c r="T27" i="1" s="1"/>
  <c r="S28" i="1"/>
  <c r="T28" i="1" s="1"/>
  <c r="U28" i="1" s="1"/>
  <c r="S29" i="1"/>
  <c r="T29" i="1" s="1"/>
  <c r="U29" i="1" s="1"/>
  <c r="S30" i="1"/>
  <c r="T30" i="1" s="1"/>
  <c r="U30" i="1" s="1"/>
  <c r="S31" i="1"/>
  <c r="T31" i="1" s="1"/>
  <c r="U31" i="1" s="1"/>
  <c r="S32" i="1"/>
  <c r="T32" i="1" s="1"/>
  <c r="U32" i="1" s="1"/>
  <c r="S33" i="1"/>
  <c r="T33" i="1" s="1"/>
  <c r="U33" i="1" s="1"/>
  <c r="S34" i="1"/>
  <c r="T34" i="1" s="1"/>
  <c r="U34" i="1" s="1"/>
  <c r="S35" i="1"/>
  <c r="T35" i="1" s="1"/>
  <c r="U35" i="1" s="1"/>
  <c r="S36" i="1"/>
  <c r="T36" i="1" s="1"/>
  <c r="U36" i="1" s="1"/>
  <c r="S37" i="1"/>
  <c r="T37" i="1" s="1"/>
  <c r="U37" i="1" s="1"/>
  <c r="S38" i="1"/>
  <c r="T38" i="1" s="1"/>
  <c r="U38" i="1" s="1"/>
  <c r="S39" i="1"/>
  <c r="T39" i="1" s="1"/>
  <c r="U39" i="1" s="1"/>
  <c r="S40" i="1"/>
  <c r="T40" i="1" s="1"/>
  <c r="U40" i="1" s="1"/>
  <c r="S41" i="1"/>
  <c r="T41" i="1" s="1"/>
  <c r="U41" i="1" s="1"/>
  <c r="S42" i="1"/>
  <c r="T42" i="1" s="1"/>
  <c r="U42" i="1" s="1"/>
  <c r="S43" i="1"/>
  <c r="T43" i="1" s="1"/>
  <c r="U43" i="1" s="1"/>
  <c r="S10" i="1"/>
  <c r="T10" i="1" s="1"/>
  <c r="U10" i="1" s="1"/>
  <c r="AQ17" i="1" l="1"/>
  <c r="AQ16" i="1"/>
  <c r="AQ8" i="1"/>
  <c r="AE42" i="1" s="1"/>
  <c r="AQ15" i="1"/>
  <c r="AE49" i="1" s="1"/>
  <c r="AQ7" i="1"/>
  <c r="AE17" i="1" s="1"/>
  <c r="AE43" i="1"/>
  <c r="AE35" i="1"/>
  <c r="AE27" i="1"/>
  <c r="AQ14" i="1"/>
  <c r="AE33" i="1"/>
  <c r="AQ12" i="1"/>
  <c r="AE22" i="1" s="1"/>
  <c r="AE48" i="1"/>
  <c r="AQ6" i="1"/>
  <c r="AE28" i="1" s="1"/>
  <c r="AQ10" i="1"/>
  <c r="AE32" i="1" s="1"/>
  <c r="AE38" i="1"/>
  <c r="AE14" i="1"/>
  <c r="AE6" i="1"/>
  <c r="AQ9" i="1"/>
  <c r="AE19" i="1" s="1"/>
  <c r="AE9" i="1"/>
  <c r="AE8" i="1"/>
  <c r="AE26" i="1"/>
  <c r="AE18" i="1"/>
  <c r="AQ13" i="1"/>
  <c r="AE11" i="1" s="1"/>
  <c r="AE41" i="1"/>
  <c r="AE25" i="1"/>
  <c r="AE24" i="1"/>
  <c r="AQ11" i="1"/>
  <c r="AE39" i="1"/>
  <c r="AE23" i="1"/>
  <c r="AE15" i="1"/>
  <c r="AE7" i="1"/>
  <c r="V15" i="1"/>
  <c r="T16" i="1"/>
  <c r="AN27" i="1" s="1"/>
  <c r="V28" i="1" s="1"/>
  <c r="AN24" i="1"/>
  <c r="V25" i="1" s="1"/>
  <c r="U25" i="1"/>
  <c r="AN28" i="1"/>
  <c r="V29" i="1" s="1"/>
  <c r="U17" i="1"/>
  <c r="AN32" i="1"/>
  <c r="V21" i="1" s="1"/>
  <c r="U20" i="1"/>
  <c r="AN31" i="1"/>
  <c r="V20" i="1" s="1"/>
  <c r="U12" i="1"/>
  <c r="AN23" i="1"/>
  <c r="AN25" i="1"/>
  <c r="V14" i="1" s="1"/>
  <c r="U26" i="1"/>
  <c r="AN29" i="1"/>
  <c r="V18" i="1" s="1"/>
  <c r="U18" i="1"/>
  <c r="AN26" i="1"/>
  <c r="V27" i="1" s="1"/>
  <c r="U27" i="1"/>
  <c r="AN30" i="1"/>
  <c r="V31" i="1" s="1"/>
  <c r="U19" i="1"/>
  <c r="U11" i="1"/>
  <c r="AN22" i="1"/>
  <c r="AN21" i="1"/>
  <c r="V10" i="1" s="1"/>
  <c r="AE40" i="1" l="1"/>
  <c r="AE30" i="1"/>
  <c r="AE31" i="1"/>
  <c r="AE4" i="1"/>
  <c r="AE34" i="1"/>
  <c r="AE13" i="1"/>
  <c r="AE37" i="1"/>
  <c r="AE16" i="1"/>
  <c r="AE12" i="1"/>
  <c r="AE36" i="1"/>
  <c r="AE46" i="1"/>
  <c r="AE47" i="1"/>
  <c r="AE10" i="1"/>
  <c r="AE20" i="1"/>
  <c r="AE44" i="1"/>
  <c r="AE5" i="1"/>
  <c r="AE29" i="1"/>
  <c r="AE21" i="1"/>
  <c r="AE45" i="1"/>
  <c r="V42" i="1"/>
  <c r="V33" i="1"/>
  <c r="V39" i="1"/>
  <c r="U16" i="1"/>
  <c r="W4" i="1" s="1"/>
  <c r="V40" i="1"/>
  <c r="V16" i="1"/>
  <c r="V30" i="1"/>
  <c r="V38" i="1"/>
  <c r="V17" i="1"/>
  <c r="V22" i="1"/>
  <c r="V12" i="1"/>
  <c r="V36" i="1"/>
  <c r="V19" i="1"/>
  <c r="V43" i="1"/>
  <c r="V26" i="1"/>
  <c r="V24" i="1"/>
  <c r="V13" i="1"/>
  <c r="V37" i="1"/>
  <c r="V11" i="1"/>
  <c r="V35" i="1"/>
  <c r="V23" i="1"/>
  <c r="V34" i="1"/>
  <c r="V32" i="1"/>
  <c r="V41" i="1"/>
  <c r="M4" i="1" l="1" a="1"/>
  <c r="G5" i="1"/>
  <c r="N8" i="1" l="1"/>
  <c r="G7" i="1"/>
  <c r="G49" i="1"/>
  <c r="H49" i="1"/>
  <c r="I49" i="1" s="1"/>
  <c r="M4" i="1"/>
  <c r="N4" i="1" s="1"/>
  <c r="N49" i="1"/>
  <c r="O49" i="1" s="1"/>
  <c r="G10" i="1"/>
  <c r="G18" i="1"/>
  <c r="G26" i="1"/>
  <c r="G34" i="1"/>
  <c r="G42" i="1"/>
  <c r="G12" i="1"/>
  <c r="G28" i="1"/>
  <c r="G44" i="1"/>
  <c r="G21" i="1"/>
  <c r="G45" i="1"/>
  <c r="G9" i="1"/>
  <c r="G33" i="1"/>
  <c r="G11" i="1"/>
  <c r="G19" i="1"/>
  <c r="G27" i="1"/>
  <c r="G35" i="1"/>
  <c r="G43" i="1"/>
  <c r="G20" i="1"/>
  <c r="G36" i="1"/>
  <c r="G13" i="1"/>
  <c r="G29" i="1"/>
  <c r="G37" i="1"/>
  <c r="G40" i="1"/>
  <c r="G25" i="1"/>
  <c r="G41" i="1"/>
  <c r="G6" i="1"/>
  <c r="G14" i="1"/>
  <c r="G22" i="1"/>
  <c r="G30" i="1"/>
  <c r="G38" i="1"/>
  <c r="G46" i="1"/>
  <c r="G15" i="1"/>
  <c r="G23" i="1"/>
  <c r="G31" i="1"/>
  <c r="G39" i="1"/>
  <c r="G47" i="1"/>
  <c r="G8" i="1"/>
  <c r="G16" i="1"/>
  <c r="G24" i="1"/>
  <c r="G32" i="1"/>
  <c r="G48" i="1"/>
  <c r="G17" i="1"/>
  <c r="N47" i="1"/>
  <c r="O47" i="1" s="1"/>
  <c r="N39" i="1"/>
  <c r="O39" i="1" s="1"/>
  <c r="N31" i="1"/>
  <c r="O31" i="1" s="1"/>
  <c r="N23" i="1"/>
  <c r="O23" i="1" s="1"/>
  <c r="N15" i="1"/>
  <c r="N7" i="1"/>
  <c r="N46" i="1"/>
  <c r="O46" i="1" s="1"/>
  <c r="N38" i="1"/>
  <c r="O38" i="1" s="1"/>
  <c r="N30" i="1"/>
  <c r="O30" i="1" s="1"/>
  <c r="N22" i="1"/>
  <c r="O22" i="1" s="1"/>
  <c r="N14" i="1"/>
  <c r="N6" i="1"/>
  <c r="N33" i="1"/>
  <c r="O33" i="1" s="1"/>
  <c r="N9" i="1"/>
  <c r="N48" i="1"/>
  <c r="O48" i="1" s="1"/>
  <c r="N16" i="1"/>
  <c r="O16" i="1" s="1"/>
  <c r="N29" i="1"/>
  <c r="O29" i="1" s="1"/>
  <c r="N21" i="1"/>
  <c r="O21" i="1" s="1"/>
  <c r="N44" i="1"/>
  <c r="O44" i="1" s="1"/>
  <c r="N36" i="1"/>
  <c r="O36" i="1" s="1"/>
  <c r="N28" i="1"/>
  <c r="O28" i="1" s="1"/>
  <c r="N20" i="1"/>
  <c r="O20" i="1" s="1"/>
  <c r="N12" i="1"/>
  <c r="N25" i="1"/>
  <c r="O25" i="1" s="1"/>
  <c r="N32" i="1"/>
  <c r="O32" i="1" s="1"/>
  <c r="N45" i="1"/>
  <c r="O45" i="1" s="1"/>
  <c r="N13" i="1"/>
  <c r="N43" i="1"/>
  <c r="O43" i="1" s="1"/>
  <c r="N35" i="1"/>
  <c r="O35" i="1" s="1"/>
  <c r="N27" i="1"/>
  <c r="O27" i="1" s="1"/>
  <c r="N19" i="1"/>
  <c r="O19" i="1" s="1"/>
  <c r="N11" i="1"/>
  <c r="N41" i="1"/>
  <c r="O41" i="1" s="1"/>
  <c r="N17" i="1"/>
  <c r="O17" i="1" s="1"/>
  <c r="N40" i="1"/>
  <c r="O40" i="1" s="1"/>
  <c r="N24" i="1"/>
  <c r="O24" i="1" s="1"/>
  <c r="N37" i="1"/>
  <c r="O37" i="1" s="1"/>
  <c r="N5" i="1"/>
  <c r="N42" i="1"/>
  <c r="O42" i="1" s="1"/>
  <c r="N34" i="1"/>
  <c r="O34" i="1" s="1"/>
  <c r="N26" i="1"/>
  <c r="O26" i="1" s="1"/>
  <c r="N18" i="1"/>
  <c r="O18" i="1" s="1"/>
  <c r="N10" i="1"/>
  <c r="H12" i="1"/>
  <c r="I12" i="1" s="1"/>
  <c r="H35" i="1"/>
  <c r="I35" i="1" s="1"/>
  <c r="H27" i="1"/>
  <c r="I27" i="1" s="1"/>
  <c r="H19" i="1"/>
  <c r="I19" i="1" s="1"/>
  <c r="H11" i="1"/>
  <c r="I11" i="1" s="1"/>
  <c r="H42" i="1"/>
  <c r="I42" i="1" s="1"/>
  <c r="H34" i="1"/>
  <c r="I34" i="1" s="1"/>
  <c r="H26" i="1"/>
  <c r="I26" i="1" s="1"/>
  <c r="H18" i="1"/>
  <c r="I18" i="1" s="1"/>
  <c r="H10" i="1"/>
  <c r="I10" i="1" s="1"/>
  <c r="H28" i="1"/>
  <c r="I28" i="1" s="1"/>
  <c r="H43" i="1"/>
  <c r="I43" i="1" s="1"/>
  <c r="H9" i="1"/>
  <c r="I9" i="1" s="1"/>
  <c r="H48" i="1"/>
  <c r="I48" i="1" s="1"/>
  <c r="H40" i="1"/>
  <c r="I40" i="1" s="1"/>
  <c r="H32" i="1"/>
  <c r="I32" i="1" s="1"/>
  <c r="H24" i="1"/>
  <c r="I24" i="1" s="1"/>
  <c r="H16" i="1"/>
  <c r="I16" i="1" s="1"/>
  <c r="H8" i="1"/>
  <c r="I8" i="1" s="1"/>
  <c r="H20" i="1"/>
  <c r="I20" i="1" s="1"/>
  <c r="H17" i="1"/>
  <c r="I17" i="1" s="1"/>
  <c r="H47" i="1"/>
  <c r="I47" i="1" s="1"/>
  <c r="H39" i="1"/>
  <c r="I39" i="1" s="1"/>
  <c r="H31" i="1"/>
  <c r="I31" i="1" s="1"/>
  <c r="H23" i="1"/>
  <c r="I23" i="1" s="1"/>
  <c r="H15" i="1"/>
  <c r="I15" i="1" s="1"/>
  <c r="H7" i="1"/>
  <c r="I7" i="1" s="1"/>
  <c r="H36" i="1"/>
  <c r="I36" i="1" s="1"/>
  <c r="H25" i="1"/>
  <c r="I25" i="1" s="1"/>
  <c r="H46" i="1"/>
  <c r="I46" i="1" s="1"/>
  <c r="H38" i="1"/>
  <c r="I38" i="1" s="1"/>
  <c r="H30" i="1"/>
  <c r="I30" i="1" s="1"/>
  <c r="H22" i="1"/>
  <c r="I22" i="1" s="1"/>
  <c r="H14" i="1"/>
  <c r="I14" i="1" s="1"/>
  <c r="H6" i="1"/>
  <c r="I6" i="1" s="1"/>
  <c r="H44" i="1"/>
  <c r="I44" i="1" s="1"/>
  <c r="H41" i="1"/>
  <c r="I41" i="1" s="1"/>
  <c r="H33" i="1"/>
  <c r="I33" i="1" s="1"/>
  <c r="H45" i="1"/>
  <c r="I45" i="1" s="1"/>
  <c r="H37" i="1"/>
  <c r="I37" i="1" s="1"/>
  <c r="H29" i="1"/>
  <c r="I29" i="1" s="1"/>
  <c r="H21" i="1"/>
  <c r="I21" i="1" s="1"/>
  <c r="H13" i="1"/>
  <c r="I13" i="1" s="1"/>
  <c r="H5" i="1"/>
  <c r="I5" i="1" s="1"/>
  <c r="O8" i="1" l="1"/>
  <c r="AK25" i="1"/>
  <c r="O4" i="1"/>
  <c r="O15" i="1"/>
  <c r="AK32" i="1"/>
  <c r="O14" i="1"/>
  <c r="AK31" i="1"/>
  <c r="O11" i="1"/>
  <c r="AK28" i="1"/>
  <c r="O5" i="1"/>
  <c r="AK22" i="1"/>
  <c r="P5" i="1" s="1"/>
  <c r="O12" i="1"/>
  <c r="AK29" i="1"/>
  <c r="O10" i="1"/>
  <c r="AK27" i="1"/>
  <c r="P34" i="1" s="1"/>
  <c r="O13" i="1"/>
  <c r="AK30" i="1"/>
  <c r="P49" i="1" s="1"/>
  <c r="O6" i="1"/>
  <c r="AK23" i="1"/>
  <c r="O9" i="1"/>
  <c r="AK26" i="1"/>
  <c r="P45" i="1" s="1"/>
  <c r="O7" i="1"/>
  <c r="AK24" i="1"/>
  <c r="AK7" i="1"/>
  <c r="J5" i="1" s="1"/>
  <c r="AK11" i="1"/>
  <c r="J21" i="1" s="1"/>
  <c r="AK8" i="1"/>
  <c r="J6" i="1" s="1"/>
  <c r="AK16" i="1"/>
  <c r="J26" i="1" s="1"/>
  <c r="AK13" i="1"/>
  <c r="J47" i="1" s="1"/>
  <c r="AK17" i="1"/>
  <c r="J15" i="1" s="1"/>
  <c r="AK14" i="1"/>
  <c r="AK12" i="1"/>
  <c r="AK15" i="1"/>
  <c r="J49" i="1" s="1"/>
  <c r="AK9" i="1"/>
  <c r="AK10" i="1"/>
  <c r="AK21" i="1" l="1"/>
  <c r="P16" i="1" s="1"/>
  <c r="Q4" i="1"/>
  <c r="P33" i="1"/>
  <c r="I4" i="1"/>
  <c r="K4" i="1" s="1"/>
  <c r="P9" i="1"/>
  <c r="P28" i="1"/>
  <c r="P21" i="1"/>
  <c r="J29" i="1"/>
  <c r="P10" i="1"/>
  <c r="P46" i="1"/>
  <c r="J17" i="1"/>
  <c r="P22" i="1"/>
  <c r="J41" i="1"/>
  <c r="J9" i="1"/>
  <c r="P31" i="1"/>
  <c r="P19" i="1"/>
  <c r="P43" i="1"/>
  <c r="P7" i="1"/>
  <c r="P24" i="1"/>
  <c r="P36" i="1"/>
  <c r="P48" i="1"/>
  <c r="P12" i="1"/>
  <c r="P11" i="1"/>
  <c r="P35" i="1"/>
  <c r="P47" i="1"/>
  <c r="P23" i="1"/>
  <c r="J35" i="1"/>
  <c r="P30" i="1"/>
  <c r="P42" i="1"/>
  <c r="P6" i="1"/>
  <c r="P18" i="1"/>
  <c r="P41" i="1"/>
  <c r="P29" i="1"/>
  <c r="P17" i="1"/>
  <c r="P26" i="1"/>
  <c r="P38" i="1"/>
  <c r="P14" i="1"/>
  <c r="P27" i="1"/>
  <c r="P15" i="1"/>
  <c r="P39" i="1"/>
  <c r="P13" i="1"/>
  <c r="P37" i="1"/>
  <c r="P25" i="1"/>
  <c r="P44" i="1"/>
  <c r="P8" i="1"/>
  <c r="P20" i="1"/>
  <c r="P32" i="1"/>
  <c r="J30" i="1"/>
  <c r="J42" i="1"/>
  <c r="J18" i="1"/>
  <c r="J33" i="1"/>
  <c r="J45" i="1"/>
  <c r="J39" i="1"/>
  <c r="J27" i="1"/>
  <c r="J23" i="1"/>
  <c r="J11" i="1"/>
  <c r="J14" i="1"/>
  <c r="J38" i="1"/>
  <c r="J48" i="1"/>
  <c r="J12" i="1"/>
  <c r="J36" i="1"/>
  <c r="J24" i="1"/>
  <c r="J13" i="1"/>
  <c r="J25" i="1"/>
  <c r="J37" i="1"/>
  <c r="J43" i="1"/>
  <c r="J31" i="1"/>
  <c r="J19" i="1"/>
  <c r="J7" i="1"/>
  <c r="J8" i="1"/>
  <c r="J20" i="1"/>
  <c r="J44" i="1"/>
  <c r="J32" i="1"/>
  <c r="J22" i="1"/>
  <c r="J34" i="1"/>
  <c r="J10" i="1"/>
  <c r="J46" i="1"/>
  <c r="P4" i="1" l="1"/>
  <c r="P40" i="1"/>
  <c r="J16" i="1"/>
  <c r="J40" i="1"/>
  <c r="J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<sst xmlns="http://schemas.openxmlformats.org/spreadsheetml/2006/main" count="218" uniqueCount="55">
  <si>
    <t>Feladatok</t>
  </si>
  <si>
    <t>Keresse ki a KSH adatbázisaiban a kapott adatsort, töltse le, másolja be egy excel (xlsx) fájlba, ahol a számításokat végzi!</t>
  </si>
  <si>
    <t>Illesszen megfelelő trendet az idősorra! Próbáljon meg többet is! (Lineáris, exponenciális, kvadratikus esetleg mozgóátlagolású)</t>
  </si>
  <si>
    <t>A trendek közül valamilyen statisztikai mutató alapján válassza ki a legjobban illleszkedőt! Ennek részletes indoklását a későbbi elemzésben írja le!</t>
  </si>
  <si>
    <t>Kezelje a szezonalitást additív vagy multiplikatív modell segítségével az adatok jellegétől függően!</t>
  </si>
  <si>
    <t>Elemezze az egyéb szezonalitással kapcsolatos jelenségeket (például naptárhatás)!</t>
  </si>
  <si>
    <t>Készítse el a szezonálisan kiigazított idősort!</t>
  </si>
  <si>
    <t>Eredményeit foglalja össze 3000-5000 karakter terjedelemben, word fájlban! Az elemzés felépítése: Bevezetés és adatok bemutatása, Modellezés eredményei, Összefoglalás és konklúzió. Elvárás, hogy hivatkozza le az adatokat, valamint legalább 2 szakmai hivatkozást is tartalmaznia kell az elemzéshez. Ez lehet szakmai folyóiratban megjelent tanulmány, vagy az adatokhoz kapcsolódó KSH/MNB/PM/NAK/AKI/MKIK egyéb szervezet jelentése, elemzése.</t>
  </si>
  <si>
    <t xml:space="preserve">Hivatkozásokhoz segítség: https://apastyle.apa.org/style-grammar-guidelines/references/examples </t>
  </si>
  <si>
    <t>lineáris trendek</t>
  </si>
  <si>
    <t>eltérés</t>
  </si>
  <si>
    <t>becsült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</si>
  <si>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</si>
  <si>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</si>
  <si>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</si>
  <si>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</si>
  <si>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</si>
  <si>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</si>
  <si>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</si>
  <si>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</si>
  <si>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</si>
  <si>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</si>
  <si>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</si>
  <si>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</si>
  <si>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év</t>
  </si>
  <si>
    <t>hónap</t>
  </si>
  <si>
    <t>exp</t>
  </si>
  <si>
    <t>lin</t>
  </si>
  <si>
    <t>et^2</t>
  </si>
  <si>
    <t>beta1</t>
  </si>
  <si>
    <t>beta0</t>
  </si>
  <si>
    <t>index</t>
  </si>
  <si>
    <t>átlaguk</t>
  </si>
  <si>
    <t>korr</t>
  </si>
  <si>
    <t>mozgóátlag</t>
  </si>
  <si>
    <t>mozgóátlag 12 havi</t>
  </si>
  <si>
    <t>Lineáris trendek</t>
  </si>
  <si>
    <t>Mozgóátlag</t>
  </si>
  <si>
    <t>beta2</t>
  </si>
  <si>
    <t>pol (2)</t>
  </si>
  <si>
    <t>Polinomiális trendek (2) y = 0,0905x2 + 5,9633x + 684,11</t>
  </si>
  <si>
    <t>t</t>
  </si>
  <si>
    <t>Exponenciális trendek</t>
  </si>
  <si>
    <t>Index</t>
  </si>
  <si>
    <t>nyers</t>
  </si>
  <si>
    <t>reziduális variancia</t>
  </si>
  <si>
    <t>max</t>
  </si>
  <si>
    <t>min</t>
  </si>
  <si>
    <t xml:space="preserve">Polinomiális trendek (2) </t>
  </si>
  <si>
    <t>Szezonalitás</t>
  </si>
  <si>
    <t>Egyes termékek és szolgáltatások fogyasztói átlagára (nyers adatok), havonta - paradicsom, kg</t>
  </si>
  <si>
    <t>2020. január - 2023. október</t>
  </si>
  <si>
    <t>HQAWFS</t>
  </si>
  <si>
    <t>paradicsom Ft/kg</t>
  </si>
  <si>
    <t>Szezonális kiigazított idősor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</si>
</sst>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"/>
    <numFmt numFmtId="166" formatCode="0.000"/>
    <numFmt numFmtId="167" formatCode="0.0"/>
  </numFmts>
  <fonts count="8" x14ac:knownFonts="1">
    <font>
      <sz val="10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name val="Arial CE"/>
      <charset val="238"/>
    </font>
    <font>
      <sz val="10"/>
      <color theme="1"/>
      <name val="Arial"/>
      <family val="2"/>
      <charset val="238"/>
    </font>
    <font>
      <sz val="11"/>
      <color theme="1"/>
      <name val="Times New Roman"/>
      <family val="1"/>
      <charset val="238"/>
    </font>
    <font>
      <sz val="8"/>
      <name val="Arial"/>
      <family val="2"/>
      <charset val="238"/>
    </font>
    <font>
      <sz val="12"/>
      <color theme="1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</cellStyleXfs>
  <cellXfs count="52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3" fontId="4" fillId="0" borderId="0" xfId="0" applyNumberFormat="1" applyFont="1"/>
    <xf numFmtId="0" fontId="4" fillId="0" borderId="1" xfId="0" applyFont="1" applyBorder="1"/>
    <xf numFmtId="3" fontId="4" fillId="0" borderId="1" xfId="0" applyNumberFormat="1" applyFont="1" applyBorder="1"/>
    <xf numFmtId="4" fontId="2" fillId="2" borderId="1" xfId="0" applyNumberFormat="1" applyFont="1" applyFill="1" applyBorder="1" applyAlignment="1">
      <alignment horizontal="center"/>
    </xf>
    <xf numFmtId="4" fontId="4" fillId="0" borderId="0" xfId="0" applyNumberFormat="1" applyFont="1"/>
    <xf numFmtId="3" fontId="2" fillId="2" borderId="4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/>
    <xf numFmtId="3" fontId="2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3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6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0" fontId="7" fillId="0" borderId="1" xfId="4" applyFont="1" applyBorder="1"/>
    <xf numFmtId="0" fontId="0" fillId="0" borderId="0" xfId="0" applyAlignment="1">
      <alignment horizontal="center"/>
    </xf>
    <xf numFmtId="0" fontId="0" fillId="3" borderId="1" xfId="0" applyFill="1" applyBorder="1"/>
    <xf numFmtId="3" fontId="2" fillId="2" borderId="11" xfId="0" applyNumberFormat="1" applyFont="1" applyFill="1" applyBorder="1" applyAlignment="1">
      <alignment horizontal="center"/>
    </xf>
    <xf numFmtId="167" fontId="4" fillId="2" borderId="0" xfId="0" applyNumberFormat="1" applyFont="1" applyFill="1"/>
    <xf numFmtId="167" fontId="4" fillId="5" borderId="1" xfId="0" applyNumberFormat="1" applyFont="1" applyFill="1" applyBorder="1"/>
    <xf numFmtId="167" fontId="4" fillId="6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</cellXfs>
  <cellStyles count="5">
    <cellStyle name="Normál" xfId="0" builtinId="0"/>
    <cellStyle name="Normál 2" xfId="2" xr:uid="{00000000-0005-0000-0000-000001000000}"/>
    <cellStyle name="Normál 3" xfId="1" xr:uid="{00000000-0005-0000-0000-000002000000}"/>
    <cellStyle name="Normál 4" xfId="3" xr:uid="{00000000-0005-0000-0000-000003000000}"/>
    <cellStyle name="Normál 5" xfId="4" xr:uid="{7E048780-B23F-4139-9919-A47AC9B577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 paradicsom fogyasztói átlagára 2020 januárjártól 2023 októberéig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1.9065792508154055E-2"/>
                  <c:y val="-0.23241980169145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cat>
            <c:multiLvlStrRef>
              <c:f>Trend!$B$4:$C$49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Trend!$D$4:$D$49</c:f>
              <c:numCache>
                <c:formatCode>#,##0</c:formatCode>
                <c:ptCount val="46"/>
                <c:pt idx="0">
                  <c:v>845</c:v>
                </c:pt>
                <c:pt idx="1">
                  <c:v>931</c:v>
                </c:pt>
                <c:pt idx="2">
                  <c:v>975</c:v>
                </c:pt>
                <c:pt idx="3">
                  <c:v>978</c:v>
                </c:pt>
                <c:pt idx="4">
                  <c:v>830</c:v>
                </c:pt>
                <c:pt idx="5">
                  <c:v>597</c:v>
                </c:pt>
                <c:pt idx="6">
                  <c:v>459</c:v>
                </c:pt>
                <c:pt idx="7">
                  <c:v>479</c:v>
                </c:pt>
                <c:pt idx="8">
                  <c:v>467</c:v>
                </c:pt>
                <c:pt idx="9">
                  <c:v>562</c:v>
                </c:pt>
                <c:pt idx="10">
                  <c:v>663</c:v>
                </c:pt>
                <c:pt idx="11">
                  <c:v>729</c:v>
                </c:pt>
                <c:pt idx="12">
                  <c:v>874</c:v>
                </c:pt>
                <c:pt idx="13">
                  <c:v>877</c:v>
                </c:pt>
                <c:pt idx="14">
                  <c:v>894</c:v>
                </c:pt>
                <c:pt idx="15">
                  <c:v>959</c:v>
                </c:pt>
                <c:pt idx="16">
                  <c:v>777</c:v>
                </c:pt>
                <c:pt idx="17">
                  <c:v>627</c:v>
                </c:pt>
                <c:pt idx="18">
                  <c:v>584</c:v>
                </c:pt>
                <c:pt idx="19">
                  <c:v>523</c:v>
                </c:pt>
                <c:pt idx="20">
                  <c:v>614</c:v>
                </c:pt>
                <c:pt idx="21">
                  <c:v>637</c:v>
                </c:pt>
                <c:pt idx="22">
                  <c:v>717</c:v>
                </c:pt>
                <c:pt idx="23">
                  <c:v>763</c:v>
                </c:pt>
                <c:pt idx="24">
                  <c:v>951</c:v>
                </c:pt>
                <c:pt idx="25">
                  <c:v>1090</c:v>
                </c:pt>
                <c:pt idx="26">
                  <c:v>1270</c:v>
                </c:pt>
                <c:pt idx="27">
                  <c:v>1390</c:v>
                </c:pt>
                <c:pt idx="28">
                  <c:v>1070</c:v>
                </c:pt>
                <c:pt idx="29">
                  <c:v>889</c:v>
                </c:pt>
                <c:pt idx="30">
                  <c:v>748</c:v>
                </c:pt>
                <c:pt idx="31">
                  <c:v>686</c:v>
                </c:pt>
                <c:pt idx="32">
                  <c:v>696</c:v>
                </c:pt>
                <c:pt idx="33">
                  <c:v>1010</c:v>
                </c:pt>
                <c:pt idx="34">
                  <c:v>1100</c:v>
                </c:pt>
                <c:pt idx="35">
                  <c:v>1100</c:v>
                </c:pt>
                <c:pt idx="36">
                  <c:v>1280</c:v>
                </c:pt>
                <c:pt idx="37">
                  <c:v>1550</c:v>
                </c:pt>
                <c:pt idx="38">
                  <c:v>1870</c:v>
                </c:pt>
                <c:pt idx="39">
                  <c:v>1630</c:v>
                </c:pt>
                <c:pt idx="40">
                  <c:v>1340</c:v>
                </c:pt>
                <c:pt idx="41">
                  <c:v>1000</c:v>
                </c:pt>
                <c:pt idx="42">
                  <c:v>798</c:v>
                </c:pt>
                <c:pt idx="43">
                  <c:v>630</c:v>
                </c:pt>
                <c:pt idx="44">
                  <c:v>664</c:v>
                </c:pt>
                <c:pt idx="45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A-4631-8487-E33353A52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57871"/>
        <c:axId val="1217807343"/>
      </c:lineChart>
      <c:catAx>
        <c:axId val="122245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7807343"/>
        <c:crosses val="autoZero"/>
        <c:auto val="1"/>
        <c:lblAlgn val="ctr"/>
        <c:lblOffset val="100"/>
        <c:noMultiLvlLbl val="0"/>
      </c:catAx>
      <c:valAx>
        <c:axId val="12178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224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 paradicsom fogyasztói átlagára 2020 januárjártól 2023 októberéig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Trend!$B$4:$C$49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Trend!$D$4:$D$49</c:f>
              <c:numCache>
                <c:formatCode>#,##0</c:formatCode>
                <c:ptCount val="46"/>
                <c:pt idx="0">
                  <c:v>845</c:v>
                </c:pt>
                <c:pt idx="1">
                  <c:v>931</c:v>
                </c:pt>
                <c:pt idx="2">
                  <c:v>975</c:v>
                </c:pt>
                <c:pt idx="3">
                  <c:v>978</c:v>
                </c:pt>
                <c:pt idx="4">
                  <c:v>830</c:v>
                </c:pt>
                <c:pt idx="5">
                  <c:v>597</c:v>
                </c:pt>
                <c:pt idx="6">
                  <c:v>459</c:v>
                </c:pt>
                <c:pt idx="7">
                  <c:v>479</c:v>
                </c:pt>
                <c:pt idx="8">
                  <c:v>467</c:v>
                </c:pt>
                <c:pt idx="9">
                  <c:v>562</c:v>
                </c:pt>
                <c:pt idx="10">
                  <c:v>663</c:v>
                </c:pt>
                <c:pt idx="11">
                  <c:v>729</c:v>
                </c:pt>
                <c:pt idx="12">
                  <c:v>874</c:v>
                </c:pt>
                <c:pt idx="13">
                  <c:v>877</c:v>
                </c:pt>
                <c:pt idx="14">
                  <c:v>894</c:v>
                </c:pt>
                <c:pt idx="15">
                  <c:v>959</c:v>
                </c:pt>
                <c:pt idx="16">
                  <c:v>777</c:v>
                </c:pt>
                <c:pt idx="17">
                  <c:v>627</c:v>
                </c:pt>
                <c:pt idx="18">
                  <c:v>584</c:v>
                </c:pt>
                <c:pt idx="19">
                  <c:v>523</c:v>
                </c:pt>
                <c:pt idx="20">
                  <c:v>614</c:v>
                </c:pt>
                <c:pt idx="21">
                  <c:v>637</c:v>
                </c:pt>
                <c:pt idx="22">
                  <c:v>717</c:v>
                </c:pt>
                <c:pt idx="23">
                  <c:v>763</c:v>
                </c:pt>
                <c:pt idx="24">
                  <c:v>951</c:v>
                </c:pt>
                <c:pt idx="25">
                  <c:v>1090</c:v>
                </c:pt>
                <c:pt idx="26">
                  <c:v>1270</c:v>
                </c:pt>
                <c:pt idx="27">
                  <c:v>1390</c:v>
                </c:pt>
                <c:pt idx="28">
                  <c:v>1070</c:v>
                </c:pt>
                <c:pt idx="29">
                  <c:v>889</c:v>
                </c:pt>
                <c:pt idx="30">
                  <c:v>748</c:v>
                </c:pt>
                <c:pt idx="31">
                  <c:v>686</c:v>
                </c:pt>
                <c:pt idx="32">
                  <c:v>696</c:v>
                </c:pt>
                <c:pt idx="33">
                  <c:v>1010</c:v>
                </c:pt>
                <c:pt idx="34">
                  <c:v>1100</c:v>
                </c:pt>
                <c:pt idx="35">
                  <c:v>1100</c:v>
                </c:pt>
                <c:pt idx="36">
                  <c:v>1280</c:v>
                </c:pt>
                <c:pt idx="37">
                  <c:v>1550</c:v>
                </c:pt>
                <c:pt idx="38">
                  <c:v>1870</c:v>
                </c:pt>
                <c:pt idx="39">
                  <c:v>1630</c:v>
                </c:pt>
                <c:pt idx="40">
                  <c:v>1340</c:v>
                </c:pt>
                <c:pt idx="41">
                  <c:v>1000</c:v>
                </c:pt>
                <c:pt idx="42">
                  <c:v>798</c:v>
                </c:pt>
                <c:pt idx="43">
                  <c:v>630</c:v>
                </c:pt>
                <c:pt idx="44">
                  <c:v>664</c:v>
                </c:pt>
                <c:pt idx="45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A-45AC-A685-B2E42AA4F727}"/>
            </c:ext>
          </c:extLst>
        </c:ser>
        <c:ser>
          <c:idx val="1"/>
          <c:order val="1"/>
          <c:tx>
            <c:strRef>
              <c:f>Trend!$V$3</c:f>
              <c:strCache>
                <c:ptCount val="1"/>
                <c:pt idx="0">
                  <c:v>becsült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Trend!$B$4:$C$49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Trend!$V$4:$V$49</c:f>
              <c:numCache>
                <c:formatCode>#,##0</c:formatCode>
                <c:ptCount val="46"/>
                <c:pt idx="6">
                  <c:v>486.16666666666663</c:v>
                </c:pt>
                <c:pt idx="7">
                  <c:v>436.15277777777777</c:v>
                </c:pt>
                <c:pt idx="8">
                  <c:v>439.16666666666669</c:v>
                </c:pt>
                <c:pt idx="9">
                  <c:v>557.51388888888891</c:v>
                </c:pt>
                <c:pt idx="10">
                  <c:v>628.70833333333337</c:v>
                </c:pt>
                <c:pt idx="11">
                  <c:v>652.40277777777783</c:v>
                </c:pt>
                <c:pt idx="12">
                  <c:v>819.55555555555566</c:v>
                </c:pt>
                <c:pt idx="13">
                  <c:v>957.125</c:v>
                </c:pt>
                <c:pt idx="14">
                  <c:v>1132.5833333333335</c:v>
                </c:pt>
                <c:pt idx="15">
                  <c:v>1117.1111111111111</c:v>
                </c:pt>
                <c:pt idx="16">
                  <c:v>811.5625</c:v>
                </c:pt>
                <c:pt idx="17">
                  <c:v>632.89583333333326</c:v>
                </c:pt>
                <c:pt idx="18">
                  <c:v>515.75</c:v>
                </c:pt>
                <c:pt idx="19">
                  <c:v>478.86111111111114</c:v>
                </c:pt>
                <c:pt idx="20">
                  <c:v>512.04166666666674</c:v>
                </c:pt>
                <c:pt idx="21">
                  <c:v>668.18055555555554</c:v>
                </c:pt>
                <c:pt idx="22">
                  <c:v>772.54166666666663</c:v>
                </c:pt>
                <c:pt idx="23">
                  <c:v>820.31944444444446</c:v>
                </c:pt>
                <c:pt idx="24">
                  <c:v>998.76388888888891</c:v>
                </c:pt>
                <c:pt idx="25">
                  <c:v>1142.9166666666667</c:v>
                </c:pt>
                <c:pt idx="26">
                  <c:v>1320.625</c:v>
                </c:pt>
                <c:pt idx="27">
                  <c:v>1314.8611111111111</c:v>
                </c:pt>
                <c:pt idx="28">
                  <c:v>1035.4375</c:v>
                </c:pt>
                <c:pt idx="29">
                  <c:v>883.10416666666674</c:v>
                </c:pt>
                <c:pt idx="30">
                  <c:v>789.08333333333337</c:v>
                </c:pt>
                <c:pt idx="31">
                  <c:v>772.98611111111109</c:v>
                </c:pt>
                <c:pt idx="32">
                  <c:v>825.79166666666674</c:v>
                </c:pt>
                <c:pt idx="33">
                  <c:v>983.30555555555554</c:v>
                </c:pt>
                <c:pt idx="34">
                  <c:v>1078.75</c:v>
                </c:pt>
                <c:pt idx="35">
                  <c:v>1119.2777777777778</c:v>
                </c:pt>
                <c:pt idx="36">
                  <c:v>1286.6805555555554</c:v>
                </c:pt>
                <c:pt idx="37">
                  <c:v>1416.9583333333333</c:v>
                </c:pt>
                <c:pt idx="38">
                  <c:v>1580.7916666666667</c:v>
                </c:pt>
                <c:pt idx="39">
                  <c:v>1547.0277777777778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7C-4AF5-AC2F-5445216F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57871"/>
        <c:axId val="1217807343"/>
      </c:lineChart>
      <c:catAx>
        <c:axId val="122245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7807343"/>
        <c:crosses val="autoZero"/>
        <c:auto val="1"/>
        <c:lblAlgn val="ctr"/>
        <c:lblOffset val="100"/>
        <c:noMultiLvlLbl val="0"/>
      </c:catAx>
      <c:valAx>
        <c:axId val="12178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224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 paradicsom fogyasztói átlagára 2020 januárjártól 2023 októberéig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cat>
            <c:multiLvlStrRef>
              <c:f>Trend!$B$4:$C$49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Trend!$D$4:$D$49</c:f>
              <c:numCache>
                <c:formatCode>#,##0</c:formatCode>
                <c:ptCount val="46"/>
                <c:pt idx="0">
                  <c:v>845</c:v>
                </c:pt>
                <c:pt idx="1">
                  <c:v>931</c:v>
                </c:pt>
                <c:pt idx="2">
                  <c:v>975</c:v>
                </c:pt>
                <c:pt idx="3">
                  <c:v>978</c:v>
                </c:pt>
                <c:pt idx="4">
                  <c:v>830</c:v>
                </c:pt>
                <c:pt idx="5">
                  <c:v>597</c:v>
                </c:pt>
                <c:pt idx="6">
                  <c:v>459</c:v>
                </c:pt>
                <c:pt idx="7">
                  <c:v>479</c:v>
                </c:pt>
                <c:pt idx="8">
                  <c:v>467</c:v>
                </c:pt>
                <c:pt idx="9">
                  <c:v>562</c:v>
                </c:pt>
                <c:pt idx="10">
                  <c:v>663</c:v>
                </c:pt>
                <c:pt idx="11">
                  <c:v>729</c:v>
                </c:pt>
                <c:pt idx="12">
                  <c:v>874</c:v>
                </c:pt>
                <c:pt idx="13">
                  <c:v>877</c:v>
                </c:pt>
                <c:pt idx="14">
                  <c:v>894</c:v>
                </c:pt>
                <c:pt idx="15">
                  <c:v>959</c:v>
                </c:pt>
                <c:pt idx="16">
                  <c:v>777</c:v>
                </c:pt>
                <c:pt idx="17">
                  <c:v>627</c:v>
                </c:pt>
                <c:pt idx="18">
                  <c:v>584</c:v>
                </c:pt>
                <c:pt idx="19">
                  <c:v>523</c:v>
                </c:pt>
                <c:pt idx="20">
                  <c:v>614</c:v>
                </c:pt>
                <c:pt idx="21">
                  <c:v>637</c:v>
                </c:pt>
                <c:pt idx="22">
                  <c:v>717</c:v>
                </c:pt>
                <c:pt idx="23">
                  <c:v>763</c:v>
                </c:pt>
                <c:pt idx="24">
                  <c:v>951</c:v>
                </c:pt>
                <c:pt idx="25">
                  <c:v>1090</c:v>
                </c:pt>
                <c:pt idx="26">
                  <c:v>1270</c:v>
                </c:pt>
                <c:pt idx="27">
                  <c:v>1390</c:v>
                </c:pt>
                <c:pt idx="28">
                  <c:v>1070</c:v>
                </c:pt>
                <c:pt idx="29">
                  <c:v>889</c:v>
                </c:pt>
                <c:pt idx="30">
                  <c:v>748</c:v>
                </c:pt>
                <c:pt idx="31">
                  <c:v>686</c:v>
                </c:pt>
                <c:pt idx="32">
                  <c:v>696</c:v>
                </c:pt>
                <c:pt idx="33">
                  <c:v>1010</c:v>
                </c:pt>
                <c:pt idx="34">
                  <c:v>1100</c:v>
                </c:pt>
                <c:pt idx="35">
                  <c:v>1100</c:v>
                </c:pt>
                <c:pt idx="36">
                  <c:v>1280</c:v>
                </c:pt>
                <c:pt idx="37">
                  <c:v>1550</c:v>
                </c:pt>
                <c:pt idx="38">
                  <c:v>1870</c:v>
                </c:pt>
                <c:pt idx="39">
                  <c:v>1630</c:v>
                </c:pt>
                <c:pt idx="40">
                  <c:v>1340</c:v>
                </c:pt>
                <c:pt idx="41">
                  <c:v>1000</c:v>
                </c:pt>
                <c:pt idx="42">
                  <c:v>798</c:v>
                </c:pt>
                <c:pt idx="43">
                  <c:v>630</c:v>
                </c:pt>
                <c:pt idx="44">
                  <c:v>664</c:v>
                </c:pt>
                <c:pt idx="45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2-4D33-B6DE-14967CD88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57871"/>
        <c:axId val="1217807343"/>
      </c:lineChart>
      <c:catAx>
        <c:axId val="122245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7807343"/>
        <c:crosses val="autoZero"/>
        <c:auto val="1"/>
        <c:lblAlgn val="ctr"/>
        <c:lblOffset val="100"/>
        <c:noMultiLvlLbl val="0"/>
      </c:catAx>
      <c:valAx>
        <c:axId val="12178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224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 paradicsom fogyasztói átlagára 2020 januárjártól 2023 októberéig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2332883075807994E-3"/>
                  <c:y val="-0.25694371536891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cat>
            <c:multiLvlStrRef>
              <c:f>Trend!$B$4:$C$49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Trend!$D$4:$D$49</c:f>
              <c:numCache>
                <c:formatCode>#,##0</c:formatCode>
                <c:ptCount val="46"/>
                <c:pt idx="0">
                  <c:v>845</c:v>
                </c:pt>
                <c:pt idx="1">
                  <c:v>931</c:v>
                </c:pt>
                <c:pt idx="2">
                  <c:v>975</c:v>
                </c:pt>
                <c:pt idx="3">
                  <c:v>978</c:v>
                </c:pt>
                <c:pt idx="4">
                  <c:v>830</c:v>
                </c:pt>
                <c:pt idx="5">
                  <c:v>597</c:v>
                </c:pt>
                <c:pt idx="6">
                  <c:v>459</c:v>
                </c:pt>
                <c:pt idx="7">
                  <c:v>479</c:v>
                </c:pt>
                <c:pt idx="8">
                  <c:v>467</c:v>
                </c:pt>
                <c:pt idx="9">
                  <c:v>562</c:v>
                </c:pt>
                <c:pt idx="10">
                  <c:v>663</c:v>
                </c:pt>
                <c:pt idx="11">
                  <c:v>729</c:v>
                </c:pt>
                <c:pt idx="12">
                  <c:v>874</c:v>
                </c:pt>
                <c:pt idx="13">
                  <c:v>877</c:v>
                </c:pt>
                <c:pt idx="14">
                  <c:v>894</c:v>
                </c:pt>
                <c:pt idx="15">
                  <c:v>959</c:v>
                </c:pt>
                <c:pt idx="16">
                  <c:v>777</c:v>
                </c:pt>
                <c:pt idx="17">
                  <c:v>627</c:v>
                </c:pt>
                <c:pt idx="18">
                  <c:v>584</c:v>
                </c:pt>
                <c:pt idx="19">
                  <c:v>523</c:v>
                </c:pt>
                <c:pt idx="20">
                  <c:v>614</c:v>
                </c:pt>
                <c:pt idx="21">
                  <c:v>637</c:v>
                </c:pt>
                <c:pt idx="22">
                  <c:v>717</c:v>
                </c:pt>
                <c:pt idx="23">
                  <c:v>763</c:v>
                </c:pt>
                <c:pt idx="24">
                  <c:v>951</c:v>
                </c:pt>
                <c:pt idx="25">
                  <c:v>1090</c:v>
                </c:pt>
                <c:pt idx="26">
                  <c:v>1270</c:v>
                </c:pt>
                <c:pt idx="27">
                  <c:v>1390</c:v>
                </c:pt>
                <c:pt idx="28">
                  <c:v>1070</c:v>
                </c:pt>
                <c:pt idx="29">
                  <c:v>889</c:v>
                </c:pt>
                <c:pt idx="30">
                  <c:v>748</c:v>
                </c:pt>
                <c:pt idx="31">
                  <c:v>686</c:v>
                </c:pt>
                <c:pt idx="32">
                  <c:v>696</c:v>
                </c:pt>
                <c:pt idx="33">
                  <c:v>1010</c:v>
                </c:pt>
                <c:pt idx="34">
                  <c:v>1100</c:v>
                </c:pt>
                <c:pt idx="35">
                  <c:v>1100</c:v>
                </c:pt>
                <c:pt idx="36">
                  <c:v>1280</c:v>
                </c:pt>
                <c:pt idx="37">
                  <c:v>1550</c:v>
                </c:pt>
                <c:pt idx="38">
                  <c:v>1870</c:v>
                </c:pt>
                <c:pt idx="39">
                  <c:v>1630</c:v>
                </c:pt>
                <c:pt idx="40">
                  <c:v>1340</c:v>
                </c:pt>
                <c:pt idx="41">
                  <c:v>1000</c:v>
                </c:pt>
                <c:pt idx="42">
                  <c:v>798</c:v>
                </c:pt>
                <c:pt idx="43">
                  <c:v>630</c:v>
                </c:pt>
                <c:pt idx="44">
                  <c:v>664</c:v>
                </c:pt>
                <c:pt idx="45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F-4548-93B6-30B15382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57871"/>
        <c:axId val="1217807343"/>
      </c:lineChart>
      <c:catAx>
        <c:axId val="122245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7807343"/>
        <c:crosses val="autoZero"/>
        <c:auto val="1"/>
        <c:lblAlgn val="ctr"/>
        <c:lblOffset val="100"/>
        <c:noMultiLvlLbl val="0"/>
      </c:catAx>
      <c:valAx>
        <c:axId val="12178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224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 paradicsom fogyasztói átlagára 2020 januárjártól 2023 októberéig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1.9646667113217726E-2"/>
                  <c:y val="-0.285870216289406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cat>
            <c:multiLvlStrRef>
              <c:f>Trend!$B$4:$C$49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Trend!$D$4:$D$49</c:f>
              <c:numCache>
                <c:formatCode>#,##0</c:formatCode>
                <c:ptCount val="46"/>
                <c:pt idx="0">
                  <c:v>845</c:v>
                </c:pt>
                <c:pt idx="1">
                  <c:v>931</c:v>
                </c:pt>
                <c:pt idx="2">
                  <c:v>975</c:v>
                </c:pt>
                <c:pt idx="3">
                  <c:v>978</c:v>
                </c:pt>
                <c:pt idx="4">
                  <c:v>830</c:v>
                </c:pt>
                <c:pt idx="5">
                  <c:v>597</c:v>
                </c:pt>
                <c:pt idx="6">
                  <c:v>459</c:v>
                </c:pt>
                <c:pt idx="7">
                  <c:v>479</c:v>
                </c:pt>
                <c:pt idx="8">
                  <c:v>467</c:v>
                </c:pt>
                <c:pt idx="9">
                  <c:v>562</c:v>
                </c:pt>
                <c:pt idx="10">
                  <c:v>663</c:v>
                </c:pt>
                <c:pt idx="11">
                  <c:v>729</c:v>
                </c:pt>
                <c:pt idx="12">
                  <c:v>874</c:v>
                </c:pt>
                <c:pt idx="13">
                  <c:v>877</c:v>
                </c:pt>
                <c:pt idx="14">
                  <c:v>894</c:v>
                </c:pt>
                <c:pt idx="15">
                  <c:v>959</c:v>
                </c:pt>
                <c:pt idx="16">
                  <c:v>777</c:v>
                </c:pt>
                <c:pt idx="17">
                  <c:v>627</c:v>
                </c:pt>
                <c:pt idx="18">
                  <c:v>584</c:v>
                </c:pt>
                <c:pt idx="19">
                  <c:v>523</c:v>
                </c:pt>
                <c:pt idx="20">
                  <c:v>614</c:v>
                </c:pt>
                <c:pt idx="21">
                  <c:v>637</c:v>
                </c:pt>
                <c:pt idx="22">
                  <c:v>717</c:v>
                </c:pt>
                <c:pt idx="23">
                  <c:v>763</c:v>
                </c:pt>
                <c:pt idx="24">
                  <c:v>951</c:v>
                </c:pt>
                <c:pt idx="25">
                  <c:v>1090</c:v>
                </c:pt>
                <c:pt idx="26">
                  <c:v>1270</c:v>
                </c:pt>
                <c:pt idx="27">
                  <c:v>1390</c:v>
                </c:pt>
                <c:pt idx="28">
                  <c:v>1070</c:v>
                </c:pt>
                <c:pt idx="29">
                  <c:v>889</c:v>
                </c:pt>
                <c:pt idx="30">
                  <c:v>748</c:v>
                </c:pt>
                <c:pt idx="31">
                  <c:v>686</c:v>
                </c:pt>
                <c:pt idx="32">
                  <c:v>696</c:v>
                </c:pt>
                <c:pt idx="33">
                  <c:v>1010</c:v>
                </c:pt>
                <c:pt idx="34">
                  <c:v>1100</c:v>
                </c:pt>
                <c:pt idx="35">
                  <c:v>1100</c:v>
                </c:pt>
                <c:pt idx="36">
                  <c:v>1280</c:v>
                </c:pt>
                <c:pt idx="37">
                  <c:v>1550</c:v>
                </c:pt>
                <c:pt idx="38">
                  <c:v>1870</c:v>
                </c:pt>
                <c:pt idx="39">
                  <c:v>1630</c:v>
                </c:pt>
                <c:pt idx="40">
                  <c:v>1340</c:v>
                </c:pt>
                <c:pt idx="41">
                  <c:v>1000</c:v>
                </c:pt>
                <c:pt idx="42">
                  <c:v>798</c:v>
                </c:pt>
                <c:pt idx="43">
                  <c:v>630</c:v>
                </c:pt>
                <c:pt idx="44">
                  <c:v>664</c:v>
                </c:pt>
                <c:pt idx="45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5-4004-8586-7586592EE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57871"/>
        <c:axId val="1217807343"/>
      </c:lineChart>
      <c:catAx>
        <c:axId val="122245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17807343"/>
        <c:crosses val="autoZero"/>
        <c:auto val="1"/>
        <c:lblAlgn val="ctr"/>
        <c:lblOffset val="100"/>
        <c:noMultiLvlLbl val="0"/>
      </c:catAx>
      <c:valAx>
        <c:axId val="12178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224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 paradicsom fogyasztói átlagára 2020 januárjártól 2023 októberéig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Szezon!$C$2</c:f>
              <c:strCache>
                <c:ptCount val="1"/>
                <c:pt idx="0">
                  <c:v>paradicsom Ft/kg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4.1071309748253303E-3"/>
                  <c:y val="-0.3290089201897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cat>
            <c:multiLvlStrRef>
              <c:f>Szezon!$A$3:$B$48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Szezon!$C$3:$C$48</c:f>
              <c:numCache>
                <c:formatCode>#,##0</c:formatCode>
                <c:ptCount val="46"/>
                <c:pt idx="0">
                  <c:v>845</c:v>
                </c:pt>
                <c:pt idx="1">
                  <c:v>931</c:v>
                </c:pt>
                <c:pt idx="2">
                  <c:v>975</c:v>
                </c:pt>
                <c:pt idx="3">
                  <c:v>978</c:v>
                </c:pt>
                <c:pt idx="4">
                  <c:v>830</c:v>
                </c:pt>
                <c:pt idx="5">
                  <c:v>597</c:v>
                </c:pt>
                <c:pt idx="6">
                  <c:v>459</c:v>
                </c:pt>
                <c:pt idx="7">
                  <c:v>479</c:v>
                </c:pt>
                <c:pt idx="8">
                  <c:v>467</c:v>
                </c:pt>
                <c:pt idx="9">
                  <c:v>562</c:v>
                </c:pt>
                <c:pt idx="10">
                  <c:v>663</c:v>
                </c:pt>
                <c:pt idx="11">
                  <c:v>729</c:v>
                </c:pt>
                <c:pt idx="12">
                  <c:v>874</c:v>
                </c:pt>
                <c:pt idx="13">
                  <c:v>877</c:v>
                </c:pt>
                <c:pt idx="14">
                  <c:v>894</c:v>
                </c:pt>
                <c:pt idx="15">
                  <c:v>959</c:v>
                </c:pt>
                <c:pt idx="16">
                  <c:v>777</c:v>
                </c:pt>
                <c:pt idx="17">
                  <c:v>627</c:v>
                </c:pt>
                <c:pt idx="18">
                  <c:v>584</c:v>
                </c:pt>
                <c:pt idx="19">
                  <c:v>523</c:v>
                </c:pt>
                <c:pt idx="20">
                  <c:v>614</c:v>
                </c:pt>
                <c:pt idx="21">
                  <c:v>637</c:v>
                </c:pt>
                <c:pt idx="22">
                  <c:v>717</c:v>
                </c:pt>
                <c:pt idx="23">
                  <c:v>763</c:v>
                </c:pt>
                <c:pt idx="24">
                  <c:v>951</c:v>
                </c:pt>
                <c:pt idx="25">
                  <c:v>1090</c:v>
                </c:pt>
                <c:pt idx="26">
                  <c:v>1270</c:v>
                </c:pt>
                <c:pt idx="27">
                  <c:v>1390</c:v>
                </c:pt>
                <c:pt idx="28">
                  <c:v>1070</c:v>
                </c:pt>
                <c:pt idx="29">
                  <c:v>889</c:v>
                </c:pt>
                <c:pt idx="30">
                  <c:v>748</c:v>
                </c:pt>
                <c:pt idx="31">
                  <c:v>686</c:v>
                </c:pt>
                <c:pt idx="32">
                  <c:v>696</c:v>
                </c:pt>
                <c:pt idx="33">
                  <c:v>1010</c:v>
                </c:pt>
                <c:pt idx="34">
                  <c:v>1100</c:v>
                </c:pt>
                <c:pt idx="35">
                  <c:v>1100</c:v>
                </c:pt>
                <c:pt idx="36">
                  <c:v>1280</c:v>
                </c:pt>
                <c:pt idx="37">
                  <c:v>1550</c:v>
                </c:pt>
                <c:pt idx="38">
                  <c:v>1870</c:v>
                </c:pt>
                <c:pt idx="39">
                  <c:v>1630</c:v>
                </c:pt>
                <c:pt idx="40">
                  <c:v>1340</c:v>
                </c:pt>
                <c:pt idx="41">
                  <c:v>1000</c:v>
                </c:pt>
                <c:pt idx="42">
                  <c:v>798</c:v>
                </c:pt>
                <c:pt idx="43">
                  <c:v>630</c:v>
                </c:pt>
                <c:pt idx="44">
                  <c:v>664</c:v>
                </c:pt>
                <c:pt idx="45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4-4965-8D05-623FBB5E7F9D}"/>
            </c:ext>
          </c:extLst>
        </c:ser>
        <c:ser>
          <c:idx val="1"/>
          <c:order val="1"/>
          <c:tx>
            <c:strRef>
              <c:f>Szezon!$F$2</c:f>
              <c:strCache>
                <c:ptCount val="1"/>
                <c:pt idx="0">
                  <c:v>Szezonális kiigazított idősor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Szezon!$A$3:$B$48</c:f>
              <c:multiLvlStrCache>
                <c:ptCount val="46"/>
                <c:lvl>
                  <c:pt idx="0">
                    <c:v>január</c:v>
                  </c:pt>
                  <c:pt idx="1">
                    <c:v>február</c:v>
                  </c:pt>
                  <c:pt idx="2">
                    <c:v>március</c:v>
                  </c:pt>
                  <c:pt idx="3">
                    <c:v>április</c:v>
                  </c:pt>
                  <c:pt idx="4">
                    <c:v>május</c:v>
                  </c:pt>
                  <c:pt idx="5">
                    <c:v>június</c:v>
                  </c:pt>
                  <c:pt idx="6">
                    <c:v>július</c:v>
                  </c:pt>
                  <c:pt idx="7">
                    <c:v>augusztus</c:v>
                  </c:pt>
                  <c:pt idx="8">
                    <c:v>szeptember</c:v>
                  </c:pt>
                  <c:pt idx="9">
                    <c:v>október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január</c:v>
                  </c:pt>
                  <c:pt idx="13">
                    <c:v>február</c:v>
                  </c:pt>
                  <c:pt idx="14">
                    <c:v>március</c:v>
                  </c:pt>
                  <c:pt idx="15">
                    <c:v>április</c:v>
                  </c:pt>
                  <c:pt idx="16">
                    <c:v>május</c:v>
                  </c:pt>
                  <c:pt idx="17">
                    <c:v>június</c:v>
                  </c:pt>
                  <c:pt idx="18">
                    <c:v>július</c:v>
                  </c:pt>
                  <c:pt idx="19">
                    <c:v>augusztus</c:v>
                  </c:pt>
                  <c:pt idx="20">
                    <c:v>szeptember</c:v>
                  </c:pt>
                  <c:pt idx="21">
                    <c:v>október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január</c:v>
                  </c:pt>
                  <c:pt idx="25">
                    <c:v>február</c:v>
                  </c:pt>
                  <c:pt idx="26">
                    <c:v>március</c:v>
                  </c:pt>
                  <c:pt idx="27">
                    <c:v>április</c:v>
                  </c:pt>
                  <c:pt idx="28">
                    <c:v>május</c:v>
                  </c:pt>
                  <c:pt idx="29">
                    <c:v>június</c:v>
                  </c:pt>
                  <c:pt idx="30">
                    <c:v>július</c:v>
                  </c:pt>
                  <c:pt idx="31">
                    <c:v>augusztus</c:v>
                  </c:pt>
                  <c:pt idx="32">
                    <c:v>szeptember</c:v>
                  </c:pt>
                  <c:pt idx="33">
                    <c:v>október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január</c:v>
                  </c:pt>
                  <c:pt idx="37">
                    <c:v>február</c:v>
                  </c:pt>
                  <c:pt idx="38">
                    <c:v>március</c:v>
                  </c:pt>
                  <c:pt idx="39">
                    <c:v>április</c:v>
                  </c:pt>
                  <c:pt idx="40">
                    <c:v>május</c:v>
                  </c:pt>
                  <c:pt idx="41">
                    <c:v>június</c:v>
                  </c:pt>
                  <c:pt idx="42">
                    <c:v>július</c:v>
                  </c:pt>
                  <c:pt idx="43">
                    <c:v>augusztus</c:v>
                  </c:pt>
                  <c:pt idx="44">
                    <c:v>szeptember</c:v>
                  </c:pt>
                  <c:pt idx="45">
                    <c:v>október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Szezon!$F$3:$F$48</c:f>
              <c:numCache>
                <c:formatCode>#,##0</c:formatCode>
                <c:ptCount val="46"/>
                <c:pt idx="0">
                  <c:v>806.3756758949271</c:v>
                </c:pt>
                <c:pt idx="1">
                  <c:v>899.2008086682763</c:v>
                </c:pt>
                <c:pt idx="2">
                  <c:v>1000.5216258222351</c:v>
                </c:pt>
                <c:pt idx="3">
                  <c:v>996.93303788590288</c:v>
                </c:pt>
                <c:pt idx="4">
                  <c:v>808.12074236617582</c:v>
                </c:pt>
                <c:pt idx="5">
                  <c:v>624.22478593733445</c:v>
                </c:pt>
                <c:pt idx="6">
                  <c:v>518.78925298841864</c:v>
                </c:pt>
                <c:pt idx="7">
                  <c:v>470.03529999798405</c:v>
                </c:pt>
                <c:pt idx="8">
                  <c:v>493.87129572642039</c:v>
                </c:pt>
                <c:pt idx="9">
                  <c:v>608.21664304064279</c:v>
                </c:pt>
                <c:pt idx="10">
                  <c:v>709.73002120709737</c:v>
                </c:pt>
                <c:pt idx="11">
                  <c:v>744.48725631039702</c:v>
                </c:pt>
                <c:pt idx="12">
                  <c:v>907.7487942663588</c:v>
                </c:pt>
                <c:pt idx="13">
                  <c:v>1014.035852046305</c:v>
                </c:pt>
                <c:pt idx="14">
                  <c:v>1130.2217629804406</c:v>
                </c:pt>
                <c:pt idx="15">
                  <c:v>1128.018528220397</c:v>
                </c:pt>
                <c:pt idx="16">
                  <c:v>915.82473928883064</c:v>
                </c:pt>
                <c:pt idx="17">
                  <c:v>708.49396412252963</c:v>
                </c:pt>
                <c:pt idx="18">
                  <c:v>589.68308272827858</c:v>
                </c:pt>
                <c:pt idx="19">
                  <c:v>535.01337163609776</c:v>
                </c:pt>
                <c:pt idx="20">
                  <c:v>562.89673543779611</c:v>
                </c:pt>
                <c:pt idx="21">
                  <c:v>694.11075266743205</c:v>
                </c:pt>
                <c:pt idx="22">
                  <c:v>810.95052923203343</c:v>
                </c:pt>
                <c:pt idx="23">
                  <c:v>851.65716988854058</c:v>
                </c:pt>
                <c:pt idx="24">
                  <c:v>1039.5746480848327</c:v>
                </c:pt>
                <c:pt idx="25">
                  <c:v>1162.5251415373066</c:v>
                </c:pt>
                <c:pt idx="26">
                  <c:v>1297.0264268179951</c:v>
                </c:pt>
                <c:pt idx="27">
                  <c:v>1295.7316651151064</c:v>
                </c:pt>
                <c:pt idx="28">
                  <c:v>1052.9383739314617</c:v>
                </c:pt>
                <c:pt idx="29">
                  <c:v>815.26171703984846</c:v>
                </c:pt>
                <c:pt idx="30">
                  <c:v>679.09252616593415</c:v>
                </c:pt>
                <c:pt idx="31">
                  <c:v>616.60052752426543</c:v>
                </c:pt>
                <c:pt idx="32">
                  <c:v>649.1978230356367</c:v>
                </c:pt>
                <c:pt idx="33">
                  <c:v>801.06318587615067</c:v>
                </c:pt>
                <c:pt idx="34">
                  <c:v>936.49002483815173</c:v>
                </c:pt>
                <c:pt idx="35">
                  <c:v>984.07005921757923</c:v>
                </c:pt>
                <c:pt idx="36">
                  <c:v>1201.8532373503488</c:v>
                </c:pt>
                <c:pt idx="37">
                  <c:v>1344.6686771412817</c:v>
                </c:pt>
                <c:pt idx="38">
                  <c:v>1500.935617334899</c:v>
                </c:pt>
                <c:pt idx="39">
                  <c:v>1500.0724485700309</c:v>
                </c:pt>
                <c:pt idx="40">
                  <c:v>1219.4616462940687</c:v>
                </c:pt>
                <c:pt idx="41">
                  <c:v>944.52804468929071</c:v>
                </c:pt>
                <c:pt idx="42">
                  <c:v>787.01758330138489</c:v>
                </c:pt>
                <c:pt idx="43">
                  <c:v>714.79676766248701</c:v>
                </c:pt>
                <c:pt idx="44">
                  <c:v>752.77455851994227</c:v>
                </c:pt>
                <c:pt idx="45">
                  <c:v>929.07394266679876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4-4965-8D05-623FBB5E7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101247"/>
        <c:axId val="354907551"/>
      </c:lineChart>
      <c:catAx>
        <c:axId val="39610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54907551"/>
        <c:crosses val="autoZero"/>
        <c:auto val="1"/>
        <c:lblAlgn val="ctr"/>
        <c:lblOffset val="100"/>
        <c:noMultiLvlLbl val="0"/>
      </c:catAx>
      <c:valAx>
        <c:axId val="3549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610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13855</xdr:colOff>
      <xdr:row>49</xdr:row>
      <xdr:rowOff>120650</xdr:rowOff>
    </xdr:from>
    <xdr:to>
      <xdr:col>32</xdr:col>
      <xdr:colOff>127000</xdr:colOff>
      <xdr:row>65</xdr:row>
      <xdr:rowOff>69850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97E5858A-C005-DA51-C35E-AA3B3DA7D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6639</xdr:colOff>
      <xdr:row>49</xdr:row>
      <xdr:rowOff>156730</xdr:rowOff>
    </xdr:from>
    <xdr:to>
      <xdr:col>23</xdr:col>
      <xdr:colOff>27709</xdr:colOff>
      <xdr:row>65</xdr:row>
      <xdr:rowOff>105930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35F74DE2-800C-4426-BC5C-E5FE0C046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</xdr:colOff>
      <xdr:row>50</xdr:row>
      <xdr:rowOff>0</xdr:rowOff>
    </xdr:from>
    <xdr:to>
      <xdr:col>17</xdr:col>
      <xdr:colOff>158750</xdr:colOff>
      <xdr:row>65</xdr:row>
      <xdr:rowOff>123825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F19EB371-8ACD-494F-9B0F-9C410948B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387927</xdr:colOff>
      <xdr:row>50</xdr:row>
      <xdr:rowOff>111125</xdr:rowOff>
    </xdr:from>
    <xdr:to>
      <xdr:col>10</xdr:col>
      <xdr:colOff>678872</xdr:colOff>
      <xdr:row>66</xdr:row>
      <xdr:rowOff>60325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8B051FA7-EF42-4008-A599-A706B1EE1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602369</xdr:colOff>
      <xdr:row>34</xdr:row>
      <xdr:rowOff>14379</xdr:rowOff>
    </xdr:from>
    <xdr:to>
      <xdr:col>45</xdr:col>
      <xdr:colOff>140419</xdr:colOff>
      <xdr:row>57</xdr:row>
      <xdr:rowOff>121730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FF483C30-39E7-409E-BF0B-3C4ABD049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451555</xdr:colOff>
      <xdr:row>16</xdr:row>
      <xdr:rowOff>138288</xdr:rowOff>
    </xdr:from>
    <xdr:to>
      <xdr:col>19</xdr:col>
      <xdr:colOff>465666</xdr:colOff>
      <xdr:row>46</xdr:row>
      <xdr:rowOff>-1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306B96FF-B7D9-2D8F-9137-1D6B64639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5"/>
  <sheetViews>
    <sheetView tabSelected="1" topLeftCell="S1" zoomScale="97" workbookViewId="0">
      <selection activeCell="AB5" sqref="AB5"/>
    </sheetView>
  </sheetViews>
  <sheetFormatPr defaultRowHeight="13.2" x14ac:dyDescent="0.25"/>
  <cols>
    <col min="1" max="2" width="9.33203125" style="1" customWidth="1"/>
    <col min="3" max="3" width="32.109375" style="1" customWidth="1"/>
    <col min="4" max="4" width="17" style="1" customWidth="1"/>
    <col min="5" max="5" width="9.33203125" style="1" customWidth="1"/>
    <col min="6" max="9" width="13.44140625" style="1" customWidth="1"/>
    <col min="10" max="10" width="8.88671875" style="1"/>
    <col min="11" max="11" width="16" style="1" customWidth="1"/>
    <col min="12" max="12" width="8.88671875" style="16"/>
    <col min="13" max="16" width="9" style="1" bestFit="1" customWidth="1"/>
    <col min="17" max="17" width="16.88671875" style="1" customWidth="1"/>
    <col min="18" max="18" width="10.88671875" style="16" customWidth="1"/>
    <col min="19" max="19" width="18.5546875" style="16" customWidth="1"/>
    <col min="20" max="22" width="9" style="1" bestFit="1" customWidth="1"/>
    <col min="23" max="23" width="18.109375" style="1" customWidth="1"/>
    <col min="24" max="27" width="8.88671875" style="1"/>
    <col min="28" max="28" width="8.6640625" style="1" customWidth="1"/>
    <col min="29" max="31" width="8.88671875" style="1"/>
    <col min="32" max="32" width="18.21875" style="1" customWidth="1"/>
    <col min="33" max="35" width="8.88671875" style="1"/>
    <col min="36" max="36" width="11.77734375" style="1" customWidth="1"/>
    <col min="37" max="37" width="11" style="1" customWidth="1"/>
    <col min="38" max="38" width="9" style="1" bestFit="1" customWidth="1"/>
    <col min="39" max="39" width="11.109375" style="1" customWidth="1"/>
    <col min="40" max="40" width="10.44140625" style="1" customWidth="1"/>
    <col min="41" max="41" width="8.88671875" style="1"/>
    <col min="42" max="42" width="11.21875" style="1" customWidth="1"/>
    <col min="43" max="44" width="8.88671875" style="1"/>
    <col min="45" max="45" width="20.77734375" style="1" customWidth="1"/>
    <col min="46" max="46" width="18.5546875" style="1" customWidth="1"/>
    <col min="47" max="56" width="8.88671875" style="1"/>
    <col min="57" max="57" width="11.33203125" style="1" customWidth="1"/>
    <col min="58" max="58" width="11.21875" style="1" customWidth="1"/>
    <col min="59" max="59" width="14.33203125" style="1" bestFit="1" customWidth="1"/>
    <col min="60" max="16384" width="8.88671875" style="1"/>
  </cols>
  <sheetData>
    <row r="1" spans="1:46" x14ac:dyDescent="0.25">
      <c r="A1" s="42"/>
      <c r="B1" s="43"/>
      <c r="C1" s="43"/>
      <c r="D1" s="44"/>
      <c r="E1" s="37"/>
      <c r="F1" s="42" t="s">
        <v>36</v>
      </c>
      <c r="G1" s="43"/>
      <c r="H1" s="43"/>
      <c r="I1" s="43"/>
      <c r="J1" s="43"/>
      <c r="K1" s="44"/>
      <c r="L1" s="37"/>
      <c r="M1" s="36" t="s">
        <v>42</v>
      </c>
      <c r="N1" s="36"/>
      <c r="O1" s="36"/>
      <c r="P1" s="36"/>
      <c r="Q1" s="36"/>
      <c r="R1" s="37"/>
      <c r="S1" s="37" t="s">
        <v>37</v>
      </c>
      <c r="T1" s="37"/>
      <c r="U1" s="37"/>
      <c r="V1" s="37"/>
      <c r="W1" s="37"/>
      <c r="X1" s="36"/>
      <c r="Y1" s="36" t="s">
        <v>40</v>
      </c>
      <c r="Z1" s="36"/>
      <c r="AA1" s="36"/>
      <c r="AB1" s="36"/>
      <c r="AC1" s="36"/>
      <c r="AD1" s="36"/>
      <c r="AE1" s="36"/>
      <c r="AF1" s="36"/>
      <c r="AG1" s="36"/>
    </row>
    <row r="2" spans="1:46" x14ac:dyDescent="0.25">
      <c r="A2" s="45"/>
      <c r="B2" s="46"/>
      <c r="C2" s="46"/>
      <c r="D2" s="47"/>
      <c r="E2" s="37"/>
      <c r="F2" s="45"/>
      <c r="G2" s="46"/>
      <c r="H2" s="46"/>
      <c r="I2" s="46"/>
      <c r="J2" s="46"/>
      <c r="K2" s="47"/>
      <c r="L2" s="37"/>
      <c r="M2" s="36"/>
      <c r="N2" s="36"/>
      <c r="O2" s="36"/>
      <c r="P2" s="36"/>
      <c r="Q2" s="36"/>
      <c r="R2" s="37"/>
      <c r="S2" s="37"/>
      <c r="T2" s="37"/>
      <c r="U2" s="37"/>
      <c r="V2" s="37"/>
      <c r="W2" s="37"/>
      <c r="X2" s="36"/>
      <c r="Y2" s="36"/>
      <c r="Z2" s="36"/>
      <c r="AA2" s="36"/>
      <c r="AB2" s="36"/>
      <c r="AC2" s="36"/>
      <c r="AD2" s="36"/>
      <c r="AE2" s="36"/>
      <c r="AF2" s="36"/>
      <c r="AG2" s="36"/>
    </row>
    <row r="3" spans="1:46" x14ac:dyDescent="0.25">
      <c r="A3" s="2" t="s">
        <v>41</v>
      </c>
      <c r="B3" s="2" t="s">
        <v>24</v>
      </c>
      <c r="C3" s="2" t="s">
        <v>25</v>
      </c>
      <c r="D3" s="3" t="s">
        <v>53</v>
      </c>
      <c r="E3" s="37"/>
      <c r="F3" s="3" t="s">
        <v>9</v>
      </c>
      <c r="G3" s="3" t="s">
        <v>31</v>
      </c>
      <c r="H3" s="3" t="s">
        <v>10</v>
      </c>
      <c r="I3" s="3" t="s">
        <v>28</v>
      </c>
      <c r="J3" s="3" t="s">
        <v>11</v>
      </c>
      <c r="K3" s="3" t="s">
        <v>45</v>
      </c>
      <c r="L3" s="37"/>
      <c r="M3" s="3" t="s">
        <v>26</v>
      </c>
      <c r="N3" s="3" t="s">
        <v>10</v>
      </c>
      <c r="O3" s="3" t="s">
        <v>28</v>
      </c>
      <c r="P3" s="3" t="s">
        <v>11</v>
      </c>
      <c r="Q3" s="3" t="s">
        <v>45</v>
      </c>
      <c r="R3" s="37"/>
      <c r="S3" s="3" t="s">
        <v>35</v>
      </c>
      <c r="T3" s="3" t="s">
        <v>10</v>
      </c>
      <c r="U3" s="3" t="s">
        <v>28</v>
      </c>
      <c r="V3" s="3" t="s">
        <v>11</v>
      </c>
      <c r="W3" s="3" t="s">
        <v>45</v>
      </c>
      <c r="X3" s="36"/>
      <c r="Y3" s="20" t="s">
        <v>30</v>
      </c>
      <c r="Z3" s="3" t="s">
        <v>29</v>
      </c>
      <c r="AA3" s="3" t="s">
        <v>38</v>
      </c>
      <c r="AB3" s="3" t="s">
        <v>39</v>
      </c>
      <c r="AC3" s="3" t="s">
        <v>10</v>
      </c>
      <c r="AD3" s="3" t="s">
        <v>28</v>
      </c>
      <c r="AE3" s="3" t="s">
        <v>11</v>
      </c>
      <c r="AF3" s="3" t="s">
        <v>45</v>
      </c>
      <c r="AG3" s="36"/>
      <c r="AH3" s="20"/>
    </row>
    <row r="4" spans="1:46" x14ac:dyDescent="0.25">
      <c r="A4" s="2">
        <v>1</v>
      </c>
      <c r="B4" s="38">
        <v>2020</v>
      </c>
      <c r="C4" s="3" t="s">
        <v>12</v>
      </c>
      <c r="D4" s="3">
        <v>845</v>
      </c>
      <c r="E4" s="11"/>
      <c r="F4" s="3" cm="1">
        <f t="array" ref="F4:F49">TREND(D4:D49,A4:A49)</f>
        <v>660.30342275670682</v>
      </c>
      <c r="G4" s="8">
        <f>F4/D4</f>
        <v>0.78142416894284827</v>
      </c>
      <c r="H4" s="3">
        <f>D4-F4</f>
        <v>184.69657724329318</v>
      </c>
      <c r="I4" s="3">
        <f>H4^2</f>
        <v>34112.825645387762</v>
      </c>
      <c r="J4" s="3">
        <f>F4+VLOOKUP(C4,$AJ$6:$AL$17,2,0)</f>
        <v>803.60360777058281</v>
      </c>
      <c r="K4" s="3">
        <f>SUM(I4:I49)/$A$49</f>
        <v>78183.667618549647</v>
      </c>
      <c r="L4" s="11"/>
      <c r="M4" s="3" cm="1">
        <f t="array" ref="M4:M49">GROWTH(D4:D49)</f>
        <v>662.23946694295228</v>
      </c>
      <c r="N4" s="3">
        <f>D4-M4</f>
        <v>182.76053305704772</v>
      </c>
      <c r="O4" s="3">
        <f>N4^2</f>
        <v>33401.412443296234</v>
      </c>
      <c r="P4" s="3">
        <f t="shared" ref="P4:P49" si="0">M4+VLOOKUP(C4,$AJ$21:$AK$32,2,0)</f>
        <v>1036.4299823948154</v>
      </c>
      <c r="Q4" s="3">
        <f>SUM(O4:O49)/$A$49</f>
        <v>79925.081873437535</v>
      </c>
      <c r="R4" s="11"/>
      <c r="S4" s="17"/>
      <c r="T4" s="17"/>
      <c r="U4" s="17"/>
      <c r="V4" s="17"/>
      <c r="W4" s="22">
        <f>SUM(U10:U43)/(A49-12)</f>
        <v>64056.46578839868</v>
      </c>
      <c r="X4" s="11"/>
      <c r="Y4" s="21">
        <v>684.11</v>
      </c>
      <c r="Z4" s="21">
        <v>5.9633000000000003</v>
      </c>
      <c r="AA4" s="21">
        <v>9.0499999999999997E-2</v>
      </c>
      <c r="AB4" s="3">
        <f>$Y$4+$Z$4*A4+$AA$4*A4^2</f>
        <v>690.16380000000004</v>
      </c>
      <c r="AC4" s="3">
        <f>D4-AB4</f>
        <v>154.83619999999996</v>
      </c>
      <c r="AD4" s="3">
        <f>AC4^2</f>
        <v>23974.248830439989</v>
      </c>
      <c r="AE4" s="3">
        <f t="shared" ref="AE4:AE49" si="1">AB4+VLOOKUP(C4,$AP$6:$AQ$17,2,0)</f>
        <v>831.29060000000004</v>
      </c>
      <c r="AF4" s="3">
        <f>SUM(AD4:AD49)/A49</f>
        <v>77980.445977474781</v>
      </c>
      <c r="AG4" s="11"/>
      <c r="AH4" s="20"/>
    </row>
    <row r="5" spans="1:46" x14ac:dyDescent="0.25">
      <c r="A5" s="2">
        <v>2</v>
      </c>
      <c r="B5" s="39"/>
      <c r="C5" s="3" t="s">
        <v>13</v>
      </c>
      <c r="D5" s="3">
        <v>931</v>
      </c>
      <c r="E5" s="12"/>
      <c r="F5" s="3">
        <v>670.51988899167452</v>
      </c>
      <c r="G5" s="8">
        <f>F5/D5</f>
        <v>0.72021470353563322</v>
      </c>
      <c r="H5" s="3">
        <f t="shared" ref="H4:H49" si="2">D5-F5</f>
        <v>260.48011100832548</v>
      </c>
      <c r="I5" s="3">
        <f t="shared" ref="I5:I49" si="3">H5^2</f>
        <v>67849.888230909564</v>
      </c>
      <c r="J5" s="3">
        <f t="shared" ref="J4:J49" si="4">F5+VLOOKUP(C5,$AJ$6:$AL$17,2,0)</f>
        <v>928.10360777058293</v>
      </c>
      <c r="K5" s="3"/>
      <c r="L5" s="12"/>
      <c r="M5" s="3">
        <v>669.34750145981275</v>
      </c>
      <c r="N5" s="3">
        <f t="shared" ref="N5:N49" si="5">D5-M5</f>
        <v>261.65249854018725</v>
      </c>
      <c r="O5" s="3">
        <f>N5^2</f>
        <v>68462.029992322699</v>
      </c>
      <c r="P5" s="3">
        <f t="shared" si="0"/>
        <v>858.10993149430624</v>
      </c>
      <c r="Q5" s="3"/>
      <c r="R5" s="12"/>
      <c r="S5" s="17"/>
      <c r="T5" s="17"/>
      <c r="U5" s="17"/>
      <c r="V5" s="17"/>
      <c r="W5" s="3"/>
      <c r="X5" s="12"/>
      <c r="Y5" s="3"/>
      <c r="Z5" s="3"/>
      <c r="AA5" s="3"/>
      <c r="AB5" s="3">
        <f t="shared" ref="AB5:AB49" si="6">$Y$4+$Z$4*A5+$AA$4*A5^2</f>
        <v>696.39859999999999</v>
      </c>
      <c r="AC5" s="3">
        <f t="shared" ref="AC5:AC49" si="7">D5-AB5</f>
        <v>234.60140000000001</v>
      </c>
      <c r="AD5" s="3">
        <f t="shared" ref="AD5:AD49" si="8">AC5^2</f>
        <v>55037.816881960003</v>
      </c>
      <c r="AE5" s="3">
        <f t="shared" si="1"/>
        <v>952.5326</v>
      </c>
      <c r="AF5" s="3"/>
      <c r="AG5" s="12"/>
      <c r="AH5" s="20"/>
      <c r="AJ5" s="13"/>
      <c r="AK5" s="13" t="s">
        <v>27</v>
      </c>
      <c r="AL5" s="18"/>
      <c r="AM5" s="18"/>
      <c r="AN5" s="18"/>
      <c r="AP5" s="6"/>
      <c r="AQ5" s="6" t="s">
        <v>39</v>
      </c>
      <c r="AS5" s="6"/>
      <c r="AT5" s="3" t="s">
        <v>45</v>
      </c>
    </row>
    <row r="6" spans="1:46" x14ac:dyDescent="0.25">
      <c r="A6" s="2">
        <v>3</v>
      </c>
      <c r="B6" s="39"/>
      <c r="C6" s="3" t="s">
        <v>14</v>
      </c>
      <c r="D6" s="3">
        <v>975</v>
      </c>
      <c r="E6" s="10"/>
      <c r="F6" s="3">
        <v>680.7363552266421</v>
      </c>
      <c r="G6" s="8">
        <f t="shared" ref="G6:G49" si="9">F6/D6</f>
        <v>0.69819113356578677</v>
      </c>
      <c r="H6" s="3">
        <f t="shared" si="2"/>
        <v>294.2636447733579</v>
      </c>
      <c r="I6" s="3">
        <f t="shared" si="3"/>
        <v>86591.092635300956</v>
      </c>
      <c r="J6" s="3">
        <f t="shared" si="4"/>
        <v>1068.353607770583</v>
      </c>
      <c r="K6" s="3"/>
      <c r="L6" s="10"/>
      <c r="M6" s="3">
        <v>676.53182885442345</v>
      </c>
      <c r="N6" s="3">
        <f t="shared" si="5"/>
        <v>298.46817114557655</v>
      </c>
      <c r="O6" s="3">
        <f t="shared" ref="O6:O49" si="10">N6^2</f>
        <v>89083.24918698518</v>
      </c>
      <c r="P6" s="3">
        <f t="shared" si="0"/>
        <v>699.52034538747193</v>
      </c>
      <c r="Q6" s="3"/>
      <c r="R6" s="10"/>
      <c r="S6" s="17"/>
      <c r="T6" s="17"/>
      <c r="U6" s="17"/>
      <c r="V6" s="17"/>
      <c r="W6" s="3"/>
      <c r="X6" s="10"/>
      <c r="Y6" s="3"/>
      <c r="Z6" s="3"/>
      <c r="AA6" s="3"/>
      <c r="AB6" s="3">
        <f t="shared" si="6"/>
        <v>702.81439999999998</v>
      </c>
      <c r="AC6" s="3">
        <f t="shared" si="7"/>
        <v>272.18560000000002</v>
      </c>
      <c r="AD6" s="3">
        <f t="shared" si="8"/>
        <v>74085.000847360017</v>
      </c>
      <c r="AE6" s="3">
        <f t="shared" si="1"/>
        <v>1089.5246</v>
      </c>
      <c r="AF6" s="3"/>
      <c r="AG6" s="10"/>
      <c r="AH6" s="20"/>
      <c r="AJ6" s="15" t="s">
        <v>12</v>
      </c>
      <c r="AK6" s="14">
        <f>AVERAGE(H4,H16,H28,H40)</f>
        <v>143.30018501387599</v>
      </c>
      <c r="AL6" s="19"/>
      <c r="AM6" s="18"/>
      <c r="AN6" s="19"/>
      <c r="AP6" s="4" t="s">
        <v>12</v>
      </c>
      <c r="AQ6" s="7">
        <f t="shared" ref="AQ6:AQ17" si="11">AVERAGE(AC4,AC16,AC28,AC40)</f>
        <v>141.12679999999997</v>
      </c>
      <c r="AS6" s="3" t="s">
        <v>9</v>
      </c>
      <c r="AT6" s="27">
        <v>78183.667618549647</v>
      </c>
    </row>
    <row r="7" spans="1:46" x14ac:dyDescent="0.25">
      <c r="A7" s="2">
        <v>4</v>
      </c>
      <c r="B7" s="39"/>
      <c r="C7" s="3" t="s">
        <v>15</v>
      </c>
      <c r="D7" s="3">
        <v>978</v>
      </c>
      <c r="E7" s="11"/>
      <c r="F7" s="3">
        <v>690.95282146160969</v>
      </c>
      <c r="G7" s="8">
        <f>F7/D7</f>
        <v>0.70649572746585854</v>
      </c>
      <c r="H7" s="3">
        <f t="shared" si="2"/>
        <v>287.04717853839031</v>
      </c>
      <c r="I7" s="3">
        <f t="shared" si="3"/>
        <v>82396.082706850517</v>
      </c>
      <c r="J7" s="3">
        <f t="shared" si="4"/>
        <v>1055.3536077705828</v>
      </c>
      <c r="K7" s="3"/>
      <c r="L7" s="11"/>
      <c r="M7" s="3">
        <v>683.79326800339254</v>
      </c>
      <c r="N7" s="3">
        <f t="shared" si="5"/>
        <v>294.20673199660746</v>
      </c>
      <c r="O7" s="3">
        <f t="shared" si="10"/>
        <v>86557.601152123607</v>
      </c>
      <c r="P7" s="3">
        <f t="shared" si="0"/>
        <v>601.91101439650333</v>
      </c>
      <c r="Q7" s="3"/>
      <c r="R7" s="11"/>
      <c r="S7" s="17"/>
      <c r="T7" s="17"/>
      <c r="U7" s="17"/>
      <c r="V7" s="17"/>
      <c r="W7" s="3"/>
      <c r="X7" s="11"/>
      <c r="Y7" s="3"/>
      <c r="Z7" s="3"/>
      <c r="AA7" s="3"/>
      <c r="AB7" s="3">
        <f t="shared" si="6"/>
        <v>709.41120000000001</v>
      </c>
      <c r="AC7" s="3">
        <f t="shared" si="7"/>
        <v>268.58879999999999</v>
      </c>
      <c r="AD7" s="3">
        <f t="shared" si="8"/>
        <v>72139.943485440002</v>
      </c>
      <c r="AE7" s="3">
        <f t="shared" si="1"/>
        <v>1073.2665999999999</v>
      </c>
      <c r="AF7" s="3"/>
      <c r="AG7" s="11"/>
      <c r="AH7" s="20"/>
      <c r="AJ7" s="13" t="s">
        <v>13</v>
      </c>
      <c r="AK7" s="14">
        <f t="shared" ref="AK6:AK15" si="12">AVERAGE(H5,H17,H29,H41)</f>
        <v>257.58371877890841</v>
      </c>
      <c r="AL7" s="19"/>
      <c r="AM7" s="18"/>
      <c r="AN7" s="18"/>
      <c r="AP7" s="6" t="s">
        <v>13</v>
      </c>
      <c r="AQ7" s="7">
        <f t="shared" si="11"/>
        <v>256.13400000000001</v>
      </c>
      <c r="AS7" s="6" t="s">
        <v>42</v>
      </c>
      <c r="AT7" s="27">
        <v>79925.081873437535</v>
      </c>
    </row>
    <row r="8" spans="1:46" x14ac:dyDescent="0.25">
      <c r="A8" s="2">
        <v>5</v>
      </c>
      <c r="B8" s="39"/>
      <c r="C8" s="3" t="s">
        <v>16</v>
      </c>
      <c r="D8" s="3">
        <v>830</v>
      </c>
      <c r="E8" s="12"/>
      <c r="F8" s="3">
        <v>701.16928769657738</v>
      </c>
      <c r="G8" s="8">
        <f t="shared" si="9"/>
        <v>0.84478227433322572</v>
      </c>
      <c r="H8" s="3">
        <f t="shared" si="2"/>
        <v>128.83071230342262</v>
      </c>
      <c r="I8" s="3">
        <f t="shared" si="3"/>
        <v>16597.352432607247</v>
      </c>
      <c r="J8" s="3">
        <f t="shared" si="4"/>
        <v>820.35360777058293</v>
      </c>
      <c r="K8" s="3"/>
      <c r="L8" s="12"/>
      <c r="M8" s="3">
        <v>691.13264657260061</v>
      </c>
      <c r="N8" s="3">
        <f t="shared" si="5"/>
        <v>138.86735342739939</v>
      </c>
      <c r="O8" s="3">
        <f t="shared" si="10"/>
        <v>19284.141847930256</v>
      </c>
      <c r="P8" s="3">
        <f t="shared" si="0"/>
        <v>490.28172659304926</v>
      </c>
      <c r="Q8" s="3"/>
      <c r="R8" s="12"/>
      <c r="S8" s="17"/>
      <c r="T8" s="17"/>
      <c r="U8" s="17"/>
      <c r="V8" s="17"/>
      <c r="W8" s="3"/>
      <c r="X8" s="12"/>
      <c r="Y8" s="3"/>
      <c r="Z8" s="3"/>
      <c r="AA8" s="3"/>
      <c r="AB8" s="3">
        <f t="shared" si="6"/>
        <v>716.18900000000008</v>
      </c>
      <c r="AC8" s="3">
        <f t="shared" si="7"/>
        <v>113.81099999999992</v>
      </c>
      <c r="AD8" s="3">
        <f t="shared" si="8"/>
        <v>12952.943720999981</v>
      </c>
      <c r="AE8" s="3">
        <f t="shared" si="1"/>
        <v>835.00860000000011</v>
      </c>
      <c r="AF8" s="3"/>
      <c r="AG8" s="12"/>
      <c r="AH8" s="20"/>
      <c r="AJ8" s="15" t="s">
        <v>14</v>
      </c>
      <c r="AK8" s="14">
        <f t="shared" si="12"/>
        <v>387.61725254394082</v>
      </c>
      <c r="AL8" s="19"/>
      <c r="AM8" s="18"/>
      <c r="AN8" s="18"/>
      <c r="AP8" s="4" t="s">
        <v>14</v>
      </c>
      <c r="AQ8" s="7">
        <f t="shared" si="11"/>
        <v>386.71019999999999</v>
      </c>
      <c r="AS8" s="3" t="s">
        <v>35</v>
      </c>
      <c r="AT8" s="34">
        <v>64056.46578839868</v>
      </c>
    </row>
    <row r="9" spans="1:46" x14ac:dyDescent="0.25">
      <c r="A9" s="2">
        <v>6</v>
      </c>
      <c r="B9" s="39"/>
      <c r="C9" s="3" t="s">
        <v>17</v>
      </c>
      <c r="D9" s="3">
        <v>597</v>
      </c>
      <c r="E9" s="10"/>
      <c r="F9" s="3">
        <v>711.38575393154497</v>
      </c>
      <c r="G9" s="8">
        <f t="shared" si="9"/>
        <v>1.1916009278585342</v>
      </c>
      <c r="H9" s="3">
        <f t="shared" si="2"/>
        <v>-114.38575393154497</v>
      </c>
      <c r="I9" s="3">
        <f t="shared" si="3"/>
        <v>13084.100702487955</v>
      </c>
      <c r="J9" s="3">
        <f t="shared" si="4"/>
        <v>594.35360777058293</v>
      </c>
      <c r="K9" s="3"/>
      <c r="L9" s="10"/>
      <c r="M9" s="3">
        <v>698.55080111153916</v>
      </c>
      <c r="N9" s="3">
        <f t="shared" si="5"/>
        <v>-101.55080111153916</v>
      </c>
      <c r="O9" s="3">
        <f t="shared" si="10"/>
        <v>10312.565206395382</v>
      </c>
      <c r="P9" s="3">
        <f t="shared" si="0"/>
        <v>463.8822677740626</v>
      </c>
      <c r="Q9" s="3"/>
      <c r="R9" s="10"/>
      <c r="S9" s="17"/>
      <c r="T9" s="17"/>
      <c r="U9" s="17"/>
      <c r="V9" s="17"/>
      <c r="W9" s="3"/>
      <c r="X9" s="10"/>
      <c r="Y9" s="3"/>
      <c r="Z9" s="3"/>
      <c r="AA9" s="3"/>
      <c r="AB9" s="3">
        <f t="shared" si="6"/>
        <v>723.14780000000007</v>
      </c>
      <c r="AC9" s="3">
        <f t="shared" si="7"/>
        <v>-126.14780000000007</v>
      </c>
      <c r="AD9" s="3">
        <f t="shared" si="8"/>
        <v>15913.267444840019</v>
      </c>
      <c r="AE9" s="3">
        <f t="shared" si="1"/>
        <v>605.75060000000008</v>
      </c>
      <c r="AF9" s="3"/>
      <c r="AG9" s="10"/>
      <c r="AH9" s="20"/>
      <c r="AJ9" s="13" t="s">
        <v>15</v>
      </c>
      <c r="AK9" s="14">
        <f t="shared" si="12"/>
        <v>364.40078630897318</v>
      </c>
      <c r="AL9" s="19"/>
      <c r="AM9" s="18"/>
      <c r="AN9" s="18"/>
      <c r="AP9" s="6" t="s">
        <v>15</v>
      </c>
      <c r="AQ9" s="7">
        <f t="shared" si="11"/>
        <v>363.85540000000003</v>
      </c>
      <c r="AS9" s="6" t="s">
        <v>48</v>
      </c>
      <c r="AT9" s="35">
        <v>77980.445977474781</v>
      </c>
    </row>
    <row r="10" spans="1:46" x14ac:dyDescent="0.25">
      <c r="A10" s="2">
        <v>7</v>
      </c>
      <c r="B10" s="39"/>
      <c r="C10" s="3" t="s">
        <v>18</v>
      </c>
      <c r="D10" s="3">
        <v>459</v>
      </c>
      <c r="E10" s="11"/>
      <c r="F10" s="3">
        <v>721.60222016651255</v>
      </c>
      <c r="G10" s="8">
        <f t="shared" si="9"/>
        <v>1.5721181267244282</v>
      </c>
      <c r="H10" s="3">
        <f t="shared" si="2"/>
        <v>-262.60222016651255</v>
      </c>
      <c r="I10" s="3">
        <f t="shared" si="3"/>
        <v>68959.926036381527</v>
      </c>
      <c r="J10" s="3">
        <f t="shared" si="4"/>
        <v>463.35360777058293</v>
      </c>
      <c r="K10" s="3"/>
      <c r="L10" s="11"/>
      <c r="M10" s="3">
        <v>706.04857714866137</v>
      </c>
      <c r="N10" s="3">
        <f t="shared" si="5"/>
        <v>-247.04857714866137</v>
      </c>
      <c r="O10" s="3">
        <f t="shared" si="10"/>
        <v>61032.999471178089</v>
      </c>
      <c r="P10" s="3">
        <f t="shared" si="0"/>
        <v>551.96242143738402</v>
      </c>
      <c r="Q10" s="3"/>
      <c r="R10" s="11"/>
      <c r="S10" s="8">
        <f>(D4/2+SUM(D5:D15)+D16/2)/12</f>
        <v>710.79166666666663</v>
      </c>
      <c r="T10" s="3">
        <f>D10-S10</f>
        <v>-251.79166666666663</v>
      </c>
      <c r="U10" s="3">
        <f>T10^2</f>
        <v>63399.043402777759</v>
      </c>
      <c r="V10" s="3">
        <f t="shared" ref="V10:V43" si="13">S10+VLOOKUP(C10,$AM$20:$AN$32,2,0)</f>
        <v>486.16666666666663</v>
      </c>
      <c r="W10" s="3"/>
      <c r="X10" s="11"/>
      <c r="Y10" s="3"/>
      <c r="Z10" s="3"/>
      <c r="AA10" s="3"/>
      <c r="AB10" s="3">
        <f t="shared" si="6"/>
        <v>730.2876</v>
      </c>
      <c r="AC10" s="3">
        <f t="shared" si="7"/>
        <v>-271.2876</v>
      </c>
      <c r="AD10" s="3">
        <f t="shared" si="8"/>
        <v>73596.961913759995</v>
      </c>
      <c r="AE10" s="3">
        <f t="shared" si="1"/>
        <v>471.49260000000004</v>
      </c>
      <c r="AF10" s="3"/>
      <c r="AG10" s="11"/>
      <c r="AH10" s="20"/>
      <c r="AJ10" s="15" t="s">
        <v>16</v>
      </c>
      <c r="AK10" s="14">
        <f t="shared" si="12"/>
        <v>119.18432007400557</v>
      </c>
      <c r="AL10" s="19"/>
      <c r="AM10" s="18"/>
      <c r="AN10" s="18"/>
      <c r="AP10" s="4" t="s">
        <v>16</v>
      </c>
      <c r="AQ10" s="7">
        <f t="shared" si="11"/>
        <v>118.81959999999998</v>
      </c>
      <c r="AT10" s="33"/>
    </row>
    <row r="11" spans="1:46" x14ac:dyDescent="0.25">
      <c r="A11" s="2">
        <v>8</v>
      </c>
      <c r="B11" s="39"/>
      <c r="C11" s="3" t="s">
        <v>19</v>
      </c>
      <c r="D11" s="3">
        <v>479</v>
      </c>
      <c r="E11" s="12"/>
      <c r="F11" s="3">
        <v>731.81868640148014</v>
      </c>
      <c r="G11" s="8">
        <f t="shared" si="9"/>
        <v>1.5278051908172863</v>
      </c>
      <c r="H11" s="3">
        <f t="shared" si="2"/>
        <v>-252.81868640148014</v>
      </c>
      <c r="I11" s="3">
        <f t="shared" si="3"/>
        <v>63917.288193769957</v>
      </c>
      <c r="J11" s="3">
        <f t="shared" si="4"/>
        <v>395.60360777058281</v>
      </c>
      <c r="K11" s="3"/>
      <c r="L11" s="12"/>
      <c r="M11" s="3">
        <v>713.62682928775519</v>
      </c>
      <c r="N11" s="3">
        <f t="shared" si="5"/>
        <v>-234.62682928775519</v>
      </c>
      <c r="O11" s="3">
        <f t="shared" si="10"/>
        <v>55049.749021625415</v>
      </c>
      <c r="P11" s="3">
        <f t="shared" si="0"/>
        <v>644.54582192658268</v>
      </c>
      <c r="Q11" s="3"/>
      <c r="R11" s="12"/>
      <c r="S11" s="8">
        <f t="shared" ref="S11:S43" si="14">(D5/2+SUM(D6:D16)+D17/2)/12</f>
        <v>709.75</v>
      </c>
      <c r="T11" s="3">
        <f t="shared" ref="T11:T43" si="15">D11-S11</f>
        <v>-230.75</v>
      </c>
      <c r="U11" s="3">
        <f t="shared" ref="U11:U43" si="16">T11^2</f>
        <v>53245.5625</v>
      </c>
      <c r="V11" s="3">
        <f t="shared" si="13"/>
        <v>436.15277777777777</v>
      </c>
      <c r="W11" s="3"/>
      <c r="X11" s="12"/>
      <c r="Y11" s="3"/>
      <c r="Z11" s="3"/>
      <c r="AA11" s="3"/>
      <c r="AB11" s="3">
        <f t="shared" si="6"/>
        <v>737.60840000000007</v>
      </c>
      <c r="AC11" s="3">
        <f t="shared" si="7"/>
        <v>-258.60840000000007</v>
      </c>
      <c r="AD11" s="3">
        <f t="shared" si="8"/>
        <v>66878.304550560031</v>
      </c>
      <c r="AE11" s="3">
        <f t="shared" si="1"/>
        <v>400.4846</v>
      </c>
      <c r="AF11" s="3"/>
      <c r="AG11" s="12"/>
      <c r="AH11" s="20"/>
      <c r="AJ11" s="13" t="s">
        <v>17</v>
      </c>
      <c r="AK11" s="14">
        <f t="shared" si="12"/>
        <v>-117.03214616096204</v>
      </c>
      <c r="AL11" s="19"/>
      <c r="AM11" s="18"/>
      <c r="AN11" s="18"/>
      <c r="AP11" s="6" t="s">
        <v>17</v>
      </c>
      <c r="AQ11" s="7">
        <f t="shared" si="11"/>
        <v>-117.39720000000005</v>
      </c>
    </row>
    <row r="12" spans="1:46" x14ac:dyDescent="0.25">
      <c r="A12" s="2">
        <v>9</v>
      </c>
      <c r="B12" s="39"/>
      <c r="C12" s="3" t="s">
        <v>20</v>
      </c>
      <c r="D12" s="3">
        <v>467</v>
      </c>
      <c r="E12" s="10"/>
      <c r="F12" s="3">
        <v>742.03515263644783</v>
      </c>
      <c r="G12" s="8">
        <f t="shared" si="9"/>
        <v>1.5889403696711946</v>
      </c>
      <c r="H12" s="3">
        <f t="shared" si="2"/>
        <v>-275.03515263644783</v>
      </c>
      <c r="I12" s="3">
        <f t="shared" si="3"/>
        <v>75644.335185754157</v>
      </c>
      <c r="J12" s="3">
        <f t="shared" si="4"/>
        <v>426.35360777058293</v>
      </c>
      <c r="K12" s="3"/>
      <c r="L12" s="10"/>
      <c r="M12" s="3">
        <v>721.286421305354</v>
      </c>
      <c r="N12" s="3">
        <f t="shared" si="5"/>
        <v>-254.286421305354</v>
      </c>
      <c r="O12" s="3">
        <f t="shared" si="10"/>
        <v>64661.584060283989</v>
      </c>
      <c r="P12" s="3">
        <f t="shared" si="0"/>
        <v>654.58270308039221</v>
      </c>
      <c r="Q12" s="3"/>
      <c r="R12" s="10"/>
      <c r="S12" s="8">
        <f t="shared" si="14"/>
        <v>704.125</v>
      </c>
      <c r="T12" s="3">
        <f t="shared" si="15"/>
        <v>-237.125</v>
      </c>
      <c r="U12" s="3">
        <f t="shared" si="16"/>
        <v>56228.265625</v>
      </c>
      <c r="V12" s="3">
        <f t="shared" si="13"/>
        <v>439.16666666666669</v>
      </c>
      <c r="W12" s="3"/>
      <c r="X12" s="10"/>
      <c r="Y12" s="3"/>
      <c r="Z12" s="3"/>
      <c r="AA12" s="3"/>
      <c r="AB12" s="3">
        <f t="shared" si="6"/>
        <v>745.11020000000008</v>
      </c>
      <c r="AC12" s="3">
        <f t="shared" si="7"/>
        <v>-278.11020000000008</v>
      </c>
      <c r="AD12" s="3">
        <f t="shared" si="8"/>
        <v>77345.283344040043</v>
      </c>
      <c r="AE12" s="3">
        <f t="shared" si="1"/>
        <v>427.97660000000008</v>
      </c>
      <c r="AF12" s="3"/>
      <c r="AG12" s="10"/>
      <c r="AH12" s="20"/>
      <c r="AJ12" s="15" t="s">
        <v>18</v>
      </c>
      <c r="AK12" s="14">
        <f t="shared" si="12"/>
        <v>-258.24861239592963</v>
      </c>
      <c r="AL12" s="19"/>
      <c r="AM12" s="18"/>
      <c r="AN12" s="18"/>
      <c r="AP12" s="4" t="s">
        <v>18</v>
      </c>
      <c r="AQ12" s="7">
        <f t="shared" si="11"/>
        <v>-258.79499999999996</v>
      </c>
    </row>
    <row r="13" spans="1:46" x14ac:dyDescent="0.25">
      <c r="A13" s="2">
        <v>10</v>
      </c>
      <c r="B13" s="39"/>
      <c r="C13" s="3" t="s">
        <v>21</v>
      </c>
      <c r="D13" s="3">
        <v>562</v>
      </c>
      <c r="E13" s="11"/>
      <c r="F13" s="3">
        <v>752.25161887141542</v>
      </c>
      <c r="G13" s="8">
        <f t="shared" si="9"/>
        <v>1.3385260122267177</v>
      </c>
      <c r="H13" s="3">
        <f t="shared" si="2"/>
        <v>-190.25161887141542</v>
      </c>
      <c r="I13" s="3">
        <f t="shared" si="3"/>
        <v>36195.678483194308</v>
      </c>
      <c r="J13" s="3">
        <f t="shared" si="4"/>
        <v>574.60360777058293</v>
      </c>
      <c r="K13" s="3"/>
      <c r="L13" s="11"/>
      <c r="M13" s="3">
        <v>729.02822624918838</v>
      </c>
      <c r="N13" s="3">
        <f t="shared" si="5"/>
        <v>-167.02822624918838</v>
      </c>
      <c r="O13" s="3">
        <f t="shared" si="10"/>
        <v>27898.428363950061</v>
      </c>
      <c r="P13" s="3">
        <f t="shared" si="0"/>
        <v>807.60566898556215</v>
      </c>
      <c r="Q13" s="3"/>
      <c r="R13" s="11"/>
      <c r="S13" s="8">
        <f t="shared" si="14"/>
        <v>699.95833333333337</v>
      </c>
      <c r="T13" s="3">
        <f t="shared" si="15"/>
        <v>-137.95833333333337</v>
      </c>
      <c r="U13" s="3">
        <f t="shared" si="16"/>
        <v>19032.50173611112</v>
      </c>
      <c r="V13" s="3">
        <f t="shared" si="13"/>
        <v>557.51388888888891</v>
      </c>
      <c r="W13" s="3"/>
      <c r="X13" s="11"/>
      <c r="Y13" s="3"/>
      <c r="Z13" s="3"/>
      <c r="AA13" s="3"/>
      <c r="AB13" s="3">
        <f t="shared" si="6"/>
        <v>752.79300000000001</v>
      </c>
      <c r="AC13" s="3">
        <f t="shared" si="7"/>
        <v>-190.79300000000001</v>
      </c>
      <c r="AD13" s="3">
        <f t="shared" si="8"/>
        <v>36401.968849000004</v>
      </c>
      <c r="AE13" s="3">
        <f t="shared" si="1"/>
        <v>572.96859999999992</v>
      </c>
      <c r="AF13" s="3"/>
      <c r="AG13" s="11"/>
      <c r="AH13" s="20"/>
      <c r="AJ13" s="13" t="s">
        <v>19</v>
      </c>
      <c r="AK13" s="14">
        <f t="shared" si="12"/>
        <v>-336.21507863089732</v>
      </c>
      <c r="AL13" s="19"/>
      <c r="AM13" s="18"/>
      <c r="AN13" s="18"/>
      <c r="AP13" s="6" t="s">
        <v>19</v>
      </c>
      <c r="AQ13" s="7">
        <f t="shared" si="11"/>
        <v>-337.12380000000007</v>
      </c>
    </row>
    <row r="14" spans="1:46" x14ac:dyDescent="0.25">
      <c r="A14" s="2">
        <v>11</v>
      </c>
      <c r="B14" s="39"/>
      <c r="C14" s="3" t="s">
        <v>22</v>
      </c>
      <c r="D14" s="3">
        <v>663</v>
      </c>
      <c r="E14" s="12"/>
      <c r="F14" s="3">
        <v>762.468085106383</v>
      </c>
      <c r="G14" s="8">
        <f t="shared" si="9"/>
        <v>1.1500272776868521</v>
      </c>
      <c r="H14" s="3">
        <f t="shared" si="2"/>
        <v>-99.468085106383</v>
      </c>
      <c r="I14" s="3">
        <f t="shared" si="3"/>
        <v>9893.8999547306521</v>
      </c>
      <c r="J14" s="3">
        <f t="shared" si="4"/>
        <v>704.06907184705528</v>
      </c>
      <c r="K14" s="3"/>
      <c r="L14" s="12"/>
      <c r="M14" s="3">
        <v>736.85312653769859</v>
      </c>
      <c r="N14" s="3">
        <f t="shared" si="5"/>
        <v>-73.853126537698586</v>
      </c>
      <c r="O14" s="3">
        <f t="shared" si="10"/>
        <v>5454.2842993933191</v>
      </c>
      <c r="P14" s="3">
        <f t="shared" si="0"/>
        <v>976.28123695180795</v>
      </c>
      <c r="Q14" s="3"/>
      <c r="R14" s="12"/>
      <c r="S14" s="8">
        <f t="shared" si="14"/>
        <v>696.95833333333337</v>
      </c>
      <c r="T14" s="3">
        <f t="shared" si="15"/>
        <v>-33.958333333333371</v>
      </c>
      <c r="U14" s="3">
        <f t="shared" si="16"/>
        <v>1153.1684027777803</v>
      </c>
      <c r="V14" s="3">
        <f t="shared" si="13"/>
        <v>628.70833333333337</v>
      </c>
      <c r="W14" s="3"/>
      <c r="X14" s="12"/>
      <c r="Y14" s="3"/>
      <c r="Z14" s="3"/>
      <c r="AA14" s="3"/>
      <c r="AB14" s="3">
        <f t="shared" si="6"/>
        <v>760.65680000000009</v>
      </c>
      <c r="AC14" s="3">
        <f t="shared" si="7"/>
        <v>-97.656800000000089</v>
      </c>
      <c r="AD14" s="3">
        <f t="shared" si="8"/>
        <v>9536.8505862400179</v>
      </c>
      <c r="AE14" s="3">
        <f t="shared" si="1"/>
        <v>709.49506666666673</v>
      </c>
      <c r="AF14" s="3"/>
      <c r="AG14" s="12"/>
      <c r="AH14" s="20"/>
      <c r="AJ14" s="15" t="s">
        <v>20</v>
      </c>
      <c r="AK14" s="14">
        <f t="shared" si="12"/>
        <v>-315.68154486586491</v>
      </c>
      <c r="AL14" s="19"/>
      <c r="AM14" s="18"/>
      <c r="AN14" s="18"/>
      <c r="AP14" s="4" t="s">
        <v>20</v>
      </c>
      <c r="AQ14" s="7">
        <f t="shared" si="11"/>
        <v>-317.1336</v>
      </c>
    </row>
    <row r="15" spans="1:46" x14ac:dyDescent="0.25">
      <c r="A15" s="2">
        <v>12</v>
      </c>
      <c r="B15" s="40"/>
      <c r="C15" s="3" t="s">
        <v>23</v>
      </c>
      <c r="D15" s="3">
        <v>729</v>
      </c>
      <c r="E15" s="10"/>
      <c r="F15" s="3">
        <v>772.6845513413507</v>
      </c>
      <c r="G15" s="8">
        <f t="shared" si="9"/>
        <v>1.05992393873985</v>
      </c>
      <c r="H15" s="3">
        <f t="shared" si="2"/>
        <v>-43.684551341350698</v>
      </c>
      <c r="I15" s="3">
        <f t="shared" si="3"/>
        <v>1908.3400258951051</v>
      </c>
      <c r="J15" s="3">
        <f t="shared" si="4"/>
        <v>741.40240518038866</v>
      </c>
      <c r="K15" s="3"/>
      <c r="L15" s="10"/>
      <c r="M15" s="3">
        <v>744.76201406061273</v>
      </c>
      <c r="N15" s="3">
        <f t="shared" si="5"/>
        <v>-15.762014060612728</v>
      </c>
      <c r="O15" s="3">
        <f t="shared" si="10"/>
        <v>248.44108724695334</v>
      </c>
      <c r="P15" s="3">
        <f t="shared" si="0"/>
        <v>1163.6092560190812</v>
      </c>
      <c r="Q15" s="3"/>
      <c r="R15" s="10"/>
      <c r="S15" s="8">
        <f t="shared" si="14"/>
        <v>696</v>
      </c>
      <c r="T15" s="3">
        <f t="shared" si="15"/>
        <v>33</v>
      </c>
      <c r="U15" s="3">
        <f t="shared" si="16"/>
        <v>1089</v>
      </c>
      <c r="V15" s="3">
        <f t="shared" si="13"/>
        <v>652.40277777777783</v>
      </c>
      <c r="W15" s="3"/>
      <c r="X15" s="10"/>
      <c r="Y15" s="3"/>
      <c r="Z15" s="3"/>
      <c r="AA15" s="3"/>
      <c r="AB15" s="3">
        <f t="shared" si="6"/>
        <v>768.7016000000001</v>
      </c>
      <c r="AC15" s="3">
        <f t="shared" si="7"/>
        <v>-39.701600000000099</v>
      </c>
      <c r="AD15" s="3">
        <f t="shared" si="8"/>
        <v>1576.2170425600079</v>
      </c>
      <c r="AE15" s="3">
        <f t="shared" si="1"/>
        <v>744.65640000000008</v>
      </c>
      <c r="AF15" s="3"/>
      <c r="AG15" s="10"/>
      <c r="AH15" s="20"/>
      <c r="AJ15" s="13" t="s">
        <v>21</v>
      </c>
      <c r="AK15" s="14">
        <f t="shared" si="12"/>
        <v>-177.64801110083252</v>
      </c>
      <c r="AL15" s="19"/>
      <c r="AM15" s="18"/>
      <c r="AN15" s="18"/>
      <c r="AP15" s="6" t="s">
        <v>21</v>
      </c>
      <c r="AQ15" s="7">
        <f t="shared" si="11"/>
        <v>-179.82440000000003</v>
      </c>
    </row>
    <row r="16" spans="1:46" x14ac:dyDescent="0.25">
      <c r="A16" s="2">
        <v>13</v>
      </c>
      <c r="B16" s="38">
        <v>2021</v>
      </c>
      <c r="C16" s="3" t="s">
        <v>12</v>
      </c>
      <c r="D16" s="3">
        <v>874</v>
      </c>
      <c r="E16" s="11"/>
      <c r="F16" s="3">
        <v>782.90101757631828</v>
      </c>
      <c r="G16" s="8">
        <f t="shared" si="9"/>
        <v>0.89576775466397973</v>
      </c>
      <c r="H16" s="3">
        <f t="shared" si="2"/>
        <v>91.098982423681719</v>
      </c>
      <c r="I16" s="3">
        <f t="shared" si="3"/>
        <v>8299.0245986302707</v>
      </c>
      <c r="J16" s="3">
        <f t="shared" si="4"/>
        <v>926.20120259019427</v>
      </c>
      <c r="K16" s="3"/>
      <c r="L16" s="11"/>
      <c r="M16" s="3">
        <v>752.75579028060565</v>
      </c>
      <c r="N16" s="3">
        <f t="shared" si="5"/>
        <v>121.24420971939435</v>
      </c>
      <c r="O16" s="3">
        <f t="shared" si="10"/>
        <v>14700.158390480479</v>
      </c>
      <c r="P16" s="3">
        <f t="shared" si="0"/>
        <v>1126.9463057324688</v>
      </c>
      <c r="Q16" s="3"/>
      <c r="R16" s="11"/>
      <c r="S16" s="8">
        <f t="shared" si="14"/>
        <v>702.45833333333337</v>
      </c>
      <c r="T16" s="3">
        <f t="shared" si="15"/>
        <v>171.54166666666663</v>
      </c>
      <c r="U16" s="3">
        <f t="shared" si="16"/>
        <v>29426.543402777766</v>
      </c>
      <c r="V16" s="3">
        <f t="shared" si="13"/>
        <v>819.55555555555566</v>
      </c>
      <c r="W16" s="3"/>
      <c r="X16" s="11"/>
      <c r="Y16" s="3"/>
      <c r="Z16" s="3"/>
      <c r="AA16" s="3"/>
      <c r="AB16" s="3">
        <f t="shared" si="6"/>
        <v>776.92740000000003</v>
      </c>
      <c r="AC16" s="3">
        <f t="shared" si="7"/>
        <v>97.072599999999966</v>
      </c>
      <c r="AD16" s="3">
        <f t="shared" si="8"/>
        <v>9423.0896707599932</v>
      </c>
      <c r="AE16" s="3">
        <f t="shared" si="1"/>
        <v>918.05420000000004</v>
      </c>
      <c r="AF16" s="3"/>
      <c r="AG16" s="11"/>
      <c r="AH16" s="20"/>
      <c r="AJ16" s="15" t="s">
        <v>22</v>
      </c>
      <c r="AK16" s="14">
        <f>AVERAGE(H14,H26,H38,J50)</f>
        <v>-58.399013259327752</v>
      </c>
      <c r="AL16" s="19"/>
      <c r="AM16" s="18"/>
      <c r="AN16" s="18"/>
      <c r="AP16" s="4" t="s">
        <v>22</v>
      </c>
      <c r="AQ16" s="7">
        <f t="shared" si="11"/>
        <v>-51.161733333333359</v>
      </c>
    </row>
    <row r="17" spans="1:44" x14ac:dyDescent="0.25">
      <c r="A17" s="2">
        <v>14</v>
      </c>
      <c r="B17" s="39"/>
      <c r="C17" s="3" t="s">
        <v>13</v>
      </c>
      <c r="D17" s="3">
        <v>877</v>
      </c>
      <c r="E17" s="12"/>
      <c r="F17" s="3">
        <v>793.11748381128587</v>
      </c>
      <c r="G17" s="8">
        <f t="shared" si="9"/>
        <v>0.90435288918048562</v>
      </c>
      <c r="H17" s="3">
        <f t="shared" si="2"/>
        <v>83.882516188714135</v>
      </c>
      <c r="I17" s="3">
        <f t="shared" si="3"/>
        <v>7036.2765221498885</v>
      </c>
      <c r="J17" s="3">
        <f t="shared" si="4"/>
        <v>1050.7012025901943</v>
      </c>
      <c r="K17" s="3"/>
      <c r="L17" s="12"/>
      <c r="M17" s="3">
        <v>760.83536633604797</v>
      </c>
      <c r="N17" s="3">
        <f t="shared" si="5"/>
        <v>116.16463366395203</v>
      </c>
      <c r="O17" s="3">
        <f t="shared" si="10"/>
        <v>13494.222114280177</v>
      </c>
      <c r="P17" s="3">
        <f t="shared" si="0"/>
        <v>949.59779637054146</v>
      </c>
      <c r="Q17" s="3"/>
      <c r="R17" s="12"/>
      <c r="S17" s="8">
        <f t="shared" si="14"/>
        <v>709.5</v>
      </c>
      <c r="T17" s="3">
        <f t="shared" si="15"/>
        <v>167.5</v>
      </c>
      <c r="U17" s="3">
        <f t="shared" si="16"/>
        <v>28056.25</v>
      </c>
      <c r="V17" s="3">
        <f t="shared" si="13"/>
        <v>957.125</v>
      </c>
      <c r="W17" s="3"/>
      <c r="X17" s="12"/>
      <c r="Y17" s="3"/>
      <c r="Z17" s="3"/>
      <c r="AA17" s="3"/>
      <c r="AB17" s="3">
        <f t="shared" si="6"/>
        <v>785.33420000000001</v>
      </c>
      <c r="AC17" s="3">
        <f t="shared" si="7"/>
        <v>91.66579999999999</v>
      </c>
      <c r="AD17" s="3">
        <f t="shared" si="8"/>
        <v>8402.6188896399981</v>
      </c>
      <c r="AE17" s="3">
        <f t="shared" si="1"/>
        <v>1041.4682</v>
      </c>
      <c r="AF17" s="3"/>
      <c r="AG17" s="12"/>
      <c r="AH17" s="20"/>
      <c r="AJ17" s="13" t="s">
        <v>23</v>
      </c>
      <c r="AK17" s="14">
        <f>AVERAGE(H15,H27,H39,J51)</f>
        <v>-31.282146160962043</v>
      </c>
      <c r="AL17" s="19"/>
      <c r="AM17" s="18"/>
      <c r="AN17" s="18"/>
      <c r="AP17" s="6" t="s">
        <v>23</v>
      </c>
      <c r="AQ17" s="7">
        <f t="shared" si="11"/>
        <v>-24.045200000000062</v>
      </c>
    </row>
    <row r="18" spans="1:44" x14ac:dyDescent="0.25">
      <c r="A18" s="2">
        <v>15</v>
      </c>
      <c r="B18" s="39"/>
      <c r="C18" s="3" t="s">
        <v>14</v>
      </c>
      <c r="D18" s="3">
        <v>894</v>
      </c>
      <c r="E18" s="10"/>
      <c r="F18" s="3">
        <v>803.33395004625345</v>
      </c>
      <c r="G18" s="8">
        <f t="shared" si="9"/>
        <v>0.89858383674077569</v>
      </c>
      <c r="H18" s="3">
        <f t="shared" si="2"/>
        <v>90.666049953746551</v>
      </c>
      <c r="I18" s="3">
        <f t="shared" si="3"/>
        <v>8220.3326142152655</v>
      </c>
      <c r="J18" s="3">
        <f t="shared" si="4"/>
        <v>1190.9512025901943</v>
      </c>
      <c r="K18" s="3"/>
      <c r="L18" s="10"/>
      <c r="M18" s="3">
        <v>769.00166314485864</v>
      </c>
      <c r="N18" s="3">
        <f t="shared" si="5"/>
        <v>124.99833685514136</v>
      </c>
      <c r="O18" s="3">
        <f t="shared" si="10"/>
        <v>15624.584216551391</v>
      </c>
      <c r="P18" s="3">
        <f t="shared" si="0"/>
        <v>791.99017967790724</v>
      </c>
      <c r="Q18" s="3"/>
      <c r="R18" s="10"/>
      <c r="S18" s="8">
        <f t="shared" si="14"/>
        <v>717.45833333333337</v>
      </c>
      <c r="T18" s="3">
        <f t="shared" si="15"/>
        <v>176.54166666666663</v>
      </c>
      <c r="U18" s="3">
        <f t="shared" si="16"/>
        <v>31166.960069444431</v>
      </c>
      <c r="V18" s="3">
        <f t="shared" si="13"/>
        <v>1132.5833333333335</v>
      </c>
      <c r="W18" s="3"/>
      <c r="X18" s="10"/>
      <c r="Y18" s="3"/>
      <c r="Z18" s="3"/>
      <c r="AA18" s="3"/>
      <c r="AB18" s="3">
        <f t="shared" si="6"/>
        <v>793.92200000000003</v>
      </c>
      <c r="AC18" s="3">
        <f t="shared" si="7"/>
        <v>100.07799999999997</v>
      </c>
      <c r="AD18" s="3">
        <f t="shared" si="8"/>
        <v>10015.606083999995</v>
      </c>
      <c r="AE18" s="3">
        <f t="shared" si="1"/>
        <v>1180.6322</v>
      </c>
      <c r="AF18" s="3"/>
      <c r="AG18" s="10"/>
      <c r="AH18" s="20"/>
    </row>
    <row r="19" spans="1:44" x14ac:dyDescent="0.25">
      <c r="A19" s="2">
        <v>16</v>
      </c>
      <c r="B19" s="39"/>
      <c r="C19" s="3" t="s">
        <v>15</v>
      </c>
      <c r="D19" s="3">
        <v>959</v>
      </c>
      <c r="E19" s="11"/>
      <c r="F19" s="3">
        <v>813.55041628122115</v>
      </c>
      <c r="G19" s="8">
        <f t="shared" si="9"/>
        <v>0.84833202949032449</v>
      </c>
      <c r="H19" s="3">
        <f t="shared" si="2"/>
        <v>145.44958371877885</v>
      </c>
      <c r="I19" s="3">
        <f t="shared" si="3"/>
        <v>21155.581403966058</v>
      </c>
      <c r="J19" s="3">
        <f t="shared" si="4"/>
        <v>1177.9512025901943</v>
      </c>
      <c r="K19" s="3"/>
      <c r="L19" s="11"/>
      <c r="M19" s="3">
        <v>777.25561150947283</v>
      </c>
      <c r="N19" s="3">
        <f t="shared" si="5"/>
        <v>181.74438849052717</v>
      </c>
      <c r="O19" s="3">
        <f t="shared" si="10"/>
        <v>33031.022747795665</v>
      </c>
      <c r="P19" s="3">
        <f t="shared" si="0"/>
        <v>695.37335790258362</v>
      </c>
      <c r="Q19" s="3"/>
      <c r="R19" s="11"/>
      <c r="S19" s="8">
        <f t="shared" si="14"/>
        <v>726.70833333333337</v>
      </c>
      <c r="T19" s="3">
        <f t="shared" si="15"/>
        <v>232.29166666666663</v>
      </c>
      <c r="U19" s="3">
        <f t="shared" si="16"/>
        <v>53959.418402777759</v>
      </c>
      <c r="V19" s="3">
        <f t="shared" si="13"/>
        <v>1117.1111111111111</v>
      </c>
      <c r="W19" s="3"/>
      <c r="X19" s="11"/>
      <c r="Y19" s="3"/>
      <c r="Z19" s="3"/>
      <c r="AA19" s="3"/>
      <c r="AB19" s="3">
        <f t="shared" si="6"/>
        <v>802.69079999999997</v>
      </c>
      <c r="AC19" s="3">
        <f t="shared" si="7"/>
        <v>156.30920000000003</v>
      </c>
      <c r="AD19" s="3">
        <f t="shared" si="8"/>
        <v>24432.566004640012</v>
      </c>
      <c r="AE19" s="3">
        <f t="shared" si="1"/>
        <v>1166.5462</v>
      </c>
      <c r="AF19" s="3"/>
      <c r="AG19" s="11"/>
      <c r="AH19" s="20"/>
      <c r="AP19" s="18"/>
      <c r="AQ19" s="19"/>
      <c r="AR19" s="18"/>
    </row>
    <row r="20" spans="1:44" x14ac:dyDescent="0.25">
      <c r="A20" s="2">
        <v>17</v>
      </c>
      <c r="B20" s="39"/>
      <c r="C20" s="3" t="s">
        <v>16</v>
      </c>
      <c r="D20" s="3">
        <v>777</v>
      </c>
      <c r="E20" s="12"/>
      <c r="F20" s="3">
        <v>823.76688251618873</v>
      </c>
      <c r="G20" s="8">
        <f t="shared" si="9"/>
        <v>1.0601890379873729</v>
      </c>
      <c r="H20" s="3">
        <f t="shared" si="2"/>
        <v>-46.76688251618873</v>
      </c>
      <c r="I20" s="3">
        <f t="shared" si="3"/>
        <v>2187.1413002829991</v>
      </c>
      <c r="J20" s="3">
        <f t="shared" si="4"/>
        <v>942.95120259019427</v>
      </c>
      <c r="K20" s="3"/>
      <c r="L20" s="12"/>
      <c r="M20" s="3">
        <v>785.59815222293469</v>
      </c>
      <c r="N20" s="3">
        <f t="shared" si="5"/>
        <v>-8.5981522229346865</v>
      </c>
      <c r="O20" s="3">
        <f t="shared" si="10"/>
        <v>73.92822164875669</v>
      </c>
      <c r="P20" s="3">
        <f t="shared" si="0"/>
        <v>584.74723224338334</v>
      </c>
      <c r="Q20" s="3"/>
      <c r="R20" s="12"/>
      <c r="S20" s="8">
        <f t="shared" si="14"/>
        <v>732.08333333333337</v>
      </c>
      <c r="T20" s="3">
        <f t="shared" si="15"/>
        <v>44.916666666666629</v>
      </c>
      <c r="U20" s="3">
        <f t="shared" si="16"/>
        <v>2017.5069444444409</v>
      </c>
      <c r="V20" s="3">
        <f t="shared" si="13"/>
        <v>811.5625</v>
      </c>
      <c r="W20" s="3"/>
      <c r="X20" s="12"/>
      <c r="Y20" s="3"/>
      <c r="Z20" s="3"/>
      <c r="AA20" s="3"/>
      <c r="AB20" s="3">
        <f t="shared" si="6"/>
        <v>811.64060000000006</v>
      </c>
      <c r="AC20" s="3">
        <f t="shared" si="7"/>
        <v>-34.640600000000063</v>
      </c>
      <c r="AD20" s="3">
        <f t="shared" si="8"/>
        <v>1199.9711683600044</v>
      </c>
      <c r="AE20" s="3">
        <f t="shared" si="1"/>
        <v>930.46019999999999</v>
      </c>
      <c r="AF20" s="3"/>
      <c r="AG20" s="12"/>
      <c r="AH20" s="20"/>
      <c r="AJ20" s="6"/>
      <c r="AK20" s="6" t="s">
        <v>26</v>
      </c>
      <c r="AM20" s="6"/>
      <c r="AN20" s="6" t="s">
        <v>34</v>
      </c>
      <c r="AP20" s="18"/>
      <c r="AQ20" s="18"/>
      <c r="AR20" s="18"/>
    </row>
    <row r="21" spans="1:44" x14ac:dyDescent="0.25">
      <c r="A21" s="2">
        <v>18</v>
      </c>
      <c r="B21" s="39"/>
      <c r="C21" s="3" t="s">
        <v>17</v>
      </c>
      <c r="D21" s="3">
        <v>627</v>
      </c>
      <c r="E21" s="10"/>
      <c r="F21" s="3">
        <v>833.98334875115631</v>
      </c>
      <c r="G21" s="8">
        <f t="shared" si="9"/>
        <v>1.3301169836541569</v>
      </c>
      <c r="H21" s="3">
        <f t="shared" si="2"/>
        <v>-206.98334875115631</v>
      </c>
      <c r="I21" s="3">
        <f t="shared" si="3"/>
        <v>42842.106660242804</v>
      </c>
      <c r="J21" s="3">
        <f t="shared" si="4"/>
        <v>716.95120259019427</v>
      </c>
      <c r="K21" s="3"/>
      <c r="L21" s="10"/>
      <c r="M21" s="3">
        <v>794.03023617613019</v>
      </c>
      <c r="N21" s="3">
        <f t="shared" si="5"/>
        <v>-167.03023617613019</v>
      </c>
      <c r="O21" s="3">
        <f t="shared" si="10"/>
        <v>27899.09979705383</v>
      </c>
      <c r="P21" s="3">
        <f t="shared" si="0"/>
        <v>559.36170283865363</v>
      </c>
      <c r="Q21" s="3"/>
      <c r="R21" s="10"/>
      <c r="S21" s="8">
        <f t="shared" si="14"/>
        <v>735.75</v>
      </c>
      <c r="T21" s="3">
        <f t="shared" si="15"/>
        <v>-108.75</v>
      </c>
      <c r="U21" s="3">
        <f t="shared" si="16"/>
        <v>11826.5625</v>
      </c>
      <c r="V21" s="3">
        <f t="shared" si="13"/>
        <v>632.89583333333326</v>
      </c>
      <c r="W21" s="3"/>
      <c r="X21" s="10"/>
      <c r="Y21" s="3"/>
      <c r="Z21" s="3"/>
      <c r="AA21" s="3"/>
      <c r="AB21" s="3">
        <f t="shared" si="6"/>
        <v>820.77139999999997</v>
      </c>
      <c r="AC21" s="3">
        <f t="shared" si="7"/>
        <v>-193.77139999999997</v>
      </c>
      <c r="AD21" s="3">
        <f t="shared" si="8"/>
        <v>37547.355457959988</v>
      </c>
      <c r="AE21" s="3">
        <f t="shared" si="1"/>
        <v>703.37419999999997</v>
      </c>
      <c r="AF21" s="3"/>
      <c r="AG21" s="10"/>
      <c r="AH21" s="20"/>
      <c r="AJ21" s="4" t="s">
        <v>12</v>
      </c>
      <c r="AK21" s="7">
        <f t="shared" ref="AK21:AK32" si="17">AVERAGE(N4,N19,N31,N43)</f>
        <v>374.19051545186323</v>
      </c>
      <c r="AM21" s="4" t="s">
        <v>18</v>
      </c>
      <c r="AN21" s="7">
        <f t="shared" ref="AN21:AN32" si="18">AVERAGE(T10,T22,T34)</f>
        <v>-224.625</v>
      </c>
      <c r="AP21" s="18"/>
      <c r="AQ21" s="18"/>
      <c r="AR21" s="18"/>
    </row>
    <row r="22" spans="1:44" x14ac:dyDescent="0.25">
      <c r="A22" s="2">
        <v>19</v>
      </c>
      <c r="B22" s="39"/>
      <c r="C22" s="3" t="s">
        <v>18</v>
      </c>
      <c r="D22" s="3">
        <v>584</v>
      </c>
      <c r="E22" s="11"/>
      <c r="F22" s="3">
        <v>844.19981498612401</v>
      </c>
      <c r="G22" s="8">
        <f t="shared" si="9"/>
        <v>1.4455476284008972</v>
      </c>
      <c r="H22" s="3">
        <f t="shared" si="2"/>
        <v>-260.19981498612401</v>
      </c>
      <c r="I22" s="3">
        <f t="shared" si="3"/>
        <v>67703.943718813171</v>
      </c>
      <c r="J22" s="3">
        <f t="shared" si="4"/>
        <v>585.95120259019438</v>
      </c>
      <c r="K22" s="3"/>
      <c r="L22" s="11"/>
      <c r="M22" s="3">
        <v>802.55282446617082</v>
      </c>
      <c r="N22" s="3">
        <f t="shared" si="5"/>
        <v>-218.55282446617082</v>
      </c>
      <c r="O22" s="3">
        <f t="shared" si="10"/>
        <v>47765.337082140875</v>
      </c>
      <c r="P22" s="3">
        <f t="shared" si="0"/>
        <v>648.46666875489348</v>
      </c>
      <c r="Q22" s="3"/>
      <c r="R22" s="11"/>
      <c r="S22" s="8">
        <f t="shared" si="14"/>
        <v>740.375</v>
      </c>
      <c r="T22" s="3">
        <f t="shared" si="15"/>
        <v>-156.375</v>
      </c>
      <c r="U22" s="3">
        <f t="shared" si="16"/>
        <v>24453.140625</v>
      </c>
      <c r="V22" s="3">
        <f t="shared" si="13"/>
        <v>515.75</v>
      </c>
      <c r="W22" s="3"/>
      <c r="X22" s="11"/>
      <c r="Y22" s="3"/>
      <c r="Z22" s="3"/>
      <c r="AA22" s="3"/>
      <c r="AB22" s="3">
        <f t="shared" si="6"/>
        <v>830.08319999999992</v>
      </c>
      <c r="AC22" s="3">
        <f t="shared" si="7"/>
        <v>-246.08319999999992</v>
      </c>
      <c r="AD22" s="3">
        <f t="shared" si="8"/>
        <v>60556.94132223996</v>
      </c>
      <c r="AE22" s="3">
        <f t="shared" si="1"/>
        <v>571.28819999999996</v>
      </c>
      <c r="AF22" s="3"/>
      <c r="AG22" s="11"/>
      <c r="AH22" s="20"/>
      <c r="AJ22" s="6" t="s">
        <v>13</v>
      </c>
      <c r="AK22" s="7">
        <f t="shared" si="17"/>
        <v>188.76243003449349</v>
      </c>
      <c r="AM22" s="6" t="s">
        <v>19</v>
      </c>
      <c r="AN22" s="7">
        <f t="shared" si="18"/>
        <v>-273.59722222222223</v>
      </c>
      <c r="AP22" s="18"/>
      <c r="AQ22" s="18"/>
      <c r="AR22" s="18"/>
    </row>
    <row r="23" spans="1:44" x14ac:dyDescent="0.25">
      <c r="A23" s="2">
        <v>20</v>
      </c>
      <c r="B23" s="39"/>
      <c r="C23" s="3" t="s">
        <v>19</v>
      </c>
      <c r="D23" s="3">
        <v>523</v>
      </c>
      <c r="E23" s="12"/>
      <c r="F23" s="3">
        <v>854.41628122109159</v>
      </c>
      <c r="G23" s="8">
        <f t="shared" si="9"/>
        <v>1.6336831380900414</v>
      </c>
      <c r="H23" s="3">
        <f t="shared" si="2"/>
        <v>-331.41628122109159</v>
      </c>
      <c r="I23" s="3">
        <f t="shared" si="3"/>
        <v>109836.75145841767</v>
      </c>
      <c r="J23" s="3">
        <f t="shared" si="4"/>
        <v>518.20120259019427</v>
      </c>
      <c r="K23" s="3"/>
      <c r="L23" s="12"/>
      <c r="M23" s="3">
        <v>811.16688850594028</v>
      </c>
      <c r="N23" s="3">
        <f t="shared" si="5"/>
        <v>-288.16688850594028</v>
      </c>
      <c r="O23" s="3">
        <f t="shared" si="10"/>
        <v>83040.155631195012</v>
      </c>
      <c r="P23" s="3">
        <f t="shared" si="0"/>
        <v>742.08588114476777</v>
      </c>
      <c r="Q23" s="3"/>
      <c r="R23" s="12"/>
      <c r="S23" s="8">
        <f t="shared" si="14"/>
        <v>752.45833333333337</v>
      </c>
      <c r="T23" s="3">
        <f t="shared" si="15"/>
        <v>-229.45833333333337</v>
      </c>
      <c r="U23" s="3">
        <f t="shared" si="16"/>
        <v>52651.126736111131</v>
      </c>
      <c r="V23" s="3">
        <f t="shared" si="13"/>
        <v>478.86111111111114</v>
      </c>
      <c r="W23" s="3"/>
      <c r="X23" s="12"/>
      <c r="Y23" s="3"/>
      <c r="Z23" s="3"/>
      <c r="AA23" s="3"/>
      <c r="AB23" s="3">
        <f t="shared" si="6"/>
        <v>839.57600000000002</v>
      </c>
      <c r="AC23" s="3">
        <f t="shared" si="7"/>
        <v>-316.57600000000002</v>
      </c>
      <c r="AD23" s="3">
        <f t="shared" si="8"/>
        <v>100220.36377600001</v>
      </c>
      <c r="AE23" s="3">
        <f t="shared" si="1"/>
        <v>502.45219999999995</v>
      </c>
      <c r="AF23" s="3"/>
      <c r="AG23" s="12"/>
      <c r="AH23" s="20"/>
      <c r="AJ23" s="4" t="s">
        <v>14</v>
      </c>
      <c r="AK23" s="7">
        <f t="shared" si="17"/>
        <v>22.988516533048539</v>
      </c>
      <c r="AM23" s="4" t="s">
        <v>20</v>
      </c>
      <c r="AN23" s="7">
        <f t="shared" si="18"/>
        <v>-264.95833333333331</v>
      </c>
      <c r="AP23" s="18"/>
      <c r="AQ23" s="18"/>
      <c r="AR23" s="18"/>
    </row>
    <row r="24" spans="1:44" x14ac:dyDescent="0.25">
      <c r="A24" s="2">
        <v>21</v>
      </c>
      <c r="B24" s="39"/>
      <c r="C24" s="3" t="s">
        <v>20</v>
      </c>
      <c r="D24" s="3">
        <v>614</v>
      </c>
      <c r="E24" s="10"/>
      <c r="F24" s="3">
        <v>864.63274745605918</v>
      </c>
      <c r="G24" s="8">
        <f t="shared" si="9"/>
        <v>1.408196657094559</v>
      </c>
      <c r="H24" s="3">
        <f t="shared" si="2"/>
        <v>-250.63274745605918</v>
      </c>
      <c r="I24" s="3">
        <f t="shared" si="3"/>
        <v>62816.774097372741</v>
      </c>
      <c r="J24" s="3">
        <f t="shared" si="4"/>
        <v>548.95120259019427</v>
      </c>
      <c r="L24" s="10"/>
      <c r="M24" s="3">
        <v>819.87341013481694</v>
      </c>
      <c r="N24" s="3">
        <f t="shared" si="5"/>
        <v>-205.87341013481694</v>
      </c>
      <c r="O24" s="3">
        <f t="shared" si="10"/>
        <v>42383.861000538542</v>
      </c>
      <c r="P24" s="3">
        <f t="shared" si="0"/>
        <v>753.16969190985515</v>
      </c>
      <c r="Q24" s="3"/>
      <c r="R24" s="10"/>
      <c r="S24" s="8">
        <f t="shared" si="14"/>
        <v>777</v>
      </c>
      <c r="T24" s="3">
        <f t="shared" si="15"/>
        <v>-163</v>
      </c>
      <c r="U24" s="3">
        <f t="shared" si="16"/>
        <v>26569</v>
      </c>
      <c r="V24" s="3">
        <f t="shared" si="13"/>
        <v>512.04166666666674</v>
      </c>
      <c r="W24" s="3"/>
      <c r="X24" s="10"/>
      <c r="Y24" s="3"/>
      <c r="Z24" s="3"/>
      <c r="AA24" s="3"/>
      <c r="AB24" s="3">
        <f t="shared" si="6"/>
        <v>849.24979999999994</v>
      </c>
      <c r="AC24" s="3">
        <f t="shared" si="7"/>
        <v>-235.24979999999994</v>
      </c>
      <c r="AD24" s="3">
        <f t="shared" si="8"/>
        <v>55342.468400039972</v>
      </c>
      <c r="AE24" s="3">
        <f t="shared" si="1"/>
        <v>532.11619999999994</v>
      </c>
      <c r="AF24" s="3"/>
      <c r="AG24" s="10"/>
      <c r="AH24" s="20"/>
      <c r="AJ24" s="6" t="s">
        <v>15</v>
      </c>
      <c r="AK24" s="7">
        <f t="shared" si="17"/>
        <v>-81.882253606889236</v>
      </c>
      <c r="AM24" s="6" t="s">
        <v>21</v>
      </c>
      <c r="AN24" s="7">
        <f t="shared" si="18"/>
        <v>-142.44444444444446</v>
      </c>
      <c r="AP24" s="18"/>
      <c r="AQ24" s="18"/>
      <c r="AR24" s="18"/>
    </row>
    <row r="25" spans="1:44" x14ac:dyDescent="0.25">
      <c r="A25" s="2">
        <v>22</v>
      </c>
      <c r="B25" s="39"/>
      <c r="C25" s="3" t="s">
        <v>21</v>
      </c>
      <c r="D25" s="3">
        <v>637</v>
      </c>
      <c r="E25" s="11"/>
      <c r="F25" s="3">
        <v>874.84921369102676</v>
      </c>
      <c r="G25" s="8">
        <f t="shared" si="9"/>
        <v>1.3733896604254736</v>
      </c>
      <c r="H25" s="3">
        <f t="shared" si="2"/>
        <v>-237.84921369102676</v>
      </c>
      <c r="I25" s="3">
        <f t="shared" si="3"/>
        <v>56572.248453439715</v>
      </c>
      <c r="J25" s="3">
        <f t="shared" si="4"/>
        <v>697.20120259019427</v>
      </c>
      <c r="K25" s="3"/>
      <c r="L25" s="11"/>
      <c r="M25" s="3">
        <v>828.67338173058454</v>
      </c>
      <c r="N25" s="3">
        <f t="shared" si="5"/>
        <v>-191.67338173058454</v>
      </c>
      <c r="O25" s="3">
        <f t="shared" si="10"/>
        <v>36738.68526403838</v>
      </c>
      <c r="P25" s="3">
        <f t="shared" si="0"/>
        <v>907.25082446695831</v>
      </c>
      <c r="Q25" s="3"/>
      <c r="R25" s="11"/>
      <c r="S25" s="8">
        <f t="shared" si="14"/>
        <v>810.625</v>
      </c>
      <c r="T25" s="3">
        <f t="shared" si="15"/>
        <v>-173.625</v>
      </c>
      <c r="U25" s="3">
        <f t="shared" si="16"/>
        <v>30145.640625</v>
      </c>
      <c r="V25" s="3">
        <f t="shared" si="13"/>
        <v>668.18055555555554</v>
      </c>
      <c r="W25" s="3"/>
      <c r="X25" s="11"/>
      <c r="Y25" s="3"/>
      <c r="Z25" s="3"/>
      <c r="AA25" s="3"/>
      <c r="AB25" s="3">
        <f t="shared" si="6"/>
        <v>859.1046</v>
      </c>
      <c r="AC25" s="3">
        <f t="shared" si="7"/>
        <v>-222.1046</v>
      </c>
      <c r="AD25" s="3">
        <f t="shared" si="8"/>
        <v>49330.453341159999</v>
      </c>
      <c r="AE25" s="3">
        <f t="shared" si="1"/>
        <v>679.28019999999992</v>
      </c>
      <c r="AF25" s="3"/>
      <c r="AG25" s="11"/>
      <c r="AH25" s="20"/>
      <c r="AJ25" s="4" t="s">
        <v>16</v>
      </c>
      <c r="AK25" s="7">
        <f t="shared" si="17"/>
        <v>-200.85091997955132</v>
      </c>
      <c r="AM25" s="4" t="s">
        <v>22</v>
      </c>
      <c r="AN25" s="7">
        <f t="shared" si="18"/>
        <v>-68.25</v>
      </c>
      <c r="AP25" s="18"/>
      <c r="AQ25" s="18"/>
      <c r="AR25" s="18"/>
    </row>
    <row r="26" spans="1:44" x14ac:dyDescent="0.25">
      <c r="A26" s="2">
        <v>23</v>
      </c>
      <c r="B26" s="39"/>
      <c r="C26" s="3" t="s">
        <v>22</v>
      </c>
      <c r="D26" s="3">
        <v>717</v>
      </c>
      <c r="E26" s="12"/>
      <c r="F26" s="3">
        <v>885.06567992599446</v>
      </c>
      <c r="G26" s="8">
        <f t="shared" si="9"/>
        <v>1.2344012272329072</v>
      </c>
      <c r="H26" s="3">
        <f t="shared" si="2"/>
        <v>-168.06567992599446</v>
      </c>
      <c r="I26" s="3">
        <f t="shared" si="3"/>
        <v>28246.072768986818</v>
      </c>
      <c r="J26" s="3">
        <f t="shared" si="4"/>
        <v>826.66666666666674</v>
      </c>
      <c r="K26" s="3"/>
      <c r="L26" s="12"/>
      <c r="M26" s="3">
        <v>837.56780632254549</v>
      </c>
      <c r="N26" s="3">
        <f t="shared" si="5"/>
        <v>-120.56780632254549</v>
      </c>
      <c r="O26" s="3">
        <f t="shared" si="10"/>
        <v>14536.59592143084</v>
      </c>
      <c r="P26" s="3">
        <f t="shared" si="0"/>
        <v>1076.9959167366549</v>
      </c>
      <c r="Q26" s="3"/>
      <c r="R26" s="12"/>
      <c r="S26" s="8">
        <f t="shared" si="14"/>
        <v>840.79166666666663</v>
      </c>
      <c r="T26" s="3">
        <f t="shared" si="15"/>
        <v>-123.79166666666663</v>
      </c>
      <c r="U26" s="3">
        <f t="shared" si="16"/>
        <v>15324.376736111102</v>
      </c>
      <c r="V26" s="3">
        <f t="shared" si="13"/>
        <v>772.54166666666663</v>
      </c>
      <c r="W26" s="3"/>
      <c r="X26" s="12"/>
      <c r="Y26" s="3"/>
      <c r="Z26" s="3"/>
      <c r="AA26" s="3"/>
      <c r="AB26" s="3">
        <f t="shared" si="6"/>
        <v>869.1404</v>
      </c>
      <c r="AC26" s="3">
        <f t="shared" si="7"/>
        <v>-152.1404</v>
      </c>
      <c r="AD26" s="3">
        <f t="shared" si="8"/>
        <v>23146.701312159999</v>
      </c>
      <c r="AE26" s="3">
        <f t="shared" si="1"/>
        <v>817.97866666666664</v>
      </c>
      <c r="AF26" s="3"/>
      <c r="AG26" s="12"/>
      <c r="AH26" s="20"/>
      <c r="AJ26" s="6" t="s">
        <v>17</v>
      </c>
      <c r="AK26" s="7">
        <f t="shared" si="17"/>
        <v>-234.66853333747659</v>
      </c>
      <c r="AM26" s="6" t="s">
        <v>23</v>
      </c>
      <c r="AN26" s="7">
        <f t="shared" si="18"/>
        <v>-43.597222222222207</v>
      </c>
      <c r="AP26" s="18"/>
      <c r="AQ26" s="18"/>
      <c r="AR26" s="18"/>
    </row>
    <row r="27" spans="1:44" x14ac:dyDescent="0.25">
      <c r="A27" s="2">
        <v>24</v>
      </c>
      <c r="B27" s="40"/>
      <c r="C27" s="3" t="s">
        <v>23</v>
      </c>
      <c r="D27" s="3">
        <v>763</v>
      </c>
      <c r="E27" s="10"/>
      <c r="F27" s="3">
        <v>895.28214616096204</v>
      </c>
      <c r="G27" s="8">
        <f t="shared" si="9"/>
        <v>1.1733710958859267</v>
      </c>
      <c r="H27" s="3">
        <f t="shared" si="2"/>
        <v>-132.28214616096204</v>
      </c>
      <c r="I27" s="3">
        <f t="shared" si="3"/>
        <v>17498.566192950126</v>
      </c>
      <c r="J27" s="3">
        <f t="shared" si="4"/>
        <v>864</v>
      </c>
      <c r="K27" s="3"/>
      <c r="L27" s="10"/>
      <c r="M27" s="3">
        <v>846.55769770584573</v>
      </c>
      <c r="N27" s="3">
        <f t="shared" si="5"/>
        <v>-83.557697705845726</v>
      </c>
      <c r="O27" s="3">
        <f t="shared" si="10"/>
        <v>6981.8888459014961</v>
      </c>
      <c r="P27" s="3">
        <f t="shared" si="0"/>
        <v>1265.4049396643143</v>
      </c>
      <c r="Q27" s="3"/>
      <c r="R27" s="10"/>
      <c r="S27" s="8">
        <f t="shared" si="14"/>
        <v>863.91666666666663</v>
      </c>
      <c r="T27" s="3">
        <f t="shared" si="15"/>
        <v>-100.91666666666663</v>
      </c>
      <c r="U27" s="3">
        <f t="shared" si="16"/>
        <v>10184.173611111104</v>
      </c>
      <c r="V27" s="3">
        <f t="shared" si="13"/>
        <v>820.31944444444446</v>
      </c>
      <c r="W27" s="3"/>
      <c r="X27" s="10"/>
      <c r="Y27" s="3"/>
      <c r="Z27" s="3"/>
      <c r="AA27" s="3"/>
      <c r="AB27" s="3">
        <f t="shared" si="6"/>
        <v>879.35720000000003</v>
      </c>
      <c r="AC27" s="3">
        <f t="shared" si="7"/>
        <v>-116.35720000000003</v>
      </c>
      <c r="AD27" s="3">
        <f t="shared" si="8"/>
        <v>13538.997991840008</v>
      </c>
      <c r="AE27" s="3">
        <f t="shared" si="1"/>
        <v>855.31200000000001</v>
      </c>
      <c r="AF27" s="3"/>
      <c r="AG27" s="10"/>
      <c r="AH27" s="20"/>
      <c r="AJ27" s="4" t="s">
        <v>18</v>
      </c>
      <c r="AK27" s="7">
        <f t="shared" si="17"/>
        <v>-154.08615571127734</v>
      </c>
      <c r="AM27" s="4" t="s">
        <v>12</v>
      </c>
      <c r="AN27" s="7">
        <f t="shared" si="18"/>
        <v>117.09722222222224</v>
      </c>
      <c r="AP27" s="18"/>
      <c r="AQ27" s="19"/>
      <c r="AR27" s="18"/>
    </row>
    <row r="28" spans="1:44" x14ac:dyDescent="0.25">
      <c r="A28" s="2">
        <v>25</v>
      </c>
      <c r="B28" s="38">
        <v>2022</v>
      </c>
      <c r="C28" s="3" t="s">
        <v>12</v>
      </c>
      <c r="D28" s="3">
        <v>951</v>
      </c>
      <c r="E28" s="11"/>
      <c r="F28" s="3">
        <v>905.49861239592974</v>
      </c>
      <c r="G28" s="8">
        <f t="shared" si="9"/>
        <v>0.95215416655723417</v>
      </c>
      <c r="H28" s="3">
        <f t="shared" si="2"/>
        <v>45.50138760407026</v>
      </c>
      <c r="I28" s="3">
        <f t="shared" si="3"/>
        <v>2070.3762738958385</v>
      </c>
      <c r="J28" s="3">
        <f t="shared" si="4"/>
        <v>1048.7987974098057</v>
      </c>
      <c r="K28" s="3"/>
      <c r="L28" s="11"/>
      <c r="M28" s="3">
        <v>855.6440805570287</v>
      </c>
      <c r="N28" s="3">
        <f t="shared" si="5"/>
        <v>95.355919442971299</v>
      </c>
      <c r="O28" s="3">
        <f t="shared" si="10"/>
        <v>9092.7513728144313</v>
      </c>
      <c r="P28" s="3">
        <f t="shared" si="0"/>
        <v>1229.8345960088918</v>
      </c>
      <c r="Q28" s="3"/>
      <c r="R28" s="11"/>
      <c r="S28" s="8">
        <f t="shared" si="14"/>
        <v>881.66666666666663</v>
      </c>
      <c r="T28" s="3">
        <f t="shared" si="15"/>
        <v>69.333333333333371</v>
      </c>
      <c r="U28" s="3">
        <f t="shared" si="16"/>
        <v>4807.1111111111168</v>
      </c>
      <c r="V28" s="3">
        <f t="shared" si="13"/>
        <v>998.76388888888891</v>
      </c>
      <c r="W28" s="3"/>
      <c r="X28" s="11"/>
      <c r="Y28" s="3"/>
      <c r="Z28" s="3"/>
      <c r="AA28" s="3"/>
      <c r="AB28" s="3">
        <f t="shared" si="6"/>
        <v>889.755</v>
      </c>
      <c r="AC28" s="3">
        <f t="shared" si="7"/>
        <v>61.245000000000005</v>
      </c>
      <c r="AD28" s="3">
        <f t="shared" si="8"/>
        <v>3750.9500250000006</v>
      </c>
      <c r="AE28" s="3">
        <f t="shared" si="1"/>
        <v>1030.8817999999999</v>
      </c>
      <c r="AF28" s="3"/>
      <c r="AG28" s="11"/>
      <c r="AH28" s="20"/>
      <c r="AJ28" s="6" t="s">
        <v>19</v>
      </c>
      <c r="AK28" s="7">
        <f t="shared" si="17"/>
        <v>-69.081007361172553</v>
      </c>
      <c r="AM28" s="6" t="s">
        <v>13</v>
      </c>
      <c r="AN28" s="7">
        <f t="shared" si="18"/>
        <v>247.62500000000003</v>
      </c>
      <c r="AP28" s="18"/>
      <c r="AQ28" s="18"/>
      <c r="AR28" s="18"/>
    </row>
    <row r="29" spans="1:44" x14ac:dyDescent="0.25">
      <c r="A29" s="2">
        <v>26</v>
      </c>
      <c r="B29" s="39"/>
      <c r="C29" s="3" t="s">
        <v>13</v>
      </c>
      <c r="D29" s="3">
        <v>1090</v>
      </c>
      <c r="E29" s="12"/>
      <c r="F29" s="3">
        <v>915.71507863089732</v>
      </c>
      <c r="G29" s="8">
        <f t="shared" si="9"/>
        <v>0.84010557672559383</v>
      </c>
      <c r="H29" s="3">
        <f t="shared" si="2"/>
        <v>174.28492136910268</v>
      </c>
      <c r="I29" s="3">
        <f t="shared" si="3"/>
        <v>30375.233816634303</v>
      </c>
      <c r="J29" s="3">
        <f t="shared" si="4"/>
        <v>1173.2987974098057</v>
      </c>
      <c r="K29" s="3"/>
      <c r="L29" s="12"/>
      <c r="M29" s="3">
        <v>864.82799055082944</v>
      </c>
      <c r="N29" s="3">
        <f t="shared" si="5"/>
        <v>225.17200944917056</v>
      </c>
      <c r="O29" s="3">
        <f t="shared" si="10"/>
        <v>50702.433839377358</v>
      </c>
      <c r="P29" s="3">
        <f t="shared" si="0"/>
        <v>1053.590420585323</v>
      </c>
      <c r="Q29" s="3"/>
      <c r="R29" s="12"/>
      <c r="S29" s="8">
        <f t="shared" si="14"/>
        <v>895.29166666666663</v>
      </c>
      <c r="T29" s="3">
        <f t="shared" si="15"/>
        <v>194.70833333333337</v>
      </c>
      <c r="U29" s="3">
        <f t="shared" si="16"/>
        <v>37911.33506944446</v>
      </c>
      <c r="V29" s="3">
        <f t="shared" si="13"/>
        <v>1142.9166666666667</v>
      </c>
      <c r="W29" s="3"/>
      <c r="X29" s="12"/>
      <c r="Y29" s="3"/>
      <c r="Z29" s="3"/>
      <c r="AA29" s="3"/>
      <c r="AB29" s="3">
        <f t="shared" si="6"/>
        <v>900.3338</v>
      </c>
      <c r="AC29" s="3">
        <f t="shared" si="7"/>
        <v>189.6662</v>
      </c>
      <c r="AD29" s="3">
        <f t="shared" si="8"/>
        <v>35973.267422440003</v>
      </c>
      <c r="AE29" s="3">
        <f t="shared" si="1"/>
        <v>1156.4677999999999</v>
      </c>
      <c r="AF29" s="3"/>
      <c r="AG29" s="12"/>
      <c r="AH29" s="20"/>
      <c r="AJ29" s="4" t="s">
        <v>20</v>
      </c>
      <c r="AK29" s="7">
        <f t="shared" si="17"/>
        <v>-66.70371822496179</v>
      </c>
      <c r="AM29" s="4" t="s">
        <v>14</v>
      </c>
      <c r="AN29" s="7">
        <f t="shared" si="18"/>
        <v>415.125</v>
      </c>
      <c r="AP29" s="18"/>
      <c r="AQ29" s="18"/>
      <c r="AR29" s="18"/>
    </row>
    <row r="30" spans="1:44" x14ac:dyDescent="0.25">
      <c r="A30" s="2">
        <v>27</v>
      </c>
      <c r="B30" s="39"/>
      <c r="C30" s="3" t="s">
        <v>14</v>
      </c>
      <c r="D30" s="3">
        <v>1270</v>
      </c>
      <c r="E30" s="10"/>
      <c r="F30" s="3">
        <v>925.93154486586491</v>
      </c>
      <c r="G30" s="8">
        <f t="shared" si="9"/>
        <v>0.72907995658729519</v>
      </c>
      <c r="H30" s="3">
        <f t="shared" si="2"/>
        <v>344.06845513413509</v>
      </c>
      <c r="I30" s="3">
        <f t="shared" si="3"/>
        <v>118383.10181839034</v>
      </c>
      <c r="J30" s="3">
        <f t="shared" si="4"/>
        <v>1313.5487974098057</v>
      </c>
      <c r="K30" s="3"/>
      <c r="L30" s="10"/>
      <c r="M30" s="3">
        <v>874.11047447822125</v>
      </c>
      <c r="N30" s="3">
        <f t="shared" si="5"/>
        <v>395.88952552177875</v>
      </c>
      <c r="O30" s="3">
        <f t="shared" si="10"/>
        <v>156728.51641785912</v>
      </c>
      <c r="P30" s="3">
        <f t="shared" si="0"/>
        <v>897.09899101126985</v>
      </c>
      <c r="Q30" s="3"/>
      <c r="R30" s="10"/>
      <c r="S30" s="8">
        <f t="shared" si="14"/>
        <v>905.5</v>
      </c>
      <c r="T30" s="3">
        <f t="shared" si="15"/>
        <v>364.5</v>
      </c>
      <c r="U30" s="3">
        <f t="shared" si="16"/>
        <v>132860.25</v>
      </c>
      <c r="V30" s="3">
        <f t="shared" si="13"/>
        <v>1320.625</v>
      </c>
      <c r="W30" s="3"/>
      <c r="X30" s="10"/>
      <c r="Y30" s="3"/>
      <c r="Z30" s="3"/>
      <c r="AA30" s="3"/>
      <c r="AB30" s="3">
        <f t="shared" si="6"/>
        <v>911.09360000000004</v>
      </c>
      <c r="AC30" s="3">
        <f t="shared" si="7"/>
        <v>358.90639999999996</v>
      </c>
      <c r="AD30" s="3">
        <f t="shared" si="8"/>
        <v>128813.80396095998</v>
      </c>
      <c r="AE30" s="3">
        <f t="shared" si="1"/>
        <v>1297.8038000000001</v>
      </c>
      <c r="AF30" s="3"/>
      <c r="AG30" s="10"/>
      <c r="AH30" s="20"/>
      <c r="AJ30" s="6" t="s">
        <v>21</v>
      </c>
      <c r="AK30" s="7">
        <f t="shared" si="17"/>
        <v>78.577442736373769</v>
      </c>
      <c r="AM30" s="6" t="s">
        <v>15</v>
      </c>
      <c r="AN30" s="7">
        <f t="shared" si="18"/>
        <v>390.40277777777777</v>
      </c>
      <c r="AP30" s="18"/>
      <c r="AQ30" s="18"/>
      <c r="AR30" s="18"/>
    </row>
    <row r="31" spans="1:44" x14ac:dyDescent="0.25">
      <c r="A31" s="2">
        <v>28</v>
      </c>
      <c r="B31" s="39"/>
      <c r="C31" s="3" t="s">
        <v>15</v>
      </c>
      <c r="D31" s="3">
        <v>1390</v>
      </c>
      <c r="E31" s="11"/>
      <c r="F31" s="3">
        <v>936.14801110083249</v>
      </c>
      <c r="G31" s="8">
        <f t="shared" si="9"/>
        <v>0.67348777777038304</v>
      </c>
      <c r="H31" s="3">
        <f t="shared" si="2"/>
        <v>453.85198889916751</v>
      </c>
      <c r="I31" s="3">
        <f t="shared" si="3"/>
        <v>205981.62782773006</v>
      </c>
      <c r="J31" s="3">
        <f t="shared" si="4"/>
        <v>1300.5487974098057</v>
      </c>
      <c r="K31" s="3"/>
      <c r="L31" s="11"/>
      <c r="M31" s="3">
        <v>883.49259036572937</v>
      </c>
      <c r="N31" s="3">
        <f t="shared" si="5"/>
        <v>506.50740963427063</v>
      </c>
      <c r="O31" s="3">
        <f t="shared" si="10"/>
        <v>256549.75601441882</v>
      </c>
      <c r="P31" s="3">
        <f t="shared" si="0"/>
        <v>801.61033675884016</v>
      </c>
      <c r="Q31" s="3"/>
      <c r="R31" s="11"/>
      <c r="S31" s="8">
        <f t="shared" si="14"/>
        <v>924.45833333333337</v>
      </c>
      <c r="T31" s="3">
        <f t="shared" si="15"/>
        <v>465.54166666666663</v>
      </c>
      <c r="U31" s="3">
        <f t="shared" si="16"/>
        <v>216729.04340277775</v>
      </c>
      <c r="V31" s="3">
        <f t="shared" si="13"/>
        <v>1314.8611111111111</v>
      </c>
      <c r="W31" s="3"/>
      <c r="X31" s="11"/>
      <c r="Y31" s="3"/>
      <c r="Z31" s="3"/>
      <c r="AA31" s="3"/>
      <c r="AB31" s="3">
        <f t="shared" si="6"/>
        <v>922.03440000000001</v>
      </c>
      <c r="AC31" s="3">
        <f t="shared" si="7"/>
        <v>467.96559999999999</v>
      </c>
      <c r="AD31" s="3">
        <f t="shared" si="8"/>
        <v>218991.80278336001</v>
      </c>
      <c r="AE31" s="3">
        <f t="shared" si="1"/>
        <v>1285.8897999999999</v>
      </c>
      <c r="AF31" s="3"/>
      <c r="AG31" s="11"/>
      <c r="AH31" s="20"/>
      <c r="AJ31" s="4" t="s">
        <v>22</v>
      </c>
      <c r="AK31" s="7">
        <f t="shared" si="17"/>
        <v>239.4281104141094</v>
      </c>
      <c r="AM31" s="4" t="s">
        <v>16</v>
      </c>
      <c r="AN31" s="7">
        <f t="shared" si="18"/>
        <v>79.479166666666629</v>
      </c>
      <c r="AP31" s="18"/>
      <c r="AQ31" s="18"/>
      <c r="AR31" s="18"/>
    </row>
    <row r="32" spans="1:44" x14ac:dyDescent="0.25">
      <c r="A32" s="2">
        <v>29</v>
      </c>
      <c r="B32" s="39"/>
      <c r="C32" s="3" t="s">
        <v>16</v>
      </c>
      <c r="D32" s="3">
        <v>1070</v>
      </c>
      <c r="E32" s="12"/>
      <c r="F32" s="3">
        <v>946.36447733580007</v>
      </c>
      <c r="G32" s="8">
        <f t="shared" si="9"/>
        <v>0.88445278255682247</v>
      </c>
      <c r="H32" s="3">
        <f t="shared" si="2"/>
        <v>123.63552266419993</v>
      </c>
      <c r="I32" s="3">
        <f t="shared" si="3"/>
        <v>15285.742464449893</v>
      </c>
      <c r="J32" s="3">
        <f t="shared" si="4"/>
        <v>1065.5487974098057</v>
      </c>
      <c r="K32" s="3"/>
      <c r="L32" s="12"/>
      <c r="M32" s="3">
        <v>892.97540759602748</v>
      </c>
      <c r="N32" s="3">
        <f t="shared" si="5"/>
        <v>177.02459240397252</v>
      </c>
      <c r="O32" s="3">
        <f t="shared" si="10"/>
        <v>31337.706315792606</v>
      </c>
      <c r="P32" s="3">
        <f t="shared" si="0"/>
        <v>692.12448761647613</v>
      </c>
      <c r="Q32" s="3"/>
      <c r="R32" s="12"/>
      <c r="S32" s="8">
        <f t="shared" si="14"/>
        <v>955.95833333333337</v>
      </c>
      <c r="T32" s="3">
        <f t="shared" si="15"/>
        <v>114.04166666666663</v>
      </c>
      <c r="U32" s="3">
        <f t="shared" si="16"/>
        <v>13005.501736111102</v>
      </c>
      <c r="V32" s="3">
        <f t="shared" si="13"/>
        <v>1035.4375</v>
      </c>
      <c r="W32" s="3"/>
      <c r="X32" s="12"/>
      <c r="Y32" s="3"/>
      <c r="Z32" s="3"/>
      <c r="AA32" s="3"/>
      <c r="AB32" s="3">
        <f t="shared" si="6"/>
        <v>933.15620000000001</v>
      </c>
      <c r="AC32" s="3">
        <f t="shared" si="7"/>
        <v>136.84379999999999</v>
      </c>
      <c r="AD32" s="3">
        <f t="shared" si="8"/>
        <v>18726.225598439996</v>
      </c>
      <c r="AE32" s="3">
        <f t="shared" si="1"/>
        <v>1051.9757999999999</v>
      </c>
      <c r="AF32" s="3"/>
      <c r="AG32" s="12"/>
      <c r="AH32" s="20"/>
      <c r="AJ32" s="6" t="s">
        <v>23</v>
      </c>
      <c r="AK32" s="7">
        <f t="shared" si="17"/>
        <v>418.84724195846849</v>
      </c>
      <c r="AM32" s="6" t="s">
        <v>17</v>
      </c>
      <c r="AN32" s="7">
        <f t="shared" si="18"/>
        <v>-102.85416666666669</v>
      </c>
      <c r="AP32" s="18"/>
      <c r="AQ32" s="18"/>
      <c r="AR32" s="18"/>
    </row>
    <row r="33" spans="1:44" x14ac:dyDescent="0.25">
      <c r="A33" s="2">
        <v>30</v>
      </c>
      <c r="B33" s="39"/>
      <c r="C33" s="3" t="s">
        <v>17</v>
      </c>
      <c r="D33" s="3">
        <v>889</v>
      </c>
      <c r="E33" s="10"/>
      <c r="F33" s="3">
        <v>956.58094357076777</v>
      </c>
      <c r="G33" s="8">
        <f t="shared" si="9"/>
        <v>1.0760190591347218</v>
      </c>
      <c r="H33" s="3">
        <f t="shared" si="2"/>
        <v>-67.580943570767772</v>
      </c>
      <c r="I33" s="3">
        <f t="shared" si="3"/>
        <v>4567.1839339152975</v>
      </c>
      <c r="J33" s="3">
        <f t="shared" si="4"/>
        <v>839.54879740980573</v>
      </c>
      <c r="K33" s="3"/>
      <c r="L33" s="10"/>
      <c r="M33" s="3">
        <v>902.56000702982556</v>
      </c>
      <c r="N33" s="3">
        <f t="shared" si="5"/>
        <v>-13.560007029825556</v>
      </c>
      <c r="O33" s="3">
        <f t="shared" si="10"/>
        <v>183.87379064891849</v>
      </c>
      <c r="P33" s="3">
        <f t="shared" si="0"/>
        <v>667.891473692349</v>
      </c>
      <c r="Q33" s="3"/>
      <c r="R33" s="10"/>
      <c r="S33" s="8">
        <f t="shared" si="14"/>
        <v>985.95833333333337</v>
      </c>
      <c r="T33" s="3">
        <f t="shared" si="15"/>
        <v>-96.958333333333371</v>
      </c>
      <c r="U33" s="3">
        <f t="shared" si="16"/>
        <v>9400.9184027777846</v>
      </c>
      <c r="V33" s="3">
        <f t="shared" si="13"/>
        <v>883.10416666666674</v>
      </c>
      <c r="W33" s="3"/>
      <c r="X33" s="10"/>
      <c r="Y33" s="3"/>
      <c r="Z33" s="3"/>
      <c r="AA33" s="3"/>
      <c r="AB33" s="3">
        <f t="shared" si="6"/>
        <v>944.45900000000006</v>
      </c>
      <c r="AC33" s="3">
        <f t="shared" si="7"/>
        <v>-55.45900000000006</v>
      </c>
      <c r="AD33" s="3">
        <f t="shared" si="8"/>
        <v>3075.7006810000066</v>
      </c>
      <c r="AE33" s="3">
        <f t="shared" si="1"/>
        <v>827.06179999999995</v>
      </c>
      <c r="AF33" s="3"/>
      <c r="AG33" s="10"/>
      <c r="AH33" s="20"/>
      <c r="AP33" s="18"/>
      <c r="AQ33" s="18"/>
      <c r="AR33" s="18"/>
    </row>
    <row r="34" spans="1:44" x14ac:dyDescent="0.25">
      <c r="A34" s="2">
        <v>31</v>
      </c>
      <c r="B34" s="39"/>
      <c r="C34" s="3" t="s">
        <v>18</v>
      </c>
      <c r="D34" s="3">
        <v>748</v>
      </c>
      <c r="E34" s="11"/>
      <c r="F34" s="3">
        <v>966.79740980573536</v>
      </c>
      <c r="G34" s="8">
        <f t="shared" si="9"/>
        <v>1.2925099061574001</v>
      </c>
      <c r="H34" s="3">
        <f t="shared" si="2"/>
        <v>-218.79740980573536</v>
      </c>
      <c r="I34" s="3">
        <f t="shared" si="3"/>
        <v>47872.306537698896</v>
      </c>
      <c r="J34" s="3">
        <f t="shared" si="4"/>
        <v>708.54879740980573</v>
      </c>
      <c r="K34" s="3"/>
      <c r="L34" s="11"/>
      <c r="M34" s="3">
        <v>912.24748112906764</v>
      </c>
      <c r="N34" s="3">
        <f t="shared" si="5"/>
        <v>-164.24748112906764</v>
      </c>
      <c r="O34" s="3">
        <f t="shared" si="10"/>
        <v>26977.23505724343</v>
      </c>
      <c r="P34" s="3">
        <f t="shared" si="0"/>
        <v>758.16132541779029</v>
      </c>
      <c r="Q34" s="3"/>
      <c r="R34" s="11"/>
      <c r="S34" s="8">
        <f t="shared" si="14"/>
        <v>1013.7083333333334</v>
      </c>
      <c r="T34" s="3">
        <f t="shared" si="15"/>
        <v>-265.70833333333337</v>
      </c>
      <c r="U34" s="3">
        <f t="shared" si="16"/>
        <v>70600.918402777796</v>
      </c>
      <c r="V34" s="3">
        <f t="shared" si="13"/>
        <v>789.08333333333337</v>
      </c>
      <c r="W34" s="3"/>
      <c r="X34" s="11"/>
      <c r="Y34" s="3"/>
      <c r="Z34" s="3"/>
      <c r="AA34" s="3"/>
      <c r="AB34" s="3">
        <f t="shared" si="6"/>
        <v>955.94280000000003</v>
      </c>
      <c r="AC34" s="3">
        <f t="shared" si="7"/>
        <v>-207.94280000000003</v>
      </c>
      <c r="AD34" s="3">
        <f t="shared" si="8"/>
        <v>43240.208071840018</v>
      </c>
      <c r="AE34" s="3">
        <f t="shared" si="1"/>
        <v>697.14780000000007</v>
      </c>
      <c r="AF34" s="3"/>
      <c r="AG34" s="11"/>
      <c r="AH34" s="20"/>
      <c r="AJ34"/>
      <c r="AP34" s="18"/>
      <c r="AQ34" s="18"/>
      <c r="AR34" s="18"/>
    </row>
    <row r="35" spans="1:44" x14ac:dyDescent="0.25">
      <c r="A35" s="2">
        <v>32</v>
      </c>
      <c r="B35" s="39"/>
      <c r="C35" s="3" t="s">
        <v>19</v>
      </c>
      <c r="D35" s="3">
        <v>686</v>
      </c>
      <c r="E35" s="12"/>
      <c r="F35" s="3">
        <v>977.01387604070305</v>
      </c>
      <c r="G35" s="8">
        <f t="shared" si="9"/>
        <v>1.4242184781934446</v>
      </c>
      <c r="H35" s="3">
        <f t="shared" si="2"/>
        <v>-291.01387604070305</v>
      </c>
      <c r="I35" s="3">
        <f t="shared" si="3"/>
        <v>84689.076048233677</v>
      </c>
      <c r="J35" s="3">
        <f t="shared" si="4"/>
        <v>640.79879740980573</v>
      </c>
      <c r="K35" s="3"/>
      <c r="L35" s="12"/>
      <c r="M35" s="3">
        <v>922.03893408145257</v>
      </c>
      <c r="N35" s="3">
        <f t="shared" si="5"/>
        <v>-236.03893408145257</v>
      </c>
      <c r="O35" s="3">
        <f t="shared" si="10"/>
        <v>55714.378402308314</v>
      </c>
      <c r="P35" s="3">
        <f t="shared" si="0"/>
        <v>852.95792672028006</v>
      </c>
      <c r="Q35" s="3"/>
      <c r="R35" s="12"/>
      <c r="S35" s="8">
        <f t="shared" si="14"/>
        <v>1046.5833333333333</v>
      </c>
      <c r="T35" s="3">
        <f t="shared" si="15"/>
        <v>-360.58333333333326</v>
      </c>
      <c r="U35" s="3">
        <f t="shared" si="16"/>
        <v>130020.34027777772</v>
      </c>
      <c r="V35" s="3">
        <f t="shared" si="13"/>
        <v>772.98611111111109</v>
      </c>
      <c r="W35" s="3"/>
      <c r="X35" s="12"/>
      <c r="Y35" s="3"/>
      <c r="Z35" s="3"/>
      <c r="AA35" s="3"/>
      <c r="AB35" s="3">
        <f t="shared" si="6"/>
        <v>967.60760000000005</v>
      </c>
      <c r="AC35" s="3">
        <f t="shared" si="7"/>
        <v>-281.60760000000005</v>
      </c>
      <c r="AD35" s="3">
        <f t="shared" si="8"/>
        <v>79302.840377760032</v>
      </c>
      <c r="AE35" s="3">
        <f t="shared" si="1"/>
        <v>630.48379999999997</v>
      </c>
      <c r="AF35" s="3"/>
      <c r="AG35" s="12"/>
      <c r="AH35" s="20"/>
      <c r="AJ35" s="24"/>
      <c r="AK35" s="25"/>
      <c r="AL35" s="24"/>
      <c r="AM35" s="25"/>
      <c r="AN35" s="24"/>
    </row>
    <row r="36" spans="1:44" x14ac:dyDescent="0.25">
      <c r="A36" s="2">
        <v>33</v>
      </c>
      <c r="B36" s="39"/>
      <c r="C36" s="3" t="s">
        <v>20</v>
      </c>
      <c r="D36" s="3">
        <v>696</v>
      </c>
      <c r="E36" s="10"/>
      <c r="F36" s="3">
        <v>987.23034227567064</v>
      </c>
      <c r="G36" s="8">
        <f t="shared" si="9"/>
        <v>1.4184343998213658</v>
      </c>
      <c r="H36" s="3">
        <f t="shared" si="2"/>
        <v>-291.23034227567064</v>
      </c>
      <c r="I36" s="3">
        <f t="shared" si="3"/>
        <v>84815.112262004273</v>
      </c>
      <c r="J36" s="3">
        <f t="shared" si="4"/>
        <v>671.54879740980573</v>
      </c>
      <c r="K36" s="3"/>
      <c r="L36" s="10"/>
      <c r="M36" s="3">
        <v>931.93548192628941</v>
      </c>
      <c r="N36" s="3">
        <f t="shared" si="5"/>
        <v>-235.93548192628941</v>
      </c>
      <c r="O36" s="3">
        <f t="shared" si="10"/>
        <v>55665.55163179044</v>
      </c>
      <c r="P36" s="3">
        <f t="shared" si="0"/>
        <v>865.23176370132762</v>
      </c>
      <c r="Q36" s="3"/>
      <c r="R36" s="10"/>
      <c r="S36" s="8">
        <f t="shared" si="14"/>
        <v>1090.75</v>
      </c>
      <c r="T36" s="3">
        <f t="shared" si="15"/>
        <v>-394.75</v>
      </c>
      <c r="U36" s="3">
        <f t="shared" si="16"/>
        <v>155827.5625</v>
      </c>
      <c r="V36" s="3">
        <f t="shared" si="13"/>
        <v>825.79166666666674</v>
      </c>
      <c r="W36" s="3"/>
      <c r="X36" s="10"/>
      <c r="Y36" s="3"/>
      <c r="Z36" s="3"/>
      <c r="AA36" s="3"/>
      <c r="AB36" s="3">
        <f t="shared" si="6"/>
        <v>979.45339999999999</v>
      </c>
      <c r="AC36" s="3">
        <f t="shared" si="7"/>
        <v>-283.45339999999999</v>
      </c>
      <c r="AD36" s="3">
        <f t="shared" si="8"/>
        <v>80345.829971559986</v>
      </c>
      <c r="AE36" s="3">
        <f t="shared" si="1"/>
        <v>662.31979999999999</v>
      </c>
      <c r="AF36" s="3"/>
      <c r="AG36" s="10"/>
      <c r="AH36" s="20"/>
      <c r="AJ36" s="24"/>
      <c r="AK36" s="25"/>
      <c r="AL36" s="24"/>
      <c r="AM36" s="25"/>
      <c r="AN36" s="24"/>
      <c r="AO36" s="5"/>
      <c r="AP36" s="5"/>
      <c r="AQ36" s="5"/>
    </row>
    <row r="37" spans="1:44" x14ac:dyDescent="0.25">
      <c r="A37" s="2">
        <v>34</v>
      </c>
      <c r="B37" s="39"/>
      <c r="C37" s="3" t="s">
        <v>21</v>
      </c>
      <c r="D37" s="3">
        <v>1010</v>
      </c>
      <c r="E37" s="11"/>
      <c r="F37" s="3">
        <v>997.44680851063822</v>
      </c>
      <c r="G37" s="8">
        <f t="shared" si="9"/>
        <v>0.98757109753528538</v>
      </c>
      <c r="H37" s="3">
        <f t="shared" si="2"/>
        <v>12.55319148936178</v>
      </c>
      <c r="I37" s="3">
        <f t="shared" si="3"/>
        <v>157.58261656858502</v>
      </c>
      <c r="J37" s="3">
        <f t="shared" si="4"/>
        <v>819.79879740980573</v>
      </c>
      <c r="K37" s="3"/>
      <c r="L37" s="11"/>
      <c r="M37" s="3">
        <v>941.93825268170508</v>
      </c>
      <c r="N37" s="3">
        <f t="shared" si="5"/>
        <v>68.06174731829492</v>
      </c>
      <c r="O37" s="3">
        <f t="shared" si="10"/>
        <v>4632.4014480194255</v>
      </c>
      <c r="P37" s="3">
        <f t="shared" si="0"/>
        <v>1020.5156954180788</v>
      </c>
      <c r="Q37" s="3"/>
      <c r="R37" s="11"/>
      <c r="S37" s="8">
        <f t="shared" si="14"/>
        <v>1125.75</v>
      </c>
      <c r="T37" s="3">
        <f t="shared" si="15"/>
        <v>-115.75</v>
      </c>
      <c r="U37" s="3">
        <f t="shared" si="16"/>
        <v>13398.0625</v>
      </c>
      <c r="V37" s="3">
        <f t="shared" si="13"/>
        <v>983.30555555555554</v>
      </c>
      <c r="W37" s="3"/>
      <c r="X37" s="11"/>
      <c r="Y37" s="3"/>
      <c r="Z37" s="3"/>
      <c r="AA37" s="3"/>
      <c r="AB37" s="3">
        <f t="shared" si="6"/>
        <v>991.48019999999997</v>
      </c>
      <c r="AC37" s="3">
        <f t="shared" si="7"/>
        <v>18.519800000000032</v>
      </c>
      <c r="AD37" s="3">
        <f t="shared" si="8"/>
        <v>342.98299204000119</v>
      </c>
      <c r="AE37" s="3">
        <f t="shared" si="1"/>
        <v>811.6558</v>
      </c>
      <c r="AF37" s="3"/>
      <c r="AG37" s="11"/>
      <c r="AH37" s="20"/>
      <c r="AJ37" s="24"/>
      <c r="AK37" s="23"/>
      <c r="AL37" s="23"/>
      <c r="AM37" s="23"/>
      <c r="AN37" s="19"/>
      <c r="AO37" s="9"/>
      <c r="AP37" s="9"/>
      <c r="AQ37" s="9"/>
    </row>
    <row r="38" spans="1:44" x14ac:dyDescent="0.25">
      <c r="A38" s="2">
        <v>35</v>
      </c>
      <c r="B38" s="39"/>
      <c r="C38" s="3" t="s">
        <v>22</v>
      </c>
      <c r="D38" s="3">
        <v>1100</v>
      </c>
      <c r="E38" s="12"/>
      <c r="F38" s="3">
        <v>1007.6632747456058</v>
      </c>
      <c r="G38" s="8">
        <f t="shared" si="9"/>
        <v>0.91605752249600525</v>
      </c>
      <c r="H38" s="3">
        <f t="shared" si="2"/>
        <v>92.336725254394196</v>
      </c>
      <c r="I38" s="3">
        <f t="shared" si="3"/>
        <v>8526.0708307054792</v>
      </c>
      <c r="J38" s="3">
        <f t="shared" si="4"/>
        <v>949.26426148627809</v>
      </c>
      <c r="K38" s="3"/>
      <c r="L38" s="12"/>
      <c r="M38" s="3">
        <v>952.04838647321696</v>
      </c>
      <c r="N38" s="3">
        <f t="shared" si="5"/>
        <v>147.95161352678304</v>
      </c>
      <c r="O38" s="3">
        <f t="shared" si="10"/>
        <v>21889.67994517857</v>
      </c>
      <c r="P38" s="3">
        <f t="shared" si="0"/>
        <v>1191.4764968873264</v>
      </c>
      <c r="Q38" s="3"/>
      <c r="R38" s="12"/>
      <c r="S38" s="8">
        <f t="shared" si="14"/>
        <v>1147</v>
      </c>
      <c r="T38" s="3">
        <f t="shared" si="15"/>
        <v>-47</v>
      </c>
      <c r="U38" s="3">
        <f t="shared" si="16"/>
        <v>2209</v>
      </c>
      <c r="V38" s="3">
        <f t="shared" si="13"/>
        <v>1078.75</v>
      </c>
      <c r="W38" s="3"/>
      <c r="X38" s="12"/>
      <c r="Y38" s="3"/>
      <c r="Z38" s="3"/>
      <c r="AA38" s="3"/>
      <c r="AB38" s="3">
        <f t="shared" si="6"/>
        <v>1003.688</v>
      </c>
      <c r="AC38" s="3">
        <f t="shared" si="7"/>
        <v>96.312000000000012</v>
      </c>
      <c r="AD38" s="3">
        <f t="shared" si="8"/>
        <v>9276.0013440000021</v>
      </c>
      <c r="AE38" s="3">
        <f t="shared" si="1"/>
        <v>952.52626666666663</v>
      </c>
      <c r="AF38" s="3"/>
      <c r="AG38" s="12"/>
      <c r="AH38" s="20"/>
      <c r="AJ38" s="24"/>
      <c r="AK38" s="23"/>
      <c r="AL38" s="23"/>
      <c r="AM38" s="23"/>
      <c r="AN38" s="19"/>
      <c r="AO38" s="9"/>
      <c r="AP38" s="9"/>
      <c r="AQ38" s="9"/>
    </row>
    <row r="39" spans="1:44" x14ac:dyDescent="0.25">
      <c r="A39" s="2">
        <v>36</v>
      </c>
      <c r="B39" s="40"/>
      <c r="C39" s="3" t="s">
        <v>23</v>
      </c>
      <c r="D39" s="3">
        <v>1100</v>
      </c>
      <c r="E39" s="10"/>
      <c r="F39" s="3">
        <v>1017.8797409805734</v>
      </c>
      <c r="G39" s="8">
        <f t="shared" si="9"/>
        <v>0.92534521907324851</v>
      </c>
      <c r="H39" s="3">
        <f t="shared" si="2"/>
        <v>82.120259019426612</v>
      </c>
      <c r="I39" s="3">
        <f t="shared" si="3"/>
        <v>6743.7369414177183</v>
      </c>
      <c r="J39" s="3">
        <f t="shared" si="4"/>
        <v>986.59759481961134</v>
      </c>
      <c r="K39" s="3"/>
      <c r="L39" s="10"/>
      <c r="M39" s="3">
        <v>962.26703566368565</v>
      </c>
      <c r="N39" s="3">
        <f t="shared" si="5"/>
        <v>137.73296433631435</v>
      </c>
      <c r="O39" s="3">
        <f t="shared" si="10"/>
        <v>18970.369464868443</v>
      </c>
      <c r="P39" s="3">
        <f t="shared" si="0"/>
        <v>1381.1142776221541</v>
      </c>
      <c r="Q39" s="3"/>
      <c r="R39" s="10"/>
      <c r="S39" s="8">
        <f t="shared" si="14"/>
        <v>1162.875</v>
      </c>
      <c r="T39" s="3">
        <f t="shared" si="15"/>
        <v>-62.875</v>
      </c>
      <c r="U39" s="3">
        <f t="shared" si="16"/>
        <v>3953.265625</v>
      </c>
      <c r="V39" s="3">
        <f t="shared" si="13"/>
        <v>1119.2777777777778</v>
      </c>
      <c r="W39" s="3"/>
      <c r="X39" s="10"/>
      <c r="Y39" s="3"/>
      <c r="Z39" s="3"/>
      <c r="AA39" s="3"/>
      <c r="AB39" s="3">
        <f t="shared" si="6"/>
        <v>1016.0768</v>
      </c>
      <c r="AC39" s="3">
        <f t="shared" si="7"/>
        <v>83.923199999999952</v>
      </c>
      <c r="AD39" s="3">
        <f t="shared" si="8"/>
        <v>7043.1034982399915</v>
      </c>
      <c r="AE39" s="3">
        <f t="shared" si="1"/>
        <v>992.03160000000003</v>
      </c>
      <c r="AF39" s="3"/>
      <c r="AG39" s="10"/>
      <c r="AH39" s="20"/>
      <c r="AJ39" s="24"/>
      <c r="AK39" s="23"/>
      <c r="AL39" s="23"/>
      <c r="AM39" s="23"/>
      <c r="AN39" s="19"/>
      <c r="AO39" s="9"/>
      <c r="AP39" s="9"/>
      <c r="AQ39" s="9"/>
    </row>
    <row r="40" spans="1:44" x14ac:dyDescent="0.25">
      <c r="A40" s="2">
        <v>37</v>
      </c>
      <c r="B40" s="38">
        <v>2023</v>
      </c>
      <c r="C40" s="3" t="s">
        <v>12</v>
      </c>
      <c r="D40" s="3">
        <v>1280</v>
      </c>
      <c r="E40" s="11"/>
      <c r="F40" s="3">
        <v>1028.0962072155412</v>
      </c>
      <c r="G40" s="8">
        <f t="shared" si="9"/>
        <v>0.80320016188714161</v>
      </c>
      <c r="H40" s="3">
        <f t="shared" si="2"/>
        <v>251.9037927844588</v>
      </c>
      <c r="I40" s="3">
        <f t="shared" si="3"/>
        <v>63455.520819195561</v>
      </c>
      <c r="J40" s="3">
        <f t="shared" si="4"/>
        <v>1171.3963922294172</v>
      </c>
      <c r="K40" s="3"/>
      <c r="L40" s="11"/>
      <c r="M40" s="3">
        <v>972.59536498466161</v>
      </c>
      <c r="N40" s="3">
        <f t="shared" si="5"/>
        <v>307.40463501533839</v>
      </c>
      <c r="O40" s="3">
        <f t="shared" si="10"/>
        <v>94497.6096289134</v>
      </c>
      <c r="P40" s="3">
        <f t="shared" si="0"/>
        <v>1346.7858804365248</v>
      </c>
      <c r="Q40" s="3"/>
      <c r="R40" s="11"/>
      <c r="S40" s="8">
        <f t="shared" si="14"/>
        <v>1169.5833333333333</v>
      </c>
      <c r="T40" s="3">
        <f>D40-S40</f>
        <v>110.41666666666674</v>
      </c>
      <c r="U40" s="3">
        <f t="shared" si="16"/>
        <v>12191.840277777794</v>
      </c>
      <c r="V40" s="3">
        <f t="shared" si="13"/>
        <v>1286.6805555555554</v>
      </c>
      <c r="W40" s="3"/>
      <c r="X40" s="11"/>
      <c r="Y40" s="3"/>
      <c r="Z40" s="3"/>
      <c r="AA40" s="3"/>
      <c r="AB40" s="3">
        <f t="shared" si="6"/>
        <v>1028.6466</v>
      </c>
      <c r="AC40" s="3">
        <f t="shared" si="7"/>
        <v>251.35339999999997</v>
      </c>
      <c r="AD40" s="3">
        <f t="shared" si="8"/>
        <v>63178.531691559983</v>
      </c>
      <c r="AE40" s="3">
        <f t="shared" si="1"/>
        <v>1169.7734</v>
      </c>
      <c r="AF40" s="3"/>
      <c r="AG40" s="11"/>
      <c r="AH40" s="20"/>
      <c r="AJ40" s="24"/>
      <c r="AK40" s="23"/>
      <c r="AL40" s="23"/>
      <c r="AM40" s="23"/>
      <c r="AN40" s="19"/>
      <c r="AO40" s="9"/>
      <c r="AQ40" s="9"/>
    </row>
    <row r="41" spans="1:44" x14ac:dyDescent="0.25">
      <c r="A41" s="2">
        <v>38</v>
      </c>
      <c r="B41" s="39"/>
      <c r="C41" s="3" t="s">
        <v>13</v>
      </c>
      <c r="D41" s="3">
        <v>1550</v>
      </c>
      <c r="E41" s="12"/>
      <c r="F41" s="3">
        <v>1038.3126734505088</v>
      </c>
      <c r="G41" s="8">
        <f t="shared" si="9"/>
        <v>0.66987914416161853</v>
      </c>
      <c r="H41" s="3">
        <f t="shared" si="2"/>
        <v>511.68732654949122</v>
      </c>
      <c r="I41" s="3">
        <f t="shared" si="3"/>
        <v>261823.92015136566</v>
      </c>
      <c r="J41" s="3">
        <f t="shared" si="4"/>
        <v>1295.8963922294172</v>
      </c>
      <c r="K41" s="3"/>
      <c r="L41" s="12"/>
      <c r="M41" s="3">
        <v>983.03455166914375</v>
      </c>
      <c r="N41" s="3">
        <f t="shared" si="5"/>
        <v>566.96544833085625</v>
      </c>
      <c r="O41" s="3">
        <f t="shared" si="10"/>
        <v>321449.81960100884</v>
      </c>
      <c r="P41" s="3">
        <f t="shared" si="0"/>
        <v>1171.7969817036374</v>
      </c>
      <c r="Q41" s="3"/>
      <c r="R41" s="12"/>
      <c r="S41" s="8">
        <f t="shared" si="14"/>
        <v>1169.3333333333333</v>
      </c>
      <c r="T41" s="3">
        <f t="shared" si="15"/>
        <v>380.66666666666674</v>
      </c>
      <c r="U41" s="3">
        <f t="shared" si="16"/>
        <v>144907.11111111118</v>
      </c>
      <c r="V41" s="3">
        <f t="shared" si="13"/>
        <v>1416.9583333333333</v>
      </c>
      <c r="W41" s="3"/>
      <c r="X41" s="12"/>
      <c r="Y41" s="3"/>
      <c r="Z41" s="3"/>
      <c r="AA41" s="3"/>
      <c r="AB41" s="3">
        <f t="shared" si="6"/>
        <v>1041.3974000000001</v>
      </c>
      <c r="AC41" s="3">
        <f t="shared" si="7"/>
        <v>508.60259999999994</v>
      </c>
      <c r="AD41" s="3">
        <f t="shared" si="8"/>
        <v>258676.60472675995</v>
      </c>
      <c r="AE41" s="3">
        <f t="shared" si="1"/>
        <v>1297.5314000000001</v>
      </c>
      <c r="AF41" s="3"/>
      <c r="AG41" s="12"/>
      <c r="AH41" s="20"/>
      <c r="AL41" s="23"/>
      <c r="AM41" s="23"/>
      <c r="AN41" s="19"/>
      <c r="AO41" s="9"/>
      <c r="AP41" s="9"/>
      <c r="AQ41" s="9"/>
    </row>
    <row r="42" spans="1:44" x14ac:dyDescent="0.25">
      <c r="A42" s="2">
        <v>39</v>
      </c>
      <c r="B42" s="39"/>
      <c r="C42" s="3" t="s">
        <v>14</v>
      </c>
      <c r="D42" s="3">
        <v>1870</v>
      </c>
      <c r="E42" s="10"/>
      <c r="F42" s="3">
        <v>1048.5291396854764</v>
      </c>
      <c r="G42" s="8">
        <f t="shared" si="9"/>
        <v>0.56071076988528146</v>
      </c>
      <c r="H42" s="3">
        <f t="shared" si="2"/>
        <v>821.47086031452363</v>
      </c>
      <c r="I42" s="3">
        <f t="shared" si="3"/>
        <v>674814.37434588361</v>
      </c>
      <c r="J42" s="3">
        <f t="shared" si="4"/>
        <v>1436.1463922294172</v>
      </c>
      <c r="K42" s="3"/>
      <c r="L42" s="10"/>
      <c r="M42" s="3">
        <v>993.58578558576062</v>
      </c>
      <c r="N42" s="3">
        <f t="shared" si="5"/>
        <v>876.41421441423938</v>
      </c>
      <c r="O42" s="3">
        <f t="shared" si="10"/>
        <v>768101.87522732839</v>
      </c>
      <c r="P42" s="3">
        <f t="shared" si="0"/>
        <v>1016.5743021188091</v>
      </c>
      <c r="Q42" s="3"/>
      <c r="R42" s="10"/>
      <c r="S42" s="8">
        <f t="shared" si="14"/>
        <v>1165.6666666666667</v>
      </c>
      <c r="T42" s="3">
        <f t="shared" si="15"/>
        <v>704.33333333333326</v>
      </c>
      <c r="U42" s="3">
        <f t="shared" si="16"/>
        <v>496085.44444444432</v>
      </c>
      <c r="V42" s="3">
        <f t="shared" si="13"/>
        <v>1580.7916666666667</v>
      </c>
      <c r="W42" s="3"/>
      <c r="X42" s="10"/>
      <c r="Y42" s="3"/>
      <c r="Z42" s="3"/>
      <c r="AA42" s="3"/>
      <c r="AB42" s="3">
        <f t="shared" si="6"/>
        <v>1054.3292000000001</v>
      </c>
      <c r="AC42" s="3">
        <f t="shared" si="7"/>
        <v>815.67079999999987</v>
      </c>
      <c r="AD42" s="3">
        <f t="shared" si="8"/>
        <v>665318.85397263977</v>
      </c>
      <c r="AE42" s="3">
        <f t="shared" si="1"/>
        <v>1441.0394000000001</v>
      </c>
      <c r="AF42" s="3"/>
      <c r="AG42" s="10"/>
      <c r="AH42" s="20"/>
      <c r="AL42" s="23"/>
      <c r="AM42" s="23"/>
      <c r="AN42" s="19"/>
      <c r="AO42" s="9"/>
      <c r="AP42" s="9"/>
      <c r="AQ42" s="9"/>
    </row>
    <row r="43" spans="1:44" x14ac:dyDescent="0.25">
      <c r="A43" s="2">
        <v>40</v>
      </c>
      <c r="B43" s="39"/>
      <c r="C43" s="3" t="s">
        <v>15</v>
      </c>
      <c r="D43" s="3">
        <v>1630</v>
      </c>
      <c r="E43" s="11"/>
      <c r="F43" s="3">
        <v>1058.7456059204439</v>
      </c>
      <c r="G43" s="8">
        <f t="shared" si="9"/>
        <v>0.64953718154628459</v>
      </c>
      <c r="H43" s="3">
        <f t="shared" si="2"/>
        <v>571.25439407955605</v>
      </c>
      <c r="I43" s="3">
        <f t="shared" si="3"/>
        <v>326331.58275520074</v>
      </c>
      <c r="J43" s="3">
        <f t="shared" si="4"/>
        <v>1423.1463922294172</v>
      </c>
      <c r="K43" s="3"/>
      <c r="L43" s="11"/>
      <c r="M43" s="3">
        <v>1004.2502693743926</v>
      </c>
      <c r="N43" s="3">
        <f t="shared" si="5"/>
        <v>625.74973062560741</v>
      </c>
      <c r="O43" s="3">
        <f t="shared" si="10"/>
        <v>391562.72537802026</v>
      </c>
      <c r="P43" s="3">
        <f t="shared" si="0"/>
        <v>922.36801576750338</v>
      </c>
      <c r="Q43" s="3"/>
      <c r="R43" s="11"/>
      <c r="S43" s="8">
        <f t="shared" si="14"/>
        <v>1156.625</v>
      </c>
      <c r="T43" s="3">
        <f t="shared" si="15"/>
        <v>473.375</v>
      </c>
      <c r="U43" s="3">
        <f t="shared" si="16"/>
        <v>224083.890625</v>
      </c>
      <c r="V43" s="3">
        <f t="shared" si="13"/>
        <v>1547.0277777777778</v>
      </c>
      <c r="W43" s="3"/>
      <c r="X43" s="11"/>
      <c r="Y43" s="3"/>
      <c r="Z43" s="3"/>
      <c r="AA43" s="3"/>
      <c r="AB43" s="3">
        <f t="shared" si="6"/>
        <v>1067.442</v>
      </c>
      <c r="AC43" s="3">
        <f t="shared" si="7"/>
        <v>562.55799999999999</v>
      </c>
      <c r="AD43" s="3">
        <f t="shared" si="8"/>
        <v>316471.503364</v>
      </c>
      <c r="AE43" s="3">
        <f t="shared" si="1"/>
        <v>1431.2973999999999</v>
      </c>
      <c r="AF43" s="3"/>
      <c r="AG43" s="11"/>
      <c r="AH43" s="20"/>
      <c r="AL43" s="23"/>
      <c r="AM43" s="23"/>
      <c r="AN43" s="19"/>
      <c r="AO43" s="9"/>
      <c r="AP43" s="9"/>
      <c r="AQ43" s="9"/>
    </row>
    <row r="44" spans="1:44" x14ac:dyDescent="0.25">
      <c r="A44" s="2">
        <v>41</v>
      </c>
      <c r="B44" s="39"/>
      <c r="C44" s="3" t="s">
        <v>16</v>
      </c>
      <c r="D44" s="3">
        <v>1340</v>
      </c>
      <c r="E44" s="12"/>
      <c r="F44" s="3">
        <v>1068.9620721554115</v>
      </c>
      <c r="G44" s="8">
        <f t="shared" si="9"/>
        <v>0.79773288966821754</v>
      </c>
      <c r="H44" s="3">
        <f t="shared" si="2"/>
        <v>271.03792784458847</v>
      </c>
      <c r="I44" s="3">
        <f t="shared" si="3"/>
        <v>73461.558330288346</v>
      </c>
      <c r="J44" s="3">
        <f t="shared" si="4"/>
        <v>1188.1463922294172</v>
      </c>
      <c r="K44" s="3"/>
      <c r="L44" s="12"/>
      <c r="M44" s="3">
        <v>1015.0292185832511</v>
      </c>
      <c r="N44" s="3">
        <f t="shared" si="5"/>
        <v>324.97078141674888</v>
      </c>
      <c r="O44" s="3">
        <f t="shared" si="10"/>
        <v>105606.00877461238</v>
      </c>
      <c r="P44" s="3">
        <f t="shared" si="0"/>
        <v>814.17829860369977</v>
      </c>
      <c r="Q44" s="3"/>
      <c r="R44" s="12"/>
      <c r="S44" s="17"/>
      <c r="T44" s="17"/>
      <c r="U44" s="17"/>
      <c r="V44" s="17"/>
      <c r="W44" s="3"/>
      <c r="X44" s="12"/>
      <c r="Y44" s="3"/>
      <c r="Z44" s="3"/>
      <c r="AA44" s="3"/>
      <c r="AB44" s="3">
        <f t="shared" si="6"/>
        <v>1080.7357999999999</v>
      </c>
      <c r="AC44" s="3">
        <f t="shared" si="7"/>
        <v>259.26420000000007</v>
      </c>
      <c r="AD44" s="3">
        <f t="shared" si="8"/>
        <v>67217.925401640037</v>
      </c>
      <c r="AE44" s="3">
        <f t="shared" si="1"/>
        <v>1199.5554</v>
      </c>
      <c r="AF44" s="3"/>
      <c r="AG44" s="12"/>
      <c r="AH44" s="20"/>
      <c r="AL44" s="23"/>
      <c r="AM44" s="23"/>
      <c r="AN44" s="19"/>
      <c r="AO44" s="9"/>
      <c r="AP44" s="9"/>
      <c r="AQ44" s="9"/>
    </row>
    <row r="45" spans="1:44" x14ac:dyDescent="0.25">
      <c r="A45" s="2">
        <v>42</v>
      </c>
      <c r="B45" s="39"/>
      <c r="C45" s="3" t="s">
        <v>17</v>
      </c>
      <c r="D45" s="3">
        <v>1000</v>
      </c>
      <c r="E45" s="10"/>
      <c r="F45" s="3">
        <v>1079.1785383903791</v>
      </c>
      <c r="G45" s="8">
        <f t="shared" si="9"/>
        <v>1.0791785383903791</v>
      </c>
      <c r="H45" s="3">
        <f t="shared" si="2"/>
        <v>-79.178538390379117</v>
      </c>
      <c r="I45" s="3">
        <f t="shared" si="3"/>
        <v>6269.24094163674</v>
      </c>
      <c r="J45" s="3">
        <f t="shared" si="4"/>
        <v>962.14639222941707</v>
      </c>
      <c r="K45" s="3"/>
      <c r="L45" s="10"/>
      <c r="M45" s="3">
        <v>1025.9238618074266</v>
      </c>
      <c r="N45" s="3">
        <f t="shared" si="5"/>
        <v>-25.923861807426647</v>
      </c>
      <c r="O45" s="3">
        <f t="shared" si="10"/>
        <v>672.04661101055399</v>
      </c>
      <c r="P45" s="3">
        <f t="shared" si="0"/>
        <v>791.25532846995009</v>
      </c>
      <c r="Q45" s="3"/>
      <c r="R45" s="10"/>
      <c r="S45" s="17"/>
      <c r="T45" s="17"/>
      <c r="U45" s="17"/>
      <c r="V45" s="17"/>
      <c r="W45" s="3"/>
      <c r="X45" s="10"/>
      <c r="Y45" s="3"/>
      <c r="Z45" s="3"/>
      <c r="AA45" s="3"/>
      <c r="AB45" s="3">
        <f t="shared" si="6"/>
        <v>1094.2106000000001</v>
      </c>
      <c r="AC45" s="3">
        <f t="shared" si="7"/>
        <v>-94.210600000000113</v>
      </c>
      <c r="AD45" s="3">
        <f t="shared" si="8"/>
        <v>8875.637152360021</v>
      </c>
      <c r="AE45" s="3">
        <f t="shared" si="1"/>
        <v>976.8134</v>
      </c>
      <c r="AF45" s="3"/>
      <c r="AG45" s="10"/>
      <c r="AH45" s="20"/>
      <c r="AL45" s="23"/>
      <c r="AM45" s="23"/>
      <c r="AN45" s="19"/>
      <c r="AO45" s="9"/>
      <c r="AP45" s="9"/>
      <c r="AQ45" s="9"/>
    </row>
    <row r="46" spans="1:44" x14ac:dyDescent="0.25">
      <c r="A46" s="2">
        <v>43</v>
      </c>
      <c r="B46" s="39"/>
      <c r="C46" s="3" t="s">
        <v>18</v>
      </c>
      <c r="D46" s="3">
        <v>798</v>
      </c>
      <c r="E46" s="11"/>
      <c r="F46" s="3">
        <v>1089.3950046253467</v>
      </c>
      <c r="G46" s="8">
        <f t="shared" si="9"/>
        <v>1.3651566474001839</v>
      </c>
      <c r="H46" s="3">
        <f t="shared" si="2"/>
        <v>-291.3950046253467</v>
      </c>
      <c r="I46" s="3">
        <f t="shared" si="3"/>
        <v>84911.048720605831</v>
      </c>
      <c r="J46" s="3">
        <f t="shared" si="4"/>
        <v>831.14639222941707</v>
      </c>
      <c r="K46" s="3"/>
      <c r="L46" s="11"/>
      <c r="M46" s="3">
        <v>1036.9354408289259</v>
      </c>
      <c r="N46" s="3">
        <f t="shared" si="5"/>
        <v>-238.93544082892595</v>
      </c>
      <c r="O46" s="3">
        <f t="shared" si="10"/>
        <v>57090.144884113171</v>
      </c>
      <c r="P46" s="3">
        <f t="shared" si="0"/>
        <v>882.84928511764861</v>
      </c>
      <c r="Q46" s="3"/>
      <c r="R46" s="11"/>
      <c r="S46" s="17"/>
      <c r="T46" s="17"/>
      <c r="U46" s="17"/>
      <c r="V46" s="17"/>
      <c r="W46" s="3"/>
      <c r="X46" s="11"/>
      <c r="Y46" s="3"/>
      <c r="Z46" s="3"/>
      <c r="AA46" s="3"/>
      <c r="AB46" s="3">
        <f t="shared" si="6"/>
        <v>1107.8663999999999</v>
      </c>
      <c r="AC46" s="3">
        <f t="shared" si="7"/>
        <v>-309.86639999999989</v>
      </c>
      <c r="AD46" s="3">
        <f t="shared" si="8"/>
        <v>96017.185848959925</v>
      </c>
      <c r="AE46" s="3">
        <f t="shared" si="1"/>
        <v>849.07139999999993</v>
      </c>
      <c r="AF46" s="3"/>
      <c r="AG46" s="11"/>
      <c r="AH46" s="20"/>
      <c r="AL46" s="23"/>
      <c r="AM46" s="23"/>
      <c r="AN46" s="19"/>
      <c r="AO46" s="9"/>
      <c r="AP46" s="9"/>
      <c r="AQ46" s="9"/>
    </row>
    <row r="47" spans="1:44" x14ac:dyDescent="0.25">
      <c r="A47" s="2">
        <v>44</v>
      </c>
      <c r="B47" s="39"/>
      <c r="C47" s="3" t="s">
        <v>19</v>
      </c>
      <c r="D47" s="3">
        <v>630</v>
      </c>
      <c r="E47" s="12"/>
      <c r="F47" s="3">
        <v>1099.6114708603145</v>
      </c>
      <c r="G47" s="8">
        <f t="shared" si="9"/>
        <v>1.7454150331116103</v>
      </c>
      <c r="H47" s="3">
        <f t="shared" si="2"/>
        <v>-469.61147086031451</v>
      </c>
      <c r="I47" s="3">
        <f t="shared" si="3"/>
        <v>220534.93356358801</v>
      </c>
      <c r="J47" s="3">
        <f t="shared" si="4"/>
        <v>763.39639222941719</v>
      </c>
      <c r="K47" s="3"/>
      <c r="L47" s="12"/>
      <c r="M47" s="3">
        <v>1048.0652107582118</v>
      </c>
      <c r="N47" s="3">
        <f t="shared" si="5"/>
        <v>-418.06521075821183</v>
      </c>
      <c r="O47" s="3">
        <f t="shared" si="10"/>
        <v>174778.52044630807</v>
      </c>
      <c r="P47" s="3">
        <f t="shared" si="0"/>
        <v>978.98420339703932</v>
      </c>
      <c r="Q47" s="3"/>
      <c r="R47" s="12"/>
      <c r="S47" s="17"/>
      <c r="T47" s="17"/>
      <c r="U47" s="17"/>
      <c r="V47" s="17"/>
      <c r="W47" s="3"/>
      <c r="X47" s="12"/>
      <c r="Y47" s="3"/>
      <c r="Z47" s="3"/>
      <c r="AA47" s="3"/>
      <c r="AB47" s="3">
        <f t="shared" si="6"/>
        <v>1121.7032000000002</v>
      </c>
      <c r="AC47" s="3">
        <f t="shared" si="7"/>
        <v>-491.70320000000015</v>
      </c>
      <c r="AD47" s="3">
        <f t="shared" si="8"/>
        <v>241772.03689024015</v>
      </c>
      <c r="AE47" s="3">
        <f t="shared" si="1"/>
        <v>784.57940000000008</v>
      </c>
      <c r="AF47" s="3"/>
      <c r="AG47" s="12"/>
      <c r="AH47" s="20"/>
      <c r="AK47" s="5"/>
      <c r="AL47" s="23"/>
      <c r="AM47" s="23"/>
      <c r="AN47" s="19"/>
      <c r="AO47" s="9"/>
      <c r="AP47" s="9"/>
      <c r="AQ47" s="9"/>
    </row>
    <row r="48" spans="1:44" x14ac:dyDescent="0.25">
      <c r="A48" s="2">
        <v>45</v>
      </c>
      <c r="B48" s="39"/>
      <c r="C48" s="3" t="s">
        <v>20</v>
      </c>
      <c r="D48" s="3">
        <v>664</v>
      </c>
      <c r="E48" s="10"/>
      <c r="F48" s="3">
        <v>1109.8279370952821</v>
      </c>
      <c r="G48" s="8">
        <f t="shared" si="9"/>
        <v>1.6714276161073525</v>
      </c>
      <c r="H48" s="3">
        <f t="shared" si="2"/>
        <v>-445.8279370952821</v>
      </c>
      <c r="I48" s="3">
        <f t="shared" si="3"/>
        <v>198762.54949463482</v>
      </c>
      <c r="J48" s="3">
        <f t="shared" si="4"/>
        <v>794.14639222941719</v>
      </c>
      <c r="K48" s="3"/>
      <c r="L48" s="10"/>
      <c r="M48" s="3">
        <v>1059.3144401772608</v>
      </c>
      <c r="N48" s="3">
        <f t="shared" si="5"/>
        <v>-395.31444017726085</v>
      </c>
      <c r="O48" s="3">
        <f t="shared" si="10"/>
        <v>156273.50661266115</v>
      </c>
      <c r="P48" s="3">
        <f t="shared" si="0"/>
        <v>992.61072195229906</v>
      </c>
      <c r="Q48" s="3"/>
      <c r="R48" s="10"/>
      <c r="S48" s="17"/>
      <c r="T48" s="17"/>
      <c r="U48" s="17"/>
      <c r="V48" s="17"/>
      <c r="W48" s="3"/>
      <c r="X48" s="10"/>
      <c r="Y48" s="3"/>
      <c r="Z48" s="3"/>
      <c r="AA48" s="3"/>
      <c r="AB48" s="3">
        <f t="shared" si="6"/>
        <v>1135.721</v>
      </c>
      <c r="AC48" s="3">
        <f t="shared" si="7"/>
        <v>-471.721</v>
      </c>
      <c r="AD48" s="3">
        <f t="shared" si="8"/>
        <v>222520.701841</v>
      </c>
      <c r="AE48" s="3">
        <f t="shared" si="1"/>
        <v>818.5874</v>
      </c>
      <c r="AF48" s="3"/>
      <c r="AG48" s="10"/>
      <c r="AH48" s="20"/>
      <c r="AJ48"/>
      <c r="AK48" s="5"/>
      <c r="AL48" s="23"/>
      <c r="AM48" s="23"/>
      <c r="AN48" s="19"/>
      <c r="AO48" s="9"/>
      <c r="AP48" s="9"/>
      <c r="AQ48" s="9"/>
    </row>
    <row r="49" spans="1:43" x14ac:dyDescent="0.25">
      <c r="A49" s="2">
        <v>46</v>
      </c>
      <c r="B49" s="41"/>
      <c r="C49" s="3" t="s">
        <v>21</v>
      </c>
      <c r="D49" s="32">
        <v>825</v>
      </c>
      <c r="E49" s="3"/>
      <c r="F49" s="3">
        <v>1120.0444033302497</v>
      </c>
      <c r="G49" s="8">
        <f t="shared" si="9"/>
        <v>1.3576295797942419</v>
      </c>
      <c r="H49" s="3">
        <f t="shared" si="2"/>
        <v>-295.04440333024968</v>
      </c>
      <c r="I49" s="3">
        <f t="shared" si="3"/>
        <v>87051.19993650305</v>
      </c>
      <c r="J49" s="3">
        <f t="shared" si="4"/>
        <v>942.39639222941719</v>
      </c>
      <c r="K49" s="3"/>
      <c r="L49" s="3"/>
      <c r="M49" s="3">
        <v>1070.6844112841584</v>
      </c>
      <c r="N49" s="3">
        <f t="shared" si="5"/>
        <v>-245.68441128415839</v>
      </c>
      <c r="O49" s="3">
        <f t="shared" si="10"/>
        <v>60360.829948043494</v>
      </c>
      <c r="P49" s="3">
        <f t="shared" si="0"/>
        <v>1149.2618540205322</v>
      </c>
      <c r="Q49" s="3"/>
      <c r="R49" s="3"/>
      <c r="S49" s="17"/>
      <c r="T49" s="17"/>
      <c r="U49" s="17"/>
      <c r="V49" s="17"/>
      <c r="W49" s="3"/>
      <c r="X49" s="3"/>
      <c r="Y49" s="3"/>
      <c r="Z49" s="3"/>
      <c r="AA49" s="3"/>
      <c r="AB49" s="3">
        <f t="shared" si="6"/>
        <v>1149.9198000000001</v>
      </c>
      <c r="AC49" s="3">
        <f t="shared" si="7"/>
        <v>-324.91980000000012</v>
      </c>
      <c r="AD49" s="3">
        <f t="shared" si="8"/>
        <v>105572.87643204008</v>
      </c>
      <c r="AE49" s="3">
        <f t="shared" si="1"/>
        <v>970.09540000000015</v>
      </c>
      <c r="AF49" s="3"/>
      <c r="AG49" s="3"/>
      <c r="AH49" s="20"/>
      <c r="AK49" s="5"/>
      <c r="AL49" s="23"/>
      <c r="AM49" s="23"/>
      <c r="AN49" s="19"/>
      <c r="AO49" s="9"/>
      <c r="AP49" s="9"/>
      <c r="AQ49" s="9"/>
    </row>
    <row r="50" spans="1:43" x14ac:dyDescent="0.25">
      <c r="C50"/>
      <c r="AJ50"/>
      <c r="AK50" s="5"/>
      <c r="AL50" s="23"/>
      <c r="AM50" s="23"/>
      <c r="AN50" s="19"/>
      <c r="AO50" s="9"/>
      <c r="AP50" s="9"/>
      <c r="AQ50" s="9"/>
    </row>
    <row r="51" spans="1:43" x14ac:dyDescent="0.25">
      <c r="C51" s="3" t="s">
        <v>46</v>
      </c>
      <c r="D51" s="7">
        <f>MAX(D4:D49)</f>
        <v>1870</v>
      </c>
      <c r="AK51" s="5"/>
      <c r="AL51" s="23"/>
      <c r="AM51" s="23"/>
      <c r="AN51" s="19"/>
      <c r="AO51" s="9"/>
      <c r="AP51" s="9"/>
      <c r="AQ51" s="9"/>
    </row>
    <row r="52" spans="1:43" x14ac:dyDescent="0.25">
      <c r="C52" s="3" t="s">
        <v>47</v>
      </c>
      <c r="D52" s="7">
        <f>MIN(D4:D49)</f>
        <v>459</v>
      </c>
      <c r="AI52"/>
      <c r="AJ52"/>
      <c r="AK52" s="5"/>
      <c r="AL52" s="23"/>
      <c r="AM52" s="23"/>
      <c r="AN52" s="19"/>
      <c r="AO52" s="9"/>
      <c r="AP52" s="9"/>
      <c r="AQ52" s="9"/>
    </row>
    <row r="53" spans="1:43" x14ac:dyDescent="0.25">
      <c r="AK53" s="5"/>
    </row>
    <row r="54" spans="1:43" x14ac:dyDescent="0.25">
      <c r="AJ54"/>
      <c r="AK54" s="5"/>
      <c r="AL54" s="5"/>
      <c r="AM54" s="5"/>
      <c r="AN54" s="9"/>
      <c r="AO54" s="9"/>
      <c r="AP54" s="9"/>
      <c r="AQ54" s="9"/>
    </row>
    <row r="55" spans="1:43" x14ac:dyDescent="0.25">
      <c r="AK55" s="5"/>
      <c r="AL55" s="5"/>
      <c r="AM55" s="5"/>
      <c r="AN55" s="9"/>
      <c r="AO55" s="9"/>
      <c r="AP55" s="9"/>
      <c r="AQ55" s="9"/>
    </row>
    <row r="56" spans="1:43" x14ac:dyDescent="0.25">
      <c r="AJ56" s="5"/>
      <c r="AK56" s="9"/>
      <c r="AL56" s="9"/>
      <c r="AM56" s="9"/>
    </row>
    <row r="57" spans="1:43" x14ac:dyDescent="0.25">
      <c r="AJ57" s="5"/>
      <c r="AK57" s="9"/>
      <c r="AL57" s="9"/>
      <c r="AM57" s="9"/>
      <c r="AN57" s="9"/>
      <c r="AO57" s="9"/>
      <c r="AP57" s="9"/>
      <c r="AQ57" s="9"/>
    </row>
    <row r="58" spans="1:43" x14ac:dyDescent="0.25">
      <c r="AJ58" s="5"/>
      <c r="AK58" s="9"/>
      <c r="AL58" s="9"/>
      <c r="AM58" s="9"/>
    </row>
    <row r="59" spans="1:43" x14ac:dyDescent="0.25">
      <c r="AJ59" s="5"/>
      <c r="AK59" s="9"/>
      <c r="AL59" s="9"/>
      <c r="AM59" s="9"/>
      <c r="AN59" s="9"/>
      <c r="AO59" s="9"/>
      <c r="AP59" s="9"/>
      <c r="AQ59" s="9"/>
    </row>
    <row r="60" spans="1:43" x14ac:dyDescent="0.25">
      <c r="AK60" s="5"/>
      <c r="AL60" s="5"/>
      <c r="AM60" s="5"/>
      <c r="AN60" s="9"/>
      <c r="AO60" s="9"/>
      <c r="AP60" s="9"/>
      <c r="AQ60" s="9"/>
    </row>
    <row r="62" spans="1:43" x14ac:dyDescent="0.25">
      <c r="AK62" s="5"/>
      <c r="AL62" s="5"/>
      <c r="AM62" s="5"/>
      <c r="AN62" s="9"/>
      <c r="AO62" s="9"/>
      <c r="AP62" s="9"/>
      <c r="AQ62" s="9"/>
    </row>
    <row r="63" spans="1:43" x14ac:dyDescent="0.25">
      <c r="AK63" s="5"/>
      <c r="AL63" s="5"/>
      <c r="AM63" s="5"/>
      <c r="AN63" s="9"/>
      <c r="AO63" s="9"/>
      <c r="AP63" s="9"/>
      <c r="AQ63" s="9"/>
    </row>
    <row r="65" spans="37:43" x14ac:dyDescent="0.25">
      <c r="AK65" s="5"/>
      <c r="AL65" s="5"/>
      <c r="AM65" s="5"/>
      <c r="AN65" s="9"/>
      <c r="AO65" s="9"/>
      <c r="AP65" s="9"/>
      <c r="AQ65" s="9"/>
    </row>
    <row r="66" spans="37:43" x14ac:dyDescent="0.25">
      <c r="AK66" s="5"/>
      <c r="AL66" s="5"/>
      <c r="AM66" s="5"/>
      <c r="AN66" s="9"/>
      <c r="AO66" s="9"/>
      <c r="AP66" s="9"/>
      <c r="AQ66" s="9"/>
    </row>
    <row r="68" spans="37:43" x14ac:dyDescent="0.25">
      <c r="AK68" s="5"/>
      <c r="AL68" s="5"/>
      <c r="AM68" s="5"/>
      <c r="AN68" s="9"/>
      <c r="AO68" s="9"/>
      <c r="AP68" s="9"/>
      <c r="AQ68" s="9"/>
    </row>
    <row r="69" spans="37:43" x14ac:dyDescent="0.25">
      <c r="AK69" s="5"/>
      <c r="AL69" s="5"/>
      <c r="AM69" s="5"/>
      <c r="AN69" s="9"/>
      <c r="AO69" s="9"/>
      <c r="AP69" s="9"/>
      <c r="AQ69" s="9"/>
    </row>
    <row r="71" spans="37:43" x14ac:dyDescent="0.25">
      <c r="AK71" s="5"/>
      <c r="AL71" s="5"/>
      <c r="AM71" s="5"/>
      <c r="AN71" s="9"/>
      <c r="AO71" s="9"/>
      <c r="AP71" s="9"/>
      <c r="AQ71" s="9"/>
    </row>
    <row r="72" spans="37:43" x14ac:dyDescent="0.25">
      <c r="AK72" s="5"/>
      <c r="AL72" s="5"/>
      <c r="AM72" s="5"/>
      <c r="AN72" s="9"/>
      <c r="AO72" s="9"/>
      <c r="AP72" s="9"/>
      <c r="AQ72" s="9"/>
    </row>
    <row r="74" spans="37:43" x14ac:dyDescent="0.25">
      <c r="AK74" s="5"/>
      <c r="AL74" s="5"/>
      <c r="AM74" s="5"/>
      <c r="AN74" s="9"/>
      <c r="AO74" s="9"/>
      <c r="AP74" s="9"/>
      <c r="AQ74" s="9"/>
    </row>
    <row r="75" spans="37:43" x14ac:dyDescent="0.25">
      <c r="AK75" s="5"/>
      <c r="AL75" s="5"/>
      <c r="AM75" s="5"/>
      <c r="AN75" s="9"/>
      <c r="AO75" s="9"/>
      <c r="AP75" s="9"/>
      <c r="AQ75" s="9"/>
    </row>
  </sheetData>
  <mergeCells count="14">
    <mergeCell ref="B4:B15"/>
    <mergeCell ref="B16:B27"/>
    <mergeCell ref="B28:B39"/>
    <mergeCell ref="B40:B49"/>
    <mergeCell ref="X1:X3"/>
    <mergeCell ref="A1:D2"/>
    <mergeCell ref="F1:K2"/>
    <mergeCell ref="L1:L3"/>
    <mergeCell ref="R1:R3"/>
    <mergeCell ref="AG1:AG3"/>
    <mergeCell ref="M1:Q2"/>
    <mergeCell ref="S1:W2"/>
    <mergeCell ref="Y1:AF2"/>
    <mergeCell ref="E1:E3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C66F-9EAC-41BE-AE25-4037D3853560}">
  <dimension ref="A1:L48"/>
  <sheetViews>
    <sheetView zoomScale="54" workbookViewId="0">
      <selection activeCell="W4" sqref="W4:W48"/>
    </sheetView>
  </sheetViews>
  <sheetFormatPr defaultRowHeight="13.2" x14ac:dyDescent="0.25"/>
  <cols>
    <col min="1" max="5" width="14.88671875" customWidth="1"/>
    <col min="6" max="6" width="25.77734375" customWidth="1"/>
    <col min="9" max="12" width="13.5546875" customWidth="1"/>
    <col min="15" max="16" width="12" customWidth="1"/>
  </cols>
  <sheetData>
    <row r="1" spans="1:12" ht="25.2" customHeight="1" x14ac:dyDescent="0.25">
      <c r="A1" s="48" t="s">
        <v>49</v>
      </c>
      <c r="B1" s="48"/>
      <c r="C1" s="48"/>
      <c r="D1" s="48"/>
      <c r="E1" s="48"/>
      <c r="F1" s="30"/>
    </row>
    <row r="2" spans="1:12" ht="25.2" customHeight="1" x14ac:dyDescent="0.25">
      <c r="A2" s="2" t="s">
        <v>24</v>
      </c>
      <c r="B2" s="2" t="s">
        <v>25</v>
      </c>
      <c r="C2" s="3" t="s">
        <v>53</v>
      </c>
      <c r="D2" s="3" t="s">
        <v>39</v>
      </c>
      <c r="E2" s="2" t="s">
        <v>43</v>
      </c>
      <c r="F2" s="2" t="s">
        <v>54</v>
      </c>
      <c r="I2" s="2" t="s">
        <v>25</v>
      </c>
      <c r="J2" s="2" t="s">
        <v>44</v>
      </c>
      <c r="K2" s="2" t="s">
        <v>33</v>
      </c>
      <c r="L2" s="2" t="s">
        <v>32</v>
      </c>
    </row>
    <row r="3" spans="1:12" x14ac:dyDescent="0.25">
      <c r="A3" s="38">
        <v>2020</v>
      </c>
      <c r="B3" s="3" t="s">
        <v>12</v>
      </c>
      <c r="C3" s="3">
        <v>845</v>
      </c>
      <c r="D3" s="3">
        <v>690.16380000000004</v>
      </c>
      <c r="E3" s="26">
        <f>C3/D3</f>
        <v>1.224347031820562</v>
      </c>
      <c r="F3" s="3">
        <f>D3*VLOOKUP(B3,$I$2:$K$14,3,0)</f>
        <v>806.3756758949271</v>
      </c>
      <c r="I3" s="3" t="s">
        <v>12</v>
      </c>
      <c r="J3" s="28">
        <f>AVERAGE(E3,E15,E27,E39)</f>
        <v>1.1656195813816312</v>
      </c>
      <c r="K3" s="26">
        <f>J3/$L$3</f>
        <v>1.1683830358748561</v>
      </c>
      <c r="L3" s="28">
        <f>AVERAGE(J3:J14)</f>
        <v>0.99763480433353291</v>
      </c>
    </row>
    <row r="4" spans="1:12" x14ac:dyDescent="0.25">
      <c r="A4" s="39"/>
      <c r="B4" s="3" t="s">
        <v>13</v>
      </c>
      <c r="C4" s="3">
        <v>931</v>
      </c>
      <c r="D4" s="3">
        <v>696.39859999999999</v>
      </c>
      <c r="E4" s="26">
        <f t="shared" ref="E4:E48" si="0">C4/D4</f>
        <v>1.3368780465670091</v>
      </c>
      <c r="F4" s="3">
        <f t="shared" ref="F4:F48" si="1">D4*VLOOKUP(B4,$I$2:$K$14,3,0)</f>
        <v>899.2008086682763</v>
      </c>
      <c r="I4" s="3" t="s">
        <v>13</v>
      </c>
      <c r="J4" s="28">
        <f>AVERAGE(E4,E16,E28,E40)</f>
        <v>1.2881617263623597</v>
      </c>
      <c r="K4" s="26">
        <f t="shared" ref="K4:K14" si="2">J4/$L$3</f>
        <v>1.2912157041502903</v>
      </c>
      <c r="L4" s="2"/>
    </row>
    <row r="5" spans="1:12" x14ac:dyDescent="0.25">
      <c r="A5" s="39"/>
      <c r="B5" s="3" t="s">
        <v>14</v>
      </c>
      <c r="C5" s="3">
        <v>975</v>
      </c>
      <c r="D5" s="3">
        <v>702.81439999999998</v>
      </c>
      <c r="E5" s="26">
        <f t="shared" si="0"/>
        <v>1.3872794865899163</v>
      </c>
      <c r="F5" s="3">
        <f t="shared" si="1"/>
        <v>1000.5216258222351</v>
      </c>
      <c r="I5" s="3" t="s">
        <v>14</v>
      </c>
      <c r="J5" s="28">
        <f t="shared" ref="J5:J14" si="3">AVERAGE(E5,E17,E29,E41)</f>
        <v>1.4202258752931554</v>
      </c>
      <c r="K5" s="26">
        <f t="shared" si="2"/>
        <v>1.4235929511720806</v>
      </c>
      <c r="L5" s="2"/>
    </row>
    <row r="6" spans="1:12" x14ac:dyDescent="0.25">
      <c r="A6" s="39"/>
      <c r="B6" s="3" t="s">
        <v>15</v>
      </c>
      <c r="C6" s="3">
        <v>978</v>
      </c>
      <c r="D6" s="3">
        <v>709.41120000000001</v>
      </c>
      <c r="E6" s="26">
        <f>C6/D6</f>
        <v>1.3786080625735821</v>
      </c>
      <c r="F6" s="3">
        <f t="shared" si="1"/>
        <v>996.93303788590288</v>
      </c>
      <c r="I6" s="3" t="s">
        <v>15</v>
      </c>
      <c r="J6" s="28">
        <f t="shared" si="3"/>
        <v>1.4019726446170249</v>
      </c>
      <c r="K6" s="26">
        <f t="shared" si="2"/>
        <v>1.40529644568045</v>
      </c>
      <c r="L6" s="2"/>
    </row>
    <row r="7" spans="1:12" x14ac:dyDescent="0.25">
      <c r="A7" s="39"/>
      <c r="B7" s="3" t="s">
        <v>16</v>
      </c>
      <c r="C7" s="3">
        <v>830</v>
      </c>
      <c r="D7" s="3">
        <v>716.18900000000008</v>
      </c>
      <c r="E7" s="26">
        <f t="shared" si="0"/>
        <v>1.1589119631829028</v>
      </c>
      <c r="F7" s="3">
        <f t="shared" si="1"/>
        <v>808.12074236617582</v>
      </c>
      <c r="I7" s="3" t="s">
        <v>16</v>
      </c>
      <c r="J7" s="28">
        <f>AVERAGE(E7,E19,E31,E43)</f>
        <v>1.1256936069785337</v>
      </c>
      <c r="K7" s="26">
        <f t="shared" si="2"/>
        <v>1.1283624048486862</v>
      </c>
      <c r="L7" s="2"/>
    </row>
    <row r="8" spans="1:12" x14ac:dyDescent="0.25">
      <c r="A8" s="39"/>
      <c r="B8" s="3" t="s">
        <v>17</v>
      </c>
      <c r="C8" s="3">
        <v>597</v>
      </c>
      <c r="D8" s="3">
        <v>723.14780000000007</v>
      </c>
      <c r="E8" s="26">
        <f t="shared" si="0"/>
        <v>0.82555737568447274</v>
      </c>
      <c r="F8" s="3">
        <f t="shared" si="1"/>
        <v>624.22478593733445</v>
      </c>
      <c r="I8" s="3" t="s">
        <v>17</v>
      </c>
      <c r="J8" s="28">
        <f t="shared" si="3"/>
        <v>0.86116333642822951</v>
      </c>
      <c r="K8" s="26">
        <f t="shared" si="2"/>
        <v>0.86320498511830412</v>
      </c>
      <c r="L8" s="2"/>
    </row>
    <row r="9" spans="1:12" x14ac:dyDescent="0.25">
      <c r="A9" s="39"/>
      <c r="B9" s="3" t="s">
        <v>18</v>
      </c>
      <c r="C9" s="3">
        <v>459</v>
      </c>
      <c r="D9" s="3">
        <v>730.2876</v>
      </c>
      <c r="E9" s="26">
        <f t="shared" si="0"/>
        <v>0.62851950382287747</v>
      </c>
      <c r="F9" s="3">
        <f t="shared" si="1"/>
        <v>518.78925298841864</v>
      </c>
      <c r="I9" s="3" t="s">
        <v>18</v>
      </c>
      <c r="J9" s="28">
        <f t="shared" si="3"/>
        <v>0.70871012310142012</v>
      </c>
      <c r="K9" s="26">
        <f t="shared" si="2"/>
        <v>0.71039033524383899</v>
      </c>
      <c r="L9" s="2"/>
    </row>
    <row r="10" spans="1:12" x14ac:dyDescent="0.25">
      <c r="A10" s="39"/>
      <c r="B10" s="3" t="s">
        <v>19</v>
      </c>
      <c r="C10" s="3">
        <v>479</v>
      </c>
      <c r="D10" s="3">
        <v>737.60840000000007</v>
      </c>
      <c r="E10" s="26">
        <f t="shared" si="0"/>
        <v>0.6493960752073864</v>
      </c>
      <c r="F10" s="3">
        <f t="shared" si="1"/>
        <v>470.03529999798405</v>
      </c>
      <c r="I10" s="3" t="s">
        <v>19</v>
      </c>
      <c r="J10" s="28">
        <f t="shared" si="3"/>
        <v>0.63573513336255694</v>
      </c>
      <c r="K10" s="26">
        <f t="shared" si="2"/>
        <v>0.63724233617456638</v>
      </c>
      <c r="L10" s="2"/>
    </row>
    <row r="11" spans="1:12" x14ac:dyDescent="0.25">
      <c r="A11" s="39"/>
      <c r="B11" s="3" t="s">
        <v>20</v>
      </c>
      <c r="C11" s="3">
        <v>467</v>
      </c>
      <c r="D11" s="3">
        <v>745.11020000000008</v>
      </c>
      <c r="E11" s="26">
        <f t="shared" si="0"/>
        <v>0.62675292862720167</v>
      </c>
      <c r="F11" s="3">
        <f t="shared" si="1"/>
        <v>493.87129572642039</v>
      </c>
      <c r="I11" s="3" t="s">
        <v>20</v>
      </c>
      <c r="J11" s="28">
        <f t="shared" si="3"/>
        <v>0.66124875686573037</v>
      </c>
      <c r="K11" s="26">
        <f t="shared" si="2"/>
        <v>0.66281644745491386</v>
      </c>
      <c r="L11" s="2"/>
    </row>
    <row r="12" spans="1:12" x14ac:dyDescent="0.25">
      <c r="A12" s="39"/>
      <c r="B12" s="3" t="s">
        <v>21</v>
      </c>
      <c r="C12" s="3">
        <v>562</v>
      </c>
      <c r="D12" s="3">
        <v>752.79300000000001</v>
      </c>
      <c r="E12" s="26">
        <f t="shared" si="0"/>
        <v>0.74655316933074567</v>
      </c>
      <c r="F12" s="3">
        <f>D12*VLOOKUP(B12,$I$2:$K$14,3,0)</f>
        <v>608.21664304064279</v>
      </c>
      <c r="I12" s="3" t="s">
        <v>21</v>
      </c>
      <c r="J12" s="28">
        <f t="shared" si="3"/>
        <v>0.80603577832451934</v>
      </c>
      <c r="K12" s="26">
        <f t="shared" si="2"/>
        <v>0.80794673043006882</v>
      </c>
      <c r="L12" s="2"/>
    </row>
    <row r="13" spans="1:12" x14ac:dyDescent="0.25">
      <c r="A13" s="39"/>
      <c r="B13" s="3" t="s">
        <v>22</v>
      </c>
      <c r="C13" s="3">
        <v>663</v>
      </c>
      <c r="D13" s="3">
        <v>760.65680000000009</v>
      </c>
      <c r="E13" s="26">
        <f t="shared" si="0"/>
        <v>0.87161516205468736</v>
      </c>
      <c r="F13" s="3">
        <f t="shared" si="1"/>
        <v>709.73002120709737</v>
      </c>
      <c r="I13" s="3" t="s">
        <v>22</v>
      </c>
      <c r="J13" s="28">
        <f t="shared" si="3"/>
        <v>0.93084209703584675</v>
      </c>
      <c r="K13" s="26">
        <f t="shared" si="2"/>
        <v>0.93304894034615515</v>
      </c>
      <c r="L13" s="2"/>
    </row>
    <row r="14" spans="1:12" x14ac:dyDescent="0.25">
      <c r="A14" s="40"/>
      <c r="B14" s="3" t="s">
        <v>23</v>
      </c>
      <c r="C14" s="3">
        <v>729</v>
      </c>
      <c r="D14" s="3">
        <v>768.7016000000001</v>
      </c>
      <c r="E14" s="26">
        <f t="shared" si="0"/>
        <v>0.94835239057652532</v>
      </c>
      <c r="F14" s="3">
        <f t="shared" si="1"/>
        <v>744.48725631039702</v>
      </c>
      <c r="I14" s="3" t="s">
        <v>23</v>
      </c>
      <c r="J14" s="28">
        <f t="shared" si="3"/>
        <v>0.96620899225139067</v>
      </c>
      <c r="K14" s="26">
        <f t="shared" si="2"/>
        <v>0.9684996835057933</v>
      </c>
      <c r="L14" s="2"/>
    </row>
    <row r="15" spans="1:12" x14ac:dyDescent="0.25">
      <c r="A15" s="38">
        <v>2021</v>
      </c>
      <c r="B15" s="3" t="s">
        <v>12</v>
      </c>
      <c r="C15" s="3">
        <v>874</v>
      </c>
      <c r="D15" s="3">
        <v>776.92740000000003</v>
      </c>
      <c r="E15" s="26">
        <f t="shared" si="0"/>
        <v>1.1249442354588086</v>
      </c>
      <c r="F15" s="3">
        <f>D15*VLOOKUP(B15,$I$2:$K$14,3,0)</f>
        <v>907.7487942663588</v>
      </c>
    </row>
    <row r="16" spans="1:12" x14ac:dyDescent="0.25">
      <c r="A16" s="39"/>
      <c r="B16" s="3" t="s">
        <v>13</v>
      </c>
      <c r="C16" s="3">
        <v>877</v>
      </c>
      <c r="D16" s="3">
        <v>785.33420000000001</v>
      </c>
      <c r="E16" s="26">
        <f t="shared" si="0"/>
        <v>1.1167220273865572</v>
      </c>
      <c r="F16" s="3">
        <f t="shared" si="1"/>
        <v>1014.035852046305</v>
      </c>
    </row>
    <row r="17" spans="1:6" x14ac:dyDescent="0.25">
      <c r="A17" s="39"/>
      <c r="B17" s="3" t="s">
        <v>14</v>
      </c>
      <c r="C17" s="3">
        <v>894</v>
      </c>
      <c r="D17" s="3">
        <v>793.92200000000003</v>
      </c>
      <c r="E17" s="26">
        <f t="shared" si="0"/>
        <v>1.1260552044155472</v>
      </c>
      <c r="F17" s="3">
        <f t="shared" si="1"/>
        <v>1130.2217629804406</v>
      </c>
    </row>
    <row r="18" spans="1:6" x14ac:dyDescent="0.25">
      <c r="A18" s="39"/>
      <c r="B18" s="3" t="s">
        <v>15</v>
      </c>
      <c r="C18" s="3">
        <v>959</v>
      </c>
      <c r="D18" s="3">
        <v>802.69079999999997</v>
      </c>
      <c r="E18" s="26">
        <f t="shared" si="0"/>
        <v>1.194731520530695</v>
      </c>
      <c r="F18" s="3">
        <f t="shared" si="1"/>
        <v>1128.018528220397</v>
      </c>
    </row>
    <row r="19" spans="1:6" x14ac:dyDescent="0.25">
      <c r="A19" s="39"/>
      <c r="B19" s="3" t="s">
        <v>16</v>
      </c>
      <c r="C19" s="3">
        <v>777</v>
      </c>
      <c r="D19" s="3">
        <v>811.64060000000006</v>
      </c>
      <c r="E19" s="26">
        <f t="shared" si="0"/>
        <v>0.95732027205144732</v>
      </c>
      <c r="F19" s="3">
        <f t="shared" si="1"/>
        <v>915.82473928883064</v>
      </c>
    </row>
    <row r="20" spans="1:6" x14ac:dyDescent="0.25">
      <c r="A20" s="39"/>
      <c r="B20" s="3" t="s">
        <v>17</v>
      </c>
      <c r="C20" s="3">
        <v>627</v>
      </c>
      <c r="D20" s="3">
        <v>820.77139999999997</v>
      </c>
      <c r="E20" s="26">
        <f t="shared" si="0"/>
        <v>0.76391550680250309</v>
      </c>
      <c r="F20" s="3">
        <f t="shared" si="1"/>
        <v>708.49396412252963</v>
      </c>
    </row>
    <row r="21" spans="1:6" x14ac:dyDescent="0.25">
      <c r="A21" s="39"/>
      <c r="B21" s="3" t="s">
        <v>18</v>
      </c>
      <c r="C21" s="3">
        <v>584</v>
      </c>
      <c r="D21" s="3">
        <v>830.08319999999992</v>
      </c>
      <c r="E21" s="26">
        <f t="shared" si="0"/>
        <v>0.70354393390927572</v>
      </c>
      <c r="F21" s="3">
        <f t="shared" si="1"/>
        <v>589.68308272827858</v>
      </c>
    </row>
    <row r="22" spans="1:6" x14ac:dyDescent="0.25">
      <c r="A22" s="39"/>
      <c r="B22" s="3" t="s">
        <v>19</v>
      </c>
      <c r="C22" s="3">
        <v>523</v>
      </c>
      <c r="D22" s="3">
        <v>839.57600000000002</v>
      </c>
      <c r="E22" s="26">
        <f t="shared" si="0"/>
        <v>0.62293348070931043</v>
      </c>
      <c r="F22" s="3">
        <f t="shared" si="1"/>
        <v>535.01337163609776</v>
      </c>
    </row>
    <row r="23" spans="1:6" x14ac:dyDescent="0.25">
      <c r="A23" s="39"/>
      <c r="B23" s="3" t="s">
        <v>20</v>
      </c>
      <c r="C23" s="3">
        <v>614</v>
      </c>
      <c r="D23" s="3">
        <v>849.24979999999994</v>
      </c>
      <c r="E23" s="26">
        <f t="shared" si="0"/>
        <v>0.7229910445666281</v>
      </c>
      <c r="F23" s="3">
        <f t="shared" si="1"/>
        <v>562.89673543779611</v>
      </c>
    </row>
    <row r="24" spans="1:6" x14ac:dyDescent="0.25">
      <c r="A24" s="39"/>
      <c r="B24" s="3" t="s">
        <v>21</v>
      </c>
      <c r="C24" s="3">
        <v>637</v>
      </c>
      <c r="D24" s="3">
        <v>859.1046</v>
      </c>
      <c r="E24" s="26">
        <f t="shared" si="0"/>
        <v>0.7414696650442798</v>
      </c>
      <c r="F24" s="3">
        <f t="shared" si="1"/>
        <v>694.11075266743205</v>
      </c>
    </row>
    <row r="25" spans="1:6" x14ac:dyDescent="0.25">
      <c r="A25" s="39"/>
      <c r="B25" s="3" t="s">
        <v>22</v>
      </c>
      <c r="C25" s="3">
        <v>717</v>
      </c>
      <c r="D25" s="3">
        <v>869.1404</v>
      </c>
      <c r="E25" s="26">
        <f t="shared" si="0"/>
        <v>0.82495302254963643</v>
      </c>
      <c r="F25" s="3">
        <f t="shared" si="1"/>
        <v>810.95052923203343</v>
      </c>
    </row>
    <row r="26" spans="1:6" x14ac:dyDescent="0.25">
      <c r="A26" s="40"/>
      <c r="B26" s="3" t="s">
        <v>23</v>
      </c>
      <c r="C26" s="3">
        <v>763</v>
      </c>
      <c r="D26" s="3">
        <v>879.35720000000003</v>
      </c>
      <c r="E26" s="26">
        <f t="shared" si="0"/>
        <v>0.86767925480112063</v>
      </c>
      <c r="F26" s="3">
        <f t="shared" si="1"/>
        <v>851.65716988854058</v>
      </c>
    </row>
    <row r="27" spans="1:6" x14ac:dyDescent="0.25">
      <c r="A27" s="38">
        <v>2022</v>
      </c>
      <c r="B27" s="3" t="s">
        <v>12</v>
      </c>
      <c r="C27" s="3">
        <v>951</v>
      </c>
      <c r="D27" s="3">
        <v>889.755</v>
      </c>
      <c r="E27" s="26">
        <f t="shared" si="0"/>
        <v>1.06883355530455</v>
      </c>
      <c r="F27" s="3">
        <f t="shared" si="1"/>
        <v>1039.5746480848327</v>
      </c>
    </row>
    <row r="28" spans="1:6" x14ac:dyDescent="0.25">
      <c r="A28" s="39"/>
      <c r="B28" s="3" t="s">
        <v>13</v>
      </c>
      <c r="C28" s="3">
        <v>1090</v>
      </c>
      <c r="D28" s="3">
        <v>900.3338</v>
      </c>
      <c r="E28" s="26">
        <f t="shared" si="0"/>
        <v>1.2106620899937335</v>
      </c>
      <c r="F28" s="3">
        <f t="shared" si="1"/>
        <v>1162.5251415373066</v>
      </c>
    </row>
    <row r="29" spans="1:6" x14ac:dyDescent="0.25">
      <c r="A29" s="39"/>
      <c r="B29" s="3" t="s">
        <v>14</v>
      </c>
      <c r="C29" s="3">
        <v>1270</v>
      </c>
      <c r="D29" s="3">
        <v>911.09360000000004</v>
      </c>
      <c r="E29" s="26">
        <f t="shared" si="0"/>
        <v>1.3939292296642189</v>
      </c>
      <c r="F29" s="3">
        <f t="shared" si="1"/>
        <v>1297.0264268179951</v>
      </c>
    </row>
    <row r="30" spans="1:6" x14ac:dyDescent="0.25">
      <c r="A30" s="39"/>
      <c r="B30" s="3" t="s">
        <v>15</v>
      </c>
      <c r="C30" s="3">
        <v>1390</v>
      </c>
      <c r="D30" s="3">
        <v>922.03440000000001</v>
      </c>
      <c r="E30" s="26">
        <f t="shared" si="0"/>
        <v>1.5075359444289713</v>
      </c>
      <c r="F30" s="3">
        <f t="shared" si="1"/>
        <v>1295.7316651151064</v>
      </c>
    </row>
    <row r="31" spans="1:6" x14ac:dyDescent="0.25">
      <c r="A31" s="39"/>
      <c r="B31" s="3" t="s">
        <v>16</v>
      </c>
      <c r="C31" s="3">
        <v>1070</v>
      </c>
      <c r="D31" s="3">
        <v>933.15620000000001</v>
      </c>
      <c r="E31" s="26">
        <f t="shared" si="0"/>
        <v>1.1466461884944879</v>
      </c>
      <c r="F31" s="3">
        <f t="shared" si="1"/>
        <v>1052.9383739314617</v>
      </c>
    </row>
    <row r="32" spans="1:6" x14ac:dyDescent="0.25">
      <c r="A32" s="39"/>
      <c r="B32" s="3" t="s">
        <v>17</v>
      </c>
      <c r="C32" s="3">
        <v>889</v>
      </c>
      <c r="D32" s="3">
        <v>944.45900000000006</v>
      </c>
      <c r="E32" s="26">
        <f t="shared" si="0"/>
        <v>0.9412796108671736</v>
      </c>
      <c r="F32" s="3">
        <f t="shared" si="1"/>
        <v>815.26171703984846</v>
      </c>
    </row>
    <row r="33" spans="1:6" x14ac:dyDescent="0.25">
      <c r="A33" s="39"/>
      <c r="B33" s="3" t="s">
        <v>18</v>
      </c>
      <c r="C33" s="3">
        <v>748</v>
      </c>
      <c r="D33" s="3">
        <v>955.94280000000003</v>
      </c>
      <c r="E33" s="26">
        <f t="shared" si="0"/>
        <v>0.78247359570049591</v>
      </c>
      <c r="F33" s="3">
        <f t="shared" si="1"/>
        <v>679.09252616593415</v>
      </c>
    </row>
    <row r="34" spans="1:6" x14ac:dyDescent="0.25">
      <c r="A34" s="39"/>
      <c r="B34" s="3" t="s">
        <v>19</v>
      </c>
      <c r="C34" s="3">
        <v>686</v>
      </c>
      <c r="D34" s="3">
        <v>967.60760000000005</v>
      </c>
      <c r="E34" s="26">
        <f t="shared" si="0"/>
        <v>0.70896508047270401</v>
      </c>
      <c r="F34" s="3">
        <f t="shared" si="1"/>
        <v>616.60052752426543</v>
      </c>
    </row>
    <row r="35" spans="1:6" x14ac:dyDescent="0.25">
      <c r="A35" s="39"/>
      <c r="B35" s="3" t="s">
        <v>20</v>
      </c>
      <c r="C35" s="3">
        <v>696</v>
      </c>
      <c r="D35" s="3">
        <v>979.45339999999999</v>
      </c>
      <c r="E35" s="26">
        <f t="shared" si="0"/>
        <v>0.71060042264389511</v>
      </c>
      <c r="F35" s="3">
        <f t="shared" si="1"/>
        <v>649.1978230356367</v>
      </c>
    </row>
    <row r="36" spans="1:6" x14ac:dyDescent="0.25">
      <c r="A36" s="39"/>
      <c r="B36" s="3" t="s">
        <v>21</v>
      </c>
      <c r="C36" s="3">
        <v>1010</v>
      </c>
      <c r="D36" s="3">
        <v>991.48019999999997</v>
      </c>
      <c r="E36" s="26">
        <f t="shared" si="0"/>
        <v>1.0186789408401702</v>
      </c>
      <c r="F36" s="3">
        <f t="shared" si="1"/>
        <v>801.06318587615067</v>
      </c>
    </row>
    <row r="37" spans="1:6" x14ac:dyDescent="0.25">
      <c r="A37" s="39"/>
      <c r="B37" s="3" t="s">
        <v>22</v>
      </c>
      <c r="C37" s="3">
        <v>1100</v>
      </c>
      <c r="D37" s="3">
        <v>1003.688</v>
      </c>
      <c r="E37" s="26">
        <f t="shared" si="0"/>
        <v>1.0959581065032162</v>
      </c>
      <c r="F37" s="3">
        <f t="shared" si="1"/>
        <v>936.49002483815173</v>
      </c>
    </row>
    <row r="38" spans="1:6" x14ac:dyDescent="0.25">
      <c r="A38" s="40"/>
      <c r="B38" s="3" t="s">
        <v>23</v>
      </c>
      <c r="C38" s="3">
        <v>1100</v>
      </c>
      <c r="D38" s="3">
        <v>1016.0768</v>
      </c>
      <c r="E38" s="26">
        <f t="shared" si="0"/>
        <v>1.0825953313765257</v>
      </c>
      <c r="F38" s="3">
        <f t="shared" si="1"/>
        <v>984.07005921757923</v>
      </c>
    </row>
    <row r="39" spans="1:6" x14ac:dyDescent="0.25">
      <c r="A39" s="38">
        <v>2023</v>
      </c>
      <c r="B39" s="3" t="s">
        <v>12</v>
      </c>
      <c r="C39" s="3">
        <v>1280</v>
      </c>
      <c r="D39" s="3">
        <v>1028.6466</v>
      </c>
      <c r="E39" s="26">
        <f t="shared" si="0"/>
        <v>1.2443535029426043</v>
      </c>
      <c r="F39" s="3">
        <f t="shared" si="1"/>
        <v>1201.8532373503488</v>
      </c>
    </row>
    <row r="40" spans="1:6" x14ac:dyDescent="0.25">
      <c r="A40" s="39"/>
      <c r="B40" s="3" t="s">
        <v>13</v>
      </c>
      <c r="C40" s="3">
        <v>1550</v>
      </c>
      <c r="D40" s="3">
        <v>1041.3974000000001</v>
      </c>
      <c r="E40" s="26">
        <f t="shared" si="0"/>
        <v>1.4883847415021392</v>
      </c>
      <c r="F40" s="3">
        <f t="shared" si="1"/>
        <v>1344.6686771412817</v>
      </c>
    </row>
    <row r="41" spans="1:6" x14ac:dyDescent="0.25">
      <c r="A41" s="39"/>
      <c r="B41" s="3" t="s">
        <v>14</v>
      </c>
      <c r="C41" s="3">
        <v>1870</v>
      </c>
      <c r="D41" s="3">
        <v>1054.3292000000001</v>
      </c>
      <c r="E41" s="26">
        <f t="shared" si="0"/>
        <v>1.7736395805029395</v>
      </c>
      <c r="F41" s="3">
        <f t="shared" si="1"/>
        <v>1500.935617334899</v>
      </c>
    </row>
    <row r="42" spans="1:6" x14ac:dyDescent="0.25">
      <c r="A42" s="39"/>
      <c r="B42" s="3" t="s">
        <v>15</v>
      </c>
      <c r="C42" s="3">
        <v>1630</v>
      </c>
      <c r="D42" s="3">
        <v>1067.442</v>
      </c>
      <c r="E42" s="26">
        <f t="shared" si="0"/>
        <v>1.5270150509348517</v>
      </c>
      <c r="F42" s="3">
        <f t="shared" si="1"/>
        <v>1500.0724485700309</v>
      </c>
    </row>
    <row r="43" spans="1:6" x14ac:dyDescent="0.25">
      <c r="A43" s="39"/>
      <c r="B43" s="3" t="s">
        <v>16</v>
      </c>
      <c r="C43" s="3">
        <v>1340</v>
      </c>
      <c r="D43" s="3">
        <v>1080.7357999999999</v>
      </c>
      <c r="E43" s="26">
        <f t="shared" si="0"/>
        <v>1.2398960041852969</v>
      </c>
      <c r="F43" s="3">
        <f t="shared" si="1"/>
        <v>1219.4616462940687</v>
      </c>
    </row>
    <row r="44" spans="1:6" x14ac:dyDescent="0.25">
      <c r="A44" s="39"/>
      <c r="B44" s="3" t="s">
        <v>17</v>
      </c>
      <c r="C44" s="3">
        <v>1000</v>
      </c>
      <c r="D44" s="3">
        <v>1094.2106000000001</v>
      </c>
      <c r="E44" s="26">
        <f t="shared" si="0"/>
        <v>0.91390085235876883</v>
      </c>
      <c r="F44" s="3">
        <f t="shared" si="1"/>
        <v>944.52804468929071</v>
      </c>
    </row>
    <row r="45" spans="1:6" x14ac:dyDescent="0.25">
      <c r="A45" s="39"/>
      <c r="B45" s="3" t="s">
        <v>18</v>
      </c>
      <c r="C45" s="3">
        <v>798</v>
      </c>
      <c r="D45" s="3">
        <v>1107.8663999999999</v>
      </c>
      <c r="E45" s="26">
        <f t="shared" si="0"/>
        <v>0.7203034589730315</v>
      </c>
      <c r="F45" s="3">
        <f t="shared" si="1"/>
        <v>787.01758330138489</v>
      </c>
    </row>
    <row r="46" spans="1:6" x14ac:dyDescent="0.25">
      <c r="A46" s="39"/>
      <c r="B46" s="3" t="s">
        <v>19</v>
      </c>
      <c r="C46" s="3">
        <v>630</v>
      </c>
      <c r="D46" s="3">
        <v>1121.7032000000002</v>
      </c>
      <c r="E46" s="26">
        <f t="shared" si="0"/>
        <v>0.56164589706082668</v>
      </c>
      <c r="F46" s="3">
        <f t="shared" si="1"/>
        <v>714.79676766248701</v>
      </c>
    </row>
    <row r="47" spans="1:6" x14ac:dyDescent="0.25">
      <c r="A47" s="39"/>
      <c r="B47" s="3" t="s">
        <v>20</v>
      </c>
      <c r="C47" s="3">
        <v>664</v>
      </c>
      <c r="D47" s="3">
        <v>1135.721</v>
      </c>
      <c r="E47" s="26">
        <f t="shared" si="0"/>
        <v>0.5846506316251967</v>
      </c>
      <c r="F47" s="3">
        <f t="shared" si="1"/>
        <v>752.77455851994227</v>
      </c>
    </row>
    <row r="48" spans="1:6" x14ac:dyDescent="0.25">
      <c r="A48" s="40"/>
      <c r="B48" s="3" t="s">
        <v>21</v>
      </c>
      <c r="C48" s="3">
        <v>825</v>
      </c>
      <c r="D48" s="3">
        <v>1149.9198000000001</v>
      </c>
      <c r="E48" s="26">
        <f t="shared" si="0"/>
        <v>0.71744133808288191</v>
      </c>
      <c r="F48" s="3">
        <f t="shared" si="1"/>
        <v>929.07394266679876</v>
      </c>
    </row>
  </sheetData>
  <mergeCells count="5">
    <mergeCell ref="A3:A14"/>
    <mergeCell ref="A15:A26"/>
    <mergeCell ref="A27:A38"/>
    <mergeCell ref="A39:A48"/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7166-79D1-4BAB-B689-1142C706F68C}">
  <dimension ref="A1:K16"/>
  <sheetViews>
    <sheetView workbookViewId="0">
      <selection activeCell="G14" sqref="G14:G15"/>
    </sheetView>
  </sheetViews>
  <sheetFormatPr defaultRowHeight="13.2" x14ac:dyDescent="0.25"/>
  <cols>
    <col min="9" max="9" width="89.6640625" customWidth="1"/>
    <col min="10" max="10" width="26.5546875" customWidth="1"/>
    <col min="11" max="11" width="12" customWidth="1"/>
  </cols>
  <sheetData>
    <row r="1" spans="1:11" ht="13.8" x14ac:dyDescent="0.25">
      <c r="A1" s="51" t="s">
        <v>0</v>
      </c>
      <c r="B1" s="51"/>
    </row>
    <row r="2" spans="1:11" x14ac:dyDescent="0.25">
      <c r="A2" s="49" t="s">
        <v>1</v>
      </c>
      <c r="B2" s="49"/>
      <c r="C2" s="49"/>
      <c r="D2" s="49"/>
      <c r="E2" s="49"/>
      <c r="F2" s="49"/>
      <c r="G2" s="50"/>
    </row>
    <row r="3" spans="1:11" ht="15.6" x14ac:dyDescent="0.3">
      <c r="A3" s="49"/>
      <c r="B3" s="49"/>
      <c r="C3" s="49"/>
      <c r="D3" s="49"/>
      <c r="E3" s="49"/>
      <c r="F3" s="49"/>
      <c r="G3" s="50"/>
      <c r="I3" s="29" t="s">
        <v>50</v>
      </c>
      <c r="J3" s="29" t="s">
        <v>51</v>
      </c>
      <c r="K3" s="29" t="s">
        <v>52</v>
      </c>
    </row>
    <row r="4" spans="1:11" ht="26.4" customHeight="1" x14ac:dyDescent="0.25">
      <c r="A4" s="49" t="s">
        <v>2</v>
      </c>
      <c r="B4" s="49"/>
      <c r="C4" s="49"/>
      <c r="D4" s="49"/>
      <c r="E4" s="49"/>
      <c r="F4" s="49"/>
      <c r="G4" s="50"/>
    </row>
    <row r="5" spans="1:11" ht="26.4" customHeight="1" x14ac:dyDescent="0.25">
      <c r="A5" s="49"/>
      <c r="B5" s="49"/>
      <c r="C5" s="49"/>
      <c r="D5" s="49"/>
      <c r="E5" s="49"/>
      <c r="F5" s="49"/>
      <c r="G5" s="50"/>
    </row>
    <row r="6" spans="1:11" x14ac:dyDescent="0.25">
      <c r="A6" s="49" t="s">
        <v>3</v>
      </c>
      <c r="B6" s="49"/>
      <c r="C6" s="49"/>
      <c r="D6" s="49"/>
      <c r="E6" s="49"/>
      <c r="F6" s="49"/>
      <c r="G6" s="50"/>
    </row>
    <row r="7" spans="1:11" ht="28.8" customHeight="1" x14ac:dyDescent="0.25">
      <c r="A7" s="49"/>
      <c r="B7" s="49"/>
      <c r="C7" s="49"/>
      <c r="D7" s="49"/>
      <c r="E7" s="49"/>
      <c r="F7" s="49"/>
      <c r="G7" s="50"/>
    </row>
    <row r="8" spans="1:11" x14ac:dyDescent="0.25">
      <c r="A8" s="49" t="s">
        <v>4</v>
      </c>
      <c r="B8" s="49"/>
      <c r="C8" s="49"/>
      <c r="D8" s="49"/>
      <c r="E8" s="49"/>
      <c r="F8" s="49"/>
      <c r="G8" s="50"/>
    </row>
    <row r="9" spans="1:11" x14ac:dyDescent="0.25">
      <c r="A9" s="49"/>
      <c r="B9" s="49"/>
      <c r="C9" s="49"/>
      <c r="D9" s="49"/>
      <c r="E9" s="49"/>
      <c r="F9" s="49"/>
      <c r="G9" s="50"/>
    </row>
    <row r="10" spans="1:11" x14ac:dyDescent="0.25">
      <c r="A10" s="49" t="s">
        <v>5</v>
      </c>
      <c r="B10" s="49"/>
      <c r="C10" s="49"/>
      <c r="D10" s="49"/>
      <c r="E10" s="49"/>
      <c r="F10" s="49"/>
      <c r="G10" s="50"/>
    </row>
    <row r="11" spans="1:11" x14ac:dyDescent="0.25">
      <c r="A11" s="49"/>
      <c r="B11" s="49"/>
      <c r="C11" s="49"/>
      <c r="D11" s="49"/>
      <c r="E11" s="49"/>
      <c r="F11" s="49"/>
      <c r="G11" s="50"/>
    </row>
    <row r="12" spans="1:11" x14ac:dyDescent="0.25">
      <c r="A12" s="49" t="s">
        <v>6</v>
      </c>
      <c r="B12" s="49"/>
      <c r="C12" s="49"/>
      <c r="D12" s="49"/>
      <c r="E12" s="49"/>
      <c r="F12" s="49"/>
      <c r="G12" s="50"/>
    </row>
    <row r="13" spans="1:11" ht="10.199999999999999" customHeight="1" x14ac:dyDescent="0.25">
      <c r="A13" s="49"/>
      <c r="B13" s="49"/>
      <c r="C13" s="49"/>
      <c r="D13" s="49"/>
      <c r="E13" s="49"/>
      <c r="F13" s="49"/>
      <c r="G13" s="50"/>
    </row>
    <row r="14" spans="1:11" x14ac:dyDescent="0.25">
      <c r="A14" s="49" t="s">
        <v>7</v>
      </c>
      <c r="B14" s="49"/>
      <c r="C14" s="49"/>
      <c r="D14" s="49"/>
      <c r="E14" s="49"/>
      <c r="F14" s="49"/>
      <c r="G14" s="50"/>
    </row>
    <row r="15" spans="1:11" ht="130.80000000000001" customHeight="1" x14ac:dyDescent="0.25">
      <c r="A15" s="49"/>
      <c r="B15" s="49"/>
      <c r="C15" s="49"/>
      <c r="D15" s="49"/>
      <c r="E15" s="49"/>
      <c r="F15" s="49"/>
      <c r="G15" s="50"/>
    </row>
    <row r="16" spans="1:11" ht="13.8" x14ac:dyDescent="0.25">
      <c r="A16" s="49" t="s">
        <v>8</v>
      </c>
      <c r="B16" s="49"/>
      <c r="C16" s="49"/>
      <c r="D16" s="49"/>
      <c r="E16" s="49"/>
      <c r="F16" s="49"/>
      <c r="G16" s="31"/>
    </row>
  </sheetData>
  <mergeCells count="16">
    <mergeCell ref="A1:B1"/>
    <mergeCell ref="A2:F3"/>
    <mergeCell ref="A4:F5"/>
    <mergeCell ref="A6:F7"/>
    <mergeCell ref="A8:F9"/>
    <mergeCell ref="A12:F13"/>
    <mergeCell ref="A14:F15"/>
    <mergeCell ref="A16:F16"/>
    <mergeCell ref="G2:G3"/>
    <mergeCell ref="G4:G5"/>
    <mergeCell ref="G6:G7"/>
    <mergeCell ref="G8:G9"/>
    <mergeCell ref="G10:G11"/>
    <mergeCell ref="G12:G13"/>
    <mergeCell ref="G14:G15"/>
    <mergeCell ref="A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Trend</vt:lpstr>
      <vt:lpstr>Szezon</vt:lpstr>
      <vt:lpstr>Feladat</vt:lpstr>
    </vt:vector>
  </TitlesOfParts>
  <Company>KSH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Szabolcs Szirák</cp:lastModifiedBy>
  <dcterms:created xsi:type="dcterms:W3CDTF">2023-12-07T11:59:21Z</dcterms:created>
  <dcterms:modified xsi:type="dcterms:W3CDTF">2024-03-24T16:52:48Z</dcterms:modified>
</cp:coreProperties>
</file>