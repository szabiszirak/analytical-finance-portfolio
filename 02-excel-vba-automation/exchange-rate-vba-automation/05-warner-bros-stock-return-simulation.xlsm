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Numpü\házi feladatok\"/>
    </mc:Choice>
  </mc:AlternateContent>
  <xr:revisionPtr revIDLastSave="0" documentId="13_ncr:1_{1EE123D6-69EF-4968-A9FC-B823BAFE78CD}" xr6:coauthVersionLast="47" xr6:coauthVersionMax="47" xr10:uidLastSave="{00000000-0000-0000-0000-000000000000}"/>
  <bookViews>
    <workbookView xWindow="-108" yWindow="-108" windowWidth="23256" windowHeight="12456" xr2:uid="{DA498C4B-A49B-4BD3-8C2C-C42CD4469213}"/>
  </bookViews>
  <sheets>
    <sheet name="Számolások" sheetId="1" r:id="rId1"/>
    <sheet name="Ábrázolá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2" l="1"/>
  <c r="J4" i="1" s="1"/>
  <c r="J3" i="1" l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4" i="1"/>
  <c r="Q8" i="1" l="1"/>
  <c r="Q9" i="1"/>
  <c r="J8" i="1"/>
  <c r="J11" i="1" s="1"/>
  <c r="J12" i="1" s="1"/>
  <c r="M7" i="1" s="1"/>
  <c r="J7" i="1"/>
  <c r="G1081" i="1"/>
  <c r="G264" i="1"/>
  <c r="G136" i="1"/>
  <c r="G1065" i="1"/>
  <c r="G1239" i="1"/>
  <c r="G1199" i="1"/>
  <c r="G1113" i="1"/>
  <c r="G985" i="1"/>
  <c r="G857" i="1"/>
  <c r="G729" i="1"/>
  <c r="G392" i="1"/>
  <c r="G825" i="1"/>
  <c r="G1174" i="1"/>
  <c r="G1238" i="1"/>
  <c r="G1191" i="1"/>
  <c r="G1097" i="1"/>
  <c r="G969" i="1"/>
  <c r="G841" i="1"/>
  <c r="G713" i="1"/>
  <c r="G1183" i="1"/>
  <c r="G9" i="1"/>
  <c r="G17" i="1"/>
  <c r="G25" i="1"/>
  <c r="G33" i="1"/>
  <c r="G41" i="1"/>
  <c r="G49" i="1"/>
  <c r="G57" i="1"/>
  <c r="G65" i="1"/>
  <c r="G73" i="1"/>
  <c r="G81" i="1"/>
  <c r="G89" i="1"/>
  <c r="G97" i="1"/>
  <c r="G105" i="1"/>
  <c r="G113" i="1"/>
  <c r="G121" i="1"/>
  <c r="G129" i="1"/>
  <c r="G137" i="1"/>
  <c r="G145" i="1"/>
  <c r="G153" i="1"/>
  <c r="G161" i="1"/>
  <c r="G169" i="1"/>
  <c r="G177" i="1"/>
  <c r="G185" i="1"/>
  <c r="G193" i="1"/>
  <c r="G201" i="1"/>
  <c r="G209" i="1"/>
  <c r="G217" i="1"/>
  <c r="G225" i="1"/>
  <c r="G233" i="1"/>
  <c r="G241" i="1"/>
  <c r="G249" i="1"/>
  <c r="G257" i="1"/>
  <c r="G265" i="1"/>
  <c r="G273" i="1"/>
  <c r="G281" i="1"/>
  <c r="G289" i="1"/>
  <c r="G297" i="1"/>
  <c r="G305" i="1"/>
  <c r="G313" i="1"/>
  <c r="G321" i="1"/>
  <c r="G329" i="1"/>
  <c r="G337" i="1"/>
  <c r="G345" i="1"/>
  <c r="G353" i="1"/>
  <c r="G361" i="1"/>
  <c r="G369" i="1"/>
  <c r="G377" i="1"/>
  <c r="G385" i="1"/>
  <c r="G393" i="1"/>
  <c r="G401" i="1"/>
  <c r="G409" i="1"/>
  <c r="G417" i="1"/>
  <c r="G425" i="1"/>
  <c r="G433" i="1"/>
  <c r="G441" i="1"/>
  <c r="G449" i="1"/>
  <c r="G457" i="1"/>
  <c r="G465" i="1"/>
  <c r="G473" i="1"/>
  <c r="G481" i="1"/>
  <c r="G489" i="1"/>
  <c r="G497" i="1"/>
  <c r="G505" i="1"/>
  <c r="G513" i="1"/>
  <c r="G521" i="1"/>
  <c r="G529" i="1"/>
  <c r="G537" i="1"/>
  <c r="G545" i="1"/>
  <c r="G553" i="1"/>
  <c r="G561" i="1"/>
  <c r="G569" i="1"/>
  <c r="G577" i="1"/>
  <c r="G585" i="1"/>
  <c r="G593" i="1"/>
  <c r="G601" i="1"/>
  <c r="G609" i="1"/>
  <c r="G617" i="1"/>
  <c r="G625" i="1"/>
  <c r="G633" i="1"/>
  <c r="G641" i="1"/>
  <c r="G649" i="1"/>
  <c r="G657" i="1"/>
  <c r="G665" i="1"/>
  <c r="G673" i="1"/>
  <c r="G10" i="1"/>
  <c r="G18" i="1"/>
  <c r="G26" i="1"/>
  <c r="G34" i="1"/>
  <c r="G42" i="1"/>
  <c r="G50" i="1"/>
  <c r="G58" i="1"/>
  <c r="G66" i="1"/>
  <c r="G74" i="1"/>
  <c r="G82" i="1"/>
  <c r="G90" i="1"/>
  <c r="G98" i="1"/>
  <c r="G106" i="1"/>
  <c r="G114" i="1"/>
  <c r="G122" i="1"/>
  <c r="G130" i="1"/>
  <c r="G138" i="1"/>
  <c r="G146" i="1"/>
  <c r="G154" i="1"/>
  <c r="G162" i="1"/>
  <c r="G170" i="1"/>
  <c r="G178" i="1"/>
  <c r="G186" i="1"/>
  <c r="G194" i="1"/>
  <c r="G202" i="1"/>
  <c r="G210" i="1"/>
  <c r="G218" i="1"/>
  <c r="G226" i="1"/>
  <c r="G234" i="1"/>
  <c r="G242" i="1"/>
  <c r="G250" i="1"/>
  <c r="G258" i="1"/>
  <c r="G266" i="1"/>
  <c r="G274" i="1"/>
  <c r="G282" i="1"/>
  <c r="G290" i="1"/>
  <c r="G298" i="1"/>
  <c r="G306" i="1"/>
  <c r="G314" i="1"/>
  <c r="G322" i="1"/>
  <c r="G330" i="1"/>
  <c r="G338" i="1"/>
  <c r="G346" i="1"/>
  <c r="G354" i="1"/>
  <c r="G362" i="1"/>
  <c r="G370" i="1"/>
  <c r="G378" i="1"/>
  <c r="G386" i="1"/>
  <c r="G394" i="1"/>
  <c r="G402" i="1"/>
  <c r="G410" i="1"/>
  <c r="G418" i="1"/>
  <c r="G426" i="1"/>
  <c r="G434" i="1"/>
  <c r="G442" i="1"/>
  <c r="G450" i="1"/>
  <c r="G458" i="1"/>
  <c r="G466" i="1"/>
  <c r="G474" i="1"/>
  <c r="G482" i="1"/>
  <c r="G490" i="1"/>
  <c r="G498" i="1"/>
  <c r="G506" i="1"/>
  <c r="G514" i="1"/>
  <c r="G522" i="1"/>
  <c r="G530" i="1"/>
  <c r="G538" i="1"/>
  <c r="G546" i="1"/>
  <c r="G554" i="1"/>
  <c r="G562" i="1"/>
  <c r="G570" i="1"/>
  <c r="G578" i="1"/>
  <c r="G586" i="1"/>
  <c r="G594" i="1"/>
  <c r="G602" i="1"/>
  <c r="G610" i="1"/>
  <c r="G618" i="1"/>
  <c r="G626" i="1"/>
  <c r="G634" i="1"/>
  <c r="G642" i="1"/>
  <c r="G650" i="1"/>
  <c r="G658" i="1"/>
  <c r="G11" i="1"/>
  <c r="G19" i="1"/>
  <c r="G27" i="1"/>
  <c r="G35" i="1"/>
  <c r="G43" i="1"/>
  <c r="G51" i="1"/>
  <c r="G59" i="1"/>
  <c r="G67" i="1"/>
  <c r="G75" i="1"/>
  <c r="G83" i="1"/>
  <c r="G91" i="1"/>
  <c r="G99" i="1"/>
  <c r="G107" i="1"/>
  <c r="G115" i="1"/>
  <c r="G123" i="1"/>
  <c r="G131" i="1"/>
  <c r="G139" i="1"/>
  <c r="G147" i="1"/>
  <c r="G155" i="1"/>
  <c r="G163" i="1"/>
  <c r="G171" i="1"/>
  <c r="G179" i="1"/>
  <c r="G187" i="1"/>
  <c r="G195" i="1"/>
  <c r="G203" i="1"/>
  <c r="G211" i="1"/>
  <c r="G219" i="1"/>
  <c r="G227" i="1"/>
  <c r="G235" i="1"/>
  <c r="G243" i="1"/>
  <c r="G251" i="1"/>
  <c r="G259" i="1"/>
  <c r="G267" i="1"/>
  <c r="G275" i="1"/>
  <c r="G283" i="1"/>
  <c r="G291" i="1"/>
  <c r="G299" i="1"/>
  <c r="G307" i="1"/>
  <c r="G315" i="1"/>
  <c r="G323" i="1"/>
  <c r="G331" i="1"/>
  <c r="G339" i="1"/>
  <c r="G347" i="1"/>
  <c r="G355" i="1"/>
  <c r="G363" i="1"/>
  <c r="G371" i="1"/>
  <c r="G379" i="1"/>
  <c r="G387" i="1"/>
  <c r="G395" i="1"/>
  <c r="G403" i="1"/>
  <c r="G411" i="1"/>
  <c r="G419" i="1"/>
  <c r="G427" i="1"/>
  <c r="G435" i="1"/>
  <c r="G443" i="1"/>
  <c r="G451" i="1"/>
  <c r="G459" i="1"/>
  <c r="G467" i="1"/>
  <c r="G475" i="1"/>
  <c r="G483" i="1"/>
  <c r="G491" i="1"/>
  <c r="G499" i="1"/>
  <c r="G507" i="1"/>
  <c r="G515" i="1"/>
  <c r="G523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12" i="1"/>
  <c r="G20" i="1"/>
  <c r="G28" i="1"/>
  <c r="G36" i="1"/>
  <c r="G44" i="1"/>
  <c r="G52" i="1"/>
  <c r="G60" i="1"/>
  <c r="G68" i="1"/>
  <c r="G76" i="1"/>
  <c r="G84" i="1"/>
  <c r="G92" i="1"/>
  <c r="G100" i="1"/>
  <c r="G108" i="1"/>
  <c r="G116" i="1"/>
  <c r="G124" i="1"/>
  <c r="G132" i="1"/>
  <c r="G140" i="1"/>
  <c r="G148" i="1"/>
  <c r="G156" i="1"/>
  <c r="G164" i="1"/>
  <c r="G172" i="1"/>
  <c r="G180" i="1"/>
  <c r="G188" i="1"/>
  <c r="G196" i="1"/>
  <c r="G204" i="1"/>
  <c r="G212" i="1"/>
  <c r="G220" i="1"/>
  <c r="G228" i="1"/>
  <c r="G236" i="1"/>
  <c r="G244" i="1"/>
  <c r="G252" i="1"/>
  <c r="G260" i="1"/>
  <c r="G268" i="1"/>
  <c r="G276" i="1"/>
  <c r="G284" i="1"/>
  <c r="G292" i="1"/>
  <c r="G300" i="1"/>
  <c r="G308" i="1"/>
  <c r="G316" i="1"/>
  <c r="G324" i="1"/>
  <c r="G332" i="1"/>
  <c r="G340" i="1"/>
  <c r="G348" i="1"/>
  <c r="G356" i="1"/>
  <c r="G364" i="1"/>
  <c r="G372" i="1"/>
  <c r="G380" i="1"/>
  <c r="G388" i="1"/>
  <c r="G396" i="1"/>
  <c r="G404" i="1"/>
  <c r="G412" i="1"/>
  <c r="G420" i="1"/>
  <c r="G428" i="1"/>
  <c r="G436" i="1"/>
  <c r="G444" i="1"/>
  <c r="G452" i="1"/>
  <c r="G460" i="1"/>
  <c r="G468" i="1"/>
  <c r="G476" i="1"/>
  <c r="G484" i="1"/>
  <c r="G492" i="1"/>
  <c r="G500" i="1"/>
  <c r="G508" i="1"/>
  <c r="G516" i="1"/>
  <c r="G524" i="1"/>
  <c r="G532" i="1"/>
  <c r="G540" i="1"/>
  <c r="G548" i="1"/>
  <c r="G556" i="1"/>
  <c r="G564" i="1"/>
  <c r="G572" i="1"/>
  <c r="G580" i="1"/>
  <c r="G588" i="1"/>
  <c r="G596" i="1"/>
  <c r="G604" i="1"/>
  <c r="G612" i="1"/>
  <c r="G620" i="1"/>
  <c r="G628" i="1"/>
  <c r="G636" i="1"/>
  <c r="G644" i="1"/>
  <c r="G652" i="1"/>
  <c r="G660" i="1"/>
  <c r="G5" i="1"/>
  <c r="G13" i="1"/>
  <c r="G21" i="1"/>
  <c r="G29" i="1"/>
  <c r="G37" i="1"/>
  <c r="G45" i="1"/>
  <c r="G53" i="1"/>
  <c r="G61" i="1"/>
  <c r="G69" i="1"/>
  <c r="G77" i="1"/>
  <c r="G85" i="1"/>
  <c r="G93" i="1"/>
  <c r="G101" i="1"/>
  <c r="G109" i="1"/>
  <c r="G117" i="1"/>
  <c r="G125" i="1"/>
  <c r="G133" i="1"/>
  <c r="G141" i="1"/>
  <c r="G149" i="1"/>
  <c r="G157" i="1"/>
  <c r="G165" i="1"/>
  <c r="G173" i="1"/>
  <c r="G181" i="1"/>
  <c r="G189" i="1"/>
  <c r="G197" i="1"/>
  <c r="G205" i="1"/>
  <c r="G213" i="1"/>
  <c r="G221" i="1"/>
  <c r="G229" i="1"/>
  <c r="G237" i="1"/>
  <c r="G245" i="1"/>
  <c r="G253" i="1"/>
  <c r="G261" i="1"/>
  <c r="G269" i="1"/>
  <c r="G277" i="1"/>
  <c r="G285" i="1"/>
  <c r="G293" i="1"/>
  <c r="G301" i="1"/>
  <c r="G309" i="1"/>
  <c r="G317" i="1"/>
  <c r="G325" i="1"/>
  <c r="G333" i="1"/>
  <c r="G341" i="1"/>
  <c r="G349" i="1"/>
  <c r="G357" i="1"/>
  <c r="G365" i="1"/>
  <c r="G373" i="1"/>
  <c r="G381" i="1"/>
  <c r="G389" i="1"/>
  <c r="G397" i="1"/>
  <c r="G405" i="1"/>
  <c r="G413" i="1"/>
  <c r="G421" i="1"/>
  <c r="G429" i="1"/>
  <c r="G437" i="1"/>
  <c r="G445" i="1"/>
  <c r="G453" i="1"/>
  <c r="G461" i="1"/>
  <c r="G469" i="1"/>
  <c r="G477" i="1"/>
  <c r="G485" i="1"/>
  <c r="G493" i="1"/>
  <c r="G501" i="1"/>
  <c r="G509" i="1"/>
  <c r="G517" i="1"/>
  <c r="G525" i="1"/>
  <c r="G533" i="1"/>
  <c r="G541" i="1"/>
  <c r="G549" i="1"/>
  <c r="G557" i="1"/>
  <c r="G565" i="1"/>
  <c r="G573" i="1"/>
  <c r="G581" i="1"/>
  <c r="G589" i="1"/>
  <c r="G597" i="1"/>
  <c r="G605" i="1"/>
  <c r="G613" i="1"/>
  <c r="G621" i="1"/>
  <c r="G629" i="1"/>
  <c r="G637" i="1"/>
  <c r="G645" i="1"/>
  <c r="G653" i="1"/>
  <c r="G661" i="1"/>
  <c r="G669" i="1"/>
  <c r="G677" i="1"/>
  <c r="G7" i="1"/>
  <c r="G15" i="1"/>
  <c r="G23" i="1"/>
  <c r="G31" i="1"/>
  <c r="G39" i="1"/>
  <c r="G47" i="1"/>
  <c r="G55" i="1"/>
  <c r="G63" i="1"/>
  <c r="G71" i="1"/>
  <c r="G79" i="1"/>
  <c r="G87" i="1"/>
  <c r="G95" i="1"/>
  <c r="G103" i="1"/>
  <c r="G111" i="1"/>
  <c r="G119" i="1"/>
  <c r="G127" i="1"/>
  <c r="G135" i="1"/>
  <c r="G143" i="1"/>
  <c r="G151" i="1"/>
  <c r="G159" i="1"/>
  <c r="G167" i="1"/>
  <c r="G175" i="1"/>
  <c r="G183" i="1"/>
  <c r="G191" i="1"/>
  <c r="G199" i="1"/>
  <c r="G207" i="1"/>
  <c r="G215" i="1"/>
  <c r="G223" i="1"/>
  <c r="G231" i="1"/>
  <c r="G239" i="1"/>
  <c r="G247" i="1"/>
  <c r="G255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G375" i="1"/>
  <c r="G383" i="1"/>
  <c r="G391" i="1"/>
  <c r="G399" i="1"/>
  <c r="G407" i="1"/>
  <c r="G415" i="1"/>
  <c r="G423" i="1"/>
  <c r="G431" i="1"/>
  <c r="G439" i="1"/>
  <c r="G447" i="1"/>
  <c r="G455" i="1"/>
  <c r="G463" i="1"/>
  <c r="G471" i="1"/>
  <c r="G479" i="1"/>
  <c r="G487" i="1"/>
  <c r="G495" i="1"/>
  <c r="G503" i="1"/>
  <c r="G511" i="1"/>
  <c r="G519" i="1"/>
  <c r="G527" i="1"/>
  <c r="G535" i="1"/>
  <c r="G543" i="1"/>
  <c r="G551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22" i="1"/>
  <c r="G54" i="1"/>
  <c r="G86" i="1"/>
  <c r="G118" i="1"/>
  <c r="G150" i="1"/>
  <c r="G182" i="1"/>
  <c r="G214" i="1"/>
  <c r="G246" i="1"/>
  <c r="G278" i="1"/>
  <c r="G310" i="1"/>
  <c r="G342" i="1"/>
  <c r="G374" i="1"/>
  <c r="G406" i="1"/>
  <c r="G438" i="1"/>
  <c r="G470" i="1"/>
  <c r="G502" i="1"/>
  <c r="G534" i="1"/>
  <c r="G566" i="1"/>
  <c r="G598" i="1"/>
  <c r="G630" i="1"/>
  <c r="G659" i="1"/>
  <c r="G672" i="1"/>
  <c r="G682" i="1"/>
  <c r="G690" i="1"/>
  <c r="G698" i="1"/>
  <c r="G706" i="1"/>
  <c r="G714" i="1"/>
  <c r="G722" i="1"/>
  <c r="G730" i="1"/>
  <c r="G738" i="1"/>
  <c r="G746" i="1"/>
  <c r="G754" i="1"/>
  <c r="G762" i="1"/>
  <c r="G770" i="1"/>
  <c r="G778" i="1"/>
  <c r="G786" i="1"/>
  <c r="G794" i="1"/>
  <c r="G802" i="1"/>
  <c r="G810" i="1"/>
  <c r="G818" i="1"/>
  <c r="G826" i="1"/>
  <c r="G834" i="1"/>
  <c r="G842" i="1"/>
  <c r="G850" i="1"/>
  <c r="G858" i="1"/>
  <c r="G866" i="1"/>
  <c r="G874" i="1"/>
  <c r="G882" i="1"/>
  <c r="G890" i="1"/>
  <c r="G898" i="1"/>
  <c r="G906" i="1"/>
  <c r="G914" i="1"/>
  <c r="G922" i="1"/>
  <c r="G930" i="1"/>
  <c r="G938" i="1"/>
  <c r="G946" i="1"/>
  <c r="G954" i="1"/>
  <c r="G962" i="1"/>
  <c r="G970" i="1"/>
  <c r="G978" i="1"/>
  <c r="G986" i="1"/>
  <c r="G994" i="1"/>
  <c r="G1002" i="1"/>
  <c r="G1010" i="1"/>
  <c r="G1018" i="1"/>
  <c r="G1026" i="1"/>
  <c r="G1034" i="1"/>
  <c r="G1042" i="1"/>
  <c r="G1050" i="1"/>
  <c r="G1058" i="1"/>
  <c r="G1066" i="1"/>
  <c r="G1074" i="1"/>
  <c r="G1082" i="1"/>
  <c r="G1090" i="1"/>
  <c r="G1098" i="1"/>
  <c r="G1106" i="1"/>
  <c r="G1114" i="1"/>
  <c r="G1122" i="1"/>
  <c r="G1130" i="1"/>
  <c r="G1138" i="1"/>
  <c r="G1146" i="1"/>
  <c r="G1154" i="1"/>
  <c r="G1162" i="1"/>
  <c r="G1170" i="1"/>
  <c r="G1178" i="1"/>
  <c r="G24" i="1"/>
  <c r="G56" i="1"/>
  <c r="G88" i="1"/>
  <c r="G120" i="1"/>
  <c r="G152" i="1"/>
  <c r="G184" i="1"/>
  <c r="G216" i="1"/>
  <c r="G248" i="1"/>
  <c r="G280" i="1"/>
  <c r="G312" i="1"/>
  <c r="G344" i="1"/>
  <c r="G376" i="1"/>
  <c r="G408" i="1"/>
  <c r="G440" i="1"/>
  <c r="G472" i="1"/>
  <c r="G504" i="1"/>
  <c r="G536" i="1"/>
  <c r="G568" i="1"/>
  <c r="G600" i="1"/>
  <c r="G632" i="1"/>
  <c r="G662" i="1"/>
  <c r="G674" i="1"/>
  <c r="G683" i="1"/>
  <c r="G691" i="1"/>
  <c r="G699" i="1"/>
  <c r="G707" i="1"/>
  <c r="G715" i="1"/>
  <c r="G723" i="1"/>
  <c r="G731" i="1"/>
  <c r="G739" i="1"/>
  <c r="G747" i="1"/>
  <c r="G755" i="1"/>
  <c r="G763" i="1"/>
  <c r="G771" i="1"/>
  <c r="G779" i="1"/>
  <c r="G787" i="1"/>
  <c r="G795" i="1"/>
  <c r="G803" i="1"/>
  <c r="G811" i="1"/>
  <c r="G819" i="1"/>
  <c r="G827" i="1"/>
  <c r="G835" i="1"/>
  <c r="G843" i="1"/>
  <c r="G851" i="1"/>
  <c r="G859" i="1"/>
  <c r="G867" i="1"/>
  <c r="G875" i="1"/>
  <c r="G883" i="1"/>
  <c r="G891" i="1"/>
  <c r="G899" i="1"/>
  <c r="G907" i="1"/>
  <c r="G915" i="1"/>
  <c r="G923" i="1"/>
  <c r="G931" i="1"/>
  <c r="G939" i="1"/>
  <c r="G947" i="1"/>
  <c r="G955" i="1"/>
  <c r="G963" i="1"/>
  <c r="G971" i="1"/>
  <c r="G979" i="1"/>
  <c r="G987" i="1"/>
  <c r="G995" i="1"/>
  <c r="G1003" i="1"/>
  <c r="G1011" i="1"/>
  <c r="G1019" i="1"/>
  <c r="G1027" i="1"/>
  <c r="G1035" i="1"/>
  <c r="G1043" i="1"/>
  <c r="G1051" i="1"/>
  <c r="G1059" i="1"/>
  <c r="G1067" i="1"/>
  <c r="G1075" i="1"/>
  <c r="G1083" i="1"/>
  <c r="G1091" i="1"/>
  <c r="G1099" i="1"/>
  <c r="G1107" i="1"/>
  <c r="G1115" i="1"/>
  <c r="G1123" i="1"/>
  <c r="G1131" i="1"/>
  <c r="G1139" i="1"/>
  <c r="G1147" i="1"/>
  <c r="G1155" i="1"/>
  <c r="G1163" i="1"/>
  <c r="G1171" i="1"/>
  <c r="G30" i="1"/>
  <c r="G62" i="1"/>
  <c r="G94" i="1"/>
  <c r="G126" i="1"/>
  <c r="G158" i="1"/>
  <c r="G190" i="1"/>
  <c r="G222" i="1"/>
  <c r="G254" i="1"/>
  <c r="G286" i="1"/>
  <c r="G318" i="1"/>
  <c r="G350" i="1"/>
  <c r="G382" i="1"/>
  <c r="G414" i="1"/>
  <c r="G446" i="1"/>
  <c r="G478" i="1"/>
  <c r="G510" i="1"/>
  <c r="G542" i="1"/>
  <c r="G574" i="1"/>
  <c r="G606" i="1"/>
  <c r="G638" i="1"/>
  <c r="G664" i="1"/>
  <c r="G675" i="1"/>
  <c r="G684" i="1"/>
  <c r="G692" i="1"/>
  <c r="G700" i="1"/>
  <c r="G708" i="1"/>
  <c r="G716" i="1"/>
  <c r="G724" i="1"/>
  <c r="G732" i="1"/>
  <c r="G740" i="1"/>
  <c r="G748" i="1"/>
  <c r="G756" i="1"/>
  <c r="G764" i="1"/>
  <c r="G772" i="1"/>
  <c r="G780" i="1"/>
  <c r="G788" i="1"/>
  <c r="G796" i="1"/>
  <c r="G804" i="1"/>
  <c r="G812" i="1"/>
  <c r="G820" i="1"/>
  <c r="G828" i="1"/>
  <c r="G836" i="1"/>
  <c r="G844" i="1"/>
  <c r="G852" i="1"/>
  <c r="G860" i="1"/>
  <c r="G868" i="1"/>
  <c r="G876" i="1"/>
  <c r="G884" i="1"/>
  <c r="G892" i="1"/>
  <c r="G900" i="1"/>
  <c r="G908" i="1"/>
  <c r="G916" i="1"/>
  <c r="G924" i="1"/>
  <c r="G932" i="1"/>
  <c r="G940" i="1"/>
  <c r="G948" i="1"/>
  <c r="G956" i="1"/>
  <c r="G964" i="1"/>
  <c r="G972" i="1"/>
  <c r="G980" i="1"/>
  <c r="G988" i="1"/>
  <c r="G996" i="1"/>
  <c r="G1004" i="1"/>
  <c r="G1012" i="1"/>
  <c r="G1020" i="1"/>
  <c r="G1028" i="1"/>
  <c r="G1036" i="1"/>
  <c r="G1044" i="1"/>
  <c r="G1052" i="1"/>
  <c r="G1060" i="1"/>
  <c r="G1068" i="1"/>
  <c r="G1076" i="1"/>
  <c r="G1084" i="1"/>
  <c r="G1092" i="1"/>
  <c r="G1100" i="1"/>
  <c r="G1108" i="1"/>
  <c r="G1116" i="1"/>
  <c r="G1124" i="1"/>
  <c r="G1132" i="1"/>
  <c r="G1140" i="1"/>
  <c r="G1148" i="1"/>
  <c r="G32" i="1"/>
  <c r="G64" i="1"/>
  <c r="G96" i="1"/>
  <c r="G128" i="1"/>
  <c r="G160" i="1"/>
  <c r="G192" i="1"/>
  <c r="G224" i="1"/>
  <c r="G256" i="1"/>
  <c r="G288" i="1"/>
  <c r="G320" i="1"/>
  <c r="G352" i="1"/>
  <c r="G384" i="1"/>
  <c r="G416" i="1"/>
  <c r="G448" i="1"/>
  <c r="G480" i="1"/>
  <c r="G512" i="1"/>
  <c r="G544" i="1"/>
  <c r="G576" i="1"/>
  <c r="G608" i="1"/>
  <c r="G640" i="1"/>
  <c r="G666" i="1"/>
  <c r="G676" i="1"/>
  <c r="G685" i="1"/>
  <c r="G693" i="1"/>
  <c r="G701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917" i="1"/>
  <c r="G925" i="1"/>
  <c r="G933" i="1"/>
  <c r="G941" i="1"/>
  <c r="G949" i="1"/>
  <c r="G957" i="1"/>
  <c r="G965" i="1"/>
  <c r="G973" i="1"/>
  <c r="G981" i="1"/>
  <c r="G989" i="1"/>
  <c r="G997" i="1"/>
  <c r="G1005" i="1"/>
  <c r="G1013" i="1"/>
  <c r="G1021" i="1"/>
  <c r="G1029" i="1"/>
  <c r="G1037" i="1"/>
  <c r="G1045" i="1"/>
  <c r="G1053" i="1"/>
  <c r="G1061" i="1"/>
  <c r="G1069" i="1"/>
  <c r="G1077" i="1"/>
  <c r="G1085" i="1"/>
  <c r="G1093" i="1"/>
  <c r="G1101" i="1"/>
  <c r="G1109" i="1"/>
  <c r="G14" i="1"/>
  <c r="G46" i="1"/>
  <c r="G78" i="1"/>
  <c r="G110" i="1"/>
  <c r="G142" i="1"/>
  <c r="G174" i="1"/>
  <c r="G206" i="1"/>
  <c r="G238" i="1"/>
  <c r="G270" i="1"/>
  <c r="G302" i="1"/>
  <c r="G334" i="1"/>
  <c r="G366" i="1"/>
  <c r="G398" i="1"/>
  <c r="G16" i="1"/>
  <c r="G48" i="1"/>
  <c r="G80" i="1"/>
  <c r="G112" i="1"/>
  <c r="G144" i="1"/>
  <c r="G176" i="1"/>
  <c r="G208" i="1"/>
  <c r="G240" i="1"/>
  <c r="G272" i="1"/>
  <c r="G304" i="1"/>
  <c r="G336" i="1"/>
  <c r="G368" i="1"/>
  <c r="G400" i="1"/>
  <c r="G70" i="1"/>
  <c r="G198" i="1"/>
  <c r="G326" i="1"/>
  <c r="G430" i="1"/>
  <c r="G494" i="1"/>
  <c r="G558" i="1"/>
  <c r="G622" i="1"/>
  <c r="G670" i="1"/>
  <c r="G688" i="1"/>
  <c r="G704" i="1"/>
  <c r="G720" i="1"/>
  <c r="G736" i="1"/>
  <c r="G752" i="1"/>
  <c r="G768" i="1"/>
  <c r="G784" i="1"/>
  <c r="G800" i="1"/>
  <c r="G816" i="1"/>
  <c r="G832" i="1"/>
  <c r="G848" i="1"/>
  <c r="G864" i="1"/>
  <c r="G880" i="1"/>
  <c r="G896" i="1"/>
  <c r="G912" i="1"/>
  <c r="G928" i="1"/>
  <c r="G944" i="1"/>
  <c r="G960" i="1"/>
  <c r="G976" i="1"/>
  <c r="G992" i="1"/>
  <c r="G1008" i="1"/>
  <c r="G1024" i="1"/>
  <c r="G1040" i="1"/>
  <c r="G1056" i="1"/>
  <c r="G1072" i="1"/>
  <c r="G1088" i="1"/>
  <c r="G1104" i="1"/>
  <c r="G1119" i="1"/>
  <c r="G1133" i="1"/>
  <c r="G1144" i="1"/>
  <c r="G1157" i="1"/>
  <c r="G1167" i="1"/>
  <c r="G1177" i="1"/>
  <c r="G1186" i="1"/>
  <c r="G1194" i="1"/>
  <c r="G1202" i="1"/>
  <c r="G1210" i="1"/>
  <c r="G1218" i="1"/>
  <c r="G1226" i="1"/>
  <c r="G1234" i="1"/>
  <c r="G1242" i="1"/>
  <c r="G1250" i="1"/>
  <c r="G1258" i="1"/>
  <c r="G526" i="1"/>
  <c r="G1161" i="1"/>
  <c r="G72" i="1"/>
  <c r="G200" i="1"/>
  <c r="G328" i="1"/>
  <c r="G432" i="1"/>
  <c r="G496" i="1"/>
  <c r="G560" i="1"/>
  <c r="G624" i="1"/>
  <c r="G671" i="1"/>
  <c r="G689" i="1"/>
  <c r="G705" i="1"/>
  <c r="G721" i="1"/>
  <c r="G737" i="1"/>
  <c r="G753" i="1"/>
  <c r="G769" i="1"/>
  <c r="G785" i="1"/>
  <c r="G801" i="1"/>
  <c r="G817" i="1"/>
  <c r="G833" i="1"/>
  <c r="G849" i="1"/>
  <c r="G865" i="1"/>
  <c r="G881" i="1"/>
  <c r="G897" i="1"/>
  <c r="G913" i="1"/>
  <c r="G929" i="1"/>
  <c r="G945" i="1"/>
  <c r="G961" i="1"/>
  <c r="G977" i="1"/>
  <c r="G993" i="1"/>
  <c r="G1009" i="1"/>
  <c r="G1025" i="1"/>
  <c r="G1041" i="1"/>
  <c r="G1057" i="1"/>
  <c r="G1073" i="1"/>
  <c r="G1089" i="1"/>
  <c r="G1105" i="1"/>
  <c r="G1120" i="1"/>
  <c r="G1134" i="1"/>
  <c r="G1145" i="1"/>
  <c r="G1158" i="1"/>
  <c r="G1168" i="1"/>
  <c r="G1179" i="1"/>
  <c r="G1187" i="1"/>
  <c r="G1195" i="1"/>
  <c r="G1203" i="1"/>
  <c r="G1211" i="1"/>
  <c r="G1219" i="1"/>
  <c r="G1227" i="1"/>
  <c r="G1235" i="1"/>
  <c r="G1243" i="1"/>
  <c r="G1251" i="1"/>
  <c r="G1259" i="1"/>
  <c r="G590" i="1"/>
  <c r="G1182" i="1"/>
  <c r="G102" i="1"/>
  <c r="G230" i="1"/>
  <c r="G358" i="1"/>
  <c r="G454" i="1"/>
  <c r="G518" i="1"/>
  <c r="G582" i="1"/>
  <c r="G646" i="1"/>
  <c r="G678" i="1"/>
  <c r="G694" i="1"/>
  <c r="G710" i="1"/>
  <c r="G726" i="1"/>
  <c r="G742" i="1"/>
  <c r="G758" i="1"/>
  <c r="G774" i="1"/>
  <c r="G790" i="1"/>
  <c r="G806" i="1"/>
  <c r="G822" i="1"/>
  <c r="G838" i="1"/>
  <c r="G854" i="1"/>
  <c r="G870" i="1"/>
  <c r="G886" i="1"/>
  <c r="G902" i="1"/>
  <c r="G918" i="1"/>
  <c r="G934" i="1"/>
  <c r="G950" i="1"/>
  <c r="G966" i="1"/>
  <c r="G982" i="1"/>
  <c r="G998" i="1"/>
  <c r="G1014" i="1"/>
  <c r="G1030" i="1"/>
  <c r="G1046" i="1"/>
  <c r="G1062" i="1"/>
  <c r="G1078" i="1"/>
  <c r="G1094" i="1"/>
  <c r="G1110" i="1"/>
  <c r="G1121" i="1"/>
  <c r="G1135" i="1"/>
  <c r="G1149" i="1"/>
  <c r="G1159" i="1"/>
  <c r="G1169" i="1"/>
  <c r="G1180" i="1"/>
  <c r="G1188" i="1"/>
  <c r="G1196" i="1"/>
  <c r="G1204" i="1"/>
  <c r="G1212" i="1"/>
  <c r="G1220" i="1"/>
  <c r="G1228" i="1"/>
  <c r="G1236" i="1"/>
  <c r="G1244" i="1"/>
  <c r="G1252" i="1"/>
  <c r="G1260" i="1"/>
  <c r="G104" i="1"/>
  <c r="G232" i="1"/>
  <c r="G360" i="1"/>
  <c r="G456" i="1"/>
  <c r="G520" i="1"/>
  <c r="G584" i="1"/>
  <c r="G648" i="1"/>
  <c r="G679" i="1"/>
  <c r="G695" i="1"/>
  <c r="G711" i="1"/>
  <c r="G727" i="1"/>
  <c r="G743" i="1"/>
  <c r="G759" i="1"/>
  <c r="G775" i="1"/>
  <c r="G791" i="1"/>
  <c r="G807" i="1"/>
  <c r="G823" i="1"/>
  <c r="G839" i="1"/>
  <c r="G855" i="1"/>
  <c r="G871" i="1"/>
  <c r="G887" i="1"/>
  <c r="G903" i="1"/>
  <c r="G919" i="1"/>
  <c r="G935" i="1"/>
  <c r="G951" i="1"/>
  <c r="G967" i="1"/>
  <c r="G983" i="1"/>
  <c r="G999" i="1"/>
  <c r="G1015" i="1"/>
  <c r="G1031" i="1"/>
  <c r="G1047" i="1"/>
  <c r="G1063" i="1"/>
  <c r="G1079" i="1"/>
  <c r="G1095" i="1"/>
  <c r="G1111" i="1"/>
  <c r="G1125" i="1"/>
  <c r="G1136" i="1"/>
  <c r="G1150" i="1"/>
  <c r="G1160" i="1"/>
  <c r="G1172" i="1"/>
  <c r="G1181" i="1"/>
  <c r="G1189" i="1"/>
  <c r="G1197" i="1"/>
  <c r="G1205" i="1"/>
  <c r="G1213" i="1"/>
  <c r="G1221" i="1"/>
  <c r="G1229" i="1"/>
  <c r="G1237" i="1"/>
  <c r="G1245" i="1"/>
  <c r="G1253" i="1"/>
  <c r="G4" i="1"/>
  <c r="G6" i="1"/>
  <c r="G134" i="1"/>
  <c r="G262" i="1"/>
  <c r="G390" i="1"/>
  <c r="G654" i="1"/>
  <c r="G680" i="1"/>
  <c r="G696" i="1"/>
  <c r="G728" i="1"/>
  <c r="G744" i="1"/>
  <c r="G760" i="1"/>
  <c r="G776" i="1"/>
  <c r="G792" i="1"/>
  <c r="G808" i="1"/>
  <c r="G824" i="1"/>
  <c r="G840" i="1"/>
  <c r="G856" i="1"/>
  <c r="G872" i="1"/>
  <c r="G888" i="1"/>
  <c r="G904" i="1"/>
  <c r="G920" i="1"/>
  <c r="G936" i="1"/>
  <c r="G952" i="1"/>
  <c r="G968" i="1"/>
  <c r="G984" i="1"/>
  <c r="G1000" i="1"/>
  <c r="G1016" i="1"/>
  <c r="G1032" i="1"/>
  <c r="G1048" i="1"/>
  <c r="G1064" i="1"/>
  <c r="G1080" i="1"/>
  <c r="G1112" i="1"/>
  <c r="G1126" i="1"/>
  <c r="G1151" i="1"/>
  <c r="G1190" i="1"/>
  <c r="G38" i="1"/>
  <c r="G166" i="1"/>
  <c r="G294" i="1"/>
  <c r="G422" i="1"/>
  <c r="G486" i="1"/>
  <c r="G550" i="1"/>
  <c r="G614" i="1"/>
  <c r="G667" i="1"/>
  <c r="G686" i="1"/>
  <c r="G702" i="1"/>
  <c r="G718" i="1"/>
  <c r="G734" i="1"/>
  <c r="G750" i="1"/>
  <c r="G766" i="1"/>
  <c r="G782" i="1"/>
  <c r="G798" i="1"/>
  <c r="G814" i="1"/>
  <c r="G830" i="1"/>
  <c r="G846" i="1"/>
  <c r="G862" i="1"/>
  <c r="G878" i="1"/>
  <c r="G894" i="1"/>
  <c r="G910" i="1"/>
  <c r="G926" i="1"/>
  <c r="G942" i="1"/>
  <c r="G958" i="1"/>
  <c r="G974" i="1"/>
  <c r="G990" i="1"/>
  <c r="G1006" i="1"/>
  <c r="G1022" i="1"/>
  <c r="G1038" i="1"/>
  <c r="G1054" i="1"/>
  <c r="G1070" i="1"/>
  <c r="G1086" i="1"/>
  <c r="G1102" i="1"/>
  <c r="G1117" i="1"/>
  <c r="G1128" i="1"/>
  <c r="G1142" i="1"/>
  <c r="G1153" i="1"/>
  <c r="G1165" i="1"/>
  <c r="G1175" i="1"/>
  <c r="G1184" i="1"/>
  <c r="G1192" i="1"/>
  <c r="G1200" i="1"/>
  <c r="G1208" i="1"/>
  <c r="G1216" i="1"/>
  <c r="G1224" i="1"/>
  <c r="G1232" i="1"/>
  <c r="G1240" i="1"/>
  <c r="G1248" i="1"/>
  <c r="G1256" i="1"/>
  <c r="G712" i="1"/>
  <c r="G1096" i="1"/>
  <c r="G1173" i="1"/>
  <c r="G1198" i="1"/>
  <c r="G40" i="1"/>
  <c r="G168" i="1"/>
  <c r="G296" i="1"/>
  <c r="G424" i="1"/>
  <c r="G488" i="1"/>
  <c r="G552" i="1"/>
  <c r="G616" i="1"/>
  <c r="G668" i="1"/>
  <c r="G687" i="1"/>
  <c r="G703" i="1"/>
  <c r="G719" i="1"/>
  <c r="G735" i="1"/>
  <c r="G751" i="1"/>
  <c r="G767" i="1"/>
  <c r="G783" i="1"/>
  <c r="G799" i="1"/>
  <c r="G815" i="1"/>
  <c r="G831" i="1"/>
  <c r="G847" i="1"/>
  <c r="G863" i="1"/>
  <c r="G879" i="1"/>
  <c r="G895" i="1"/>
  <c r="G911" i="1"/>
  <c r="G927" i="1"/>
  <c r="G943" i="1"/>
  <c r="G959" i="1"/>
  <c r="G975" i="1"/>
  <c r="G991" i="1"/>
  <c r="G1007" i="1"/>
  <c r="G1023" i="1"/>
  <c r="G1039" i="1"/>
  <c r="G1055" i="1"/>
  <c r="G1071" i="1"/>
  <c r="G1087" i="1"/>
  <c r="G1103" i="1"/>
  <c r="G1118" i="1"/>
  <c r="G1129" i="1"/>
  <c r="G1143" i="1"/>
  <c r="G1156" i="1"/>
  <c r="G1166" i="1"/>
  <c r="G1176" i="1"/>
  <c r="G1185" i="1"/>
  <c r="G1193" i="1"/>
  <c r="G1201" i="1"/>
  <c r="G1209" i="1"/>
  <c r="G1217" i="1"/>
  <c r="G1225" i="1"/>
  <c r="G1233" i="1"/>
  <c r="G1241" i="1"/>
  <c r="G1249" i="1"/>
  <c r="G1257" i="1"/>
  <c r="G462" i="1"/>
  <c r="G1137" i="1"/>
  <c r="G1206" i="1"/>
  <c r="G1222" i="1"/>
  <c r="G1230" i="1"/>
  <c r="G8" i="1"/>
  <c r="G1255" i="1"/>
  <c r="G1223" i="1"/>
  <c r="G1164" i="1"/>
  <c r="G1049" i="1"/>
  <c r="G921" i="1"/>
  <c r="G793" i="1"/>
  <c r="G656" i="1"/>
  <c r="G953" i="1"/>
  <c r="G681" i="1"/>
  <c r="G1254" i="1"/>
  <c r="G1215" i="1"/>
  <c r="G1152" i="1"/>
  <c r="G1033" i="1"/>
  <c r="G905" i="1"/>
  <c r="G777" i="1"/>
  <c r="G592" i="1"/>
  <c r="G1231" i="1"/>
  <c r="G697" i="1"/>
  <c r="G809" i="1"/>
  <c r="G1247" i="1"/>
  <c r="G1214" i="1"/>
  <c r="G1141" i="1"/>
  <c r="G1017" i="1"/>
  <c r="G889" i="1"/>
  <c r="G761" i="1"/>
  <c r="G528" i="1"/>
  <c r="G937" i="1"/>
  <c r="G1246" i="1"/>
  <c r="G1207" i="1"/>
  <c r="G1127" i="1"/>
  <c r="G1001" i="1"/>
  <c r="G873" i="1"/>
  <c r="G745" i="1"/>
  <c r="G464" i="1"/>
  <c r="AA5" i="1" l="1"/>
  <c r="Y6" i="1" s="1"/>
  <c r="M61" i="1"/>
  <c r="M85" i="1"/>
  <c r="M93" i="1"/>
  <c r="M125" i="1"/>
  <c r="M149" i="1"/>
  <c r="M157" i="1"/>
  <c r="M221" i="1"/>
  <c r="M229" i="1"/>
  <c r="M237" i="1"/>
  <c r="M245" i="1"/>
  <c r="M253" i="1"/>
  <c r="M301" i="1"/>
  <c r="M341" i="1"/>
  <c r="M349" i="1"/>
  <c r="M381" i="1"/>
  <c r="M405" i="1"/>
  <c r="M413" i="1"/>
  <c r="M421" i="1"/>
  <c r="M485" i="1"/>
  <c r="M493" i="1"/>
  <c r="M501" i="1"/>
  <c r="M509" i="1"/>
  <c r="M557" i="1"/>
  <c r="M565" i="1"/>
  <c r="M605" i="1"/>
  <c r="M637" i="1"/>
  <c r="M661" i="1"/>
  <c r="M669" i="1"/>
  <c r="M677" i="1"/>
  <c r="M6" i="1"/>
  <c r="M78" i="1"/>
  <c r="M86" i="1"/>
  <c r="M94" i="1"/>
  <c r="M142" i="1"/>
  <c r="M150" i="1"/>
  <c r="M158" i="1"/>
  <c r="M222" i="1"/>
  <c r="M246" i="1"/>
  <c r="M254" i="1"/>
  <c r="M262" i="1"/>
  <c r="M270" i="1"/>
  <c r="M318" i="1"/>
  <c r="M342" i="1"/>
  <c r="M350" i="1"/>
  <c r="M398" i="1"/>
  <c r="M406" i="1"/>
  <c r="M414" i="1"/>
  <c r="M438" i="1"/>
  <c r="M502" i="1"/>
  <c r="M510" i="1"/>
  <c r="M518" i="1"/>
  <c r="M526" i="1"/>
  <c r="M574" i="1"/>
  <c r="M582" i="1"/>
  <c r="M606" i="1"/>
  <c r="M654" i="1"/>
  <c r="M662" i="1"/>
  <c r="M670" i="1"/>
  <c r="M15" i="1"/>
  <c r="M23" i="1"/>
  <c r="M87" i="1"/>
  <c r="M95" i="1"/>
  <c r="M103" i="1"/>
  <c r="M151" i="1"/>
  <c r="M159" i="1"/>
  <c r="M167" i="1"/>
  <c r="M231" i="1"/>
  <c r="M239" i="1"/>
  <c r="M247" i="1"/>
  <c r="M271" i="1"/>
  <c r="M279" i="1"/>
  <c r="M311" i="1"/>
  <c r="M351" i="1"/>
  <c r="M359" i="1"/>
  <c r="M407" i="1"/>
  <c r="M415" i="1"/>
  <c r="M423" i="1"/>
  <c r="M431" i="1"/>
  <c r="M495" i="1"/>
  <c r="M503" i="1"/>
  <c r="M527" i="1"/>
  <c r="M535" i="1"/>
  <c r="M567" i="1"/>
  <c r="M591" i="1"/>
  <c r="M615" i="1"/>
  <c r="M663" i="1"/>
  <c r="M671" i="1"/>
  <c r="M679" i="1"/>
  <c r="M8" i="1"/>
  <c r="M16" i="1"/>
  <c r="M80" i="1"/>
  <c r="M104" i="1"/>
  <c r="M112" i="1"/>
  <c r="M144" i="1"/>
  <c r="M168" i="1"/>
  <c r="M176" i="1"/>
  <c r="M240" i="1"/>
  <c r="M248" i="1"/>
  <c r="M256" i="1"/>
  <c r="M264" i="1"/>
  <c r="M272" i="1"/>
  <c r="M320" i="1"/>
  <c r="M360" i="1"/>
  <c r="M368" i="1"/>
  <c r="M400" i="1"/>
  <c r="M41" i="1"/>
  <c r="M57" i="1"/>
  <c r="M73" i="1"/>
  <c r="M201" i="1"/>
  <c r="M217" i="1"/>
  <c r="M233" i="1"/>
  <c r="M249" i="1"/>
  <c r="M345" i="1"/>
  <c r="M361" i="1"/>
  <c r="M433" i="1"/>
  <c r="M483" i="1"/>
  <c r="M522" i="1"/>
  <c r="M536" i="1"/>
  <c r="M547" i="1"/>
  <c r="M561" i="1"/>
  <c r="M664" i="1"/>
  <c r="M675" i="1"/>
  <c r="M686" i="1"/>
  <c r="M734" i="1"/>
  <c r="M742" i="1"/>
  <c r="M750" i="1"/>
  <c r="M814" i="1"/>
  <c r="M838" i="1"/>
  <c r="M846" i="1"/>
  <c r="M854" i="1"/>
  <c r="M862" i="1"/>
  <c r="M910" i="1"/>
  <c r="M934" i="1"/>
  <c r="M942" i="1"/>
  <c r="M990" i="1"/>
  <c r="M998" i="1"/>
  <c r="M1006" i="1"/>
  <c r="M1030" i="1"/>
  <c r="M1094" i="1"/>
  <c r="M1102" i="1"/>
  <c r="M1110" i="1"/>
  <c r="M1118" i="1"/>
  <c r="M1166" i="1"/>
  <c r="M1174" i="1"/>
  <c r="M1198" i="1"/>
  <c r="M1246" i="1"/>
  <c r="M1254" i="1"/>
  <c r="M450" i="1"/>
  <c r="M689" i="1"/>
  <c r="M705" i="1"/>
  <c r="M897" i="1"/>
  <c r="M921" i="1"/>
  <c r="M10" i="1"/>
  <c r="M106" i="1"/>
  <c r="M122" i="1"/>
  <c r="M138" i="1"/>
  <c r="M266" i="1"/>
  <c r="M282" i="1"/>
  <c r="M298" i="1"/>
  <c r="M346" i="1"/>
  <c r="M362" i="1"/>
  <c r="M420" i="1"/>
  <c r="M484" i="1"/>
  <c r="M498" i="1"/>
  <c r="M576" i="1"/>
  <c r="M587" i="1"/>
  <c r="M601" i="1"/>
  <c r="M612" i="1"/>
  <c r="M703" i="1"/>
  <c r="M711" i="1"/>
  <c r="M735" i="1"/>
  <c r="M743" i="1"/>
  <c r="M775" i="1"/>
  <c r="M799" i="1"/>
  <c r="M823" i="1"/>
  <c r="M871" i="1"/>
  <c r="M879" i="1"/>
  <c r="M887" i="1"/>
  <c r="M895" i="1"/>
  <c r="M903" i="1"/>
  <c r="M967" i="1"/>
  <c r="M991" i="1"/>
  <c r="M999" i="1"/>
  <c r="M1031" i="1"/>
  <c r="M1055" i="1"/>
  <c r="M1063" i="1"/>
  <c r="M1127" i="1"/>
  <c r="M1135" i="1"/>
  <c r="M1143" i="1"/>
  <c r="M1151" i="1"/>
  <c r="M1159" i="1"/>
  <c r="M1207" i="1"/>
  <c r="M1247" i="1"/>
  <c r="M1255" i="1"/>
  <c r="M753" i="1"/>
  <c r="M817" i="1"/>
  <c r="M833" i="1"/>
  <c r="M857" i="1"/>
  <c r="M91" i="1"/>
  <c r="M107" i="1"/>
  <c r="M123" i="1"/>
  <c r="M139" i="1"/>
  <c r="M235" i="1"/>
  <c r="M251" i="1"/>
  <c r="M331" i="1"/>
  <c r="M395" i="1"/>
  <c r="M435" i="1"/>
  <c r="M449" i="1"/>
  <c r="M460" i="1"/>
  <c r="M474" i="1"/>
  <c r="M577" i="1"/>
  <c r="M588" i="1"/>
  <c r="M602" i="1"/>
  <c r="M680" i="1"/>
  <c r="M688" i="1"/>
  <c r="M696" i="1"/>
  <c r="M760" i="1"/>
  <c r="M784" i="1"/>
  <c r="M792" i="1"/>
  <c r="M800" i="1"/>
  <c r="M808" i="1"/>
  <c r="M856" i="1"/>
  <c r="M880" i="1"/>
  <c r="M888" i="1"/>
  <c r="M936" i="1"/>
  <c r="M944" i="1"/>
  <c r="M952" i="1"/>
  <c r="M976" i="1"/>
  <c r="M1016" i="1"/>
  <c r="M1040" i="1"/>
  <c r="M1048" i="1"/>
  <c r="M1056" i="1"/>
  <c r="M1064" i="1"/>
  <c r="M1104" i="1"/>
  <c r="M1128" i="1"/>
  <c r="M1136" i="1"/>
  <c r="M1144" i="1"/>
  <c r="M1184" i="1"/>
  <c r="M1192" i="1"/>
  <c r="M1200" i="1"/>
  <c r="M1224" i="1"/>
  <c r="M1248" i="1"/>
  <c r="M1256" i="1"/>
  <c r="M12" i="1"/>
  <c r="M28" i="1"/>
  <c r="M44" i="1"/>
  <c r="M124" i="1"/>
  <c r="M140" i="1"/>
  <c r="M156" i="1"/>
  <c r="M172" i="1"/>
  <c r="M188" i="1"/>
  <c r="M236" i="1"/>
  <c r="M284" i="1"/>
  <c r="M300" i="1"/>
  <c r="M316" i="1"/>
  <c r="M364" i="1"/>
  <c r="M380" i="1"/>
  <c r="M396" i="1"/>
  <c r="M436" i="1"/>
  <c r="M500" i="1"/>
  <c r="M514" i="1"/>
  <c r="M528" i="1"/>
  <c r="M539" i="1"/>
  <c r="M553" i="1"/>
  <c r="M628" i="1"/>
  <c r="M642" i="1"/>
  <c r="M656" i="1"/>
  <c r="M697" i="1"/>
  <c r="M721" i="1"/>
  <c r="M801" i="1"/>
  <c r="M873" i="1"/>
  <c r="M889" i="1"/>
  <c r="M17" i="1"/>
  <c r="M113" i="1"/>
  <c r="M145" i="1"/>
  <c r="M177" i="1"/>
  <c r="M273" i="1"/>
  <c r="M369" i="1"/>
  <c r="M401" i="1"/>
  <c r="M426" i="1"/>
  <c r="M451" i="1"/>
  <c r="M476" i="1"/>
  <c r="M604" i="1"/>
  <c r="M632" i="1"/>
  <c r="M657" i="1"/>
  <c r="M682" i="1"/>
  <c r="M698" i="1"/>
  <c r="M746" i="1"/>
  <c r="M794" i="1"/>
  <c r="M810" i="1"/>
  <c r="M826" i="1"/>
  <c r="M874" i="1"/>
  <c r="M890" i="1"/>
  <c r="M906" i="1"/>
  <c r="M946" i="1"/>
  <c r="M985" i="1"/>
  <c r="M996" i="1"/>
  <c r="M1010" i="1"/>
  <c r="M1021" i="1"/>
  <c r="M1035" i="1"/>
  <c r="M1099" i="1"/>
  <c r="M1113" i="1"/>
  <c r="M1124" i="1"/>
  <c r="M1138" i="1"/>
  <c r="M1149" i="1"/>
  <c r="M1188" i="1"/>
  <c r="M1227" i="1"/>
  <c r="M1241" i="1"/>
  <c r="M1252" i="1"/>
  <c r="M1115" i="1"/>
  <c r="M1165" i="1"/>
  <c r="M1204" i="1"/>
  <c r="M244" i="1"/>
  <c r="M482" i="1"/>
  <c r="M532" i="1"/>
  <c r="M610" i="1"/>
  <c r="M660" i="1"/>
  <c r="M701" i="1"/>
  <c r="M963" i="1"/>
  <c r="M1002" i="1"/>
  <c r="M1041" i="1"/>
  <c r="M1077" i="1"/>
  <c r="M1116" i="1"/>
  <c r="M1233" i="1"/>
  <c r="M257" i="1"/>
  <c r="M353" i="1"/>
  <c r="M440" i="1"/>
  <c r="M643" i="1"/>
  <c r="M706" i="1"/>
  <c r="M754" i="1"/>
  <c r="M913" i="1"/>
  <c r="M1017" i="1"/>
  <c r="M1053" i="1"/>
  <c r="M1092" i="1"/>
  <c r="M1131" i="1"/>
  <c r="M1181" i="1"/>
  <c r="M258" i="1"/>
  <c r="M322" i="1"/>
  <c r="M416" i="1"/>
  <c r="M491" i="1"/>
  <c r="M569" i="1"/>
  <c r="M755" i="1"/>
  <c r="M914" i="1"/>
  <c r="M954" i="1"/>
  <c r="M993" i="1"/>
  <c r="M1093" i="1"/>
  <c r="M1132" i="1"/>
  <c r="M1171" i="1"/>
  <c r="M99" i="1"/>
  <c r="M387" i="1"/>
  <c r="M442" i="1"/>
  <c r="M520" i="1"/>
  <c r="M570" i="1"/>
  <c r="M673" i="1"/>
  <c r="M900" i="1"/>
  <c r="M941" i="1"/>
  <c r="M969" i="1"/>
  <c r="M1005" i="1"/>
  <c r="M1044" i="1"/>
  <c r="M1161" i="1"/>
  <c r="M36" i="1"/>
  <c r="M164" i="1"/>
  <c r="M196" i="1"/>
  <c r="M443" i="1"/>
  <c r="M521" i="1"/>
  <c r="M649" i="1"/>
  <c r="M50" i="1"/>
  <c r="M146" i="1"/>
  <c r="M178" i="1"/>
  <c r="M210" i="1"/>
  <c r="M242" i="1"/>
  <c r="M274" i="1"/>
  <c r="M427" i="1"/>
  <c r="M452" i="1"/>
  <c r="M480" i="1"/>
  <c r="M505" i="1"/>
  <c r="M530" i="1"/>
  <c r="M608" i="1"/>
  <c r="M683" i="1"/>
  <c r="M699" i="1"/>
  <c r="M715" i="1"/>
  <c r="M763" i="1"/>
  <c r="M779" i="1"/>
  <c r="M795" i="1"/>
  <c r="M843" i="1"/>
  <c r="M891" i="1"/>
  <c r="M907" i="1"/>
  <c r="M922" i="1"/>
  <c r="M933" i="1"/>
  <c r="M947" i="1"/>
  <c r="M1011" i="1"/>
  <c r="M1025" i="1"/>
  <c r="M1036" i="1"/>
  <c r="M1050" i="1"/>
  <c r="M1061" i="1"/>
  <c r="M1100" i="1"/>
  <c r="M1139" i="1"/>
  <c r="M1153" i="1"/>
  <c r="M1164" i="1"/>
  <c r="M1203" i="1"/>
  <c r="M1217" i="1"/>
  <c r="M1228" i="1"/>
  <c r="M1026" i="1"/>
  <c r="M1129" i="1"/>
  <c r="M1154" i="1"/>
  <c r="M1179" i="1"/>
  <c r="M1218" i="1"/>
  <c r="M1257" i="1"/>
  <c r="M457" i="1"/>
  <c r="M507" i="1"/>
  <c r="M585" i="1"/>
  <c r="M635" i="1"/>
  <c r="M717" i="1"/>
  <c r="M845" i="1"/>
  <c r="M977" i="1"/>
  <c r="M1013" i="1"/>
  <c r="M1052" i="1"/>
  <c r="M1169" i="1"/>
  <c r="M1205" i="1"/>
  <c r="M1244" i="1"/>
  <c r="M225" i="1"/>
  <c r="M515" i="1"/>
  <c r="M593" i="1"/>
  <c r="M668" i="1"/>
  <c r="M722" i="1"/>
  <c r="M770" i="1"/>
  <c r="M978" i="1"/>
  <c r="M1028" i="1"/>
  <c r="M1067" i="1"/>
  <c r="M1106" i="1"/>
  <c r="M1145" i="1"/>
  <c r="M1245" i="1"/>
  <c r="M290" i="1"/>
  <c r="M386" i="1"/>
  <c r="M466" i="1"/>
  <c r="M672" i="1"/>
  <c r="M723" i="1"/>
  <c r="M771" i="1"/>
  <c r="M899" i="1"/>
  <c r="M1018" i="1"/>
  <c r="M1068" i="1"/>
  <c r="M1107" i="1"/>
  <c r="M1146" i="1"/>
  <c r="M1185" i="1"/>
  <c r="M227" i="1"/>
  <c r="M355" i="1"/>
  <c r="M467" i="1"/>
  <c r="M545" i="1"/>
  <c r="M595" i="1"/>
  <c r="M740" i="1"/>
  <c r="M884" i="1"/>
  <c r="M930" i="1"/>
  <c r="M980" i="1"/>
  <c r="M1097" i="1"/>
  <c r="M1133" i="1"/>
  <c r="M1172" i="1"/>
  <c r="M1236" i="1"/>
  <c r="M68" i="1"/>
  <c r="M292" i="1"/>
  <c r="M388" i="1"/>
  <c r="M468" i="1"/>
  <c r="M546" i="1"/>
  <c r="M596" i="1"/>
  <c r="M83" i="1"/>
  <c r="M147" i="1"/>
  <c r="M179" i="1"/>
  <c r="M211" i="1"/>
  <c r="M243" i="1"/>
  <c r="M275" i="1"/>
  <c r="M371" i="1"/>
  <c r="M428" i="1"/>
  <c r="M456" i="1"/>
  <c r="M481" i="1"/>
  <c r="M506" i="1"/>
  <c r="M584" i="1"/>
  <c r="M609" i="1"/>
  <c r="M634" i="1"/>
  <c r="M684" i="1"/>
  <c r="M700" i="1"/>
  <c r="M748" i="1"/>
  <c r="M764" i="1"/>
  <c r="M780" i="1"/>
  <c r="M796" i="1"/>
  <c r="M812" i="1"/>
  <c r="M876" i="1"/>
  <c r="M892" i="1"/>
  <c r="M908" i="1"/>
  <c r="M923" i="1"/>
  <c r="M937" i="1"/>
  <c r="M948" i="1"/>
  <c r="M987" i="1"/>
  <c r="M1037" i="1"/>
  <c r="M1051" i="1"/>
  <c r="M1101" i="1"/>
  <c r="M1140" i="1"/>
  <c r="M84" i="1"/>
  <c r="M116" i="1"/>
  <c r="M148" i="1"/>
  <c r="M340" i="1"/>
  <c r="M432" i="1"/>
  <c r="M733" i="1"/>
  <c r="M781" i="1"/>
  <c r="M829" i="1"/>
  <c r="M877" i="1"/>
  <c r="M909" i="1"/>
  <c r="M1066" i="1"/>
  <c r="M1105" i="1"/>
  <c r="M1141" i="1"/>
  <c r="M1180" i="1"/>
  <c r="M1219" i="1"/>
  <c r="M1258" i="1"/>
  <c r="M289" i="1"/>
  <c r="M465" i="1"/>
  <c r="M540" i="1"/>
  <c r="M618" i="1"/>
  <c r="M690" i="1"/>
  <c r="M834" i="1"/>
  <c r="M882" i="1"/>
  <c r="M925" i="1"/>
  <c r="M1003" i="1"/>
  <c r="M1042" i="1"/>
  <c r="M1156" i="1"/>
  <c r="M1195" i="1"/>
  <c r="M1234" i="1"/>
  <c r="M34" i="1"/>
  <c r="M130" i="1"/>
  <c r="M516" i="1"/>
  <c r="M619" i="1"/>
  <c r="M691" i="1"/>
  <c r="M739" i="1"/>
  <c r="M787" i="1"/>
  <c r="M835" i="1"/>
  <c r="M965" i="1"/>
  <c r="M1043" i="1"/>
  <c r="M1082" i="1"/>
  <c r="M1121" i="1"/>
  <c r="M1157" i="1"/>
  <c r="M35" i="1"/>
  <c r="M163" i="1"/>
  <c r="M259" i="1"/>
  <c r="M417" i="1"/>
  <c r="M492" i="1"/>
  <c r="M772" i="1"/>
  <c r="M820" i="1"/>
  <c r="M868" i="1"/>
  <c r="M915" i="1"/>
  <c r="M955" i="1"/>
  <c r="M1108" i="1"/>
  <c r="M1147" i="1"/>
  <c r="M1186" i="1"/>
  <c r="M1225" i="1"/>
  <c r="M4" i="1"/>
  <c r="M100" i="1"/>
  <c r="M496" i="1"/>
  <c r="M624" i="1"/>
  <c r="M674" i="1"/>
  <c r="M725" i="1"/>
  <c r="M757" i="1"/>
  <c r="M995" i="1"/>
  <c r="M1098" i="1"/>
  <c r="M1201" i="1"/>
  <c r="M916" i="1"/>
  <c r="M1123" i="1"/>
  <c r="M945" i="1"/>
  <c r="M1148" i="1"/>
  <c r="M837" i="1"/>
  <c r="M1162" i="1"/>
  <c r="M1073" i="1"/>
  <c r="M901" i="1"/>
  <c r="M1009" i="1"/>
  <c r="M1109" i="1"/>
  <c r="M1020" i="1"/>
  <c r="M1226" i="1"/>
  <c r="M805" i="1"/>
  <c r="M956" i="1"/>
  <c r="M869" i="1"/>
  <c r="M789" i="1"/>
  <c r="M1034" i="1"/>
  <c r="M821" i="1"/>
  <c r="M853" i="1"/>
  <c r="M1173" i="1"/>
  <c r="M1084" i="1"/>
  <c r="M53" i="1"/>
  <c r="M836" i="1" l="1"/>
  <c r="M131" i="1"/>
  <c r="M867" i="1"/>
  <c r="M162" i="1"/>
  <c r="M939" i="1"/>
  <c r="M161" i="1"/>
  <c r="M938" i="1"/>
  <c r="M372" i="1"/>
  <c r="M1253" i="1"/>
  <c r="M1125" i="1"/>
  <c r="M997" i="1"/>
  <c r="M827" i="1"/>
  <c r="M658" i="1"/>
  <c r="M402" i="1"/>
  <c r="M18" i="1"/>
  <c r="M1250" i="1"/>
  <c r="M852" i="1"/>
  <c r="M1260" i="1"/>
  <c r="M851" i="1"/>
  <c r="M194" i="1"/>
  <c r="M866" i="1"/>
  <c r="M129" i="1"/>
  <c r="M924" i="1"/>
  <c r="M20" i="1"/>
  <c r="M1213" i="1"/>
  <c r="M1085" i="1"/>
  <c r="M932" i="1"/>
  <c r="M778" i="1"/>
  <c r="M579" i="1"/>
  <c r="M241" i="1"/>
  <c r="M849" i="1"/>
  <c r="M603" i="1"/>
  <c r="M425" i="1"/>
  <c r="M268" i="1"/>
  <c r="M108" i="1"/>
  <c r="M1216" i="1"/>
  <c r="M1120" i="1"/>
  <c r="M1008" i="1"/>
  <c r="M872" i="1"/>
  <c r="M728" i="1"/>
  <c r="M563" i="1"/>
  <c r="M315" i="1"/>
  <c r="M75" i="1"/>
  <c r="M1223" i="1"/>
  <c r="M1079" i="1"/>
  <c r="M959" i="1"/>
  <c r="M815" i="1"/>
  <c r="M695" i="1"/>
  <c r="M473" i="1"/>
  <c r="M170" i="1"/>
  <c r="M865" i="1"/>
  <c r="M1190" i="1"/>
  <c r="M1070" i="1"/>
  <c r="M926" i="1"/>
  <c r="M782" i="1"/>
  <c r="M650" i="1"/>
  <c r="M419" i="1"/>
  <c r="M185" i="1"/>
  <c r="M336" i="1"/>
  <c r="M192" i="1"/>
  <c r="M72" i="1"/>
  <c r="M607" i="1"/>
  <c r="M487" i="1"/>
  <c r="M343" i="1"/>
  <c r="M183" i="1"/>
  <c r="M79" i="1"/>
  <c r="M598" i="1"/>
  <c r="M478" i="1"/>
  <c r="M334" i="1"/>
  <c r="M190" i="1"/>
  <c r="M70" i="1"/>
  <c r="M597" i="1"/>
  <c r="M477" i="1"/>
  <c r="M317" i="1"/>
  <c r="M173" i="1"/>
  <c r="M115" i="1"/>
  <c r="M14" i="1"/>
  <c r="M5" i="1"/>
  <c r="N5" i="1" s="1"/>
  <c r="M69" i="1"/>
  <c r="M133" i="1"/>
  <c r="M197" i="1"/>
  <c r="M261" i="1"/>
  <c r="M325" i="1"/>
  <c r="M389" i="1"/>
  <c r="M453" i="1"/>
  <c r="M517" i="1"/>
  <c r="M581" i="1"/>
  <c r="M645" i="1"/>
  <c r="M38" i="1"/>
  <c r="M102" i="1"/>
  <c r="M166" i="1"/>
  <c r="M230" i="1"/>
  <c r="M294" i="1"/>
  <c r="M358" i="1"/>
  <c r="M422" i="1"/>
  <c r="M486" i="1"/>
  <c r="M550" i="1"/>
  <c r="M614" i="1"/>
  <c r="M678" i="1"/>
  <c r="M63" i="1"/>
  <c r="M127" i="1"/>
  <c r="M191" i="1"/>
  <c r="M255" i="1"/>
  <c r="M319" i="1"/>
  <c r="M383" i="1"/>
  <c r="M447" i="1"/>
  <c r="M511" i="1"/>
  <c r="M575" i="1"/>
  <c r="M639" i="1"/>
  <c r="M24" i="1"/>
  <c r="M88" i="1"/>
  <c r="M152" i="1"/>
  <c r="M216" i="1"/>
  <c r="M280" i="1"/>
  <c r="M344" i="1"/>
  <c r="M9" i="1"/>
  <c r="M137" i="1"/>
  <c r="M265" i="1"/>
  <c r="M393" i="1"/>
  <c r="M497" i="1"/>
  <c r="M600" i="1"/>
  <c r="M694" i="1"/>
  <c r="M758" i="1"/>
  <c r="M822" i="1"/>
  <c r="M886" i="1"/>
  <c r="M950" i="1"/>
  <c r="M1014" i="1"/>
  <c r="M1078" i="1"/>
  <c r="M1142" i="1"/>
  <c r="M1206" i="1"/>
  <c r="M617" i="1"/>
  <c r="M809" i="1"/>
  <c r="M58" i="1"/>
  <c r="M186" i="1"/>
  <c r="M314" i="1"/>
  <c r="M434" i="1"/>
  <c r="M537" i="1"/>
  <c r="M640" i="1"/>
  <c r="M719" i="1"/>
  <c r="M783" i="1"/>
  <c r="M847" i="1"/>
  <c r="M911" i="1"/>
  <c r="M975" i="1"/>
  <c r="M1039" i="1"/>
  <c r="M1103" i="1"/>
  <c r="M1167" i="1"/>
  <c r="M1231" i="1"/>
  <c r="M769" i="1"/>
  <c r="M27" i="1"/>
  <c r="M155" i="1"/>
  <c r="M283" i="1"/>
  <c r="M410" i="1"/>
  <c r="M513" i="1"/>
  <c r="M616" i="1"/>
  <c r="M704" i="1"/>
  <c r="M768" i="1"/>
  <c r="M832" i="1"/>
  <c r="M896" i="1"/>
  <c r="M960" i="1"/>
  <c r="M1024" i="1"/>
  <c r="M1088" i="1"/>
  <c r="M1152" i="1"/>
  <c r="M13" i="1"/>
  <c r="M77" i="1"/>
  <c r="M141" i="1"/>
  <c r="M205" i="1"/>
  <c r="M269" i="1"/>
  <c r="M333" i="1"/>
  <c r="M397" i="1"/>
  <c r="M461" i="1"/>
  <c r="M525" i="1"/>
  <c r="M589" i="1"/>
  <c r="M653" i="1"/>
  <c r="M46" i="1"/>
  <c r="M110" i="1"/>
  <c r="M174" i="1"/>
  <c r="M238" i="1"/>
  <c r="M302" i="1"/>
  <c r="M366" i="1"/>
  <c r="M430" i="1"/>
  <c r="M494" i="1"/>
  <c r="M558" i="1"/>
  <c r="M622" i="1"/>
  <c r="M71" i="1"/>
  <c r="M135" i="1"/>
  <c r="M199" i="1"/>
  <c r="M263" i="1"/>
  <c r="M327" i="1"/>
  <c r="M391" i="1"/>
  <c r="M455" i="1"/>
  <c r="M519" i="1"/>
  <c r="M583" i="1"/>
  <c r="M647" i="1"/>
  <c r="M32" i="1"/>
  <c r="M96" i="1"/>
  <c r="M160" i="1"/>
  <c r="M224" i="1"/>
  <c r="M288" i="1"/>
  <c r="M352" i="1"/>
  <c r="M25" i="1"/>
  <c r="M153" i="1"/>
  <c r="M281" i="1"/>
  <c r="M408" i="1"/>
  <c r="M508" i="1"/>
  <c r="M611" i="1"/>
  <c r="M702" i="1"/>
  <c r="M766" i="1"/>
  <c r="M830" i="1"/>
  <c r="M894" i="1"/>
  <c r="M958" i="1"/>
  <c r="M1022" i="1"/>
  <c r="M1086" i="1"/>
  <c r="M1150" i="1"/>
  <c r="M1214" i="1"/>
  <c r="M667" i="1"/>
  <c r="M841" i="1"/>
  <c r="M74" i="1"/>
  <c r="M202" i="1"/>
  <c r="M330" i="1"/>
  <c r="M448" i="1"/>
  <c r="M548" i="1"/>
  <c r="M651" i="1"/>
  <c r="M727" i="1"/>
  <c r="M791" i="1"/>
  <c r="M855" i="1"/>
  <c r="M919" i="1"/>
  <c r="M983" i="1"/>
  <c r="M1047" i="1"/>
  <c r="M1111" i="1"/>
  <c r="M1175" i="1"/>
  <c r="M1239" i="1"/>
  <c r="M793" i="1"/>
  <c r="M43" i="1"/>
  <c r="M171" i="1"/>
  <c r="M299" i="1"/>
  <c r="M424" i="1"/>
  <c r="M524" i="1"/>
  <c r="M627" i="1"/>
  <c r="M712" i="1"/>
  <c r="M776" i="1"/>
  <c r="M840" i="1"/>
  <c r="M904" i="1"/>
  <c r="M968" i="1"/>
  <c r="M1032" i="1"/>
  <c r="M1096" i="1"/>
  <c r="M1160" i="1"/>
  <c r="M21" i="1"/>
  <c r="M101" i="1"/>
  <c r="M181" i="1"/>
  <c r="M277" i="1"/>
  <c r="M357" i="1"/>
  <c r="M437" i="1"/>
  <c r="M533" i="1"/>
  <c r="M613" i="1"/>
  <c r="M22" i="1"/>
  <c r="M118" i="1"/>
  <c r="M198" i="1"/>
  <c r="M278" i="1"/>
  <c r="M374" i="1"/>
  <c r="M454" i="1"/>
  <c r="M534" i="1"/>
  <c r="M630" i="1"/>
  <c r="M31" i="1"/>
  <c r="M111" i="1"/>
  <c r="M207" i="1"/>
  <c r="M287" i="1"/>
  <c r="M367" i="1"/>
  <c r="M463" i="1"/>
  <c r="M543" i="1"/>
  <c r="M623" i="1"/>
  <c r="M40" i="1"/>
  <c r="M120" i="1"/>
  <c r="M200" i="1"/>
  <c r="M296" i="1"/>
  <c r="M376" i="1"/>
  <c r="M105" i="1"/>
  <c r="M297" i="1"/>
  <c r="M444" i="1"/>
  <c r="M572" i="1"/>
  <c r="M710" i="1"/>
  <c r="M790" i="1"/>
  <c r="M870" i="1"/>
  <c r="M966" i="1"/>
  <c r="M1046" i="1"/>
  <c r="M1126" i="1"/>
  <c r="M1222" i="1"/>
  <c r="M713" i="1"/>
  <c r="M26" i="1"/>
  <c r="M218" i="1"/>
  <c r="M378" i="1"/>
  <c r="M512" i="1"/>
  <c r="M665" i="1"/>
  <c r="M751" i="1"/>
  <c r="M831" i="1"/>
  <c r="M927" i="1"/>
  <c r="M1007" i="1"/>
  <c r="M1087" i="1"/>
  <c r="M1183" i="1"/>
  <c r="M464" i="1"/>
  <c r="M905" i="1"/>
  <c r="M187" i="1"/>
  <c r="M347" i="1"/>
  <c r="M488" i="1"/>
  <c r="M641" i="1"/>
  <c r="M736" i="1"/>
  <c r="M816" i="1"/>
  <c r="M912" i="1"/>
  <c r="M992" i="1"/>
  <c r="M1072" i="1"/>
  <c r="M1168" i="1"/>
  <c r="M1232" i="1"/>
  <c r="M76" i="1"/>
  <c r="M204" i="1"/>
  <c r="M332" i="1"/>
  <c r="M475" i="1"/>
  <c r="M578" i="1"/>
  <c r="M745" i="1"/>
  <c r="M49" i="1"/>
  <c r="M305" i="1"/>
  <c r="M529" i="1"/>
  <c r="M714" i="1"/>
  <c r="M842" i="1"/>
  <c r="M957" i="1"/>
  <c r="M1060" i="1"/>
  <c r="M1163" i="1"/>
  <c r="M1012" i="1"/>
  <c r="M308" i="1"/>
  <c r="M797" i="1"/>
  <c r="M1155" i="1"/>
  <c r="M490" i="1"/>
  <c r="M953" i="1"/>
  <c r="M1259" i="1"/>
  <c r="M644" i="1"/>
  <c r="M1029" i="1"/>
  <c r="M195" i="1"/>
  <c r="M756" i="1"/>
  <c r="M1083" i="1"/>
  <c r="M260" i="1"/>
  <c r="M82" i="1"/>
  <c r="M338" i="1"/>
  <c r="M555" i="1"/>
  <c r="M731" i="1"/>
  <c r="M859" i="1"/>
  <c r="M972" i="1"/>
  <c r="M1075" i="1"/>
  <c r="M1178" i="1"/>
  <c r="M1065" i="1"/>
  <c r="M180" i="1"/>
  <c r="M765" i="1"/>
  <c r="M1091" i="1"/>
  <c r="M321" i="1"/>
  <c r="M850" i="1"/>
  <c r="M1170" i="1"/>
  <c r="M544" i="1"/>
  <c r="M940" i="1"/>
  <c r="M1249" i="1"/>
  <c r="M648" i="1"/>
  <c r="M1019" i="1"/>
  <c r="M132" i="1"/>
  <c r="M19" i="1"/>
  <c r="M307" i="1"/>
  <c r="M531" i="1"/>
  <c r="M716" i="1"/>
  <c r="M844" i="1"/>
  <c r="M962" i="1"/>
  <c r="M1193" i="1"/>
  <c r="M560" i="1"/>
  <c r="M988" i="1"/>
  <c r="M97" i="1"/>
  <c r="M738" i="1"/>
  <c r="M1081" i="1"/>
  <c r="M354" i="1"/>
  <c r="M883" i="1"/>
  <c r="M1196" i="1"/>
  <c r="M620" i="1"/>
  <c r="M1033" i="1"/>
  <c r="M324" i="1"/>
  <c r="M741" i="1"/>
  <c r="M931" i="1"/>
  <c r="M1187" i="1"/>
  <c r="M1237" i="1"/>
  <c r="M1251" i="1"/>
  <c r="M117" i="1"/>
  <c r="M54" i="1"/>
  <c r="M310" i="1"/>
  <c r="M470" i="1"/>
  <c r="M646" i="1"/>
  <c r="M143" i="1"/>
  <c r="M303" i="1"/>
  <c r="M479" i="1"/>
  <c r="M655" i="1"/>
  <c r="M136" i="1"/>
  <c r="M392" i="1"/>
  <c r="M329" i="1"/>
  <c r="M625" i="1"/>
  <c r="M806" i="1"/>
  <c r="M982" i="1"/>
  <c r="M1158" i="1"/>
  <c r="M761" i="1"/>
  <c r="M250" i="1"/>
  <c r="M562" i="1"/>
  <c r="M767" i="1"/>
  <c r="M943" i="1"/>
  <c r="M1119" i="1"/>
  <c r="M729" i="1"/>
  <c r="M219" i="1"/>
  <c r="M538" i="1"/>
  <c r="M752" i="1"/>
  <c r="M928" i="1"/>
  <c r="M29" i="1"/>
  <c r="M109" i="1"/>
  <c r="M189" i="1"/>
  <c r="M285" i="1"/>
  <c r="M365" i="1"/>
  <c r="M445" i="1"/>
  <c r="M541" i="1"/>
  <c r="M621" i="1"/>
  <c r="M30" i="1"/>
  <c r="M126" i="1"/>
  <c r="M206" i="1"/>
  <c r="M286" i="1"/>
  <c r="M382" i="1"/>
  <c r="M462" i="1"/>
  <c r="M542" i="1"/>
  <c r="M638" i="1"/>
  <c r="M39" i="1"/>
  <c r="M119" i="1"/>
  <c r="M215" i="1"/>
  <c r="M295" i="1"/>
  <c r="M375" i="1"/>
  <c r="M471" i="1"/>
  <c r="M551" i="1"/>
  <c r="M631" i="1"/>
  <c r="M48" i="1"/>
  <c r="M128" i="1"/>
  <c r="M208" i="1"/>
  <c r="M304" i="1"/>
  <c r="M384" i="1"/>
  <c r="M121" i="1"/>
  <c r="M313" i="1"/>
  <c r="M458" i="1"/>
  <c r="M586" i="1"/>
  <c r="M718" i="1"/>
  <c r="M798" i="1"/>
  <c r="M878" i="1"/>
  <c r="M974" i="1"/>
  <c r="M1054" i="1"/>
  <c r="M1134" i="1"/>
  <c r="M1230" i="1"/>
  <c r="M737" i="1"/>
  <c r="M42" i="1"/>
  <c r="M234" i="1"/>
  <c r="M394" i="1"/>
  <c r="M523" i="1"/>
  <c r="M676" i="1"/>
  <c r="M759" i="1"/>
  <c r="M839" i="1"/>
  <c r="M935" i="1"/>
  <c r="M1015" i="1"/>
  <c r="M1095" i="1"/>
  <c r="M1191" i="1"/>
  <c r="M681" i="1"/>
  <c r="M11" i="1"/>
  <c r="M203" i="1"/>
  <c r="M363" i="1"/>
  <c r="M499" i="1"/>
  <c r="M652" i="1"/>
  <c r="M744" i="1"/>
  <c r="M824" i="1"/>
  <c r="M920" i="1"/>
  <c r="M1000" i="1"/>
  <c r="M1080" i="1"/>
  <c r="M1176" i="1"/>
  <c r="M1240" i="1"/>
  <c r="M92" i="1"/>
  <c r="M220" i="1"/>
  <c r="M348" i="1"/>
  <c r="M489" i="1"/>
  <c r="M592" i="1"/>
  <c r="M777" i="1"/>
  <c r="M81" i="1"/>
  <c r="M337" i="1"/>
  <c r="M554" i="1"/>
  <c r="M730" i="1"/>
  <c r="M858" i="1"/>
  <c r="M971" i="1"/>
  <c r="M1074" i="1"/>
  <c r="M1177" i="1"/>
  <c r="M1076" i="1"/>
  <c r="M404" i="1"/>
  <c r="M861" i="1"/>
  <c r="M1194" i="1"/>
  <c r="M568" i="1"/>
  <c r="M989" i="1"/>
  <c r="M98" i="1"/>
  <c r="M707" i="1"/>
  <c r="M1057" i="1"/>
  <c r="M291" i="1"/>
  <c r="M804" i="1"/>
  <c r="M1122" i="1"/>
  <c r="M356" i="1"/>
  <c r="M114" i="1"/>
  <c r="M370" i="1"/>
  <c r="M580" i="1"/>
  <c r="M747" i="1"/>
  <c r="M875" i="1"/>
  <c r="M986" i="1"/>
  <c r="M1089" i="1"/>
  <c r="M1189" i="1"/>
  <c r="M1090" i="1"/>
  <c r="M276" i="1"/>
  <c r="M813" i="1"/>
  <c r="M1130" i="1"/>
  <c r="M412" i="1"/>
  <c r="M898" i="1"/>
  <c r="M1209" i="1"/>
  <c r="M594" i="1"/>
  <c r="M979" i="1"/>
  <c r="M67" i="1"/>
  <c r="M692" i="1"/>
  <c r="M1058" i="1"/>
  <c r="M228" i="1"/>
  <c r="M51" i="1"/>
  <c r="M339" i="1"/>
  <c r="M556" i="1"/>
  <c r="M732" i="1"/>
  <c r="M860" i="1"/>
  <c r="M973" i="1"/>
  <c r="M1243" i="1"/>
  <c r="M685" i="1"/>
  <c r="M1027" i="1"/>
  <c r="M193" i="1"/>
  <c r="M786" i="1"/>
  <c r="M1117" i="1"/>
  <c r="M441" i="1"/>
  <c r="M929" i="1"/>
  <c r="M1235" i="1"/>
  <c r="M708" i="1"/>
  <c r="M1069" i="1"/>
  <c r="M418" i="1"/>
  <c r="M885" i="1"/>
  <c r="M1137" i="1"/>
  <c r="M773" i="1"/>
  <c r="M1045" i="1"/>
  <c r="M1059" i="1"/>
  <c r="M37" i="1"/>
  <c r="M213" i="1"/>
  <c r="M293" i="1"/>
  <c r="M373" i="1"/>
  <c r="M469" i="1"/>
  <c r="M549" i="1"/>
  <c r="M629" i="1"/>
  <c r="M134" i="1"/>
  <c r="M214" i="1"/>
  <c r="M390" i="1"/>
  <c r="M566" i="1"/>
  <c r="M47" i="1"/>
  <c r="M223" i="1"/>
  <c r="M399" i="1"/>
  <c r="M559" i="1"/>
  <c r="M56" i="1"/>
  <c r="M232" i="1"/>
  <c r="M312" i="1"/>
  <c r="M169" i="1"/>
  <c r="M472" i="1"/>
  <c r="M726" i="1"/>
  <c r="M902" i="1"/>
  <c r="M1062" i="1"/>
  <c r="M1238" i="1"/>
  <c r="M90" i="1"/>
  <c r="M409" i="1"/>
  <c r="M687" i="1"/>
  <c r="M863" i="1"/>
  <c r="M1023" i="1"/>
  <c r="M1199" i="1"/>
  <c r="M59" i="1"/>
  <c r="M379" i="1"/>
  <c r="M666" i="1"/>
  <c r="M848" i="1"/>
  <c r="M970" i="1"/>
  <c r="M981" i="1"/>
  <c r="M1212" i="1"/>
  <c r="M571" i="1"/>
  <c r="M994" i="1"/>
  <c r="M323" i="1"/>
  <c r="M1004" i="1"/>
  <c r="M226" i="1"/>
  <c r="M964" i="1"/>
  <c r="M385" i="1"/>
  <c r="M949" i="1"/>
  <c r="M212" i="1"/>
  <c r="M1001" i="1"/>
  <c r="M828" i="1"/>
  <c r="M659" i="1"/>
  <c r="M403" i="1"/>
  <c r="M693" i="1"/>
  <c r="M1197" i="1"/>
  <c r="M788" i="1"/>
  <c r="M1210" i="1"/>
  <c r="M819" i="1"/>
  <c r="M66" i="1"/>
  <c r="M818" i="1"/>
  <c r="M65" i="1"/>
  <c r="M893" i="1"/>
  <c r="M52" i="1"/>
  <c r="M1242" i="1"/>
  <c r="M1114" i="1"/>
  <c r="M961" i="1"/>
  <c r="M811" i="1"/>
  <c r="M633" i="1"/>
  <c r="M306" i="1"/>
  <c r="M709" i="1"/>
  <c r="M1211" i="1"/>
  <c r="M724" i="1"/>
  <c r="M1221" i="1"/>
  <c r="M803" i="1"/>
  <c r="M1220" i="1"/>
  <c r="M802" i="1"/>
  <c r="M33" i="1"/>
  <c r="M749" i="1"/>
  <c r="M1229" i="1"/>
  <c r="M1202" i="1"/>
  <c r="M1049" i="1"/>
  <c r="M917" i="1"/>
  <c r="M762" i="1"/>
  <c r="M504" i="1"/>
  <c r="M209" i="1"/>
  <c r="M825" i="1"/>
  <c r="M564" i="1"/>
  <c r="M411" i="1"/>
  <c r="M252" i="1"/>
  <c r="M60" i="1"/>
  <c r="M1208" i="1"/>
  <c r="M1112" i="1"/>
  <c r="M984" i="1"/>
  <c r="M864" i="1"/>
  <c r="M720" i="1"/>
  <c r="M552" i="1"/>
  <c r="M267" i="1"/>
  <c r="M881" i="1"/>
  <c r="M1215" i="1"/>
  <c r="M1071" i="1"/>
  <c r="M951" i="1"/>
  <c r="M807" i="1"/>
  <c r="M626" i="1"/>
  <c r="M459" i="1"/>
  <c r="M154" i="1"/>
  <c r="M785" i="1"/>
  <c r="M1182" i="1"/>
  <c r="M1038" i="1"/>
  <c r="M918" i="1"/>
  <c r="M774" i="1"/>
  <c r="M636" i="1"/>
  <c r="M377" i="1"/>
  <c r="M89" i="1"/>
  <c r="M328" i="1"/>
  <c r="M184" i="1"/>
  <c r="M64" i="1"/>
  <c r="M599" i="1"/>
  <c r="M439" i="1"/>
  <c r="M335" i="1"/>
  <c r="M175" i="1"/>
  <c r="M55" i="1"/>
  <c r="M590" i="1"/>
  <c r="M446" i="1"/>
  <c r="M326" i="1"/>
  <c r="M182" i="1"/>
  <c r="M62" i="1"/>
  <c r="M573" i="1"/>
  <c r="M429" i="1"/>
  <c r="M309" i="1"/>
  <c r="M165" i="1"/>
  <c r="M45" i="1"/>
  <c r="AB5" i="1"/>
  <c r="N4" i="1"/>
  <c r="Q3" i="1" l="1"/>
  <c r="Q4" i="1"/>
  <c r="N50" i="1"/>
  <c r="N66" i="1"/>
  <c r="N38" i="1"/>
  <c r="N11" i="1"/>
  <c r="N99" i="1"/>
  <c r="N27" i="1"/>
  <c r="N41" i="1"/>
  <c r="N106" i="1"/>
  <c r="N117" i="1"/>
  <c r="N23" i="1"/>
  <c r="N136" i="1"/>
  <c r="N53" i="1"/>
  <c r="N65" i="1"/>
  <c r="N113" i="1"/>
  <c r="N102" i="1"/>
  <c r="N119" i="1"/>
  <c r="N115" i="1"/>
  <c r="N140" i="1"/>
  <c r="N128" i="1"/>
  <c r="N129" i="1"/>
  <c r="N97" i="1"/>
  <c r="N124" i="1"/>
  <c r="N17" i="1"/>
  <c r="N96" i="1"/>
  <c r="N31" i="1"/>
  <c r="N12" i="1"/>
  <c r="N80" i="1"/>
  <c r="N67" i="1"/>
  <c r="N114" i="1"/>
  <c r="N7" i="1"/>
  <c r="N47" i="1"/>
  <c r="N144" i="1"/>
  <c r="N130" i="1"/>
  <c r="N63" i="1"/>
  <c r="N104" i="1"/>
  <c r="N75" i="1"/>
  <c r="N16" i="1"/>
  <c r="N105" i="1"/>
  <c r="N15" i="1"/>
  <c r="N108" i="1"/>
  <c r="N56" i="1"/>
  <c r="N43" i="1"/>
  <c r="N42" i="1"/>
  <c r="N35" i="1"/>
  <c r="N48" i="1"/>
  <c r="N92" i="1"/>
  <c r="N8" i="1"/>
  <c r="N71" i="1"/>
  <c r="N134" i="1"/>
  <c r="N70" i="1"/>
  <c r="N6" i="1"/>
  <c r="N85" i="1"/>
  <c r="N21" i="1"/>
  <c r="N74" i="1"/>
  <c r="N122" i="1"/>
  <c r="N68" i="1"/>
  <c r="N139" i="1"/>
  <c r="N87" i="1"/>
  <c r="N32" i="1"/>
  <c r="N25" i="1"/>
  <c r="N24" i="1"/>
  <c r="N19" i="1"/>
  <c r="N34" i="1"/>
  <c r="N82" i="1"/>
  <c r="N145" i="1"/>
  <c r="N59" i="1"/>
  <c r="N126" i="1"/>
  <c r="N62" i="1"/>
  <c r="N141" i="1"/>
  <c r="N77" i="1"/>
  <c r="N13" i="1"/>
  <c r="N127" i="1"/>
  <c r="N112" i="1"/>
  <c r="N36" i="1"/>
  <c r="N98" i="1"/>
  <c r="N84" i="1"/>
  <c r="N90" i="1"/>
  <c r="N40" i="1"/>
  <c r="N103" i="1"/>
  <c r="N94" i="1"/>
  <c r="N30" i="1"/>
  <c r="N109" i="1"/>
  <c r="N45" i="1"/>
  <c r="N89" i="1"/>
  <c r="N95" i="1"/>
  <c r="N107" i="1"/>
  <c r="N79" i="1"/>
  <c r="N76" i="1"/>
  <c r="N28" i="1"/>
  <c r="N91" i="1"/>
  <c r="N86" i="1"/>
  <c r="N22" i="1"/>
  <c r="N101" i="1"/>
  <c r="N37" i="1"/>
  <c r="N55" i="1"/>
  <c r="N51" i="1"/>
  <c r="N83" i="1"/>
  <c r="N58" i="1"/>
  <c r="N52" i="1"/>
  <c r="N64" i="1"/>
  <c r="N18" i="1"/>
  <c r="N81" i="1"/>
  <c r="N142" i="1"/>
  <c r="N78" i="1"/>
  <c r="N14" i="1"/>
  <c r="N93" i="1"/>
  <c r="N29" i="1"/>
  <c r="N73" i="1"/>
  <c r="N44" i="1"/>
  <c r="N143" i="1"/>
  <c r="N111" i="1"/>
  <c r="N57" i="1"/>
  <c r="N10" i="1"/>
  <c r="N9" i="1"/>
  <c r="N131" i="1"/>
  <c r="N132" i="1"/>
  <c r="N20" i="1"/>
  <c r="N72" i="1"/>
  <c r="N135" i="1"/>
  <c r="N49" i="1"/>
  <c r="N118" i="1"/>
  <c r="N54" i="1"/>
  <c r="N133" i="1"/>
  <c r="N69" i="1"/>
  <c r="N26" i="1"/>
  <c r="N121" i="1"/>
  <c r="N100" i="1"/>
  <c r="N88" i="1"/>
  <c r="N33" i="1"/>
  <c r="N138" i="1"/>
  <c r="N137" i="1"/>
  <c r="N116" i="1"/>
  <c r="N120" i="1"/>
  <c r="N146" i="1"/>
  <c r="N60" i="1"/>
  <c r="N123" i="1"/>
  <c r="N39" i="1"/>
  <c r="N110" i="1"/>
  <c r="N46" i="1"/>
  <c r="N125" i="1"/>
  <c r="N61" i="1"/>
  <c r="Q13" i="1"/>
  <c r="Q14" i="1" s="1"/>
  <c r="Q10" i="1" s="1"/>
  <c r="N950" i="1"/>
  <c r="N576" i="1"/>
  <c r="N635" i="1"/>
  <c r="N364" i="1"/>
  <c r="N314" i="1"/>
  <c r="N351" i="1"/>
  <c r="N386" i="1"/>
  <c r="N529" i="1"/>
  <c r="N580" i="1"/>
  <c r="N292" i="1"/>
  <c r="N931" i="1"/>
  <c r="N163" i="1"/>
  <c r="N352" i="1"/>
  <c r="N535" i="1"/>
  <c r="N419" i="1"/>
  <c r="N492" i="1"/>
  <c r="N170" i="1"/>
  <c r="N436" i="1"/>
  <c r="N236" i="1"/>
  <c r="N566" i="1"/>
  <c r="N384" i="1"/>
  <c r="N184" i="1"/>
  <c r="N997" i="1"/>
  <c r="N522" i="1"/>
  <c r="N330" i="1"/>
  <c r="N805" i="1"/>
  <c r="N537" i="1"/>
  <c r="N396" i="1"/>
  <c r="N249" i="1"/>
  <c r="N867" i="1"/>
  <c r="N536" i="1"/>
  <c r="N395" i="1"/>
  <c r="N244" i="1"/>
  <c r="N602" i="1"/>
  <c r="N491" i="1"/>
  <c r="N361" i="1"/>
  <c r="N228" i="1"/>
  <c r="N611" i="1"/>
  <c r="N513" i="1"/>
  <c r="N388" i="1"/>
  <c r="N260" i="1"/>
  <c r="N561" i="1"/>
  <c r="N476" i="1"/>
  <c r="N380" i="1"/>
  <c r="N284" i="1"/>
  <c r="N188" i="1"/>
  <c r="N505" i="1"/>
  <c r="N391" i="1"/>
  <c r="N295" i="1"/>
  <c r="N199" i="1"/>
  <c r="N422" i="1"/>
  <c r="N302" i="1"/>
  <c r="N373" i="1"/>
  <c r="N440" i="1"/>
  <c r="N336" i="1"/>
  <c r="N459" i="1"/>
  <c r="N544" i="1"/>
  <c r="N415" i="1"/>
  <c r="N289" i="1"/>
  <c r="N243" i="1"/>
  <c r="N367" i="1"/>
  <c r="N275" i="1"/>
  <c r="N195" i="1"/>
  <c r="N271" i="1"/>
  <c r="N345" i="1"/>
  <c r="N372" i="1"/>
  <c r="N555" i="1"/>
  <c r="N255" i="1"/>
  <c r="N595" i="1"/>
  <c r="N272" i="1"/>
  <c r="N467" i="1"/>
  <c r="N797" i="1"/>
  <c r="N343" i="1"/>
  <c r="N952" i="1"/>
  <c r="N447" i="1"/>
  <c r="N408" i="1"/>
  <c r="N212" i="1"/>
  <c r="N545" i="1"/>
  <c r="N354" i="1"/>
  <c r="N160" i="1"/>
  <c r="N885" i="1"/>
  <c r="N499" i="1"/>
  <c r="N307" i="1"/>
  <c r="N693" i="1"/>
  <c r="N521" i="1"/>
  <c r="N378" i="1"/>
  <c r="N227" i="1"/>
  <c r="N749" i="1"/>
  <c r="N520" i="1"/>
  <c r="N375" i="1"/>
  <c r="N226" i="1"/>
  <c r="N590" i="1"/>
  <c r="N473" i="1"/>
  <c r="N344" i="1"/>
  <c r="N215" i="1"/>
  <c r="N600" i="1"/>
  <c r="N502" i="1"/>
  <c r="N376" i="1"/>
  <c r="N234" i="1"/>
  <c r="N634" i="1"/>
  <c r="N552" i="1"/>
  <c r="N466" i="1"/>
  <c r="N370" i="1"/>
  <c r="N274" i="1"/>
  <c r="N168" i="1"/>
  <c r="N624" i="1"/>
  <c r="N496" i="1"/>
  <c r="N379" i="1"/>
  <c r="N283" i="1"/>
  <c r="N187" i="1"/>
  <c r="N398" i="1"/>
  <c r="N270" i="1"/>
  <c r="N309" i="1"/>
  <c r="N670" i="1"/>
  <c r="N603" i="1"/>
  <c r="N582" i="1"/>
  <c r="N463" i="1"/>
  <c r="N591" i="1"/>
  <c r="N902" i="1"/>
  <c r="N553" i="1"/>
  <c r="N377" i="1"/>
  <c r="N404" i="1"/>
  <c r="N488" i="1"/>
  <c r="N542" i="1"/>
  <c r="N437" i="1"/>
  <c r="N1040" i="1"/>
  <c r="N268" i="1"/>
  <c r="N528" i="1"/>
  <c r="N217" i="1"/>
  <c r="N540" i="1"/>
  <c r="N239" i="1"/>
  <c r="N387" i="1"/>
  <c r="N641" i="1"/>
  <c r="N298" i="1"/>
  <c r="N788" i="1"/>
  <c r="N410" i="1"/>
  <c r="N385" i="1"/>
  <c r="N185" i="1"/>
  <c r="N1023" i="1"/>
  <c r="N526" i="1"/>
  <c r="N331" i="1"/>
  <c r="N745" i="1"/>
  <c r="N480" i="1"/>
  <c r="N279" i="1"/>
  <c r="N632" i="1"/>
  <c r="N507" i="1"/>
  <c r="N356" i="1"/>
  <c r="N211" i="1"/>
  <c r="N631" i="1"/>
  <c r="N503" i="1"/>
  <c r="N355" i="1"/>
  <c r="N208" i="1"/>
  <c r="N574" i="1"/>
  <c r="N458" i="1"/>
  <c r="N329" i="1"/>
  <c r="N196" i="1"/>
  <c r="N586" i="1"/>
  <c r="N490" i="1"/>
  <c r="N346" i="1"/>
  <c r="N218" i="1"/>
  <c r="N625" i="1"/>
  <c r="N543" i="1"/>
  <c r="N456" i="1"/>
  <c r="N360" i="1"/>
  <c r="N252" i="1"/>
  <c r="N156" i="1"/>
  <c r="N606" i="1"/>
  <c r="N465" i="1"/>
  <c r="N369" i="1"/>
  <c r="N273" i="1"/>
  <c r="N177" i="1"/>
  <c r="N390" i="1"/>
  <c r="N254" i="1"/>
  <c r="N245" i="1"/>
  <c r="N541" i="1"/>
  <c r="N464" i="1"/>
  <c r="N620" i="1"/>
  <c r="N216" i="1"/>
  <c r="N207" i="1"/>
  <c r="N416" i="1"/>
  <c r="N266" i="1"/>
  <c r="N247" i="1"/>
  <c r="N276" i="1"/>
  <c r="N392" i="1"/>
  <c r="N305" i="1"/>
  <c r="N547" i="1"/>
  <c r="N483" i="1"/>
  <c r="N169" i="1"/>
  <c r="N909" i="1"/>
  <c r="N930" i="1"/>
  <c r="N925" i="1"/>
  <c r="N979" i="1"/>
  <c r="N186" i="1"/>
  <c r="N1045" i="1"/>
  <c r="N494" i="1"/>
  <c r="N175" i="1"/>
  <c r="N479" i="1"/>
  <c r="N809" i="1"/>
  <c r="N152" i="1"/>
  <c r="N313" i="1"/>
  <c r="N592" i="1"/>
  <c r="N884" i="1"/>
  <c r="N259" i="1"/>
  <c r="N638" i="1"/>
  <c r="N368" i="1"/>
  <c r="N363" i="1"/>
  <c r="N161" i="1"/>
  <c r="N915" i="1"/>
  <c r="N500" i="1"/>
  <c r="N308" i="1"/>
  <c r="N627" i="1"/>
  <c r="N452" i="1"/>
  <c r="N256" i="1"/>
  <c r="N618" i="1"/>
  <c r="N489" i="1"/>
  <c r="N340" i="1"/>
  <c r="N193" i="1"/>
  <c r="N614" i="1"/>
  <c r="N484" i="1"/>
  <c r="N339" i="1"/>
  <c r="N191" i="1"/>
  <c r="N559" i="1"/>
  <c r="N441" i="1"/>
  <c r="N312" i="1"/>
  <c r="N183" i="1"/>
  <c r="N575" i="1"/>
  <c r="N460" i="1"/>
  <c r="N332" i="1"/>
  <c r="N204" i="1"/>
  <c r="N616" i="1"/>
  <c r="N534" i="1"/>
  <c r="N444" i="1"/>
  <c r="N338" i="1"/>
  <c r="N242" i="1"/>
  <c r="N596" i="1"/>
  <c r="N455" i="1"/>
  <c r="N359" i="1"/>
  <c r="N263" i="1"/>
  <c r="N167" i="1"/>
  <c r="N486" i="1"/>
  <c r="N382" i="1"/>
  <c r="N206" i="1"/>
  <c r="N181" i="1"/>
  <c r="N393" i="1"/>
  <c r="N201" i="1"/>
  <c r="N518" i="1"/>
  <c r="N407" i="1"/>
  <c r="N554" i="1"/>
  <c r="N617" i="1"/>
  <c r="N623" i="1"/>
  <c r="N570" i="1"/>
  <c r="N200" i="1"/>
  <c r="N411" i="1"/>
  <c r="N430" i="1"/>
  <c r="N1055" i="1"/>
  <c r="N876" i="1"/>
  <c r="N400" i="1"/>
  <c r="N626" i="1"/>
  <c r="N622" i="1"/>
  <c r="N593" i="1"/>
  <c r="N619" i="1"/>
  <c r="N904" i="1"/>
  <c r="N449" i="1"/>
  <c r="N399" i="1"/>
  <c r="N594" i="1"/>
  <c r="N225" i="1"/>
  <c r="N498" i="1"/>
  <c r="N612" i="1"/>
  <c r="N223" i="1"/>
  <c r="N604" i="1"/>
  <c r="N324" i="1"/>
  <c r="N335" i="1"/>
  <c r="N786" i="1"/>
  <c r="N481" i="1"/>
  <c r="N281" i="1"/>
  <c r="N608" i="1"/>
  <c r="N427" i="1"/>
  <c r="N233" i="1"/>
  <c r="N601" i="1"/>
  <c r="N471" i="1"/>
  <c r="N322" i="1"/>
  <c r="N172" i="1"/>
  <c r="N599" i="1"/>
  <c r="N468" i="1"/>
  <c r="N321" i="1"/>
  <c r="N171" i="1"/>
  <c r="N546" i="1"/>
  <c r="N426" i="1"/>
  <c r="N297" i="1"/>
  <c r="N164" i="1"/>
  <c r="N563" i="1"/>
  <c r="N448" i="1"/>
  <c r="N320" i="1"/>
  <c r="N192" i="1"/>
  <c r="N607" i="1"/>
  <c r="N524" i="1"/>
  <c r="N424" i="1"/>
  <c r="N328" i="1"/>
  <c r="N232" i="1"/>
  <c r="N587" i="1"/>
  <c r="N443" i="1"/>
  <c r="N347" i="1"/>
  <c r="N251" i="1"/>
  <c r="N155" i="1"/>
  <c r="N454" i="1"/>
  <c r="N374" i="1"/>
  <c r="N190" i="1"/>
  <c r="N835" i="1"/>
  <c r="N610" i="1"/>
  <c r="N224" i="1"/>
  <c r="N258" i="1"/>
  <c r="N353" i="1"/>
  <c r="N963" i="1"/>
  <c r="N504" i="1"/>
  <c r="N527" i="1"/>
  <c r="N326" i="1"/>
  <c r="N516" i="1"/>
  <c r="N442" i="1"/>
  <c r="N572" i="1"/>
  <c r="N571" i="1"/>
  <c r="N562" i="1"/>
  <c r="N558" i="1"/>
  <c r="N772" i="1"/>
  <c r="N717" i="1"/>
  <c r="N417" i="1"/>
  <c r="N319" i="1"/>
  <c r="N539" i="1"/>
  <c r="N194" i="1"/>
  <c r="N420" i="1"/>
  <c r="N556" i="1"/>
  <c r="N179" i="1"/>
  <c r="N577" i="1"/>
  <c r="N291" i="1"/>
  <c r="N508" i="1"/>
  <c r="N311" i="1"/>
  <c r="N628" i="1"/>
  <c r="N457" i="1"/>
  <c r="N257" i="1"/>
  <c r="N585" i="1"/>
  <c r="N403" i="1"/>
  <c r="N203" i="1"/>
  <c r="N584" i="1"/>
  <c r="N451" i="1"/>
  <c r="N303" i="1"/>
  <c r="N154" i="1"/>
  <c r="N583" i="1"/>
  <c r="N450" i="1"/>
  <c r="N300" i="1"/>
  <c r="N153" i="1"/>
  <c r="N657" i="1"/>
  <c r="N531" i="1"/>
  <c r="N409" i="1"/>
  <c r="N280" i="1"/>
  <c r="N151" i="1"/>
  <c r="N550" i="1"/>
  <c r="N432" i="1"/>
  <c r="N304" i="1"/>
  <c r="N176" i="1"/>
  <c r="N598" i="1"/>
  <c r="N506" i="1"/>
  <c r="N412" i="1"/>
  <c r="N316" i="1"/>
  <c r="N220" i="1"/>
  <c r="N578" i="1"/>
  <c r="N433" i="1"/>
  <c r="N337" i="1"/>
  <c r="N241" i="1"/>
  <c r="N446" i="1"/>
  <c r="N366" i="1"/>
  <c r="N323" i="1"/>
  <c r="N425" i="1"/>
  <c r="N439" i="1"/>
  <c r="N159" i="1"/>
  <c r="N267" i="1"/>
  <c r="N148" i="1"/>
  <c r="N296" i="1"/>
  <c r="N209" i="1"/>
  <c r="N202" i="1"/>
  <c r="N989" i="1"/>
  <c r="N512" i="1"/>
  <c r="N472" i="1"/>
  <c r="N510" i="1"/>
  <c r="N530" i="1"/>
  <c r="N640" i="1"/>
  <c r="N639" i="1"/>
  <c r="N371" i="1"/>
  <c r="N240" i="1"/>
  <c r="N511" i="1"/>
  <c r="N980" i="1"/>
  <c r="N147" i="1"/>
  <c r="N299" i="1"/>
  <c r="N495" i="1"/>
  <c r="N548" i="1"/>
  <c r="N250" i="1"/>
  <c r="N482" i="1"/>
  <c r="N288" i="1"/>
  <c r="N609" i="1"/>
  <c r="N428" i="1"/>
  <c r="N235" i="1"/>
  <c r="N564" i="1"/>
  <c r="N383" i="1"/>
  <c r="N180" i="1"/>
  <c r="N986" i="1"/>
  <c r="N568" i="1"/>
  <c r="N435" i="1"/>
  <c r="N287" i="1"/>
  <c r="N1052" i="1"/>
  <c r="N567" i="1"/>
  <c r="N431" i="1"/>
  <c r="N282" i="1"/>
  <c r="N630" i="1"/>
  <c r="N519" i="1"/>
  <c r="N394" i="1"/>
  <c r="N265" i="1"/>
  <c r="N636" i="1"/>
  <c r="N538" i="1"/>
  <c r="N418" i="1"/>
  <c r="N290" i="1"/>
  <c r="N162" i="1"/>
  <c r="N579" i="1"/>
  <c r="N497" i="1"/>
  <c r="N402" i="1"/>
  <c r="N306" i="1"/>
  <c r="N210" i="1"/>
  <c r="N551" i="1"/>
  <c r="N423" i="1"/>
  <c r="N327" i="1"/>
  <c r="N219" i="1"/>
  <c r="N438" i="1"/>
  <c r="N358" i="1"/>
  <c r="N866" i="1"/>
  <c r="N811" i="1"/>
  <c r="N988" i="1"/>
  <c r="N987" i="1"/>
  <c r="N1001" i="1"/>
  <c r="N646" i="1"/>
  <c r="N1049" i="1"/>
  <c r="N724" i="1"/>
  <c r="N864" i="1"/>
  <c r="N937" i="1"/>
  <c r="N769" i="1"/>
  <c r="N1004" i="1"/>
  <c r="N656" i="1"/>
  <c r="N874" i="1"/>
  <c r="N1050" i="1"/>
  <c r="N725" i="1"/>
  <c r="N888" i="1"/>
  <c r="N960" i="1"/>
  <c r="N990" i="1"/>
  <c r="N836" i="1"/>
  <c r="N1048" i="1"/>
  <c r="N941" i="1"/>
  <c r="N825" i="1"/>
  <c r="N674" i="1"/>
  <c r="N1022" i="1"/>
  <c r="N914" i="1"/>
  <c r="N785" i="1"/>
  <c r="N1006" i="1"/>
  <c r="N923" i="1"/>
  <c r="N834" i="1"/>
  <c r="N723" i="1"/>
  <c r="N985" i="1"/>
  <c r="N890" i="1"/>
  <c r="N777" i="1"/>
  <c r="N722" i="1"/>
  <c r="N706" i="1"/>
  <c r="N728" i="1"/>
  <c r="N660" i="1"/>
  <c r="N673" i="1"/>
  <c r="N671" i="1"/>
  <c r="N916" i="1"/>
  <c r="N1056" i="1"/>
  <c r="N761" i="1"/>
  <c r="N1026" i="1"/>
  <c r="N949" i="1"/>
  <c r="N948" i="1"/>
  <c r="N962" i="1"/>
  <c r="N1031" i="1"/>
  <c r="N675" i="1"/>
  <c r="N817" i="1"/>
  <c r="N918" i="1"/>
  <c r="N741" i="1"/>
  <c r="N968" i="1"/>
  <c r="N849" i="1"/>
  <c r="N1018" i="1"/>
  <c r="N676" i="1"/>
  <c r="N846" i="1"/>
  <c r="N921" i="1"/>
  <c r="N972" i="1"/>
  <c r="N813" i="1"/>
  <c r="N1037" i="1"/>
  <c r="N928" i="1"/>
  <c r="N803" i="1"/>
  <c r="N654" i="1"/>
  <c r="N1010" i="1"/>
  <c r="N898" i="1"/>
  <c r="N765" i="1"/>
  <c r="N996" i="1"/>
  <c r="N913" i="1"/>
  <c r="N820" i="1"/>
  <c r="N708" i="1"/>
  <c r="N973" i="1"/>
  <c r="N880" i="1"/>
  <c r="N763" i="1"/>
  <c r="N672" i="1"/>
  <c r="N684" i="1"/>
  <c r="N680" i="1"/>
  <c r="N651" i="1"/>
  <c r="N768" i="1"/>
  <c r="N875" i="1"/>
  <c r="N893" i="1"/>
  <c r="N907" i="1"/>
  <c r="N945" i="1"/>
  <c r="N1030" i="1"/>
  <c r="N742" i="1"/>
  <c r="N1029" i="1"/>
  <c r="N882" i="1"/>
  <c r="N697" i="1"/>
  <c r="N894" i="1"/>
  <c r="N1054" i="1"/>
  <c r="N755" i="1"/>
  <c r="N946" i="1"/>
  <c r="N753" i="1"/>
  <c r="N843" i="1"/>
  <c r="N936" i="1"/>
  <c r="N762" i="1"/>
  <c r="N1012" i="1"/>
  <c r="N899" i="1"/>
  <c r="N766" i="1"/>
  <c r="N981" i="1"/>
  <c r="N870" i="1"/>
  <c r="N729" i="1"/>
  <c r="N1053" i="1"/>
  <c r="N976" i="1"/>
  <c r="N891" i="1"/>
  <c r="N793" i="1"/>
  <c r="N681" i="1"/>
  <c r="N1042" i="1"/>
  <c r="N953" i="1"/>
  <c r="N856" i="1"/>
  <c r="N734" i="1"/>
  <c r="N1043" i="1"/>
  <c r="N644" i="1"/>
  <c r="N659" i="1"/>
  <c r="N652" i="1"/>
  <c r="N739" i="1"/>
  <c r="N828" i="1"/>
  <c r="N994" i="1"/>
  <c r="N699" i="1"/>
  <c r="N1013" i="1"/>
  <c r="N861" i="1"/>
  <c r="N666" i="1"/>
  <c r="N850" i="1"/>
  <c r="N1038" i="1"/>
  <c r="N731" i="1"/>
  <c r="N889" i="1"/>
  <c r="N1017" i="1"/>
  <c r="N700" i="1"/>
  <c r="N796" i="1"/>
  <c r="N1057" i="1"/>
  <c r="N917" i="1"/>
  <c r="N740" i="1"/>
  <c r="N998" i="1"/>
  <c r="N886" i="1"/>
  <c r="N747" i="1"/>
  <c r="N969" i="1"/>
  <c r="N853" i="1"/>
  <c r="N710" i="1"/>
  <c r="N1044" i="1"/>
  <c r="N964" i="1"/>
  <c r="N881" i="1"/>
  <c r="N778" i="1"/>
  <c r="N665" i="1"/>
  <c r="N1033" i="1"/>
  <c r="N942" i="1"/>
  <c r="N844" i="1"/>
  <c r="N721" i="1"/>
  <c r="N1035" i="1"/>
  <c r="N999" i="1"/>
  <c r="N648" i="1"/>
  <c r="N643" i="1"/>
  <c r="N896" i="1"/>
  <c r="N829" i="1"/>
  <c r="N934" i="1"/>
  <c r="N1008" i="1"/>
  <c r="N781" i="1"/>
  <c r="N779" i="1"/>
  <c r="N798" i="1"/>
  <c r="N865" i="1"/>
  <c r="N978" i="1"/>
  <c r="N992" i="1"/>
  <c r="N840" i="1"/>
  <c r="N810" i="1"/>
  <c r="N1003" i="1"/>
  <c r="N655" i="1"/>
  <c r="N848" i="1"/>
  <c r="N1000" i="1"/>
  <c r="N718" i="1"/>
  <c r="N1041" i="1"/>
  <c r="N897" i="1"/>
  <c r="N715" i="1"/>
  <c r="N982" i="1"/>
  <c r="N872" i="1"/>
  <c r="N730" i="1"/>
  <c r="N1058" i="1"/>
  <c r="N955" i="1"/>
  <c r="N837" i="1"/>
  <c r="N690" i="1"/>
  <c r="N1034" i="1"/>
  <c r="N954" i="1"/>
  <c r="N868" i="1"/>
  <c r="N764" i="1"/>
  <c r="N649" i="1"/>
  <c r="N1024" i="1"/>
  <c r="N932" i="1"/>
  <c r="N832" i="1"/>
  <c r="N678" i="1"/>
  <c r="N974" i="1"/>
  <c r="N935" i="1"/>
  <c r="N695" i="1"/>
  <c r="N906" i="1"/>
  <c r="N858" i="1"/>
  <c r="N732" i="1"/>
  <c r="N702" i="1"/>
  <c r="N754" i="1"/>
  <c r="N826" i="1"/>
  <c r="N939" i="1"/>
  <c r="N977" i="1"/>
  <c r="N814" i="1"/>
  <c r="N756" i="1"/>
  <c r="N966" i="1"/>
  <c r="N827" i="1"/>
  <c r="N961" i="1"/>
  <c r="N1046" i="1"/>
  <c r="N667" i="1"/>
  <c r="N1028" i="1"/>
  <c r="N877" i="1"/>
  <c r="N689" i="1"/>
  <c r="N970" i="1"/>
  <c r="N854" i="1"/>
  <c r="N713" i="1"/>
  <c r="N1047" i="1"/>
  <c r="N940" i="1"/>
  <c r="N821" i="1"/>
  <c r="N668" i="1"/>
  <c r="N1025" i="1"/>
  <c r="N944" i="1"/>
  <c r="N857" i="1"/>
  <c r="N750" i="1"/>
  <c r="N1015" i="1"/>
  <c r="N922" i="1"/>
  <c r="N804" i="1"/>
  <c r="N664" i="1"/>
  <c r="N901" i="1"/>
  <c r="N869" i="1"/>
  <c r="N679" i="1"/>
  <c r="N759" i="1"/>
  <c r="N686" i="1"/>
  <c r="N971" i="1"/>
  <c r="N714" i="1"/>
  <c r="N787" i="1"/>
  <c r="N658" i="1"/>
  <c r="N1021" i="1"/>
  <c r="N683" i="1"/>
  <c r="N1020" i="1"/>
  <c r="N682" i="1"/>
  <c r="N1032" i="1"/>
  <c r="N701" i="1"/>
  <c r="N773" i="1"/>
  <c r="N905" i="1"/>
  <c r="N958" i="1"/>
  <c r="N794" i="1"/>
  <c r="N1039" i="1"/>
  <c r="N705" i="1"/>
  <c r="N908" i="1"/>
  <c r="N774" i="1"/>
  <c r="N924" i="1"/>
  <c r="N1014" i="1"/>
  <c r="N1009" i="1"/>
  <c r="N859" i="1"/>
  <c r="N663" i="1"/>
  <c r="N1060" i="1"/>
  <c r="N957" i="1"/>
  <c r="N838" i="1"/>
  <c r="N691" i="1"/>
  <c r="N1036" i="1"/>
  <c r="N926" i="1"/>
  <c r="N801" i="1"/>
  <c r="N650" i="1"/>
  <c r="N1016" i="1"/>
  <c r="N933" i="1"/>
  <c r="N845" i="1"/>
  <c r="N737" i="1"/>
  <c r="N1005" i="1"/>
  <c r="N900" i="1"/>
  <c r="N789" i="1"/>
  <c r="N647" i="1"/>
  <c r="N819" i="1"/>
  <c r="N790" i="1"/>
  <c r="N692" i="1"/>
  <c r="N1051" i="1"/>
  <c r="N984" i="1"/>
  <c r="N910" i="1"/>
  <c r="N830" i="1"/>
  <c r="N733" i="1"/>
  <c r="N1007" i="1"/>
  <c r="N943" i="1"/>
  <c r="N878" i="1"/>
  <c r="N802" i="1"/>
  <c r="N716" i="1"/>
  <c r="N760" i="1"/>
  <c r="N751" i="1"/>
  <c r="N965" i="1"/>
  <c r="N892" i="1"/>
  <c r="N806" i="1"/>
  <c r="N709" i="1"/>
  <c r="N991" i="1"/>
  <c r="N927" i="1"/>
  <c r="N860" i="1"/>
  <c r="N780" i="1"/>
  <c r="N694" i="1"/>
  <c r="N824" i="1"/>
  <c r="N720" i="1"/>
  <c r="N879" i="1"/>
  <c r="N687" i="1"/>
  <c r="N1027" i="1"/>
  <c r="N956" i="1"/>
  <c r="N883" i="1"/>
  <c r="N795" i="1"/>
  <c r="N698" i="1"/>
  <c r="N983" i="1"/>
  <c r="N919" i="1"/>
  <c r="N851" i="1"/>
  <c r="N770" i="1"/>
  <c r="N800" i="1"/>
  <c r="N712" i="1"/>
  <c r="N871" i="1"/>
  <c r="N1019" i="1"/>
  <c r="N947" i="1"/>
  <c r="N873" i="1"/>
  <c r="N782" i="1"/>
  <c r="N685" i="1"/>
  <c r="N975" i="1"/>
  <c r="N911" i="1"/>
  <c r="N842" i="1"/>
  <c r="N758" i="1"/>
  <c r="N792" i="1"/>
  <c r="N704" i="1"/>
  <c r="N823" i="1"/>
  <c r="N1011" i="1"/>
  <c r="N938" i="1"/>
  <c r="N862" i="1"/>
  <c r="N771" i="1"/>
  <c r="N967" i="1"/>
  <c r="N903" i="1"/>
  <c r="N833" i="1"/>
  <c r="N748" i="1"/>
  <c r="N784" i="1"/>
  <c r="N696" i="1"/>
  <c r="N815" i="1"/>
  <c r="N1002" i="1"/>
  <c r="N929" i="1"/>
  <c r="N852" i="1"/>
  <c r="N757" i="1"/>
  <c r="N959" i="1"/>
  <c r="N895" i="1"/>
  <c r="N822" i="1"/>
  <c r="N738" i="1"/>
  <c r="N776" i="1"/>
  <c r="N807" i="1"/>
  <c r="N995" i="1"/>
  <c r="N912" i="1"/>
  <c r="N818" i="1"/>
  <c r="N707" i="1"/>
  <c r="N1059" i="1"/>
  <c r="N993" i="1"/>
  <c r="N920" i="1"/>
  <c r="N841" i="1"/>
  <c r="N746" i="1"/>
  <c r="N951" i="1"/>
  <c r="N887" i="1"/>
  <c r="N812" i="1"/>
  <c r="N726" i="1"/>
  <c r="N642" i="1"/>
  <c r="N532" i="1"/>
  <c r="N334" i="1"/>
  <c r="N615" i="1"/>
  <c r="N523" i="1"/>
  <c r="N514" i="1"/>
  <c r="N569" i="1"/>
  <c r="N475" i="1"/>
  <c r="N318" i="1"/>
  <c r="N605" i="1"/>
  <c r="N462" i="1"/>
  <c r="N262" i="1"/>
  <c r="N198" i="1"/>
  <c r="N597" i="1"/>
  <c r="N493" i="1"/>
  <c r="N429" i="1"/>
  <c r="N365" i="1"/>
  <c r="N301" i="1"/>
  <c r="N237" i="1"/>
  <c r="N173" i="1"/>
  <c r="N653" i="1"/>
  <c r="N589" i="1"/>
  <c r="N485" i="1"/>
  <c r="N421" i="1"/>
  <c r="N357" i="1"/>
  <c r="N293" i="1"/>
  <c r="N229" i="1"/>
  <c r="N165" i="1"/>
  <c r="N669" i="1"/>
  <c r="N310" i="1"/>
  <c r="N246" i="1"/>
  <c r="N182" i="1"/>
  <c r="N645" i="1"/>
  <c r="N581" i="1"/>
  <c r="N477" i="1"/>
  <c r="N413" i="1"/>
  <c r="N349" i="1"/>
  <c r="N285" i="1"/>
  <c r="N221" i="1"/>
  <c r="N157" i="1"/>
  <c r="N509" i="1"/>
  <c r="N238" i="1"/>
  <c r="N174" i="1"/>
  <c r="N637" i="1"/>
  <c r="N573" i="1"/>
  <c r="N469" i="1"/>
  <c r="N405" i="1"/>
  <c r="N341" i="1"/>
  <c r="N277" i="1"/>
  <c r="N213" i="1"/>
  <c r="N149" i="1"/>
  <c r="N294" i="1"/>
  <c r="N230" i="1"/>
  <c r="N166" i="1"/>
  <c r="N629" i="1"/>
  <c r="N565" i="1"/>
  <c r="N461" i="1"/>
  <c r="N397" i="1"/>
  <c r="N333" i="1"/>
  <c r="N269" i="1"/>
  <c r="N205" i="1"/>
  <c r="N478" i="1"/>
  <c r="N414" i="1"/>
  <c r="N350" i="1"/>
  <c r="N286" i="1"/>
  <c r="N222" i="1"/>
  <c r="N158" i="1"/>
  <c r="N621" i="1"/>
  <c r="N557" i="1"/>
  <c r="N453" i="1"/>
  <c r="N389" i="1"/>
  <c r="N325" i="1"/>
  <c r="N261" i="1"/>
  <c r="N197" i="1"/>
  <c r="N474" i="1"/>
  <c r="N362" i="1"/>
  <c r="N248" i="1"/>
  <c r="N736" i="1"/>
  <c r="N662" i="1"/>
  <c r="N588" i="1"/>
  <c r="N515" i="1"/>
  <c r="N434" i="1"/>
  <c r="N348" i="1"/>
  <c r="N264" i="1"/>
  <c r="N178" i="1"/>
  <c r="N743" i="1"/>
  <c r="N633" i="1"/>
  <c r="N560" i="1"/>
  <c r="N487" i="1"/>
  <c r="N401" i="1"/>
  <c r="N315" i="1"/>
  <c r="N231" i="1"/>
  <c r="N470" i="1"/>
  <c r="N406" i="1"/>
  <c r="N342" i="1"/>
  <c r="N278" i="1"/>
  <c r="N214" i="1"/>
  <c r="N150" i="1"/>
  <c r="N613" i="1"/>
  <c r="N549" i="1"/>
  <c r="N445" i="1"/>
  <c r="N381" i="1"/>
  <c r="N317" i="1"/>
  <c r="N253" i="1"/>
  <c r="N189" i="1"/>
  <c r="N661" i="1"/>
  <c r="N677" i="1"/>
  <c r="N533" i="1"/>
  <c r="N525" i="1"/>
  <c r="N719" i="1"/>
  <c r="N1169" i="1"/>
  <c r="N1198" i="1"/>
  <c r="N1077" i="1"/>
  <c r="N1156" i="1"/>
  <c r="N1096" i="1"/>
  <c r="N1200" i="1"/>
  <c r="N1223" i="1"/>
  <c r="N1180" i="1"/>
  <c r="N1172" i="1"/>
  <c r="N1166" i="1"/>
  <c r="N1220" i="1"/>
  <c r="N1165" i="1"/>
  <c r="N1211" i="1"/>
  <c r="N1226" i="1"/>
  <c r="N1126" i="1"/>
  <c r="N1102" i="1"/>
  <c r="N1148" i="1"/>
  <c r="N1147" i="1"/>
  <c r="N1182" i="1"/>
  <c r="N1240" i="1"/>
  <c r="N1064" i="1"/>
  <c r="N1253" i="1"/>
  <c r="N1155" i="1"/>
  <c r="N1183" i="1"/>
  <c r="N1065" i="1"/>
  <c r="N1094" i="1"/>
  <c r="N1250" i="1"/>
  <c r="N1154" i="1"/>
  <c r="N1179" i="1"/>
  <c r="N1214" i="1"/>
  <c r="N1069" i="1"/>
  <c r="N1111" i="1"/>
  <c r="N1108" i="1"/>
  <c r="N1086" i="1"/>
  <c r="N1175" i="1"/>
  <c r="N1212" i="1"/>
  <c r="N1237" i="1"/>
  <c r="N1125" i="1"/>
  <c r="N1122" i="1"/>
  <c r="N1157" i="1"/>
  <c r="N1229" i="1"/>
  <c r="N1239" i="1"/>
  <c r="N1143" i="1"/>
  <c r="N1235" i="1"/>
  <c r="N1158" i="1"/>
  <c r="N1244" i="1"/>
  <c r="N1078" i="1"/>
  <c r="N1238" i="1"/>
  <c r="N1140" i="1"/>
  <c r="N1170" i="1"/>
  <c r="N1178" i="1"/>
  <c r="N1101" i="1"/>
  <c r="N1131" i="1"/>
  <c r="N1259" i="1"/>
  <c r="N1207" i="1"/>
  <c r="N1073" i="1"/>
  <c r="N1163" i="1"/>
  <c r="N1112" i="1"/>
  <c r="N1127" i="1"/>
  <c r="N1116" i="1"/>
  <c r="N1189" i="1"/>
  <c r="N1236" i="1"/>
  <c r="N1100" i="1"/>
  <c r="N1099" i="1"/>
  <c r="N1134" i="1"/>
  <c r="N1204" i="1"/>
  <c r="N1228" i="1"/>
  <c r="N1130" i="1"/>
  <c r="N1210" i="1"/>
  <c r="N1135" i="1"/>
  <c r="N1219" i="1"/>
  <c r="N1227" i="1"/>
  <c r="N1128" i="1"/>
  <c r="N1252" i="1"/>
  <c r="N1151" i="1"/>
  <c r="N1150" i="1"/>
  <c r="N1230" i="1"/>
  <c r="N1245" i="1"/>
  <c r="N1076" i="1"/>
  <c r="N1251" i="1"/>
  <c r="N1074" i="1"/>
  <c r="N1164" i="1"/>
  <c r="N1247" i="1"/>
  <c r="N1139" i="1"/>
  <c r="N1186" i="1"/>
  <c r="N1258" i="1"/>
  <c r="N1068" i="1"/>
  <c r="N1082" i="1"/>
  <c r="N1109" i="1"/>
  <c r="N1181" i="1"/>
  <c r="N1216" i="1"/>
  <c r="N1118" i="1"/>
  <c r="N1184" i="1"/>
  <c r="N1110" i="1"/>
  <c r="N1194" i="1"/>
  <c r="N1254" i="1"/>
  <c r="N1213" i="1"/>
  <c r="N1117" i="1"/>
  <c r="N1243" i="1"/>
  <c r="N1124" i="1"/>
  <c r="N1141" i="1"/>
  <c r="N1120" i="1"/>
  <c r="N1197" i="1"/>
  <c r="N1105" i="1"/>
  <c r="N1222" i="1"/>
  <c r="N1173" i="1"/>
  <c r="N1098" i="1"/>
  <c r="N1199" i="1"/>
  <c r="N1248" i="1"/>
  <c r="N1090" i="1"/>
  <c r="N1138" i="1"/>
  <c r="N1246" i="1"/>
  <c r="N1231" i="1"/>
  <c r="N1081" i="1"/>
  <c r="N1167" i="1"/>
  <c r="N1203" i="1"/>
  <c r="N1107" i="1"/>
  <c r="N1162" i="1"/>
  <c r="N1066" i="1"/>
  <c r="N1171" i="1"/>
  <c r="N1218" i="1"/>
  <c r="N1202" i="1"/>
  <c r="N1103" i="1"/>
  <c r="N1224" i="1"/>
  <c r="N1115" i="1"/>
  <c r="N1104" i="1"/>
  <c r="N1080" i="1"/>
  <c r="N1233" i="1"/>
  <c r="N1195" i="1"/>
  <c r="N1176" i="1"/>
  <c r="N1063" i="1"/>
  <c r="N1119" i="1"/>
  <c r="N1188" i="1"/>
  <c r="N1149" i="1"/>
  <c r="N1174" i="1"/>
  <c r="N1152" i="1"/>
  <c r="N1087" i="1"/>
  <c r="N1221" i="1"/>
  <c r="N1208" i="1"/>
  <c r="N1255" i="1"/>
  <c r="N1144" i="1"/>
  <c r="N1191" i="1"/>
  <c r="N1093" i="1"/>
  <c r="N1136" i="1"/>
  <c r="N1256" i="1"/>
  <c r="N1146" i="1"/>
  <c r="N1192" i="1"/>
  <c r="N1190" i="1"/>
  <c r="N1092" i="1"/>
  <c r="N1215" i="1"/>
  <c r="N1106" i="1"/>
  <c r="N1072" i="1"/>
  <c r="N808" i="1"/>
  <c r="N744" i="1"/>
  <c r="N839" i="1"/>
  <c r="N775" i="1"/>
  <c r="N711" i="1"/>
  <c r="N517" i="1"/>
  <c r="N831" i="1"/>
  <c r="N767" i="1"/>
  <c r="N703" i="1"/>
  <c r="N501" i="1"/>
  <c r="N863" i="1"/>
  <c r="N799" i="1"/>
  <c r="N735" i="1"/>
  <c r="N855" i="1"/>
  <c r="N791" i="1"/>
  <c r="N727" i="1"/>
  <c r="N816" i="1"/>
  <c r="N752" i="1"/>
  <c r="N688" i="1"/>
  <c r="N847" i="1"/>
  <c r="N783" i="1"/>
  <c r="N1067" i="1"/>
  <c r="N1142" i="1"/>
  <c r="N1242" i="1"/>
  <c r="N1168" i="1"/>
  <c r="N1095" i="1"/>
  <c r="N1225" i="1"/>
  <c r="N1161" i="1"/>
  <c r="N1097" i="1"/>
  <c r="N1206" i="1"/>
  <c r="N1133" i="1"/>
  <c r="N1232" i="1"/>
  <c r="N1159" i="1"/>
  <c r="N1084" i="1"/>
  <c r="N1089" i="1"/>
  <c r="N1217" i="1"/>
  <c r="N1153" i="1"/>
  <c r="N1088" i="1"/>
  <c r="N1209" i="1"/>
  <c r="N1145" i="1"/>
  <c r="N1079" i="1"/>
  <c r="N1071" i="1"/>
  <c r="N1201" i="1"/>
  <c r="N1137" i="1"/>
  <c r="N1070" i="1"/>
  <c r="N1091" i="1"/>
  <c r="N1205" i="1"/>
  <c r="N1132" i="1"/>
  <c r="N1062" i="1"/>
  <c r="N1257" i="1"/>
  <c r="N1193" i="1"/>
  <c r="N1129" i="1"/>
  <c r="N1061" i="1"/>
  <c r="N1083" i="1"/>
  <c r="N1196" i="1"/>
  <c r="N1123" i="1"/>
  <c r="N1249" i="1"/>
  <c r="N1185" i="1"/>
  <c r="N1121" i="1"/>
  <c r="N1075" i="1"/>
  <c r="N1234" i="1"/>
  <c r="N1160" i="1"/>
  <c r="N1085" i="1"/>
  <c r="N1260" i="1"/>
  <c r="N1187" i="1"/>
  <c r="N1114" i="1"/>
  <c r="N1241" i="1"/>
  <c r="N1177" i="1"/>
  <c r="N1113" i="1"/>
  <c r="V5" i="1" l="1"/>
  <c r="W5" i="1" s="1"/>
  <c r="AA6" i="1"/>
  <c r="Z5" i="1"/>
  <c r="Z6" i="1" s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AA7" i="1" l="1"/>
  <c r="Y7" i="1"/>
  <c r="Y8" i="1" l="1"/>
  <c r="AA8" i="1"/>
  <c r="V6" i="1"/>
  <c r="W6" i="1" s="1"/>
  <c r="AB6" i="1"/>
  <c r="AC6" i="1" s="1"/>
  <c r="AC5" i="1"/>
  <c r="AA9" i="1" l="1"/>
  <c r="Y9" i="1"/>
  <c r="AA10" i="1" l="1"/>
  <c r="Y10" i="1"/>
  <c r="AB9" i="1"/>
  <c r="AC9" i="1" s="1"/>
  <c r="AB8" i="1"/>
  <c r="AC8" i="1" s="1"/>
  <c r="AB7" i="1"/>
  <c r="AC7" i="1" s="1"/>
  <c r="V7" i="1"/>
  <c r="W7" i="1" s="1"/>
  <c r="V8" i="1"/>
  <c r="W8" i="1" s="1"/>
  <c r="AA11" i="1" l="1"/>
  <c r="Y11" i="1"/>
  <c r="AB10" i="1"/>
  <c r="AC10" i="1" s="1"/>
  <c r="V9" i="1"/>
  <c r="W9" i="1" s="1"/>
  <c r="AA12" i="1" l="1"/>
  <c r="Y12" i="1"/>
  <c r="AB11" i="1"/>
  <c r="AC11" i="1" s="1"/>
  <c r="V10" i="1"/>
  <c r="W10" i="1" s="1"/>
  <c r="Y13" i="1" l="1"/>
  <c r="AA13" i="1"/>
  <c r="AB12" i="1"/>
  <c r="AC12" i="1" s="1"/>
  <c r="V11" i="1"/>
  <c r="W11" i="1" s="1"/>
  <c r="AA14" i="1" l="1"/>
  <c r="Y14" i="1"/>
  <c r="AB13" i="1"/>
  <c r="AC13" i="1" s="1"/>
  <c r="V12" i="1"/>
  <c r="W12" i="1" s="1"/>
  <c r="Y15" i="1" l="1"/>
  <c r="AA15" i="1"/>
  <c r="AB14" i="1"/>
  <c r="AC14" i="1" s="1"/>
  <c r="V13" i="1"/>
  <c r="W13" i="1" s="1"/>
  <c r="Y16" i="1" l="1"/>
  <c r="AA16" i="1"/>
  <c r="AB15" i="1"/>
  <c r="AC15" i="1" s="1"/>
  <c r="V14" i="1"/>
  <c r="W14" i="1" s="1"/>
  <c r="Y17" i="1" l="1"/>
  <c r="AA17" i="1"/>
  <c r="AB16" i="1"/>
  <c r="AC16" i="1" s="1"/>
  <c r="V15" i="1"/>
  <c r="W15" i="1" s="1"/>
  <c r="AA18" i="1" l="1"/>
  <c r="Y18" i="1"/>
  <c r="AB17" i="1"/>
  <c r="AC17" i="1" s="1"/>
  <c r="V16" i="1"/>
  <c r="W16" i="1" s="1"/>
  <c r="Y19" i="1" l="1"/>
  <c r="AA19" i="1"/>
  <c r="AB18" i="1"/>
  <c r="AC18" i="1" s="1"/>
  <c r="V17" i="1"/>
  <c r="W17" i="1" s="1"/>
  <c r="AA20" i="1" l="1"/>
  <c r="Y20" i="1"/>
  <c r="AB19" i="1"/>
  <c r="AC19" i="1" s="1"/>
  <c r="V18" i="1"/>
  <c r="W18" i="1" s="1"/>
  <c r="Y21" i="1" l="1"/>
  <c r="AA21" i="1"/>
  <c r="AB20" i="1"/>
  <c r="AC20" i="1" s="1"/>
  <c r="V19" i="1"/>
  <c r="W19" i="1" s="1"/>
  <c r="AA22" i="1" l="1"/>
  <c r="Y22" i="1"/>
  <c r="AB21" i="1"/>
  <c r="AC21" i="1" s="1"/>
  <c r="V20" i="1"/>
  <c r="W20" i="1" s="1"/>
  <c r="Y23" i="1" l="1"/>
  <c r="AA23" i="1"/>
  <c r="AB22" i="1"/>
  <c r="AC22" i="1" s="1"/>
  <c r="V21" i="1"/>
  <c r="W21" i="1" s="1"/>
  <c r="Y24" i="1" l="1"/>
  <c r="AA24" i="1"/>
  <c r="AB23" i="1"/>
  <c r="AC23" i="1" s="1"/>
  <c r="V22" i="1"/>
  <c r="W22" i="1" s="1"/>
  <c r="Y25" i="1" l="1"/>
  <c r="AA25" i="1"/>
  <c r="AB24" i="1"/>
  <c r="AC24" i="1" s="1"/>
  <c r="V23" i="1"/>
  <c r="W23" i="1" s="1"/>
  <c r="AA26" i="1" l="1"/>
  <c r="Y26" i="1"/>
  <c r="AB25" i="1"/>
  <c r="AC25" i="1" s="1"/>
  <c r="V24" i="1"/>
  <c r="W24" i="1" s="1"/>
  <c r="AA27" i="1" l="1"/>
  <c r="Y27" i="1"/>
  <c r="AB26" i="1"/>
  <c r="AC26" i="1" s="1"/>
  <c r="V25" i="1"/>
  <c r="W25" i="1" s="1"/>
  <c r="Y28" i="1" l="1"/>
  <c r="AA28" i="1"/>
  <c r="AB27" i="1"/>
  <c r="AC27" i="1" s="1"/>
  <c r="V26" i="1"/>
  <c r="W26" i="1" s="1"/>
  <c r="AA29" i="1" l="1"/>
  <c r="Y29" i="1"/>
  <c r="AB28" i="1"/>
  <c r="AC28" i="1" s="1"/>
  <c r="V27" i="1"/>
  <c r="W27" i="1" s="1"/>
  <c r="AA30" i="1" l="1"/>
  <c r="Y30" i="1"/>
  <c r="AB29" i="1"/>
  <c r="AC29" i="1" s="1"/>
  <c r="V28" i="1"/>
  <c r="W28" i="1" s="1"/>
  <c r="AA31" i="1" l="1"/>
  <c r="Y31" i="1"/>
  <c r="AB30" i="1"/>
  <c r="AC30" i="1" s="1"/>
  <c r="V29" i="1"/>
  <c r="W29" i="1" s="1"/>
  <c r="Y32" i="1" l="1"/>
  <c r="AA32" i="1"/>
  <c r="AB31" i="1"/>
  <c r="AC31" i="1" s="1"/>
  <c r="V30" i="1"/>
  <c r="W30" i="1" s="1"/>
  <c r="Y33" i="1" l="1"/>
  <c r="AA33" i="1"/>
  <c r="AB32" i="1"/>
  <c r="AC32" i="1" s="1"/>
  <c r="V31" i="1"/>
  <c r="W31" i="1" s="1"/>
  <c r="AA34" i="1" l="1"/>
  <c r="Y34" i="1"/>
  <c r="AB33" i="1"/>
  <c r="AC33" i="1" s="1"/>
  <c r="V32" i="1"/>
  <c r="W32" i="1" s="1"/>
  <c r="Y35" i="1" l="1"/>
  <c r="AA35" i="1"/>
  <c r="AB34" i="1"/>
  <c r="AC34" i="1" s="1"/>
  <c r="V33" i="1"/>
  <c r="W33" i="1" s="1"/>
  <c r="Y36" i="1" l="1"/>
  <c r="AA36" i="1"/>
  <c r="AB35" i="1"/>
  <c r="AC35" i="1" s="1"/>
  <c r="V34" i="1"/>
  <c r="W34" i="1" s="1"/>
  <c r="Y37" i="1" l="1"/>
  <c r="AA37" i="1"/>
  <c r="AB36" i="1"/>
  <c r="AC36" i="1" s="1"/>
  <c r="V35" i="1"/>
  <c r="W35" i="1" s="1"/>
  <c r="Y38" i="1" l="1"/>
  <c r="AA38" i="1"/>
  <c r="AB37" i="1"/>
  <c r="AC37" i="1" s="1"/>
  <c r="V36" i="1"/>
  <c r="W36" i="1" s="1"/>
  <c r="Y39" i="1" l="1"/>
  <c r="AA39" i="1"/>
  <c r="AB38" i="1"/>
  <c r="AC38" i="1" s="1"/>
  <c r="V37" i="1"/>
  <c r="W37" i="1" s="1"/>
  <c r="Y40" i="1" l="1"/>
  <c r="AA40" i="1"/>
  <c r="Y41" i="1" s="1"/>
  <c r="AB41" i="1" s="1"/>
  <c r="AC41" i="1" s="1"/>
  <c r="V38" i="1"/>
  <c r="W38" i="1" s="1"/>
  <c r="AB39" i="1"/>
  <c r="AC39" i="1" s="1"/>
  <c r="AB40" i="1" l="1"/>
  <c r="AC40" i="1" s="1"/>
  <c r="V39" i="1"/>
  <c r="W39" i="1" s="1"/>
  <c r="V40" i="1" l="1"/>
  <c r="W40" i="1" s="1"/>
  <c r="V41" i="1"/>
  <c r="W41" i="1" s="1"/>
</calcChain>
</file>

<file path=xl/sharedStrings.xml><?xml version="1.0" encoding="utf-8"?>
<sst xmlns="http://schemas.openxmlformats.org/spreadsheetml/2006/main" count="44" uniqueCount="30">
  <si>
    <t>WBD</t>
  </si>
  <si>
    <t>Dátum</t>
  </si>
  <si>
    <t>Adatok</t>
  </si>
  <si>
    <t>Loghozamok</t>
  </si>
  <si>
    <t>Kumulált loghozamok</t>
  </si>
  <si>
    <t>N</t>
  </si>
  <si>
    <t>napok (M)</t>
  </si>
  <si>
    <t>u</t>
  </si>
  <si>
    <r>
      <t>p</t>
    </r>
    <r>
      <rPr>
        <vertAlign val="subscript"/>
        <sz val="11"/>
        <color theme="1"/>
        <rFont val="Aptos Narrow"/>
        <family val="2"/>
        <charset val="238"/>
        <scheme val="minor"/>
      </rPr>
      <t>u</t>
    </r>
  </si>
  <si>
    <t>Átlag</t>
  </si>
  <si>
    <t>Szórás</t>
  </si>
  <si>
    <t>Y</t>
  </si>
  <si>
    <t>Sorszám</t>
  </si>
  <si>
    <t>SZUM(Y)</t>
  </si>
  <si>
    <t>Célzott szórás és átlag</t>
  </si>
  <si>
    <t>Kalibrált adatok</t>
  </si>
  <si>
    <t>szimuláció eloszlása</t>
  </si>
  <si>
    <t>átlag (m)</t>
  </si>
  <si>
    <t>szórás (s)</t>
  </si>
  <si>
    <t>modell eloszlása</t>
  </si>
  <si>
    <t>c</t>
  </si>
  <si>
    <t>DB</t>
  </si>
  <si>
    <t>edf</t>
  </si>
  <si>
    <t>Minta elemszám</t>
  </si>
  <si>
    <t>Osztásközök</t>
  </si>
  <si>
    <t>Ív hossz (h)</t>
  </si>
  <si>
    <t>Modell</t>
  </si>
  <si>
    <t>Szimuláció</t>
  </si>
  <si>
    <t>l</t>
  </si>
  <si>
    <t>A napi loghozam közelítésének finomsága 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</si>
</sst>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7" x14ac:knownFonts="1">
    <font>
      <sz val="11"/>
      <color theme="1"/>
      <name val="Aptos Narrow"/>
      <family val="2"/>
      <charset val="238"/>
      <scheme val="minor"/>
    </font>
    <font>
      <vertAlign val="subscript"/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charset val="238"/>
      <scheme val="minor"/>
    </font>
    <font>
      <b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3" borderId="4" xfId="0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1" xfId="0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2" borderId="8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165" fontId="0" fillId="0" borderId="8" xfId="0" applyNumberForma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3" xfId="0" applyBorder="1"/>
    <xf numFmtId="0" fontId="0" fillId="0" borderId="19" xfId="0" applyBorder="1"/>
    <xf numFmtId="0" fontId="4" fillId="0" borderId="0" xfId="0" applyFont="1"/>
    <xf numFmtId="0" fontId="3" fillId="0" borderId="0" xfId="0" applyFont="1"/>
    <xf numFmtId="165" fontId="6" fillId="0" borderId="1" xfId="0" applyNumberFormat="1" applyFont="1" applyBorder="1" applyAlignment="1">
      <alignment horizontal="center"/>
    </xf>
    <xf numFmtId="166" fontId="3" fillId="0" borderId="1" xfId="0" applyNumberFormat="1" applyFon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ál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 WBD kumulált loghozamának alakulása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tény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Számolások!$D$4:$D$1260</c:f>
              <c:numCache>
                <c:formatCode>0</c:formatCode>
                <c:ptCount val="12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</c:numCache>
            </c:numRef>
          </c:xVal>
          <c:yVal>
            <c:numRef>
              <c:f>Számolások!$G$4:$G$1260</c:f>
              <c:numCache>
                <c:formatCode>0.0000</c:formatCode>
                <c:ptCount val="1257"/>
                <c:pt idx="0">
                  <c:v>-5.8241282859886508E-3</c:v>
                </c:pt>
                <c:pt idx="1">
                  <c:v>1.1930062832779115E-2</c:v>
                </c:pt>
                <c:pt idx="2">
                  <c:v>2.6739598735076045E-2</c:v>
                </c:pt>
                <c:pt idx="3">
                  <c:v>5.3149874173562629E-2</c:v>
                </c:pt>
                <c:pt idx="4">
                  <c:v>5.4617262524403243E-2</c:v>
                </c:pt>
                <c:pt idx="5">
                  <c:v>3.7238307840603287E-2</c:v>
                </c:pt>
                <c:pt idx="6">
                  <c:v>4.8734892837601629E-2</c:v>
                </c:pt>
                <c:pt idx="7">
                  <c:v>4.430025889658027E-2</c:v>
                </c:pt>
                <c:pt idx="8">
                  <c:v>4.7997120777906473E-2</c:v>
                </c:pt>
                <c:pt idx="9">
                  <c:v>4.8366093289582253E-2</c:v>
                </c:pt>
                <c:pt idx="10">
                  <c:v>5.5350058453127897E-2</c:v>
                </c:pt>
                <c:pt idx="11">
                  <c:v>7.025671567908269E-2</c:v>
                </c:pt>
                <c:pt idx="12">
                  <c:v>2.9374608679904636E-2</c:v>
                </c:pt>
                <c:pt idx="13">
                  <c:v>2.7869679849881278E-2</c:v>
                </c:pt>
                <c:pt idx="14">
                  <c:v>5.6082427594840584E-2</c:v>
                </c:pt>
                <c:pt idx="15">
                  <c:v>6.9173523641719997E-2</c:v>
                </c:pt>
                <c:pt idx="16">
                  <c:v>7.3139672630829974E-2</c:v>
                </c:pt>
                <c:pt idx="17">
                  <c:v>5.9006406286275799E-2</c:v>
                </c:pt>
                <c:pt idx="18">
                  <c:v>3.4623964566048396E-2</c:v>
                </c:pt>
                <c:pt idx="19">
                  <c:v>9.4148029388065615E-2</c:v>
                </c:pt>
                <c:pt idx="20">
                  <c:v>0.10047049534962878</c:v>
                </c:pt>
                <c:pt idx="21">
                  <c:v>9.09718135539061E-2</c:v>
                </c:pt>
                <c:pt idx="22">
                  <c:v>0.11713761728410786</c:v>
                </c:pt>
                <c:pt idx="23">
                  <c:v>0.11988865056139526</c:v>
                </c:pt>
                <c:pt idx="24">
                  <c:v>0.10326770006849446</c:v>
                </c:pt>
                <c:pt idx="25">
                  <c:v>0.12228961201658169</c:v>
                </c:pt>
                <c:pt idx="26">
                  <c:v>0.10326770006849442</c:v>
                </c:pt>
                <c:pt idx="27">
                  <c:v>8.5299979844780521E-2</c:v>
                </c:pt>
                <c:pt idx="28">
                  <c:v>9.2031661717770302E-2</c:v>
                </c:pt>
                <c:pt idx="29">
                  <c:v>0.10779657045570773</c:v>
                </c:pt>
                <c:pt idx="30">
                  <c:v>0.12605087478557939</c:v>
                </c:pt>
                <c:pt idx="31">
                  <c:v>0.11782601662282516</c:v>
                </c:pt>
                <c:pt idx="32">
                  <c:v>0.11885786539936136</c:v>
                </c:pt>
                <c:pt idx="33">
                  <c:v>0.11575922287872512</c:v>
                </c:pt>
                <c:pt idx="34">
                  <c:v>0.12297447505704891</c:v>
                </c:pt>
                <c:pt idx="35">
                  <c:v>0.12297447505704891</c:v>
                </c:pt>
                <c:pt idx="36">
                  <c:v>9.4500328153459878E-2</c:v>
                </c:pt>
                <c:pt idx="37">
                  <c:v>0.1032677000684942</c:v>
                </c:pt>
                <c:pt idx="38">
                  <c:v>0.1123049880106374</c:v>
                </c:pt>
                <c:pt idx="39">
                  <c:v>0.11851404555756964</c:v>
                </c:pt>
                <c:pt idx="40">
                  <c:v>0.10814412909782385</c:v>
                </c:pt>
                <c:pt idx="41">
                  <c:v>0.11541433582581516</c:v>
                </c:pt>
                <c:pt idx="42">
                  <c:v>0.10918590727851755</c:v>
                </c:pt>
                <c:pt idx="43">
                  <c:v>9.5556515561205688E-2</c:v>
                </c:pt>
                <c:pt idx="44">
                  <c:v>0.11299679018281511</c:v>
                </c:pt>
                <c:pt idx="45">
                  <c:v>9.5556515561205702E-2</c:v>
                </c:pt>
                <c:pt idx="46">
                  <c:v>9.3795676961512309E-2</c:v>
                </c:pt>
                <c:pt idx="47">
                  <c:v>4.170429971575864E-2</c:v>
                </c:pt>
                <c:pt idx="48">
                  <c:v>6.0100697841762966E-2</c:v>
                </c:pt>
                <c:pt idx="49">
                  <c:v>6.0100697841762966E-2</c:v>
                </c:pt>
                <c:pt idx="50">
                  <c:v>5.278269957791934E-2</c:v>
                </c:pt>
                <c:pt idx="51">
                  <c:v>5.38838191606376E-2</c:v>
                </c:pt>
                <c:pt idx="52">
                  <c:v>3.2752393775899155E-2</c:v>
                </c:pt>
                <c:pt idx="53">
                  <c:v>3.2377613939673942E-2</c:v>
                </c:pt>
                <c:pt idx="54">
                  <c:v>3.2002731086173936E-2</c:v>
                </c:pt>
                <c:pt idx="55">
                  <c:v>4.8366093289582177E-2</c:v>
                </c:pt>
                <c:pt idx="56">
                  <c:v>6.7727355612269419E-2</c:v>
                </c:pt>
                <c:pt idx="57">
                  <c:v>6.5554265257406721E-2</c:v>
                </c:pt>
                <c:pt idx="58">
                  <c:v>4.0961357631065488E-2</c:v>
                </c:pt>
                <c:pt idx="59">
                  <c:v>4.5040725424303742E-2</c:v>
                </c:pt>
                <c:pt idx="60">
                  <c:v>7.1699233084694391E-2</c:v>
                </c:pt>
                <c:pt idx="61">
                  <c:v>5.864133965756195E-2</c:v>
                </c:pt>
                <c:pt idx="62">
                  <c:v>7.6014270266982459E-2</c:v>
                </c:pt>
                <c:pt idx="63">
                  <c:v>0.11161267229083693</c:v>
                </c:pt>
                <c:pt idx="64">
                  <c:v>0.13217546021338655</c:v>
                </c:pt>
                <c:pt idx="65">
                  <c:v>0.11126642120512631</c:v>
                </c:pt>
                <c:pt idx="66">
                  <c:v>0.11022670530899899</c:v>
                </c:pt>
                <c:pt idx="67">
                  <c:v>0.16913655105506281</c:v>
                </c:pt>
                <c:pt idx="68">
                  <c:v>0.15597416973454847</c:v>
                </c:pt>
                <c:pt idx="69">
                  <c:v>0.15032721909756669</c:v>
                </c:pt>
                <c:pt idx="70">
                  <c:v>0.15132602059559661</c:v>
                </c:pt>
                <c:pt idx="71">
                  <c:v>0.14899388556670248</c:v>
                </c:pt>
                <c:pt idx="72">
                  <c:v>0.16323489458152407</c:v>
                </c:pt>
                <c:pt idx="73">
                  <c:v>0.153984712844948</c:v>
                </c:pt>
                <c:pt idx="74">
                  <c:v>0.11988865056139467</c:v>
                </c:pt>
                <c:pt idx="75">
                  <c:v>0.13183615570904045</c:v>
                </c:pt>
                <c:pt idx="76">
                  <c:v>0.16224785714348458</c:v>
                </c:pt>
                <c:pt idx="77">
                  <c:v>0.1619187048771383</c:v>
                </c:pt>
                <c:pt idx="78">
                  <c:v>0.19876834866143403</c:v>
                </c:pt>
                <c:pt idx="79">
                  <c:v>0.20256939859425294</c:v>
                </c:pt>
                <c:pt idx="80">
                  <c:v>0.17921957679595046</c:v>
                </c:pt>
                <c:pt idx="81">
                  <c:v>0.17889586744980429</c:v>
                </c:pt>
                <c:pt idx="82">
                  <c:v>0.12468478848422897</c:v>
                </c:pt>
                <c:pt idx="83">
                  <c:v>0.12741516560708629</c:v>
                </c:pt>
                <c:pt idx="84">
                  <c:v>0.12057515934221888</c:v>
                </c:pt>
                <c:pt idx="85">
                  <c:v>0.10501205774087365</c:v>
                </c:pt>
                <c:pt idx="86">
                  <c:v>0.11299679018281465</c:v>
                </c:pt>
                <c:pt idx="87">
                  <c:v>9.6611588613974814E-2</c:v>
                </c:pt>
                <c:pt idx="88">
                  <c:v>9.6962950416921864E-2</c:v>
                </c:pt>
                <c:pt idx="89">
                  <c:v>5.6814224188054145E-2</c:v>
                </c:pt>
                <c:pt idx="90">
                  <c:v>7.1338807778936114E-2</c:v>
                </c:pt>
                <c:pt idx="91">
                  <c:v>7.1699233084694183E-2</c:v>
                </c:pt>
                <c:pt idx="92">
                  <c:v>7.6372942916567474E-2</c:v>
                </c:pt>
                <c:pt idx="93">
                  <c:v>7.6014270266982362E-2</c:v>
                </c:pt>
                <c:pt idx="94">
                  <c:v>5.571629176123985E-2</c:v>
                </c:pt>
                <c:pt idx="95">
                  <c:v>8.1024982164268067E-2</c:v>
                </c:pt>
                <c:pt idx="96">
                  <c:v>5.9736067026419259E-2</c:v>
                </c:pt>
                <c:pt idx="97">
                  <c:v>5.3149874173562421E-2</c:v>
                </c:pt>
                <c:pt idx="98">
                  <c:v>4.9472010452989455E-2</c:v>
                </c:pt>
                <c:pt idx="99">
                  <c:v>7.7806670786422727E-2</c:v>
                </c:pt>
                <c:pt idx="100">
                  <c:v>6.1557856596083753E-2</c:v>
                </c:pt>
                <c:pt idx="101">
                  <c:v>4.9103482703525679E-2</c:v>
                </c:pt>
                <c:pt idx="102">
                  <c:v>5.3883819160637669E-2</c:v>
                </c:pt>
                <c:pt idx="103">
                  <c:v>5.6082427594840306E-2</c:v>
                </c:pt>
                <c:pt idx="104">
                  <c:v>0.10256920196115621</c:v>
                </c:pt>
                <c:pt idx="105">
                  <c:v>8.2451989210331797E-2</c:v>
                </c:pt>
                <c:pt idx="106">
                  <c:v>9.4148029388065227E-2</c:v>
                </c:pt>
                <c:pt idx="107">
                  <c:v>9.5556515561205591E-2</c:v>
                </c:pt>
                <c:pt idx="108">
                  <c:v>8.9556850484700898E-2</c:v>
                </c:pt>
                <c:pt idx="109">
                  <c:v>0.11472417015504194</c:v>
                </c:pt>
                <c:pt idx="110">
                  <c:v>0.12365897201540532</c:v>
                </c:pt>
                <c:pt idx="111">
                  <c:v>0.14598733573209127</c:v>
                </c:pt>
                <c:pt idx="112">
                  <c:v>0.11644864034829244</c:v>
                </c:pt>
                <c:pt idx="113">
                  <c:v>0.1335313926245224</c:v>
                </c:pt>
                <c:pt idx="114">
                  <c:v>0.13792551833598518</c:v>
                </c:pt>
                <c:pt idx="115">
                  <c:v>0.1661900765056166</c:v>
                </c:pt>
                <c:pt idx="116">
                  <c:v>0.18018997958922886</c:v>
                </c:pt>
                <c:pt idx="117">
                  <c:v>0.17240029410779839</c:v>
                </c:pt>
                <c:pt idx="118">
                  <c:v>0.18277312600460818</c:v>
                </c:pt>
                <c:pt idx="119">
                  <c:v>0.14732471475685815</c:v>
                </c:pt>
                <c:pt idx="120">
                  <c:v>0.13353139262452229</c:v>
                </c:pt>
                <c:pt idx="121">
                  <c:v>0.14095633392425952</c:v>
                </c:pt>
                <c:pt idx="122">
                  <c:v>0.17272608005869136</c:v>
                </c:pt>
                <c:pt idx="123">
                  <c:v>0.17207436939130588</c:v>
                </c:pt>
                <c:pt idx="124">
                  <c:v>0.17857208566540578</c:v>
                </c:pt>
                <c:pt idx="125">
                  <c:v>0.17921957679595019</c:v>
                </c:pt>
                <c:pt idx="126">
                  <c:v>0.19080271788558104</c:v>
                </c:pt>
                <c:pt idx="127">
                  <c:v>0.19208145848947575</c:v>
                </c:pt>
                <c:pt idx="128">
                  <c:v>0.20256939859425263</c:v>
                </c:pt>
                <c:pt idx="129">
                  <c:v>0.20320154148243572</c:v>
                </c:pt>
                <c:pt idx="130">
                  <c:v>0.20225325629912941</c:v>
                </c:pt>
                <c:pt idx="131">
                  <c:v>0.22693041004570638</c:v>
                </c:pt>
                <c:pt idx="132">
                  <c:v>0.2260043720250004</c:v>
                </c:pt>
                <c:pt idx="133">
                  <c:v>0.23185501218039264</c:v>
                </c:pt>
                <c:pt idx="134">
                  <c:v>0.20792965123184026</c:v>
                </c:pt>
                <c:pt idx="135">
                  <c:v>0.19272026401485282</c:v>
                </c:pt>
                <c:pt idx="136">
                  <c:v>0.19718025873598632</c:v>
                </c:pt>
                <c:pt idx="137">
                  <c:v>0.18180522788097311</c:v>
                </c:pt>
                <c:pt idx="138">
                  <c:v>0.17889586744980415</c:v>
                </c:pt>
                <c:pt idx="139">
                  <c:v>0.19813342800518385</c:v>
                </c:pt>
                <c:pt idx="140">
                  <c:v>0.19718025873598641</c:v>
                </c:pt>
                <c:pt idx="141">
                  <c:v>0.19749807219227064</c:v>
                </c:pt>
                <c:pt idx="142">
                  <c:v>0.1850279183916971</c:v>
                </c:pt>
                <c:pt idx="143">
                  <c:v>0.18309555064064317</c:v>
                </c:pt>
                <c:pt idx="144">
                  <c:v>0.15994105096954994</c:v>
                </c:pt>
                <c:pt idx="145">
                  <c:v>0.14765880528386569</c:v>
                </c:pt>
                <c:pt idx="146">
                  <c:v>0.13047795513763183</c:v>
                </c:pt>
                <c:pt idx="147">
                  <c:v>0.12194693598689006</c:v>
                </c:pt>
                <c:pt idx="148">
                  <c:v>0.13420870384788727</c:v>
                </c:pt>
                <c:pt idx="149">
                  <c:v>0.14498321849291265</c:v>
                </c:pt>
                <c:pt idx="150">
                  <c:v>0.13859982719498115</c:v>
                </c:pt>
                <c:pt idx="151">
                  <c:v>0.13149676998240298</c:v>
                </c:pt>
                <c:pt idx="152">
                  <c:v>0.12434296657011613</c:v>
                </c:pt>
                <c:pt idx="153">
                  <c:v>0.13623775422226528</c:v>
                </c:pt>
                <c:pt idx="154">
                  <c:v>6.2285695069404845E-2</c:v>
                </c:pt>
                <c:pt idx="155">
                  <c:v>5.0576816330507035E-2</c:v>
                </c:pt>
                <c:pt idx="156">
                  <c:v>7.8880628271533387E-2</c:v>
                </c:pt>
                <c:pt idx="157">
                  <c:v>9.5556515561205257E-2</c:v>
                </c:pt>
                <c:pt idx="158">
                  <c:v>8.8139882457732383E-2</c:v>
                </c:pt>
                <c:pt idx="159">
                  <c:v>9.0618269281300817E-2</c:v>
                </c:pt>
                <c:pt idx="160">
                  <c:v>8.1738793745008087E-2</c:v>
                </c:pt>
                <c:pt idx="161">
                  <c:v>4.4670560696774768E-2</c:v>
                </c:pt>
                <c:pt idx="162">
                  <c:v>5.1680402958907336E-2</c:v>
                </c:pt>
                <c:pt idx="163">
                  <c:v>2.4475371352642463E-2</c:v>
                </c:pt>
                <c:pt idx="164">
                  <c:v>4.2075600993992657E-2</c:v>
                </c:pt>
                <c:pt idx="165">
                  <c:v>7.0978252519937307E-2</c:v>
                </c:pt>
                <c:pt idx="166">
                  <c:v>6.6279165615354976E-2</c:v>
                </c:pt>
                <c:pt idx="167">
                  <c:v>4.0217825984477255E-2</c:v>
                </c:pt>
                <c:pt idx="168">
                  <c:v>4.5780681049261862E-2</c:v>
                </c:pt>
                <c:pt idx="169">
                  <c:v>5.9006406286275175E-2</c:v>
                </c:pt>
                <c:pt idx="170">
                  <c:v>5.6814224188054124E-2</c:v>
                </c:pt>
                <c:pt idx="171">
                  <c:v>5.5350058453127404E-2</c:v>
                </c:pt>
                <c:pt idx="172">
                  <c:v>9.5908318555158967E-2</c:v>
                </c:pt>
                <c:pt idx="173">
                  <c:v>0.10012029396799942</c:v>
                </c:pt>
                <c:pt idx="174">
                  <c:v>8.4588813385219008E-2</c:v>
                </c:pt>
                <c:pt idx="175">
                  <c:v>7.6731558676502221E-2</c:v>
                </c:pt>
                <c:pt idx="176">
                  <c:v>7.9595864353526252E-2</c:v>
                </c:pt>
                <c:pt idx="177">
                  <c:v>5.1680402958907412E-2</c:v>
                </c:pt>
                <c:pt idx="178">
                  <c:v>5.2047908936210488E-2</c:v>
                </c:pt>
                <c:pt idx="179">
                  <c:v>3.2002731086173575E-2</c:v>
                </c:pt>
                <c:pt idx="180">
                  <c:v>1.5367186771032954E-2</c:v>
                </c:pt>
                <c:pt idx="181">
                  <c:v>2.8622446177349783E-2</c:v>
                </c:pt>
                <c:pt idx="182">
                  <c:v>2.2584691986429862E-2</c:v>
                </c:pt>
                <c:pt idx="183">
                  <c:v>3.2752393775898753E-2</c:v>
                </c:pt>
                <c:pt idx="184">
                  <c:v>2.4097513786164523E-2</c:v>
                </c:pt>
                <c:pt idx="185">
                  <c:v>3.6865243095627914E-2</c:v>
                </c:pt>
                <c:pt idx="186">
                  <c:v>3.0501755166457228E-2</c:v>
                </c:pt>
                <c:pt idx="187">
                  <c:v>3.5745250424511717E-2</c:v>
                </c:pt>
                <c:pt idx="188">
                  <c:v>2.296312150844846E-2</c:v>
                </c:pt>
                <c:pt idx="189">
                  <c:v>4.5040725424303527E-2</c:v>
                </c:pt>
                <c:pt idx="190">
                  <c:v>4.4670560696775059E-2</c:v>
                </c:pt>
                <c:pt idx="191">
                  <c:v>5.8276176229543425E-2</c:v>
                </c:pt>
                <c:pt idx="192">
                  <c:v>3.7984057329783424E-2</c:v>
                </c:pt>
                <c:pt idx="193">
                  <c:v>4.4670560696774927E-2</c:v>
                </c:pt>
                <c:pt idx="194">
                  <c:v>5.7179921760240941E-2</c:v>
                </c:pt>
                <c:pt idx="195">
                  <c:v>7.9595864353526349E-2</c:v>
                </c:pt>
                <c:pt idx="196">
                  <c:v>7.1699233084694156E-2</c:v>
                </c:pt>
                <c:pt idx="197">
                  <c:v>7.5655397137664199E-2</c:v>
                </c:pt>
                <c:pt idx="198">
                  <c:v>7.3499377617618364E-2</c:v>
                </c:pt>
                <c:pt idx="199">
                  <c:v>7.6731558676502401E-2</c:v>
                </c:pt>
                <c:pt idx="200">
                  <c:v>7.0256715679082191E-2</c:v>
                </c:pt>
                <c:pt idx="201">
                  <c:v>6.9534766189241093E-2</c:v>
                </c:pt>
                <c:pt idx="202">
                  <c:v>8.6720974780531951E-2</c:v>
                </c:pt>
                <c:pt idx="203">
                  <c:v>8.6365924182092282E-2</c:v>
                </c:pt>
                <c:pt idx="204">
                  <c:v>6.4102922503579421E-2</c:v>
                </c:pt>
                <c:pt idx="205">
                  <c:v>6.519161792795608E-2</c:v>
                </c:pt>
                <c:pt idx="206">
                  <c:v>7.3139672630829378E-2</c:v>
                </c:pt>
                <c:pt idx="207">
                  <c:v>5.9736067026419142E-2</c:v>
                </c:pt>
                <c:pt idx="208">
                  <c:v>4.0961357631065197E-2</c:v>
                </c:pt>
                <c:pt idx="209">
                  <c:v>4.2817641844368128E-2</c:v>
                </c:pt>
                <c:pt idx="210">
                  <c:v>5.3883819160637364E-2</c:v>
                </c:pt>
                <c:pt idx="211">
                  <c:v>7.3859025179835211E-2</c:v>
                </c:pt>
                <c:pt idx="212">
                  <c:v>7.8880628271533568E-2</c:v>
                </c:pt>
                <c:pt idx="213">
                  <c:v>6.9534766189241093E-2</c:v>
                </c:pt>
                <c:pt idx="214">
                  <c:v>0.18341790357941626</c:v>
                </c:pt>
                <c:pt idx="215">
                  <c:v>0.17954314903627566</c:v>
                </c:pt>
                <c:pt idx="216">
                  <c:v>0.18115940931403487</c:v>
                </c:pt>
                <c:pt idx="217">
                  <c:v>0.17402813100270034</c:v>
                </c:pt>
                <c:pt idx="218">
                  <c:v>0.14565271968966445</c:v>
                </c:pt>
                <c:pt idx="219">
                  <c:v>0.14632187328889121</c:v>
                </c:pt>
                <c:pt idx="220">
                  <c:v>0.14028357909443287</c:v>
                </c:pt>
                <c:pt idx="221">
                  <c:v>0.17467853752969364</c:v>
                </c:pt>
                <c:pt idx="222">
                  <c:v>0.20067069546215072</c:v>
                </c:pt>
                <c:pt idx="223">
                  <c:v>0.21482410046081915</c:v>
                </c:pt>
                <c:pt idx="224">
                  <c:v>0.21856472208773989</c:v>
                </c:pt>
                <c:pt idx="225">
                  <c:v>0.23062610263665548</c:v>
                </c:pt>
                <c:pt idx="226">
                  <c:v>0.22445904649163798</c:v>
                </c:pt>
                <c:pt idx="227">
                  <c:v>0.25582100035881511</c:v>
                </c:pt>
                <c:pt idx="228">
                  <c:v>0.24860069221607223</c:v>
                </c:pt>
                <c:pt idx="229">
                  <c:v>0.2431510872835172</c:v>
                </c:pt>
                <c:pt idx="230">
                  <c:v>0.23706102592259229</c:v>
                </c:pt>
                <c:pt idx="231">
                  <c:v>0.21825359714357764</c:v>
                </c:pt>
                <c:pt idx="232">
                  <c:v>0.22042987649851317</c:v>
                </c:pt>
                <c:pt idx="233">
                  <c:v>0.21669623823470191</c:v>
                </c:pt>
                <c:pt idx="234">
                  <c:v>0.21544854630339455</c:v>
                </c:pt>
                <c:pt idx="235">
                  <c:v>0.2148241004608191</c:v>
                </c:pt>
                <c:pt idx="236">
                  <c:v>0.22167137256541541</c:v>
                </c:pt>
                <c:pt idx="237">
                  <c:v>0.21700784801401604</c:v>
                </c:pt>
                <c:pt idx="238">
                  <c:v>0.2253865159848894</c:v>
                </c:pt>
                <c:pt idx="239">
                  <c:v>0.22476824704121134</c:v>
                </c:pt>
                <c:pt idx="240">
                  <c:v>0.22507735201535597</c:v>
                </c:pt>
                <c:pt idx="241">
                  <c:v>0.22569542993760094</c:v>
                </c:pt>
                <c:pt idx="242">
                  <c:v>0.22507735201535589</c:v>
                </c:pt>
                <c:pt idx="243">
                  <c:v>0.23767159082705624</c:v>
                </c:pt>
                <c:pt idx="244">
                  <c:v>0.24345468418977975</c:v>
                </c:pt>
                <c:pt idx="245">
                  <c:v>0.2419361114538483</c:v>
                </c:pt>
                <c:pt idx="246">
                  <c:v>0.24587960201944095</c:v>
                </c:pt>
                <c:pt idx="247">
                  <c:v>0.25341997879718076</c:v>
                </c:pt>
                <c:pt idx="248">
                  <c:v>0.24890263938817755</c:v>
                </c:pt>
                <c:pt idx="249">
                  <c:v>0.23767159082705624</c:v>
                </c:pt>
                <c:pt idx="250">
                  <c:v>0.23706102592259221</c:v>
                </c:pt>
                <c:pt idx="251">
                  <c:v>0.22105080167770158</c:v>
                </c:pt>
                <c:pt idx="252">
                  <c:v>0.21513632529258606</c:v>
                </c:pt>
                <c:pt idx="253">
                  <c:v>0.21294848250121251</c:v>
                </c:pt>
                <c:pt idx="254">
                  <c:v>0.21638440659731406</c:v>
                </c:pt>
                <c:pt idx="255">
                  <c:v>0.21763093213661858</c:v>
                </c:pt>
                <c:pt idx="256">
                  <c:v>0.22198143613403204</c:v>
                </c:pt>
                <c:pt idx="257">
                  <c:v>0.2095007749104229</c:v>
                </c:pt>
                <c:pt idx="258">
                  <c:v>0.20761519927139424</c:v>
                </c:pt>
                <c:pt idx="259">
                  <c:v>0.21106940268304941</c:v>
                </c:pt>
                <c:pt idx="260">
                  <c:v>0.22167137256541564</c:v>
                </c:pt>
                <c:pt idx="261">
                  <c:v>0.23797685560297394</c:v>
                </c:pt>
                <c:pt idx="262">
                  <c:v>0.22754731321147717</c:v>
                </c:pt>
                <c:pt idx="263">
                  <c:v>0.21326132468467585</c:v>
                </c:pt>
                <c:pt idx="264">
                  <c:v>0.21513632529258617</c:v>
                </c:pt>
                <c:pt idx="265">
                  <c:v>0.16454941988887856</c:v>
                </c:pt>
                <c:pt idx="266">
                  <c:v>0.16027095366642152</c:v>
                </c:pt>
                <c:pt idx="267">
                  <c:v>0.15630535038565685</c:v>
                </c:pt>
                <c:pt idx="268">
                  <c:v>0.16684559930850679</c:v>
                </c:pt>
                <c:pt idx="269">
                  <c:v>0.13961047237093763</c:v>
                </c:pt>
                <c:pt idx="270">
                  <c:v>0.14699054599852701</c:v>
                </c:pt>
                <c:pt idx="271">
                  <c:v>0.12468478848422873</c:v>
                </c:pt>
                <c:pt idx="272">
                  <c:v>0.12091830568875173</c:v>
                </c:pt>
                <c:pt idx="273">
                  <c:v>0.14095633392425932</c:v>
                </c:pt>
                <c:pt idx="274">
                  <c:v>0.17044328108920287</c:v>
                </c:pt>
                <c:pt idx="275">
                  <c:v>0.15132602059559624</c:v>
                </c:pt>
                <c:pt idx="276">
                  <c:v>0.14263619318575232</c:v>
                </c:pt>
                <c:pt idx="277">
                  <c:v>0.14397799141890744</c:v>
                </c:pt>
                <c:pt idx="278">
                  <c:v>0.15663635518920849</c:v>
                </c:pt>
                <c:pt idx="279">
                  <c:v>0.16125991039775769</c:v>
                </c:pt>
                <c:pt idx="280">
                  <c:v>0.16060071459274003</c:v>
                </c:pt>
                <c:pt idx="281">
                  <c:v>0.1566363551892084</c:v>
                </c:pt>
                <c:pt idx="282">
                  <c:v>0.1596110724042728</c:v>
                </c:pt>
                <c:pt idx="283">
                  <c:v>0.1655341237106957</c:v>
                </c:pt>
                <c:pt idx="284">
                  <c:v>0.14899388556670179</c:v>
                </c:pt>
                <c:pt idx="285">
                  <c:v>0.12297447505704812</c:v>
                </c:pt>
                <c:pt idx="286">
                  <c:v>9.1678456692850463E-2</c:v>
                </c:pt>
                <c:pt idx="287">
                  <c:v>5.9736067026418538E-2</c:v>
                </c:pt>
                <c:pt idx="288">
                  <c:v>2.4475371352642092E-2</c:v>
                </c:pt>
                <c:pt idx="289">
                  <c:v>-4.5948676566484478E-2</c:v>
                </c:pt>
                <c:pt idx="290">
                  <c:v>-5.0455762960706224E-3</c:v>
                </c:pt>
                <c:pt idx="291">
                  <c:v>2.182740304452058E-2</c:v>
                </c:pt>
                <c:pt idx="292">
                  <c:v>1.5748356968138352E-2</c:v>
                </c:pt>
                <c:pt idx="293">
                  <c:v>2.5985413193184419E-2</c:v>
                </c:pt>
                <c:pt idx="294">
                  <c:v>-2.3502844454783393E-2</c:v>
                </c:pt>
                <c:pt idx="295">
                  <c:v>-1.5213829327653167E-2</c:v>
                </c:pt>
                <c:pt idx="296">
                  <c:v>-8.8173492169807979E-2</c:v>
                </c:pt>
                <c:pt idx="297">
                  <c:v>-2.9465891343030071E-2</c:v>
                </c:pt>
                <c:pt idx="298">
                  <c:v>-7.0985938123977729E-2</c:v>
                </c:pt>
                <c:pt idx="299">
                  <c:v>-0.1478471471653644</c:v>
                </c:pt>
                <c:pt idx="300">
                  <c:v>-0.1208365168304753</c:v>
                </c:pt>
                <c:pt idx="301">
                  <c:v>-0.22479032849768812</c:v>
                </c:pt>
                <c:pt idx="302">
                  <c:v>-0.18301866382811138</c:v>
                </c:pt>
                <c:pt idx="303">
                  <c:v>-0.2618224561811342</c:v>
                </c:pt>
                <c:pt idx="304">
                  <c:v>-0.19659252104726754</c:v>
                </c:pt>
                <c:pt idx="305">
                  <c:v>-0.31980966352967144</c:v>
                </c:pt>
                <c:pt idx="306">
                  <c:v>-0.3343065617087167</c:v>
                </c:pt>
                <c:pt idx="307">
                  <c:v>-0.25430540750491215</c:v>
                </c:pt>
                <c:pt idx="308">
                  <c:v>-0.20416114788530243</c:v>
                </c:pt>
                <c:pt idx="309">
                  <c:v>-0.21035307064984168</c:v>
                </c:pt>
                <c:pt idx="310">
                  <c:v>-0.30551987325108587</c:v>
                </c:pt>
                <c:pt idx="311">
                  <c:v>-0.25530445851210798</c:v>
                </c:pt>
                <c:pt idx="312">
                  <c:v>-0.28420375663512926</c:v>
                </c:pt>
                <c:pt idx="313">
                  <c:v>-0.28368948562941437</c:v>
                </c:pt>
                <c:pt idx="314">
                  <c:v>-0.32408317430705358</c:v>
                </c:pt>
                <c:pt idx="315">
                  <c:v>-0.34136216744917625</c:v>
                </c:pt>
                <c:pt idx="316">
                  <c:v>-0.27345926879247989</c:v>
                </c:pt>
                <c:pt idx="317">
                  <c:v>-0.22285323341407312</c:v>
                </c:pt>
                <c:pt idx="318">
                  <c:v>-0.17976964727776162</c:v>
                </c:pt>
                <c:pt idx="319">
                  <c:v>-0.14605346959463991</c:v>
                </c:pt>
                <c:pt idx="320">
                  <c:v>-0.16094880254108038</c:v>
                </c:pt>
                <c:pt idx="321">
                  <c:v>-0.14694997348472746</c:v>
                </c:pt>
                <c:pt idx="322">
                  <c:v>-0.1904848674331166</c:v>
                </c:pt>
                <c:pt idx="323">
                  <c:v>-0.18488004179368003</c:v>
                </c:pt>
                <c:pt idx="324">
                  <c:v>-0.15415072499437876</c:v>
                </c:pt>
                <c:pt idx="325">
                  <c:v>-0.17422430047838813</c:v>
                </c:pt>
                <c:pt idx="326">
                  <c:v>-0.21754557331347477</c:v>
                </c:pt>
                <c:pt idx="327">
                  <c:v>-0.2374733277772354</c:v>
                </c:pt>
                <c:pt idx="328">
                  <c:v>-0.2364920715650364</c:v>
                </c:pt>
                <c:pt idx="329">
                  <c:v>-0.20606224165894504</c:v>
                </c:pt>
                <c:pt idx="330">
                  <c:v>-0.12697146171079077</c:v>
                </c:pt>
                <c:pt idx="331">
                  <c:v>-9.7946248938178881E-2</c:v>
                </c:pt>
                <c:pt idx="332">
                  <c:v>-4.3519525574425427E-2</c:v>
                </c:pt>
                <c:pt idx="333">
                  <c:v>-0.14158318946373638</c:v>
                </c:pt>
                <c:pt idx="334">
                  <c:v>-0.1756077915594825</c:v>
                </c:pt>
                <c:pt idx="335">
                  <c:v>-0.16642072669433791</c:v>
                </c:pt>
                <c:pt idx="336">
                  <c:v>-0.19517971173732448</c:v>
                </c:pt>
                <c:pt idx="337">
                  <c:v>-0.21418265886293986</c:v>
                </c:pt>
                <c:pt idx="338">
                  <c:v>-0.22964932736770338</c:v>
                </c:pt>
                <c:pt idx="339">
                  <c:v>-0.20273761261706719</c:v>
                </c:pt>
                <c:pt idx="340">
                  <c:v>-0.23943897946749523</c:v>
                </c:pt>
                <c:pt idx="341">
                  <c:v>-0.26686523035706844</c:v>
                </c:pt>
                <c:pt idx="342">
                  <c:v>-0.30027887592950553</c:v>
                </c:pt>
                <c:pt idx="343">
                  <c:v>-0.22916235392184781</c:v>
                </c:pt>
                <c:pt idx="344">
                  <c:v>-0.23257625628653203</c:v>
                </c:pt>
                <c:pt idx="345">
                  <c:v>-0.19376889564182695</c:v>
                </c:pt>
                <c:pt idx="346">
                  <c:v>-0.20463609448529954</c:v>
                </c:pt>
                <c:pt idx="347">
                  <c:v>-0.19895152196097676</c:v>
                </c:pt>
                <c:pt idx="348">
                  <c:v>-0.22285323341407362</c:v>
                </c:pt>
                <c:pt idx="349">
                  <c:v>-0.2409157703210939</c:v>
                </c:pt>
                <c:pt idx="350">
                  <c:v>-0.16413714502793569</c:v>
                </c:pt>
                <c:pt idx="351">
                  <c:v>-0.13270209221111237</c:v>
                </c:pt>
                <c:pt idx="352">
                  <c:v>-0.16185876622784631</c:v>
                </c:pt>
                <c:pt idx="353">
                  <c:v>-0.17192284957305751</c:v>
                </c:pt>
                <c:pt idx="354">
                  <c:v>-0.16276942202848474</c:v>
                </c:pt>
                <c:pt idx="355">
                  <c:v>-0.16825143654589819</c:v>
                </c:pt>
                <c:pt idx="356">
                  <c:v>-0.14829612583847449</c:v>
                </c:pt>
                <c:pt idx="357">
                  <c:v>-0.11213698374134681</c:v>
                </c:pt>
                <c:pt idx="358">
                  <c:v>-4.1499690551630108E-2</c:v>
                </c:pt>
                <c:pt idx="359">
                  <c:v>1.2312583403181129E-2</c:v>
                </c:pt>
                <c:pt idx="360">
                  <c:v>-7.8495360459397132E-2</c:v>
                </c:pt>
                <c:pt idx="361">
                  <c:v>-0.10867826866346582</c:v>
                </c:pt>
                <c:pt idx="362">
                  <c:v>-0.1451578134666961</c:v>
                </c:pt>
                <c:pt idx="363">
                  <c:v>-0.15731738683910576</c:v>
                </c:pt>
                <c:pt idx="364">
                  <c:v>-0.12697146171079149</c:v>
                </c:pt>
                <c:pt idx="365">
                  <c:v>-0.14874526126035212</c:v>
                </c:pt>
                <c:pt idx="366">
                  <c:v>-0.15279658347953082</c:v>
                </c:pt>
                <c:pt idx="367">
                  <c:v>-0.13713280383626134</c:v>
                </c:pt>
                <c:pt idx="368">
                  <c:v>-0.15369911061660632</c:v>
                </c:pt>
                <c:pt idx="369">
                  <c:v>-0.16779345623104666</c:v>
                </c:pt>
                <c:pt idx="370">
                  <c:v>-0.15324774522866794</c:v>
                </c:pt>
                <c:pt idx="371">
                  <c:v>-0.17330315808253294</c:v>
                </c:pt>
                <c:pt idx="372">
                  <c:v>-0.19470923419394903</c:v>
                </c:pt>
                <c:pt idx="373">
                  <c:v>-0.24288810828721363</c:v>
                </c:pt>
                <c:pt idx="374">
                  <c:v>-0.19612133139258622</c:v>
                </c:pt>
                <c:pt idx="375">
                  <c:v>-0.20226356662573011</c:v>
                </c:pt>
                <c:pt idx="376">
                  <c:v>-0.20368637929165334</c:v>
                </c:pt>
                <c:pt idx="377">
                  <c:v>-0.21706445713778247</c:v>
                </c:pt>
                <c:pt idx="378">
                  <c:v>-0.19565041073401299</c:v>
                </c:pt>
                <c:pt idx="379">
                  <c:v>-0.23796436630951667</c:v>
                </c:pt>
                <c:pt idx="380">
                  <c:v>-0.24486444297141105</c:v>
                </c:pt>
                <c:pt idx="381">
                  <c:v>-0.29402554637395784</c:v>
                </c:pt>
                <c:pt idx="382">
                  <c:v>-0.24436995592809688</c:v>
                </c:pt>
                <c:pt idx="383">
                  <c:v>-0.23013658680518231</c:v>
                </c:pt>
                <c:pt idx="384">
                  <c:v>-0.22382128770070939</c:v>
                </c:pt>
                <c:pt idx="385">
                  <c:v>-0.17054444368925545</c:v>
                </c:pt>
                <c:pt idx="386">
                  <c:v>-0.15958547581321719</c:v>
                </c:pt>
                <c:pt idx="387">
                  <c:v>-0.18721154208814833</c:v>
                </c:pt>
                <c:pt idx="388">
                  <c:v>-0.21802696921973022</c:v>
                </c:pt>
                <c:pt idx="389">
                  <c:v>-0.20796700413959998</c:v>
                </c:pt>
                <c:pt idx="390">
                  <c:v>-0.20178969787660866</c:v>
                </c:pt>
                <c:pt idx="391">
                  <c:v>-0.19048486743311752</c:v>
                </c:pt>
                <c:pt idx="392">
                  <c:v>-0.19989670161546422</c:v>
                </c:pt>
                <c:pt idx="393">
                  <c:v>-0.21274489198603455</c:v>
                </c:pt>
                <c:pt idx="394">
                  <c:v>-0.21754557331347565</c:v>
                </c:pt>
                <c:pt idx="395">
                  <c:v>-0.20701416938432821</c:v>
                </c:pt>
                <c:pt idx="396">
                  <c:v>-0.19989670161546425</c:v>
                </c:pt>
                <c:pt idx="397">
                  <c:v>-0.20226356662573031</c:v>
                </c:pt>
                <c:pt idx="398">
                  <c:v>-0.19095336123414391</c:v>
                </c:pt>
                <c:pt idx="399">
                  <c:v>-0.16003971156938088</c:v>
                </c:pt>
                <c:pt idx="400">
                  <c:v>-0.20131610092120686</c:v>
                </c:pt>
                <c:pt idx="401">
                  <c:v>-0.17745541337486981</c:v>
                </c:pt>
                <c:pt idx="402">
                  <c:v>-0.20796700413960004</c:v>
                </c:pt>
                <c:pt idx="403">
                  <c:v>-0.1705444436892557</c:v>
                </c:pt>
                <c:pt idx="404">
                  <c:v>-0.13891058208226095</c:v>
                </c:pt>
                <c:pt idx="405">
                  <c:v>-0.16870962670282658</c:v>
                </c:pt>
                <c:pt idx="406">
                  <c:v>-0.16185876622784715</c:v>
                </c:pt>
                <c:pt idx="407">
                  <c:v>-0.1327020922111132</c:v>
                </c:pt>
                <c:pt idx="408">
                  <c:v>-0.1564115896757256</c:v>
                </c:pt>
                <c:pt idx="409">
                  <c:v>-0.1577706386133117</c:v>
                </c:pt>
                <c:pt idx="410">
                  <c:v>-0.1505438679007689</c:v>
                </c:pt>
                <c:pt idx="411">
                  <c:v>-0.15460249823232239</c:v>
                </c:pt>
                <c:pt idx="412">
                  <c:v>-0.16094880254108171</c:v>
                </c:pt>
                <c:pt idx="413">
                  <c:v>-0.12433761465187654</c:v>
                </c:pt>
                <c:pt idx="414">
                  <c:v>-0.12214790499655581</c:v>
                </c:pt>
                <c:pt idx="415">
                  <c:v>-0.1260927270321032</c:v>
                </c:pt>
                <c:pt idx="416">
                  <c:v>-0.12214790499655587</c:v>
                </c:pt>
                <c:pt idx="417">
                  <c:v>-0.12127348430244882</c:v>
                </c:pt>
                <c:pt idx="418">
                  <c:v>-0.15731738683910629</c:v>
                </c:pt>
                <c:pt idx="419">
                  <c:v>-0.18721154208814852</c:v>
                </c:pt>
                <c:pt idx="420">
                  <c:v>-0.16916807274474185</c:v>
                </c:pt>
                <c:pt idx="421">
                  <c:v>-0.17699319934019253</c:v>
                </c:pt>
                <c:pt idx="422">
                  <c:v>-0.12433761465187651</c:v>
                </c:pt>
                <c:pt idx="423">
                  <c:v>-0.13802129789737699</c:v>
                </c:pt>
                <c:pt idx="424">
                  <c:v>-0.1134371356319739</c:v>
                </c:pt>
                <c:pt idx="425">
                  <c:v>-9.6666069571540891E-2</c:v>
                </c:pt>
                <c:pt idx="426">
                  <c:v>-0.12346114656604758</c:v>
                </c:pt>
                <c:pt idx="427">
                  <c:v>-8.3112325735649167E-2</c:v>
                </c:pt>
                <c:pt idx="428">
                  <c:v>-8.1011043180597639E-2</c:v>
                </c:pt>
                <c:pt idx="429">
                  <c:v>-6.2295587369241637E-2</c:v>
                </c:pt>
                <c:pt idx="430">
                  <c:v>-6.5183932622797758E-2</c:v>
                </c:pt>
                <c:pt idx="431">
                  <c:v>-7.8495360459398103E-2</c:v>
                </c:pt>
                <c:pt idx="432">
                  <c:v>-0.14158318946373774</c:v>
                </c:pt>
                <c:pt idx="433">
                  <c:v>-0.1456055412556852</c:v>
                </c:pt>
                <c:pt idx="434">
                  <c:v>-0.20131610092120725</c:v>
                </c:pt>
                <c:pt idx="435">
                  <c:v>-0.19189100781010773</c:v>
                </c:pt>
                <c:pt idx="436">
                  <c:v>-0.19142207462449248</c:v>
                </c:pt>
                <c:pt idx="437">
                  <c:v>-0.16276942202848574</c:v>
                </c:pt>
                <c:pt idx="438">
                  <c:v>-0.17192284957305853</c:v>
                </c:pt>
                <c:pt idx="439">
                  <c:v>-0.17100373186129567</c:v>
                </c:pt>
                <c:pt idx="440">
                  <c:v>-0.18301866382811294</c:v>
                </c:pt>
                <c:pt idx="441">
                  <c:v>-0.18348367197413454</c:v>
                </c:pt>
                <c:pt idx="442">
                  <c:v>-0.16459345350037646</c:v>
                </c:pt>
                <c:pt idx="443">
                  <c:v>-0.18255387181416802</c:v>
                </c:pt>
                <c:pt idx="444">
                  <c:v>-0.15189482509790547</c:v>
                </c:pt>
                <c:pt idx="445">
                  <c:v>-0.1260927270321035</c:v>
                </c:pt>
                <c:pt idx="446">
                  <c:v>-0.14964413772537019</c:v>
                </c:pt>
                <c:pt idx="447">
                  <c:v>-0.14515781346669709</c:v>
                </c:pt>
                <c:pt idx="448">
                  <c:v>-0.18023314670668672</c:v>
                </c:pt>
                <c:pt idx="449">
                  <c:v>-0.21035307064984343</c:v>
                </c:pt>
                <c:pt idx="450">
                  <c:v>-0.20844380988109634</c:v>
                </c:pt>
                <c:pt idx="451">
                  <c:v>-0.20892079536483515</c:v>
                </c:pt>
                <c:pt idx="452">
                  <c:v>-0.24585395319564338</c:v>
                </c:pt>
                <c:pt idx="453">
                  <c:v>-0.24338181355520355</c:v>
                </c:pt>
                <c:pt idx="454">
                  <c:v>-0.22043723797901874</c:v>
                </c:pt>
                <c:pt idx="455">
                  <c:v>-0.19847926693449125</c:v>
                </c:pt>
                <c:pt idx="456">
                  <c:v>-0.20226356662573075</c:v>
                </c:pt>
                <c:pt idx="457">
                  <c:v>-0.23013658680518284</c:v>
                </c:pt>
                <c:pt idx="458">
                  <c:v>-0.25081679204272145</c:v>
                </c:pt>
                <c:pt idx="459">
                  <c:v>-0.29298712468147659</c:v>
                </c:pt>
                <c:pt idx="460">
                  <c:v>-0.26888957310241607</c:v>
                </c:pt>
                <c:pt idx="461">
                  <c:v>-0.24387576268848685</c:v>
                </c:pt>
                <c:pt idx="462">
                  <c:v>-0.20131610092120722</c:v>
                </c:pt>
                <c:pt idx="463">
                  <c:v>-0.20131610092120722</c:v>
                </c:pt>
                <c:pt idx="464">
                  <c:v>-0.22964932736770458</c:v>
                </c:pt>
                <c:pt idx="465">
                  <c:v>-0.18674479762226584</c:v>
                </c:pt>
                <c:pt idx="466">
                  <c:v>-0.21035307064984313</c:v>
                </c:pt>
                <c:pt idx="467">
                  <c:v>-0.1550543852456619</c:v>
                </c:pt>
                <c:pt idx="468">
                  <c:v>-0.11952671526121256</c:v>
                </c:pt>
                <c:pt idx="469">
                  <c:v>-0.14069148188997704</c:v>
                </c:pt>
                <c:pt idx="470">
                  <c:v>-0.16962668318426874</c:v>
                </c:pt>
                <c:pt idx="471">
                  <c:v>-0.11083852005098055</c:v>
                </c:pt>
                <c:pt idx="472">
                  <c:v>-7.0570355312770922E-2</c:v>
                </c:pt>
                <c:pt idx="473">
                  <c:v>-6.1060297913512883E-2</c:v>
                </c:pt>
                <c:pt idx="474">
                  <c:v>-5.2863489557070126E-2</c:v>
                </c:pt>
                <c:pt idx="475">
                  <c:v>-3.14614617120118E-2</c:v>
                </c:pt>
                <c:pt idx="476">
                  <c:v>-1.3250388719727248E-2</c:v>
                </c:pt>
                <c:pt idx="477">
                  <c:v>2.5608125884425206E-2</c:v>
                </c:pt>
                <c:pt idx="478">
                  <c:v>5.1680402958905566E-2</c:v>
                </c:pt>
                <c:pt idx="479">
                  <c:v>5.5350058453125545E-2</c:v>
                </c:pt>
                <c:pt idx="480">
                  <c:v>6.1921860246397356E-2</c:v>
                </c:pt>
                <c:pt idx="481">
                  <c:v>4.0961357631063247E-2</c:v>
                </c:pt>
                <c:pt idx="482">
                  <c:v>6.9173523641717582E-2</c:v>
                </c:pt>
                <c:pt idx="483">
                  <c:v>9.379567696151013E-2</c:v>
                </c:pt>
                <c:pt idx="484">
                  <c:v>8.9202805517290193E-2</c:v>
                </c:pt>
                <c:pt idx="485">
                  <c:v>9.7665479436023925E-2</c:v>
                </c:pt>
                <c:pt idx="486">
                  <c:v>0.10883874531192622</c:v>
                </c:pt>
                <c:pt idx="487">
                  <c:v>8.387703400840113E-2</c:v>
                </c:pt>
                <c:pt idx="488">
                  <c:v>9.8367480166853705E-2</c:v>
                </c:pt>
                <c:pt idx="489">
                  <c:v>0.10849153225061554</c:v>
                </c:pt>
                <c:pt idx="490">
                  <c:v>0.11334251188029265</c:v>
                </c:pt>
                <c:pt idx="491">
                  <c:v>0.10361683605299749</c:v>
                </c:pt>
                <c:pt idx="492">
                  <c:v>0.10605710225333041</c:v>
                </c:pt>
                <c:pt idx="493">
                  <c:v>0.10849153225061572</c:v>
                </c:pt>
                <c:pt idx="494">
                  <c:v>0.10675327354312794</c:v>
                </c:pt>
                <c:pt idx="495">
                  <c:v>7.3499377617616879E-2</c:v>
                </c:pt>
                <c:pt idx="496">
                  <c:v>5.7910952481189798E-2</c:v>
                </c:pt>
                <c:pt idx="497">
                  <c:v>5.204790893620901E-2</c:v>
                </c:pt>
                <c:pt idx="498">
                  <c:v>8.9910770148630678E-2</c:v>
                </c:pt>
                <c:pt idx="499">
                  <c:v>0.10082060913493103</c:v>
                </c:pt>
                <c:pt idx="500">
                  <c:v>0.13115733694570195</c:v>
                </c:pt>
                <c:pt idx="501">
                  <c:v>0.13927371534929137</c:v>
                </c:pt>
                <c:pt idx="502">
                  <c:v>0.14330726703643887</c:v>
                </c:pt>
                <c:pt idx="503">
                  <c:v>0.15265628353420327</c:v>
                </c:pt>
                <c:pt idx="504">
                  <c:v>0.17044328108920176</c:v>
                </c:pt>
                <c:pt idx="505">
                  <c:v>0.1990856578819277</c:v>
                </c:pt>
                <c:pt idx="506">
                  <c:v>0.28214995760048356</c:v>
                </c:pt>
                <c:pt idx="507">
                  <c:v>0.2865200154111352</c:v>
                </c:pt>
                <c:pt idx="508">
                  <c:v>0.2931837801832759</c:v>
                </c:pt>
                <c:pt idx="509">
                  <c:v>0.30751888763568341</c:v>
                </c:pt>
                <c:pt idx="510">
                  <c:v>0.31234632850288818</c:v>
                </c:pt>
                <c:pt idx="511">
                  <c:v>0.35096760400405685</c:v>
                </c:pt>
                <c:pt idx="512">
                  <c:v>0.36611533771781796</c:v>
                </c:pt>
                <c:pt idx="513">
                  <c:v>0.35287363597277027</c:v>
                </c:pt>
                <c:pt idx="514">
                  <c:v>0.33614039682205626</c:v>
                </c:pt>
                <c:pt idx="515">
                  <c:v>0.34413043784163572</c:v>
                </c:pt>
                <c:pt idx="516">
                  <c:v>0.3561328186956097</c:v>
                </c:pt>
                <c:pt idx="517">
                  <c:v>0.37253767698762807</c:v>
                </c:pt>
                <c:pt idx="518">
                  <c:v>0.41202503902189608</c:v>
                </c:pt>
                <c:pt idx="519">
                  <c:v>0.4551827896924735</c:v>
                </c:pt>
                <c:pt idx="520">
                  <c:v>0.52969408527575146</c:v>
                </c:pt>
                <c:pt idx="521">
                  <c:v>0.46252314553648421</c:v>
                </c:pt>
                <c:pt idx="522">
                  <c:v>0.47222720057383433</c:v>
                </c:pt>
                <c:pt idx="523">
                  <c:v>0.48898605641633369</c:v>
                </c:pt>
                <c:pt idx="524">
                  <c:v>0.43934089956905736</c:v>
                </c:pt>
                <c:pt idx="525">
                  <c:v>0.45739056681376172</c:v>
                </c:pt>
                <c:pt idx="526">
                  <c:v>0.46471481812701804</c:v>
                </c:pt>
                <c:pt idx="527">
                  <c:v>0.50195944322081887</c:v>
                </c:pt>
                <c:pt idx="528">
                  <c:v>0.51546062627013789</c:v>
                </c:pt>
                <c:pt idx="529">
                  <c:v>0.52122433098688803</c:v>
                </c:pt>
                <c:pt idx="530">
                  <c:v>0.55668022959480645</c:v>
                </c:pt>
                <c:pt idx="531">
                  <c:v>0.56727399464431982</c:v>
                </c:pt>
                <c:pt idx="532">
                  <c:v>0.61548901146915758</c:v>
                </c:pt>
                <c:pt idx="533">
                  <c:v>0.60603017028568751</c:v>
                </c:pt>
                <c:pt idx="534">
                  <c:v>0.64760379274870083</c:v>
                </c:pt>
                <c:pt idx="535">
                  <c:v>0.6546694928821537</c:v>
                </c:pt>
                <c:pt idx="536">
                  <c:v>0.6761628973943179</c:v>
                </c:pt>
                <c:pt idx="537">
                  <c:v>0.76105547132854401</c:v>
                </c:pt>
                <c:pt idx="538">
                  <c:v>0.71781148382540594</c:v>
                </c:pt>
                <c:pt idx="539">
                  <c:v>0.69701119228545161</c:v>
                </c:pt>
                <c:pt idx="540">
                  <c:v>0.68654393263968505</c:v>
                </c:pt>
                <c:pt idx="541">
                  <c:v>0.71932116518403699</c:v>
                </c:pt>
                <c:pt idx="542">
                  <c:v>0.81200504595930478</c:v>
                </c:pt>
                <c:pt idx="543">
                  <c:v>0.83006041605281899</c:v>
                </c:pt>
                <c:pt idx="544">
                  <c:v>0.86668724517768603</c:v>
                </c:pt>
                <c:pt idx="545">
                  <c:v>0.88522863904941995</c:v>
                </c:pt>
                <c:pt idx="546">
                  <c:v>0.91124511666757857</c:v>
                </c:pt>
                <c:pt idx="547">
                  <c:v>0.95688041137419788</c:v>
                </c:pt>
                <c:pt idx="548">
                  <c:v>0.8917568051052196</c:v>
                </c:pt>
                <c:pt idx="549">
                  <c:v>0.9353871364074432</c:v>
                </c:pt>
                <c:pt idx="550">
                  <c:v>0.95270816574626715</c:v>
                </c:pt>
                <c:pt idx="551">
                  <c:v>1.012550701572049</c:v>
                </c:pt>
                <c:pt idx="552">
                  <c:v>1.0480590264388785</c:v>
                </c:pt>
                <c:pt idx="553">
                  <c:v>1.0766935765787176</c:v>
                </c:pt>
                <c:pt idx="554">
                  <c:v>1.053473984917447</c:v>
                </c:pt>
                <c:pt idx="555">
                  <c:v>1.0785385824343596</c:v>
                </c:pt>
                <c:pt idx="556">
                  <c:v>1.0957691360128416</c:v>
                </c:pt>
                <c:pt idx="557">
                  <c:v>1.0612739436691432</c:v>
                </c:pt>
                <c:pt idx="558">
                  <c:v>1.0206751615589247</c:v>
                </c:pt>
                <c:pt idx="559">
                  <c:v>0.87462955129265008</c:v>
                </c:pt>
                <c:pt idx="560">
                  <c:v>0.8045867422941525</c:v>
                </c:pt>
                <c:pt idx="561">
                  <c:v>0.48374926755303738</c:v>
                </c:pt>
                <c:pt idx="562">
                  <c:v>0.46762953961105813</c:v>
                </c:pt>
                <c:pt idx="563">
                  <c:v>0.51984404549767149</c:v>
                </c:pt>
                <c:pt idx="564">
                  <c:v>0.52030434471086884</c:v>
                </c:pt>
                <c:pt idx="565">
                  <c:v>0.51684697120814038</c:v>
                </c:pt>
                <c:pt idx="566">
                  <c:v>0.47752461262364765</c:v>
                </c:pt>
                <c:pt idx="567">
                  <c:v>0.51846192134307534</c:v>
                </c:pt>
                <c:pt idx="568">
                  <c:v>0.51869236965572363</c:v>
                </c:pt>
                <c:pt idx="569">
                  <c:v>0.48327180277233123</c:v>
                </c:pt>
                <c:pt idx="570">
                  <c:v>0.48613301117561769</c:v>
                </c:pt>
                <c:pt idx="571">
                  <c:v>0.44679803054167549</c:v>
                </c:pt>
                <c:pt idx="572">
                  <c:v>0.44679803054167549</c:v>
                </c:pt>
                <c:pt idx="573">
                  <c:v>0.39599990952703989</c:v>
                </c:pt>
                <c:pt idx="574">
                  <c:v>0.38130145612256067</c:v>
                </c:pt>
                <c:pt idx="575">
                  <c:v>0.36852853100582589</c:v>
                </c:pt>
                <c:pt idx="576">
                  <c:v>0.3422076243959582</c:v>
                </c:pt>
                <c:pt idx="577">
                  <c:v>0.31715068987061845</c:v>
                </c:pt>
                <c:pt idx="578">
                  <c:v>0.39860201868975492</c:v>
                </c:pt>
                <c:pt idx="579">
                  <c:v>0.39156062817989817</c:v>
                </c:pt>
                <c:pt idx="580">
                  <c:v>0.39652090456926237</c:v>
                </c:pt>
                <c:pt idx="581">
                  <c:v>0.40817141822585279</c:v>
                </c:pt>
                <c:pt idx="582">
                  <c:v>0.41228136514190766</c:v>
                </c:pt>
                <c:pt idx="583">
                  <c:v>0.37253767698762774</c:v>
                </c:pt>
                <c:pt idx="584">
                  <c:v>0.38473292308434892</c:v>
                </c:pt>
                <c:pt idx="585">
                  <c:v>0.3770619161212555</c:v>
                </c:pt>
                <c:pt idx="586">
                  <c:v>0.33531009375554072</c:v>
                </c:pt>
                <c:pt idx="587">
                  <c:v>0.34632344861901709</c:v>
                </c:pt>
                <c:pt idx="588">
                  <c:v>0.3501496353038081</c:v>
                </c:pt>
                <c:pt idx="589">
                  <c:v>0.33890277419293308</c:v>
                </c:pt>
                <c:pt idx="590">
                  <c:v>0.37440307385637916</c:v>
                </c:pt>
                <c:pt idx="591">
                  <c:v>0.36638370438882495</c:v>
                </c:pt>
                <c:pt idx="592">
                  <c:v>0.35341758487973424</c:v>
                </c:pt>
                <c:pt idx="593">
                  <c:v>0.32529328726914941</c:v>
                </c:pt>
                <c:pt idx="594">
                  <c:v>0.31036138524539536</c:v>
                </c:pt>
                <c:pt idx="595">
                  <c:v>0.32221259585353429</c:v>
                </c:pt>
                <c:pt idx="596">
                  <c:v>0.27040233316633633</c:v>
                </c:pt>
                <c:pt idx="597">
                  <c:v>0.25432107511885155</c:v>
                </c:pt>
                <c:pt idx="598">
                  <c:v>0.24829877465375919</c:v>
                </c:pt>
                <c:pt idx="599">
                  <c:v>0.20950077491042143</c:v>
                </c:pt>
                <c:pt idx="600">
                  <c:v>0.19749807219226914</c:v>
                </c:pt>
                <c:pt idx="601">
                  <c:v>0.19144234053866824</c:v>
                </c:pt>
                <c:pt idx="602">
                  <c:v>0.17142226633591703</c:v>
                </c:pt>
                <c:pt idx="603">
                  <c:v>0.20855841580188988</c:v>
                </c:pt>
                <c:pt idx="604">
                  <c:v>0.23031867757185906</c:v>
                </c:pt>
                <c:pt idx="605">
                  <c:v>0.21763093213661722</c:v>
                </c:pt>
                <c:pt idx="606">
                  <c:v>0.21419929569197563</c:v>
                </c:pt>
                <c:pt idx="607">
                  <c:v>0.21887590578427368</c:v>
                </c:pt>
                <c:pt idx="608">
                  <c:v>0.20256939859425122</c:v>
                </c:pt>
                <c:pt idx="609">
                  <c:v>0.20003695018374959</c:v>
                </c:pt>
                <c:pt idx="610">
                  <c:v>0.1901627178637342</c:v>
                </c:pt>
                <c:pt idx="611">
                  <c:v>0.1509932530771306</c:v>
                </c:pt>
                <c:pt idx="612">
                  <c:v>0.16815532446805528</c:v>
                </c:pt>
                <c:pt idx="613">
                  <c:v>0.15431655291209762</c:v>
                </c:pt>
                <c:pt idx="614">
                  <c:v>0.17565338730673485</c:v>
                </c:pt>
                <c:pt idx="615">
                  <c:v>0.17662722278421872</c:v>
                </c:pt>
                <c:pt idx="616">
                  <c:v>0.15199138989268676</c:v>
                </c:pt>
                <c:pt idx="617">
                  <c:v>0.16487770752932329</c:v>
                </c:pt>
                <c:pt idx="618">
                  <c:v>0.12979814545815263</c:v>
                </c:pt>
                <c:pt idx="619">
                  <c:v>0.11851404555756757</c:v>
                </c:pt>
                <c:pt idx="620">
                  <c:v>0.13927371534929103</c:v>
                </c:pt>
                <c:pt idx="621">
                  <c:v>0.13251461571943382</c:v>
                </c:pt>
                <c:pt idx="622">
                  <c:v>0.13319258184709709</c:v>
                </c:pt>
                <c:pt idx="623">
                  <c:v>0.16027095366641986</c:v>
                </c:pt>
                <c:pt idx="624">
                  <c:v>0.17792427223167032</c:v>
                </c:pt>
                <c:pt idx="625">
                  <c:v>0.1684825287949922</c:v>
                </c:pt>
                <c:pt idx="626">
                  <c:v>0.1609303668126352</c:v>
                </c:pt>
                <c:pt idx="627">
                  <c:v>0.17207436939130441</c:v>
                </c:pt>
                <c:pt idx="628">
                  <c:v>0.18888151975896722</c:v>
                </c:pt>
                <c:pt idx="629">
                  <c:v>0.18695652718506284</c:v>
                </c:pt>
                <c:pt idx="630">
                  <c:v>0.16093036681263523</c:v>
                </c:pt>
                <c:pt idx="631">
                  <c:v>0.13488545514275024</c:v>
                </c:pt>
                <c:pt idx="632">
                  <c:v>0.10814412909782177</c:v>
                </c:pt>
                <c:pt idx="633">
                  <c:v>0.12605087478557711</c:v>
                </c:pt>
                <c:pt idx="634">
                  <c:v>0.13792551833598335</c:v>
                </c:pt>
                <c:pt idx="635">
                  <c:v>0.11920156706969583</c:v>
                </c:pt>
                <c:pt idx="636">
                  <c:v>0.1067532735431278</c:v>
                </c:pt>
                <c:pt idx="637">
                  <c:v>9.6962950416920213E-2</c:v>
                </c:pt>
                <c:pt idx="638">
                  <c:v>8.707589936278308E-2</c:v>
                </c:pt>
                <c:pt idx="639">
                  <c:v>7.4218579387545766E-2</c:v>
                </c:pt>
                <c:pt idx="640">
                  <c:v>8.5299979844778093E-2</c:v>
                </c:pt>
                <c:pt idx="641">
                  <c:v>0.10849153225061561</c:v>
                </c:pt>
                <c:pt idx="642">
                  <c:v>9.7665479436023994E-2</c:v>
                </c:pt>
                <c:pt idx="643">
                  <c:v>9.7314259057501878E-2</c:v>
                </c:pt>
                <c:pt idx="644">
                  <c:v>0.12741516560708468</c:v>
                </c:pt>
                <c:pt idx="645">
                  <c:v>0.10987990454255975</c:v>
                </c:pt>
                <c:pt idx="646">
                  <c:v>0.1291178392978958</c:v>
                </c:pt>
                <c:pt idx="647">
                  <c:v>0.15564284623195176</c:v>
                </c:pt>
                <c:pt idx="648">
                  <c:v>0.1161039910255617</c:v>
                </c:pt>
                <c:pt idx="649">
                  <c:v>0.11885786539935916</c:v>
                </c:pt>
                <c:pt idx="650">
                  <c:v>7.6014270266980516E-2</c:v>
                </c:pt>
                <c:pt idx="651">
                  <c:v>9.2737627154783245E-2</c:v>
                </c:pt>
                <c:pt idx="652">
                  <c:v>0.1226321364130598</c:v>
                </c:pt>
                <c:pt idx="653">
                  <c:v>0.11713761728410545</c:v>
                </c:pt>
                <c:pt idx="654">
                  <c:v>0.12365897201540348</c:v>
                </c:pt>
                <c:pt idx="655">
                  <c:v>0.13081772072031514</c:v>
                </c:pt>
                <c:pt idx="656">
                  <c:v>0.13115733694570161</c:v>
                </c:pt>
                <c:pt idx="657">
                  <c:v>0.11230498801063556</c:v>
                </c:pt>
                <c:pt idx="658">
                  <c:v>9.5556515561203731E-2</c:v>
                </c:pt>
                <c:pt idx="659">
                  <c:v>9.2737627154783453E-2</c:v>
                </c:pt>
                <c:pt idx="660">
                  <c:v>0.10221973490708103</c:v>
                </c:pt>
                <c:pt idx="661">
                  <c:v>9.661158861397319E-2</c:v>
                </c:pt>
                <c:pt idx="662">
                  <c:v>7.1338807778934421E-2</c:v>
                </c:pt>
                <c:pt idx="663">
                  <c:v>8.3164783266040099E-2</c:v>
                </c:pt>
                <c:pt idx="664">
                  <c:v>9.6260032989032421E-2</c:v>
                </c:pt>
                <c:pt idx="665">
                  <c:v>0.10536055050102931</c:v>
                </c:pt>
                <c:pt idx="666">
                  <c:v>0.10675327354312777</c:v>
                </c:pt>
                <c:pt idx="667">
                  <c:v>7.6731558676500708E-2</c:v>
                </c:pt>
                <c:pt idx="668">
                  <c:v>9.0618269281299194E-2</c:v>
                </c:pt>
                <c:pt idx="669">
                  <c:v>7.5296359265541984E-2</c:v>
                </c:pt>
                <c:pt idx="670">
                  <c:v>0.11022670530899725</c:v>
                </c:pt>
                <c:pt idx="671">
                  <c:v>9.5908318555157343E-2</c:v>
                </c:pt>
                <c:pt idx="672">
                  <c:v>0.1136881486498363</c:v>
                </c:pt>
                <c:pt idx="673">
                  <c:v>9.1678456692849256E-2</c:v>
                </c:pt>
                <c:pt idx="674">
                  <c:v>7.923827449247868E-2</c:v>
                </c:pt>
                <c:pt idx="675">
                  <c:v>4.3559243671858802E-2</c:v>
                </c:pt>
                <c:pt idx="676">
                  <c:v>3.6492113776126656E-2</c:v>
                </c:pt>
                <c:pt idx="677">
                  <c:v>1.2312583403180876E-2</c:v>
                </c:pt>
                <c:pt idx="678">
                  <c:v>4.651997867997533E-2</c:v>
                </c:pt>
                <c:pt idx="679">
                  <c:v>1.6510261766899181E-2</c:v>
                </c:pt>
                <c:pt idx="680">
                  <c:v>3.7238307840601059E-2</c:v>
                </c:pt>
                <c:pt idx="681">
                  <c:v>4.3929819922162106E-2</c:v>
                </c:pt>
                <c:pt idx="682">
                  <c:v>3.9845871344816125E-2</c:v>
                </c:pt>
                <c:pt idx="683">
                  <c:v>6.944472352809164E-3</c:v>
                </c:pt>
                <c:pt idx="684">
                  <c:v>-2.6678710562002925E-2</c:v>
                </c:pt>
                <c:pt idx="685">
                  <c:v>-1.5213829327654442E-2</c:v>
                </c:pt>
                <c:pt idx="686">
                  <c:v>-1.1682336684755146E-2</c:v>
                </c:pt>
                <c:pt idx="687">
                  <c:v>-2.0732250899969058E-2</c:v>
                </c:pt>
                <c:pt idx="688">
                  <c:v>1.1930062832776867E-2</c:v>
                </c:pt>
                <c:pt idx="689">
                  <c:v>-8.9442556222343213E-3</c:v>
                </c:pt>
                <c:pt idx="690">
                  <c:v>-1.6000341346443056E-2</c:v>
                </c:pt>
                <c:pt idx="691">
                  <c:v>-1.757518422261348E-2</c:v>
                </c:pt>
                <c:pt idx="692">
                  <c:v>-3.4904049397706076E-3</c:v>
                </c:pt>
                <c:pt idx="693">
                  <c:v>-8.5536678490708493E-3</c:v>
                </c:pt>
                <c:pt idx="694">
                  <c:v>1.2312583403180699E-2</c:v>
                </c:pt>
                <c:pt idx="695">
                  <c:v>1.9338238850715728E-3</c:v>
                </c:pt>
                <c:pt idx="696">
                  <c:v>2.4097513786162681E-2</c:v>
                </c:pt>
                <c:pt idx="697">
                  <c:v>2.3201480307424478E-3</c:v>
                </c:pt>
                <c:pt idx="698">
                  <c:v>-2.5883797960526728E-2</c:v>
                </c:pt>
                <c:pt idx="699">
                  <c:v>-4.9603502969862635E-2</c:v>
                </c:pt>
                <c:pt idx="700">
                  <c:v>-1.2858154943370941E-2</c:v>
                </c:pt>
                <c:pt idx="701">
                  <c:v>-2.2314490185406342E-2</c:v>
                </c:pt>
                <c:pt idx="702">
                  <c:v>-3.9484007587676284E-2</c:v>
                </c:pt>
                <c:pt idx="703">
                  <c:v>-4.594867656648606E-2</c:v>
                </c:pt>
                <c:pt idx="704">
                  <c:v>-3.6668803637089541E-2</c:v>
                </c:pt>
                <c:pt idx="705">
                  <c:v>-1.9547143094167711E-2</c:v>
                </c:pt>
                <c:pt idx="706">
                  <c:v>-3.266078223955074E-2</c:v>
                </c:pt>
                <c:pt idx="707">
                  <c:v>-2.8668760970013283E-2</c:v>
                </c:pt>
                <c:pt idx="708">
                  <c:v>-2.1127506884557765E-2</c:v>
                </c:pt>
                <c:pt idx="709">
                  <c:v>-4.7165509026848795E-2</c:v>
                </c:pt>
                <c:pt idx="710">
                  <c:v>-9.0289895076186913E-2</c:v>
                </c:pt>
                <c:pt idx="711">
                  <c:v>-6.0648859915055309E-2</c:v>
                </c:pt>
                <c:pt idx="712">
                  <c:v>-9.709259973682427E-2</c:v>
                </c:pt>
                <c:pt idx="713">
                  <c:v>-5.6134138425192534E-2</c:v>
                </c:pt>
                <c:pt idx="714">
                  <c:v>-5.0824793600420012E-2</c:v>
                </c:pt>
                <c:pt idx="715">
                  <c:v>-8.944255622234297E-3</c:v>
                </c:pt>
                <c:pt idx="716">
                  <c:v>-1.4428053255789155E-2</c:v>
                </c:pt>
                <c:pt idx="717">
                  <c:v>2.6362558209910625E-2</c:v>
                </c:pt>
                <c:pt idx="718">
                  <c:v>1.7271624560408212E-2</c:v>
                </c:pt>
                <c:pt idx="719">
                  <c:v>3.1252543504102323E-2</c:v>
                </c:pt>
                <c:pt idx="720">
                  <c:v>5.7545522196305432E-2</c:v>
                </c:pt>
                <c:pt idx="721">
                  <c:v>8.8848635157646655E-2</c:v>
                </c:pt>
                <c:pt idx="722">
                  <c:v>7.7448440440479452E-2</c:v>
                </c:pt>
                <c:pt idx="723">
                  <c:v>8.1381933801109585E-2</c:v>
                </c:pt>
                <c:pt idx="724">
                  <c:v>7.0978252519935309E-2</c:v>
                </c:pt>
                <c:pt idx="725">
                  <c:v>6.5916781121443363E-2</c:v>
                </c:pt>
                <c:pt idx="726">
                  <c:v>3.8729213847122398E-2</c:v>
                </c:pt>
                <c:pt idx="727">
                  <c:v>-2.2314490185406238E-2</c:v>
                </c:pt>
                <c:pt idx="728">
                  <c:v>-4.6566247253255477E-3</c:v>
                </c:pt>
                <c:pt idx="729">
                  <c:v>-8.9442556222345815E-3</c:v>
                </c:pt>
                <c:pt idx="730">
                  <c:v>-2.5883797960526804E-2</c:v>
                </c:pt>
                <c:pt idx="731">
                  <c:v>-4.3924014971336495E-2</c:v>
                </c:pt>
                <c:pt idx="732">
                  <c:v>-4.9196750879650163E-2</c:v>
                </c:pt>
                <c:pt idx="733">
                  <c:v>-0.104371629793551</c:v>
                </c:pt>
                <c:pt idx="734">
                  <c:v>-0.14874526126035245</c:v>
                </c:pt>
                <c:pt idx="735">
                  <c:v>-0.10523147507438596</c:v>
                </c:pt>
                <c:pt idx="736">
                  <c:v>-7.3899530256148149E-2</c:v>
                </c:pt>
                <c:pt idx="737">
                  <c:v>-5.6953474808595056E-2</c:v>
                </c:pt>
                <c:pt idx="738">
                  <c:v>-6.435791027099734E-2</c:v>
                </c:pt>
                <c:pt idx="739">
                  <c:v>-7.2233515744726168E-2</c:v>
                </c:pt>
                <c:pt idx="740">
                  <c:v>-9.1137711998526355E-2</c:v>
                </c:pt>
                <c:pt idx="741">
                  <c:v>-0.10351248027461968</c:v>
                </c:pt>
                <c:pt idx="742">
                  <c:v>-0.12697146171079171</c:v>
                </c:pt>
                <c:pt idx="743">
                  <c:v>-0.13757695218911015</c:v>
                </c:pt>
                <c:pt idx="744">
                  <c:v>-0.13491501627830682</c:v>
                </c:pt>
                <c:pt idx="745">
                  <c:v>-9.8373325604931783E-2</c:v>
                </c:pt>
                <c:pt idx="746">
                  <c:v>-0.10394194128918861</c:v>
                </c:pt>
                <c:pt idx="747">
                  <c:v>-0.1208365168304765</c:v>
                </c:pt>
                <c:pt idx="748">
                  <c:v>-9.326036186954359E-2</c:v>
                </c:pt>
                <c:pt idx="749">
                  <c:v>-8.9019558228021545E-2</c:v>
                </c:pt>
                <c:pt idx="750">
                  <c:v>-5.613413842519268E-2</c:v>
                </c:pt>
                <c:pt idx="751">
                  <c:v>-5.8594123215152748E-2</c:v>
                </c:pt>
                <c:pt idx="752">
                  <c:v>-5.9826450312320173E-2</c:v>
                </c:pt>
                <c:pt idx="753">
                  <c:v>-7.8914124863423293E-2</c:v>
                </c:pt>
                <c:pt idx="754">
                  <c:v>-5.4906350287075745E-2</c:v>
                </c:pt>
                <c:pt idx="755">
                  <c:v>-9.2835462794738061E-2</c:v>
                </c:pt>
                <c:pt idx="756">
                  <c:v>-1.9547143094167663E-2</c:v>
                </c:pt>
                <c:pt idx="757">
                  <c:v>3.4997866234264083E-2</c:v>
                </c:pt>
                <c:pt idx="758">
                  <c:v>2.3719589003739529E-2</c:v>
                </c:pt>
                <c:pt idx="759">
                  <c:v>-4.2677466185824658E-3</c:v>
                </c:pt>
                <c:pt idx="760">
                  <c:v>0.15165874395027668</c:v>
                </c:pt>
                <c:pt idx="761">
                  <c:v>0.10152039922646897</c:v>
                </c:pt>
                <c:pt idx="762">
                  <c:v>0.10466340862366819</c:v>
                </c:pt>
                <c:pt idx="763">
                  <c:v>0.10849153225061517</c:v>
                </c:pt>
                <c:pt idx="764">
                  <c:v>0.12741516560708413</c:v>
                </c:pt>
                <c:pt idx="765">
                  <c:v>0.18824025652187884</c:v>
                </c:pt>
                <c:pt idx="766">
                  <c:v>0.13758815958194234</c:v>
                </c:pt>
                <c:pt idx="767">
                  <c:v>0.10117056539396975</c:v>
                </c:pt>
                <c:pt idx="768">
                  <c:v>6.2285695069402736E-2</c:v>
                </c:pt>
                <c:pt idx="769">
                  <c:v>1.3841089594380664E-2</c:v>
                </c:pt>
                <c:pt idx="770">
                  <c:v>3.9845871344815681E-2</c:v>
                </c:pt>
                <c:pt idx="771">
                  <c:v>3.9101621217421258E-2</c:v>
                </c:pt>
                <c:pt idx="772">
                  <c:v>-5.6953474808595396E-2</c:v>
                </c:pt>
                <c:pt idx="773">
                  <c:v>-2.3106569434739155E-2</c:v>
                </c:pt>
                <c:pt idx="774">
                  <c:v>4.9840439272192949E-2</c:v>
                </c:pt>
                <c:pt idx="775">
                  <c:v>7.7448440440479271E-2</c:v>
                </c:pt>
                <c:pt idx="776">
                  <c:v>5.057681633050494E-2</c:v>
                </c:pt>
                <c:pt idx="777">
                  <c:v>6.9534766189238859E-2</c:v>
                </c:pt>
                <c:pt idx="778">
                  <c:v>0.11334251188029219</c:v>
                </c:pt>
                <c:pt idx="779">
                  <c:v>0.11230498801063492</c:v>
                </c:pt>
                <c:pt idx="780">
                  <c:v>9.2737627154782856E-2</c:v>
                </c:pt>
                <c:pt idx="781">
                  <c:v>8.813988245773019E-2</c:v>
                </c:pt>
                <c:pt idx="782">
                  <c:v>0.14431316822780846</c:v>
                </c:pt>
                <c:pt idx="783">
                  <c:v>0.15265628353420224</c:v>
                </c:pt>
                <c:pt idx="784">
                  <c:v>0.1352237267566343</c:v>
                </c:pt>
                <c:pt idx="785">
                  <c:v>0.13013810806553994</c:v>
                </c:pt>
                <c:pt idx="786">
                  <c:v>0.16651789162082672</c:v>
                </c:pt>
                <c:pt idx="787">
                  <c:v>0.12877752960121941</c:v>
                </c:pt>
                <c:pt idx="788">
                  <c:v>0.14531805859867269</c:v>
                </c:pt>
                <c:pt idx="789">
                  <c:v>0.14498321849291046</c:v>
                </c:pt>
                <c:pt idx="790">
                  <c:v>9.0618269281298763E-2</c:v>
                </c:pt>
                <c:pt idx="791">
                  <c:v>8.8139882457730218E-2</c:v>
                </c:pt>
                <c:pt idx="792">
                  <c:v>7.0978252519935128E-2</c:v>
                </c:pt>
                <c:pt idx="793">
                  <c:v>8.9202805517289804E-2</c:v>
                </c:pt>
                <c:pt idx="794">
                  <c:v>8.2451989210329341E-2</c:v>
                </c:pt>
                <c:pt idx="795">
                  <c:v>8.4588813385217121E-2</c:v>
                </c:pt>
                <c:pt idx="796">
                  <c:v>0.12400102777382632</c:v>
                </c:pt>
                <c:pt idx="797">
                  <c:v>0.10466340862366827</c:v>
                </c:pt>
                <c:pt idx="798">
                  <c:v>4.0217825984475347E-2</c:v>
                </c:pt>
                <c:pt idx="799">
                  <c:v>-1.0899329596981866E-2</c:v>
                </c:pt>
                <c:pt idx="800">
                  <c:v>-2.1918685707648489E-2</c:v>
                </c:pt>
                <c:pt idx="801">
                  <c:v>-1.7969194079927923E-2</c:v>
                </c:pt>
                <c:pt idx="802">
                  <c:v>-2.9465891343031535E-2</c:v>
                </c:pt>
                <c:pt idx="803">
                  <c:v>-7.3899530256148288E-2</c:v>
                </c:pt>
                <c:pt idx="804">
                  <c:v>-7.8495360459397839E-2</c:v>
                </c:pt>
                <c:pt idx="805">
                  <c:v>-3.1861102068986381E-2</c:v>
                </c:pt>
                <c:pt idx="806">
                  <c:v>-7.3830140568430513E-3</c:v>
                </c:pt>
                <c:pt idx="807">
                  <c:v>-4.6566247253255928E-3</c:v>
                </c:pt>
                <c:pt idx="808">
                  <c:v>1.6510261766898758E-2</c:v>
                </c:pt>
                <c:pt idx="809">
                  <c:v>1.2312583403180387E-2</c:v>
                </c:pt>
                <c:pt idx="810">
                  <c:v>3.9473852735873921E-2</c:v>
                </c:pt>
                <c:pt idx="811">
                  <c:v>3.0126243424953424E-2</c:v>
                </c:pt>
                <c:pt idx="812">
                  <c:v>4.8734892837598881E-2</c:v>
                </c:pt>
                <c:pt idx="813">
                  <c:v>5.7179921760238762E-2</c:v>
                </c:pt>
                <c:pt idx="814">
                  <c:v>-9.7258109570549714E-3</c:v>
                </c:pt>
                <c:pt idx="815">
                  <c:v>1.6129381929881309E-2</c:v>
                </c:pt>
                <c:pt idx="816">
                  <c:v>-5.0455762960722635E-3</c:v>
                </c:pt>
                <c:pt idx="817">
                  <c:v>-3.5865913188499035E-2</c:v>
                </c:pt>
                <c:pt idx="818">
                  <c:v>-3.1861102068986541E-2</c:v>
                </c:pt>
                <c:pt idx="819">
                  <c:v>-1.1621539398705069E-3</c:v>
                </c:pt>
                <c:pt idx="820">
                  <c:v>-5.6134138425192853E-2</c:v>
                </c:pt>
                <c:pt idx="821">
                  <c:v>-7.6821678025320486E-2</c:v>
                </c:pt>
                <c:pt idx="822">
                  <c:v>-0.11300353492208917</c:v>
                </c:pt>
                <c:pt idx="823">
                  <c:v>-5.5724721838102335E-2</c:v>
                </c:pt>
                <c:pt idx="824">
                  <c:v>-4.1499690551630775E-2</c:v>
                </c:pt>
                <c:pt idx="825">
                  <c:v>-4.5543408070564298E-2</c:v>
                </c:pt>
                <c:pt idx="826">
                  <c:v>6.5599309137306244E-3</c:v>
                </c:pt>
                <c:pt idx="827">
                  <c:v>-3.7472379429699561E-2</c:v>
                </c:pt>
                <c:pt idx="828">
                  <c:v>-6.6838234041137229E-2</c:v>
                </c:pt>
                <c:pt idx="829">
                  <c:v>-5.3271736143675218E-2</c:v>
                </c:pt>
                <c:pt idx="830">
                  <c:v>-0.11560770306047696</c:v>
                </c:pt>
                <c:pt idx="831">
                  <c:v>-0.18581191511368006</c:v>
                </c:pt>
                <c:pt idx="832">
                  <c:v>-0.22770290344288582</c:v>
                </c:pt>
                <c:pt idx="833">
                  <c:v>-0.18348367197413448</c:v>
                </c:pt>
                <c:pt idx="834">
                  <c:v>-0.2643406645760471</c:v>
                </c:pt>
                <c:pt idx="835">
                  <c:v>-0.31608526443869073</c:v>
                </c:pt>
                <c:pt idx="836">
                  <c:v>-0.34190703260717231</c:v>
                </c:pt>
                <c:pt idx="837">
                  <c:v>-0.35286604639689195</c:v>
                </c:pt>
                <c:pt idx="838">
                  <c:v>-0.29402554637395834</c:v>
                </c:pt>
                <c:pt idx="839">
                  <c:v>-0.29298712468147664</c:v>
                </c:pt>
                <c:pt idx="840">
                  <c:v>-0.27295049238873104</c:v>
                </c:pt>
                <c:pt idx="841">
                  <c:v>-0.3134334993565</c:v>
                </c:pt>
                <c:pt idx="842">
                  <c:v>-0.37515109118632672</c:v>
                </c:pt>
                <c:pt idx="843">
                  <c:v>-0.41245814359913729</c:v>
                </c:pt>
                <c:pt idx="844">
                  <c:v>-0.39794410071488329</c:v>
                </c:pt>
                <c:pt idx="845">
                  <c:v>-0.44092975751197966</c:v>
                </c:pt>
                <c:pt idx="846">
                  <c:v>-0.41187346075829756</c:v>
                </c:pt>
                <c:pt idx="847">
                  <c:v>-0.35562466883597132</c:v>
                </c:pt>
                <c:pt idx="848">
                  <c:v>-0.40604605499005758</c:v>
                </c:pt>
                <c:pt idx="849">
                  <c:v>-0.34136216744917747</c:v>
                </c:pt>
                <c:pt idx="850">
                  <c:v>-0.39162411397006547</c:v>
                </c:pt>
                <c:pt idx="851">
                  <c:v>-0.38933572617828305</c:v>
                </c:pt>
                <c:pt idx="852">
                  <c:v>-0.37571463022631812</c:v>
                </c:pt>
                <c:pt idx="853">
                  <c:v>-0.34518209003029304</c:v>
                </c:pt>
                <c:pt idx="854">
                  <c:v>-0.42659259522206278</c:v>
                </c:pt>
                <c:pt idx="855">
                  <c:v>-0.40488455656791311</c:v>
                </c:pt>
                <c:pt idx="856">
                  <c:v>-0.3622765780642771</c:v>
                </c:pt>
                <c:pt idx="857">
                  <c:v>-0.31980966352967266</c:v>
                </c:pt>
                <c:pt idx="858">
                  <c:v>-0.33647218242067461</c:v>
                </c:pt>
                <c:pt idx="859">
                  <c:v>-0.38023441193193735</c:v>
                </c:pt>
                <c:pt idx="860">
                  <c:v>-0.36116484921158659</c:v>
                </c:pt>
                <c:pt idx="861">
                  <c:v>-0.38933572617828294</c:v>
                </c:pt>
                <c:pt idx="862">
                  <c:v>-0.42718595030938045</c:v>
                </c:pt>
                <c:pt idx="863">
                  <c:v>-0.40837293219836696</c:v>
                </c:pt>
                <c:pt idx="864">
                  <c:v>-0.43792591034504846</c:v>
                </c:pt>
                <c:pt idx="865">
                  <c:v>-0.50234446267436594</c:v>
                </c:pt>
                <c:pt idx="866">
                  <c:v>-0.55286356781813817</c:v>
                </c:pt>
                <c:pt idx="867">
                  <c:v>-0.61033871299338172</c:v>
                </c:pt>
                <c:pt idx="868">
                  <c:v>-0.61390887030208707</c:v>
                </c:pt>
                <c:pt idx="869">
                  <c:v>-0.55353674185904267</c:v>
                </c:pt>
                <c:pt idx="870">
                  <c:v>-0.63779708547678249</c:v>
                </c:pt>
                <c:pt idx="871">
                  <c:v>-0.59688718273265629</c:v>
                </c:pt>
                <c:pt idx="872">
                  <c:v>-0.60962620851008609</c:v>
                </c:pt>
                <c:pt idx="873">
                  <c:v>-0.61462443383888066</c:v>
                </c:pt>
                <c:pt idx="874">
                  <c:v>-0.60394437504265508</c:v>
                </c:pt>
                <c:pt idx="875">
                  <c:v>-0.59267665019631277</c:v>
                </c:pt>
                <c:pt idx="876">
                  <c:v>-0.60678125637785474</c:v>
                </c:pt>
                <c:pt idx="877">
                  <c:v>-0.63706475296510701</c:v>
                </c:pt>
                <c:pt idx="878">
                  <c:v>-0.67359509135256146</c:v>
                </c:pt>
                <c:pt idx="879">
                  <c:v>-0.65479047556421532</c:v>
                </c:pt>
                <c:pt idx="880">
                  <c:v>-0.59477970039309158</c:v>
                </c:pt>
                <c:pt idx="881">
                  <c:v>-0.58153447364307109</c:v>
                </c:pt>
                <c:pt idx="882">
                  <c:v>-0.59337717561900616</c:v>
                </c:pt>
                <c:pt idx="883">
                  <c:v>-0.57600959771110127</c:v>
                </c:pt>
                <c:pt idx="884">
                  <c:v>-0.61319381843036147</c:v>
                </c:pt>
                <c:pt idx="885">
                  <c:v>-0.63706475296510723</c:v>
                </c:pt>
                <c:pt idx="886">
                  <c:v>-0.61605709884037674</c:v>
                </c:pt>
                <c:pt idx="887">
                  <c:v>-0.59970408600377001</c:v>
                </c:pt>
                <c:pt idx="888">
                  <c:v>-0.63926336139931017</c:v>
                </c:pt>
                <c:pt idx="889">
                  <c:v>-0.61534050977352506</c:v>
                </c:pt>
                <c:pt idx="890">
                  <c:v>-0.621087652029093</c:v>
                </c:pt>
                <c:pt idx="891">
                  <c:v>-0.59477970039309191</c:v>
                </c:pt>
                <c:pt idx="892">
                  <c:v>-0.58153447364307143</c:v>
                </c:pt>
                <c:pt idx="893">
                  <c:v>-0.57669854021165512</c:v>
                </c:pt>
                <c:pt idx="894">
                  <c:v>-0.56709627164467513</c:v>
                </c:pt>
                <c:pt idx="895">
                  <c:v>-0.56641391064924607</c:v>
                </c:pt>
                <c:pt idx="896">
                  <c:v>-0.58222723432197199</c:v>
                </c:pt>
                <c:pt idx="897">
                  <c:v>-0.53353607515237333</c:v>
                </c:pt>
                <c:pt idx="898">
                  <c:v>-0.50490692403806636</c:v>
                </c:pt>
                <c:pt idx="899">
                  <c:v>-0.54348640600554143</c:v>
                </c:pt>
                <c:pt idx="900">
                  <c:v>-0.5171690976881681</c:v>
                </c:pt>
                <c:pt idx="901">
                  <c:v>-0.47894788486797041</c:v>
                </c:pt>
                <c:pt idx="902">
                  <c:v>-0.43552932434485564</c:v>
                </c:pt>
                <c:pt idx="903">
                  <c:v>-0.39047923688036218</c:v>
                </c:pt>
                <c:pt idx="904">
                  <c:v>-0.5712002445730574</c:v>
                </c:pt>
                <c:pt idx="905">
                  <c:v>-0.61105172550130771</c:v>
                </c:pt>
                <c:pt idx="906">
                  <c:v>-0.67892437690064589</c:v>
                </c:pt>
                <c:pt idx="907">
                  <c:v>-0.67892437690064589</c:v>
                </c:pt>
                <c:pt idx="908">
                  <c:v>-0.63560169491334739</c:v>
                </c:pt>
                <c:pt idx="909">
                  <c:v>-0.63560169491334739</c:v>
                </c:pt>
                <c:pt idx="910">
                  <c:v>-0.67739882359180892</c:v>
                </c:pt>
                <c:pt idx="911">
                  <c:v>-0.63487096780739438</c:v>
                </c:pt>
                <c:pt idx="912">
                  <c:v>-0.66678462235003544</c:v>
                </c:pt>
                <c:pt idx="913">
                  <c:v>-0.67207764037852868</c:v>
                </c:pt>
                <c:pt idx="914">
                  <c:v>-0.63195338732787221</c:v>
                </c:pt>
                <c:pt idx="915">
                  <c:v>-0.70914752190638919</c:v>
                </c:pt>
                <c:pt idx="916">
                  <c:v>-0.70287299151700067</c:v>
                </c:pt>
                <c:pt idx="917">
                  <c:v>-0.64736653649293385</c:v>
                </c:pt>
                <c:pt idx="918">
                  <c:v>-0.64441232459550224</c:v>
                </c:pt>
                <c:pt idx="919">
                  <c:v>-0.67435468121058062</c:v>
                </c:pt>
                <c:pt idx="920">
                  <c:v>-0.67131977751542671</c:v>
                </c:pt>
                <c:pt idx="921">
                  <c:v>-0.66452473438259785</c:v>
                </c:pt>
                <c:pt idx="922">
                  <c:v>-0.66829405659888963</c:v>
                </c:pt>
                <c:pt idx="923">
                  <c:v>-0.67207764037852868</c:v>
                </c:pt>
                <c:pt idx="924">
                  <c:v>-0.68198248325946687</c:v>
                </c:pt>
                <c:pt idx="925">
                  <c:v>-0.71546167074535216</c:v>
                </c:pt>
                <c:pt idx="926">
                  <c:v>-0.7115106580986722</c:v>
                </c:pt>
                <c:pt idx="927">
                  <c:v>-0.72261307190297752</c:v>
                </c:pt>
                <c:pt idx="928">
                  <c:v>-0.68428221597099836</c:v>
                </c:pt>
                <c:pt idx="929">
                  <c:v>-0.66302097470073185</c:v>
                </c:pt>
                <c:pt idx="930">
                  <c:v>-0.69044081896220544</c:v>
                </c:pt>
                <c:pt idx="931">
                  <c:v>-0.70914752190638941</c:v>
                </c:pt>
                <c:pt idx="932">
                  <c:v>-0.67359509135256246</c:v>
                </c:pt>
                <c:pt idx="933">
                  <c:v>-0.70678995696373481</c:v>
                </c:pt>
                <c:pt idx="934">
                  <c:v>-0.67435468121058106</c:v>
                </c:pt>
                <c:pt idx="935">
                  <c:v>-0.67056248857351819</c:v>
                </c:pt>
                <c:pt idx="936">
                  <c:v>-0.74846265336430295</c:v>
                </c:pt>
                <c:pt idx="937">
                  <c:v>-0.76579697101586008</c:v>
                </c:pt>
                <c:pt idx="938">
                  <c:v>-0.78428489255847278</c:v>
                </c:pt>
                <c:pt idx="939">
                  <c:v>-0.81704644323376807</c:v>
                </c:pt>
                <c:pt idx="940">
                  <c:v>-0.82496553433271536</c:v>
                </c:pt>
                <c:pt idx="941">
                  <c:v>-0.78428489255847278</c:v>
                </c:pt>
                <c:pt idx="942">
                  <c:v>-0.79537242618540593</c:v>
                </c:pt>
                <c:pt idx="943">
                  <c:v>-0.80918957173854789</c:v>
                </c:pt>
                <c:pt idx="944">
                  <c:v>-0.77080532873023255</c:v>
                </c:pt>
                <c:pt idx="945">
                  <c:v>-0.73707115507820753</c:v>
                </c:pt>
                <c:pt idx="946">
                  <c:v>-0.74846265336430284</c:v>
                </c:pt>
                <c:pt idx="947">
                  <c:v>-0.72660828297026581</c:v>
                </c:pt>
                <c:pt idx="948">
                  <c:v>-0.76829801442044876</c:v>
                </c:pt>
                <c:pt idx="949">
                  <c:v>-0.76496467800069057</c:v>
                </c:pt>
                <c:pt idx="950">
                  <c:v>-0.80053150899543313</c:v>
                </c:pt>
                <c:pt idx="951">
                  <c:v>-0.79537242618540571</c:v>
                </c:pt>
                <c:pt idx="952">
                  <c:v>-0.72580796279949666</c:v>
                </c:pt>
                <c:pt idx="953">
                  <c:v>-0.73142370158513237</c:v>
                </c:pt>
                <c:pt idx="954">
                  <c:v>-0.74031264900237825</c:v>
                </c:pt>
                <c:pt idx="955">
                  <c:v>-0.69586088643154442</c:v>
                </c:pt>
                <c:pt idx="956">
                  <c:v>-0.71704645713092385</c:v>
                </c:pt>
                <c:pt idx="957">
                  <c:v>-0.69276010875329608</c:v>
                </c:pt>
                <c:pt idx="958">
                  <c:v>-0.64958793688808725</c:v>
                </c:pt>
                <c:pt idx="959">
                  <c:v>-0.67283607803339063</c:v>
                </c:pt>
                <c:pt idx="960">
                  <c:v>-0.64367513326097392</c:v>
                </c:pt>
                <c:pt idx="961">
                  <c:v>-0.68658724964621487</c:v>
                </c:pt>
                <c:pt idx="962">
                  <c:v>-0.72660828297026525</c:v>
                </c:pt>
                <c:pt idx="963">
                  <c:v>-0.69044081896220488</c:v>
                </c:pt>
                <c:pt idx="964">
                  <c:v>-0.68658724964621487</c:v>
                </c:pt>
                <c:pt idx="965">
                  <c:v>-0.66002022226149315</c:v>
                </c:pt>
                <c:pt idx="966">
                  <c:v>-0.71151065809867187</c:v>
                </c:pt>
                <c:pt idx="967">
                  <c:v>-0.7691330875378698</c:v>
                </c:pt>
                <c:pt idx="968">
                  <c:v>-0.90685033809507065</c:v>
                </c:pt>
                <c:pt idx="969">
                  <c:v>-0.92230958316728484</c:v>
                </c:pt>
                <c:pt idx="970">
                  <c:v>-0.94296944243615843</c:v>
                </c:pt>
                <c:pt idx="971">
                  <c:v>-0.9650808960435896</c:v>
                </c:pt>
                <c:pt idx="972">
                  <c:v>-0.87199047297757759</c:v>
                </c:pt>
                <c:pt idx="973">
                  <c:v>-0.78005297765189219</c:v>
                </c:pt>
                <c:pt idx="974">
                  <c:v>-0.81005951524708741</c:v>
                </c:pt>
                <c:pt idx="975">
                  <c:v>-0.82408253206783677</c:v>
                </c:pt>
                <c:pt idx="976">
                  <c:v>-0.86185680726277225</c:v>
                </c:pt>
                <c:pt idx="977">
                  <c:v>-0.85728432558788226</c:v>
                </c:pt>
                <c:pt idx="978">
                  <c:v>-0.87477211593945459</c:v>
                </c:pt>
                <c:pt idx="979">
                  <c:v>-0.89446332882963631</c:v>
                </c:pt>
                <c:pt idx="980">
                  <c:v>-0.8719904729775777</c:v>
                </c:pt>
                <c:pt idx="981">
                  <c:v>-0.82320030880814588</c:v>
                </c:pt>
                <c:pt idx="982">
                  <c:v>-0.81180167596647246</c:v>
                </c:pt>
                <c:pt idx="983">
                  <c:v>-0.86094063679099286</c:v>
                </c:pt>
                <c:pt idx="984">
                  <c:v>-0.84099437260861376</c:v>
                </c:pt>
                <c:pt idx="985">
                  <c:v>-0.81792325170730196</c:v>
                </c:pt>
                <c:pt idx="986">
                  <c:v>-0.79794864057717874</c:v>
                </c:pt>
                <c:pt idx="987">
                  <c:v>-0.80485117013994922</c:v>
                </c:pt>
                <c:pt idx="988">
                  <c:v>-0.84009710920162406</c:v>
                </c:pt>
                <c:pt idx="989">
                  <c:v>-0.8897396544818601</c:v>
                </c:pt>
                <c:pt idx="990">
                  <c:v>-0.87756151802703308</c:v>
                </c:pt>
                <c:pt idx="991">
                  <c:v>-0.87570105237411344</c:v>
                </c:pt>
                <c:pt idx="992">
                  <c:v>-0.84549280574547603</c:v>
                </c:pt>
                <c:pt idx="993">
                  <c:v>-0.82939227905606694</c:v>
                </c:pt>
                <c:pt idx="994">
                  <c:v>-0.86369167016288262</c:v>
                </c:pt>
                <c:pt idx="995">
                  <c:v>-0.85546117102636721</c:v>
                </c:pt>
                <c:pt idx="996">
                  <c:v>-0.94895151411370615</c:v>
                </c:pt>
                <c:pt idx="997">
                  <c:v>-0.95799225876585525</c:v>
                </c:pt>
                <c:pt idx="998">
                  <c:v>-1.0269130555834181</c:v>
                </c:pt>
                <c:pt idx="999">
                  <c:v>-1.050984239678858</c:v>
                </c:pt>
                <c:pt idx="1000">
                  <c:v>-1.0498774327036671</c:v>
                </c:pt>
                <c:pt idx="1001">
                  <c:v>-1.0290775585929912</c:v>
                </c:pt>
                <c:pt idx="1002">
                  <c:v>-1.0355993208393786</c:v>
                </c:pt>
                <c:pt idx="1003">
                  <c:v>-1.0290775585929912</c:v>
                </c:pt>
                <c:pt idx="1004">
                  <c:v>-1.068861810786264</c:v>
                </c:pt>
                <c:pt idx="1005">
                  <c:v>-1.0076405104623858</c:v>
                </c:pt>
                <c:pt idx="1006">
                  <c:v>-1.0023522908408213</c:v>
                </c:pt>
                <c:pt idx="1007">
                  <c:v>-0.99604312164755682</c:v>
                </c:pt>
                <c:pt idx="1008">
                  <c:v>-0.91165572937000916</c:v>
                </c:pt>
                <c:pt idx="1009">
                  <c:v>-0.86645029260196238</c:v>
                </c:pt>
                <c:pt idx="1010">
                  <c:v>-0.82496553433271491</c:v>
                </c:pt>
                <c:pt idx="1011">
                  <c:v>-0.79966981139795168</c:v>
                </c:pt>
                <c:pt idx="1012">
                  <c:v>-0.72101944606769908</c:v>
                </c:pt>
                <c:pt idx="1013">
                  <c:v>-0.71783979315031954</c:v>
                </c:pt>
                <c:pt idx="1014">
                  <c:v>-0.67511484848397818</c:v>
                </c:pt>
                <c:pt idx="1015">
                  <c:v>-0.67587559405128728</c:v>
                </c:pt>
                <c:pt idx="1016">
                  <c:v>-0.66904962898088738</c:v>
                </c:pt>
                <c:pt idx="1017">
                  <c:v>-0.71863375905149596</c:v>
                </c:pt>
                <c:pt idx="1018">
                  <c:v>-0.72821084741580655</c:v>
                </c:pt>
                <c:pt idx="1019">
                  <c:v>-0.68504997032732851</c:v>
                </c:pt>
                <c:pt idx="1020">
                  <c:v>-0.64810645513564424</c:v>
                </c:pt>
                <c:pt idx="1021">
                  <c:v>-0.65777555240766927</c:v>
                </c:pt>
                <c:pt idx="1022">
                  <c:v>-0.57532112952556025</c:v>
                </c:pt>
                <c:pt idx="1023">
                  <c:v>-0.54348640600554166</c:v>
                </c:pt>
                <c:pt idx="1024">
                  <c:v>-0.54950447833110472</c:v>
                </c:pt>
                <c:pt idx="1025">
                  <c:v>-0.58569825481485116</c:v>
                </c:pt>
                <c:pt idx="1026">
                  <c:v>-0.5555589872398109</c:v>
                </c:pt>
                <c:pt idx="1027">
                  <c:v>-0.51976987938822561</c:v>
                </c:pt>
                <c:pt idx="1028">
                  <c:v>-0.48396042669151484</c:v>
                </c:pt>
                <c:pt idx="1029">
                  <c:v>-0.51587123897256837</c:v>
                </c:pt>
                <c:pt idx="1030">
                  <c:v>-0.51716909768816832</c:v>
                </c:pt>
                <c:pt idx="1031">
                  <c:v>-0.521724914224029</c:v>
                </c:pt>
                <c:pt idx="1032">
                  <c:v>-0.57325856433921174</c:v>
                </c:pt>
                <c:pt idx="1033">
                  <c:v>-0.58639390701681815</c:v>
                </c:pt>
                <c:pt idx="1034">
                  <c:v>-0.59688718273265684</c:v>
                </c:pt>
                <c:pt idx="1035">
                  <c:v>-0.54883401233213691</c:v>
                </c:pt>
                <c:pt idx="1036">
                  <c:v>-0.56165037663321271</c:v>
                </c:pt>
                <c:pt idx="1037">
                  <c:v>-0.52042113307454563</c:v>
                </c:pt>
                <c:pt idx="1038">
                  <c:v>-0.52303039743815938</c:v>
                </c:pt>
                <c:pt idx="1039">
                  <c:v>-0.51522294073268227</c:v>
                </c:pt>
                <c:pt idx="1040">
                  <c:v>-0.56029352432192281</c:v>
                </c:pt>
                <c:pt idx="1041">
                  <c:v>-0.51587123897256826</c:v>
                </c:pt>
                <c:pt idx="1042">
                  <c:v>-0.49596689003756528</c:v>
                </c:pt>
                <c:pt idx="1043">
                  <c:v>-0.50747596848250864</c:v>
                </c:pt>
                <c:pt idx="1044">
                  <c:v>-0.4827049337456828</c:v>
                </c:pt>
                <c:pt idx="1045">
                  <c:v>-0.50298446269621189</c:v>
                </c:pt>
                <c:pt idx="1046">
                  <c:v>-0.54215396077176303</c:v>
                </c:pt>
                <c:pt idx="1047">
                  <c:v>-0.52761305684925142</c:v>
                </c:pt>
                <c:pt idx="1048">
                  <c:v>-0.51263394252277672</c:v>
                </c:pt>
                <c:pt idx="1049">
                  <c:v>-0.53485707930748694</c:v>
                </c:pt>
                <c:pt idx="1050">
                  <c:v>-0.55555898723981068</c:v>
                </c:pt>
                <c:pt idx="1051">
                  <c:v>-0.52107281116864146</c:v>
                </c:pt>
                <c:pt idx="1052">
                  <c:v>-0.5589385105644632</c:v>
                </c:pt>
                <c:pt idx="1053">
                  <c:v>-0.5877866649021215</c:v>
                </c:pt>
                <c:pt idx="1054">
                  <c:v>-0.6110517255013076</c:v>
                </c:pt>
                <c:pt idx="1055">
                  <c:v>-0.60891421132799672</c:v>
                </c:pt>
                <c:pt idx="1056">
                  <c:v>-0.6436751332609737</c:v>
                </c:pt>
                <c:pt idx="1057">
                  <c:v>-0.60111551884217784</c:v>
                </c:pt>
                <c:pt idx="1058">
                  <c:v>-0.58848377193627732</c:v>
                </c:pt>
                <c:pt idx="1059">
                  <c:v>-0.59548170112392185</c:v>
                </c:pt>
                <c:pt idx="1060">
                  <c:v>-0.53750433432799405</c:v>
                </c:pt>
                <c:pt idx="1061">
                  <c:v>-0.57669854021165512</c:v>
                </c:pt>
                <c:pt idx="1062">
                  <c:v>-0.57532112952556003</c:v>
                </c:pt>
                <c:pt idx="1063">
                  <c:v>-0.61247927749249287</c:v>
                </c:pt>
                <c:pt idx="1064">
                  <c:v>-0.58848377193627721</c:v>
                </c:pt>
                <c:pt idx="1065">
                  <c:v>-0.57876822015018126</c:v>
                </c:pt>
                <c:pt idx="1066">
                  <c:v>-0.56641391064924607</c:v>
                </c:pt>
                <c:pt idx="1067">
                  <c:v>-0.55353674185904289</c:v>
                </c:pt>
                <c:pt idx="1068">
                  <c:v>-0.53684186328687289</c:v>
                </c:pt>
                <c:pt idx="1069">
                  <c:v>-0.55623397882804404</c:v>
                </c:pt>
                <c:pt idx="1070">
                  <c:v>-0.53353607515237345</c:v>
                </c:pt>
                <c:pt idx="1071">
                  <c:v>-0.55758533038504332</c:v>
                </c:pt>
                <c:pt idx="1072">
                  <c:v>-0.5361798308231035</c:v>
                </c:pt>
                <c:pt idx="1073">
                  <c:v>-0.5171690976881681</c:v>
                </c:pt>
                <c:pt idx="1074">
                  <c:v>-0.54816399555665263</c:v>
                </c:pt>
                <c:pt idx="1075">
                  <c:v>-0.60820272072523274</c:v>
                </c:pt>
                <c:pt idx="1076">
                  <c:v>-0.60962620851008653</c:v>
                </c:pt>
                <c:pt idx="1077">
                  <c:v>-0.62831834152223909</c:v>
                </c:pt>
                <c:pt idx="1078">
                  <c:v>-0.57532112952556014</c:v>
                </c:pt>
                <c:pt idx="1079">
                  <c:v>-0.59337717561900671</c:v>
                </c:pt>
                <c:pt idx="1080">
                  <c:v>-0.59197661516597566</c:v>
                </c:pt>
                <c:pt idx="1081">
                  <c:v>-0.62469646143108482</c:v>
                </c:pt>
                <c:pt idx="1082">
                  <c:v>-0.64293848497720163</c:v>
                </c:pt>
                <c:pt idx="1083">
                  <c:v>-0.65927143899925211</c:v>
                </c:pt>
                <c:pt idx="1084">
                  <c:v>-0.70131049119910882</c:v>
                </c:pt>
                <c:pt idx="1085">
                  <c:v>-0.71942835583545728</c:v>
                </c:pt>
                <c:pt idx="1086">
                  <c:v>-0.67968802718594312</c:v>
                </c:pt>
                <c:pt idx="1087">
                  <c:v>-0.640731790444377</c:v>
                </c:pt>
                <c:pt idx="1088">
                  <c:v>-0.66452473438259774</c:v>
                </c:pt>
                <c:pt idx="1089">
                  <c:v>-0.71072232538145541</c:v>
                </c:pt>
                <c:pt idx="1090">
                  <c:v>-0.69975042848020663</c:v>
                </c:pt>
                <c:pt idx="1091">
                  <c:v>-0.73950128993149877</c:v>
                </c:pt>
                <c:pt idx="1092">
                  <c:v>-0.6950847901566557</c:v>
                </c:pt>
                <c:pt idx="1093">
                  <c:v>-0.65181428289116983</c:v>
                </c:pt>
                <c:pt idx="1094">
                  <c:v>-0.65553590981416454</c:v>
                </c:pt>
                <c:pt idx="1095">
                  <c:v>-0.68351505060924489</c:v>
                </c:pt>
                <c:pt idx="1096">
                  <c:v>-0.73545433985130171</c:v>
                </c:pt>
                <c:pt idx="1097">
                  <c:v>-0.72500828262893202</c:v>
                </c:pt>
                <c:pt idx="1098">
                  <c:v>-0.70131049119910882</c:v>
                </c:pt>
                <c:pt idx="1099">
                  <c:v>-0.75420743732119433</c:v>
                </c:pt>
                <c:pt idx="1100">
                  <c:v>-0.72500828262893202</c:v>
                </c:pt>
                <c:pt idx="1101">
                  <c:v>-0.73384013449676055</c:v>
                </c:pt>
                <c:pt idx="1102">
                  <c:v>-0.75010065536854098</c:v>
                </c:pt>
                <c:pt idx="1103">
                  <c:v>-0.75338473056973088</c:v>
                </c:pt>
                <c:pt idx="1104">
                  <c:v>-0.79280283162377485</c:v>
                </c:pt>
                <c:pt idx="1105">
                  <c:v>-0.79537242618540549</c:v>
                </c:pt>
                <c:pt idx="1106">
                  <c:v>-0.84549280574547614</c:v>
                </c:pt>
                <c:pt idx="1107">
                  <c:v>-0.81442062115609992</c:v>
                </c:pt>
                <c:pt idx="1108">
                  <c:v>-0.8267338813894568</c:v>
                </c:pt>
                <c:pt idx="1109">
                  <c:v>-0.82850536103783889</c:v>
                </c:pt>
                <c:pt idx="1110">
                  <c:v>-0.82231886318033987</c:v>
                </c:pt>
                <c:pt idx="1111">
                  <c:v>-0.78768336651758353</c:v>
                </c:pt>
                <c:pt idx="1112">
                  <c:v>-0.79794864057717829</c:v>
                </c:pt>
                <c:pt idx="1113">
                  <c:v>-0.75833115450505595</c:v>
                </c:pt>
                <c:pt idx="1114">
                  <c:v>-0.67739882359180847</c:v>
                </c:pt>
                <c:pt idx="1115">
                  <c:v>-0.61105172550130737</c:v>
                </c:pt>
                <c:pt idx="1116">
                  <c:v>-0.62397365691822781</c:v>
                </c:pt>
                <c:pt idx="1117">
                  <c:v>-0.61462443383888077</c:v>
                </c:pt>
                <c:pt idx="1118">
                  <c:v>-0.62759291530254091</c:v>
                </c:pt>
                <c:pt idx="1119">
                  <c:v>-0.63633295637189302</c:v>
                </c:pt>
                <c:pt idx="1120">
                  <c:v>-0.67663691879304633</c:v>
                </c:pt>
                <c:pt idx="1121">
                  <c:v>-0.70209143618217962</c:v>
                </c:pt>
                <c:pt idx="1122">
                  <c:v>-0.75092066361457099</c:v>
                </c:pt>
                <c:pt idx="1123">
                  <c:v>-0.73626242070335457</c:v>
                </c:pt>
                <c:pt idx="1124">
                  <c:v>-0.75915794248104973</c:v>
                </c:pt>
                <c:pt idx="1125">
                  <c:v>-0.78428489255847145</c:v>
                </c:pt>
                <c:pt idx="1126">
                  <c:v>-0.78513342888431026</c:v>
                </c:pt>
                <c:pt idx="1127">
                  <c:v>-0.74437934838493069</c:v>
                </c:pt>
                <c:pt idx="1128">
                  <c:v>-0.7298159841970342</c:v>
                </c:pt>
                <c:pt idx="1129">
                  <c:v>-0.7322285306024181</c:v>
                </c:pt>
                <c:pt idx="1130">
                  <c:v>-0.72261307190297608</c:v>
                </c:pt>
                <c:pt idx="1131">
                  <c:v>-0.68581831458333686</c:v>
                </c:pt>
                <c:pt idx="1132">
                  <c:v>-0.69975042848020563</c:v>
                </c:pt>
                <c:pt idx="1133">
                  <c:v>-0.71229961277470299</c:v>
                </c:pt>
                <c:pt idx="1134">
                  <c:v>-0.72261307190297608</c:v>
                </c:pt>
                <c:pt idx="1135">
                  <c:v>-0.69044081896220388</c:v>
                </c:pt>
                <c:pt idx="1136">
                  <c:v>-0.66377257188004235</c:v>
                </c:pt>
                <c:pt idx="1137">
                  <c:v>-0.67435468121057929</c:v>
                </c:pt>
                <c:pt idx="1138">
                  <c:v>-0.67892437690064456</c:v>
                </c:pt>
                <c:pt idx="1139">
                  <c:v>-0.73384013449675922</c:v>
                </c:pt>
                <c:pt idx="1140">
                  <c:v>-0.74112466691138823</c:v>
                </c:pt>
                <c:pt idx="1141">
                  <c:v>-0.70443793706330238</c:v>
                </c:pt>
                <c:pt idx="1142">
                  <c:v>-0.66527746305946245</c:v>
                </c:pt>
                <c:pt idx="1143">
                  <c:v>-0.6781613093321418</c:v>
                </c:pt>
                <c:pt idx="1144">
                  <c:v>-0.69198641432398411</c:v>
                </c:pt>
                <c:pt idx="1145">
                  <c:v>-0.71704645713092208</c:v>
                </c:pt>
                <c:pt idx="1146">
                  <c:v>-0.72341083819977336</c:v>
                </c:pt>
                <c:pt idx="1147">
                  <c:v>-0.70522132919110658</c:v>
                </c:pt>
                <c:pt idx="1148">
                  <c:v>-0.742750683529807</c:v>
                </c:pt>
                <c:pt idx="1149">
                  <c:v>-0.70287299151699922</c:v>
                </c:pt>
                <c:pt idx="1150">
                  <c:v>-0.68121707947161991</c:v>
                </c:pt>
                <c:pt idx="1151">
                  <c:v>-0.69663758549971522</c:v>
                </c:pt>
                <c:pt idx="1152">
                  <c:v>-0.72181594152995743</c:v>
                </c:pt>
                <c:pt idx="1153">
                  <c:v>-0.69508479015665425</c:v>
                </c:pt>
                <c:pt idx="1154">
                  <c:v>-0.61462443383887988</c:v>
                </c:pt>
                <c:pt idx="1155">
                  <c:v>-0.57945906646435785</c:v>
                </c:pt>
                <c:pt idx="1156">
                  <c:v>-0.58292047525094737</c:v>
                </c:pt>
                <c:pt idx="1157">
                  <c:v>-0.60465284124302776</c:v>
                </c:pt>
                <c:pt idx="1158">
                  <c:v>-0.6039443750426543</c:v>
                </c:pt>
                <c:pt idx="1159">
                  <c:v>-0.6341407742736711</c:v>
                </c:pt>
                <c:pt idx="1160">
                  <c:v>-0.64662716492505368</c:v>
                </c:pt>
                <c:pt idx="1161">
                  <c:v>-0.65479047556421455</c:v>
                </c:pt>
                <c:pt idx="1162">
                  <c:v>-0.67207764037852713</c:v>
                </c:pt>
                <c:pt idx="1163">
                  <c:v>-0.70522132919110658</c:v>
                </c:pt>
                <c:pt idx="1164">
                  <c:v>-0.70365515815836166</c:v>
                </c:pt>
                <c:pt idx="1165">
                  <c:v>-0.71387939193422112</c:v>
                </c:pt>
                <c:pt idx="1166">
                  <c:v>-0.72261307190297575</c:v>
                </c:pt>
                <c:pt idx="1167">
                  <c:v>-0.70993461364320487</c:v>
                </c:pt>
                <c:pt idx="1168">
                  <c:v>-0.70993461364320487</c:v>
                </c:pt>
                <c:pt idx="1169">
                  <c:v>-0.74437934838493036</c:v>
                </c:pt>
                <c:pt idx="1170">
                  <c:v>-0.70287299151699911</c:v>
                </c:pt>
                <c:pt idx="1171">
                  <c:v>-0.69044081896220366</c:v>
                </c:pt>
                <c:pt idx="1172">
                  <c:v>-0.67816130933214192</c:v>
                </c:pt>
                <c:pt idx="1173">
                  <c:v>-0.67587559405128583</c:v>
                </c:pt>
                <c:pt idx="1174">
                  <c:v>-0.80398574386351895</c:v>
                </c:pt>
                <c:pt idx="1175">
                  <c:v>-0.79708916480445846</c:v>
                </c:pt>
                <c:pt idx="1176">
                  <c:v>-0.81005951524708597</c:v>
                </c:pt>
                <c:pt idx="1177">
                  <c:v>-0.85091777384233924</c:v>
                </c:pt>
                <c:pt idx="1178">
                  <c:v>-0.82496553433271336</c:v>
                </c:pt>
                <c:pt idx="1179">
                  <c:v>-0.80225713496290108</c:v>
                </c:pt>
                <c:pt idx="1180">
                  <c:v>-0.82408253206783533</c:v>
                </c:pt>
                <c:pt idx="1181">
                  <c:v>-0.81704644323376607</c:v>
                </c:pt>
                <c:pt idx="1182">
                  <c:v>-0.78938694444236623</c:v>
                </c:pt>
                <c:pt idx="1183">
                  <c:v>-0.78005297765189074</c:v>
                </c:pt>
                <c:pt idx="1184">
                  <c:v>-0.79537242618540394</c:v>
                </c:pt>
                <c:pt idx="1185">
                  <c:v>-0.79708916480445846</c:v>
                </c:pt>
                <c:pt idx="1186">
                  <c:v>-0.80918957173854589</c:v>
                </c:pt>
                <c:pt idx="1187">
                  <c:v>-0.80832038437395892</c:v>
                </c:pt>
                <c:pt idx="1188">
                  <c:v>-0.84459149878946171</c:v>
                </c:pt>
                <c:pt idx="1189">
                  <c:v>-0.88503818837005166</c:v>
                </c:pt>
                <c:pt idx="1190">
                  <c:v>-0.88222788207079628</c:v>
                </c:pt>
                <c:pt idx="1191">
                  <c:v>-0.85091777384233902</c:v>
                </c:pt>
                <c:pt idx="1192">
                  <c:v>-0.88222788207079628</c:v>
                </c:pt>
                <c:pt idx="1193">
                  <c:v>-0.86645029260196071</c:v>
                </c:pt>
                <c:pt idx="1194">
                  <c:v>-0.89920942221889033</c:v>
                </c:pt>
                <c:pt idx="1195">
                  <c:v>-0.914550087396372</c:v>
                </c:pt>
                <c:pt idx="1196">
                  <c:v>-0.92036405726179182</c:v>
                </c:pt>
                <c:pt idx="1197">
                  <c:v>-0.93999177274223233</c:v>
                </c:pt>
                <c:pt idx="1198">
                  <c:v>-0.92133634708073098</c:v>
                </c:pt>
                <c:pt idx="1199">
                  <c:v>-0.89730828096186599</c:v>
                </c:pt>
                <c:pt idx="1200">
                  <c:v>-0.88410054179408804</c:v>
                </c:pt>
                <c:pt idx="1201">
                  <c:v>-0.85728432558788037</c:v>
                </c:pt>
                <c:pt idx="1202">
                  <c:v>-0.91745284705433316</c:v>
                </c:pt>
                <c:pt idx="1203">
                  <c:v>-0.91261958486631412</c:v>
                </c:pt>
                <c:pt idx="1204">
                  <c:v>-0.86277381787265195</c:v>
                </c:pt>
                <c:pt idx="1205">
                  <c:v>-0.86094063679099109</c:v>
                </c:pt>
                <c:pt idx="1206">
                  <c:v>-0.89257118067759678</c:v>
                </c:pt>
                <c:pt idx="1207">
                  <c:v>-0.91069280199661407</c:v>
                </c:pt>
                <c:pt idx="1208">
                  <c:v>-0.91648432397620305</c:v>
                </c:pt>
                <c:pt idx="1209">
                  <c:v>-0.93504860894471309</c:v>
                </c:pt>
                <c:pt idx="1210">
                  <c:v>-0.94098334446452769</c:v>
                </c:pt>
                <c:pt idx="1211">
                  <c:v>-0.97632271090983658</c:v>
                </c:pt>
                <c:pt idx="1212">
                  <c:v>-0.96915422143122409</c:v>
                </c:pt>
                <c:pt idx="1213">
                  <c:v>-0.99499545261511146</c:v>
                </c:pt>
                <c:pt idx="1214">
                  <c:v>-0.96406515192375286</c:v>
                </c:pt>
                <c:pt idx="1215">
                  <c:v>-0.95496958643926777</c:v>
                </c:pt>
                <c:pt idx="1216">
                  <c:v>-0.94098334446452792</c:v>
                </c:pt>
                <c:pt idx="1217">
                  <c:v>-0.84639492578861264</c:v>
                </c:pt>
                <c:pt idx="1218">
                  <c:v>-0.78598268583556508</c:v>
                </c:pt>
                <c:pt idx="1219">
                  <c:v>-0.81354687710750173</c:v>
                </c:pt>
                <c:pt idx="1220">
                  <c:v>-0.79966981139795024</c:v>
                </c:pt>
                <c:pt idx="1221">
                  <c:v>-1.0108269178317921</c:v>
                </c:pt>
                <c:pt idx="1222">
                  <c:v>-0.98561549848529606</c:v>
                </c:pt>
                <c:pt idx="1223">
                  <c:v>-0.93603528884715825</c:v>
                </c:pt>
                <c:pt idx="1224">
                  <c:v>-0.96001246147312957</c:v>
                </c:pt>
                <c:pt idx="1225">
                  <c:v>-0.90589202465325769</c:v>
                </c:pt>
                <c:pt idx="1226">
                  <c:v>-0.89446332882963486</c:v>
                </c:pt>
                <c:pt idx="1227">
                  <c:v>-0.91745284705433361</c:v>
                </c:pt>
                <c:pt idx="1228">
                  <c:v>-0.88035872264809278</c:v>
                </c:pt>
                <c:pt idx="1229">
                  <c:v>-0.87756151802703153</c:v>
                </c:pt>
                <c:pt idx="1230">
                  <c:v>-0.89257118067759678</c:v>
                </c:pt>
                <c:pt idx="1231">
                  <c:v>-0.88503818837005155</c:v>
                </c:pt>
                <c:pt idx="1232">
                  <c:v>-0.86737152712128152</c:v>
                </c:pt>
                <c:pt idx="1233">
                  <c:v>-0.87384404162689899</c:v>
                </c:pt>
                <c:pt idx="1234">
                  <c:v>-0.8887975912939573</c:v>
                </c:pt>
                <c:pt idx="1235">
                  <c:v>-0.87384404162689899</c:v>
                </c:pt>
                <c:pt idx="1236">
                  <c:v>-0.90493462869693009</c:v>
                </c:pt>
                <c:pt idx="1237">
                  <c:v>-0.82408253206783511</c:v>
                </c:pt>
                <c:pt idx="1238">
                  <c:v>-0.8188008296486593</c:v>
                </c:pt>
                <c:pt idx="1239">
                  <c:v>-0.86552990597463209</c:v>
                </c:pt>
                <c:pt idx="1240">
                  <c:v>-0.8609406367909912</c:v>
                </c:pt>
                <c:pt idx="1241">
                  <c:v>-0.87014033368941468</c:v>
                </c:pt>
                <c:pt idx="1242">
                  <c:v>-0.81180167596647079</c:v>
                </c:pt>
                <c:pt idx="1243">
                  <c:v>-0.81529512930103087</c:v>
                </c:pt>
                <c:pt idx="1244">
                  <c:v>-0.83294783835739827</c:v>
                </c:pt>
                <c:pt idx="1245">
                  <c:v>-0.77668029317325116</c:v>
                </c:pt>
                <c:pt idx="1246">
                  <c:v>-0.72660828297026381</c:v>
                </c:pt>
                <c:pt idx="1247">
                  <c:v>-0.74519467659968486</c:v>
                </c:pt>
                <c:pt idx="1248">
                  <c:v>-0.76913308753786835</c:v>
                </c:pt>
                <c:pt idx="1249">
                  <c:v>-0.73707115507820542</c:v>
                </c:pt>
                <c:pt idx="1250">
                  <c:v>-0.79537242618540371</c:v>
                </c:pt>
                <c:pt idx="1251">
                  <c:v>-0.81005951524708575</c:v>
                </c:pt>
                <c:pt idx="1252">
                  <c:v>-0.82939227905606516</c:v>
                </c:pt>
                <c:pt idx="1253">
                  <c:v>-0.80918957173854567</c:v>
                </c:pt>
                <c:pt idx="1254">
                  <c:v>-0.81005951524708564</c:v>
                </c:pt>
                <c:pt idx="1255">
                  <c:v>-0.79280283162377285</c:v>
                </c:pt>
                <c:pt idx="1256">
                  <c:v>-0.81967917840956495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3E-41D2-9597-FB46A4D01D7B}"/>
            </c:ext>
          </c:extLst>
        </c:ser>
        <c:ser>
          <c:idx val="1"/>
          <c:order val="1"/>
          <c:tx>
            <c:v>szimuláció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Számolások!$D$4:$D$1260</c:f>
              <c:numCache>
                <c:formatCode>0</c:formatCode>
                <c:ptCount val="12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</c:numCache>
            </c:numRef>
          </c:xVal>
          <c:yVal>
            <c:numRef>
              <c:f>Számolások!$N$4:$N$1260</c:f>
              <c:numCache>
                <c:formatCode>0.0000</c:formatCode>
                <c:ptCount val="1257"/>
                <c:pt idx="0">
                  <c:v>-2.0854893568488065E-2</c:v>
                </c:pt>
                <c:pt idx="1">
                  <c:v>-6.6735659419161805E-2</c:v>
                </c:pt>
                <c:pt idx="2">
                  <c:v>8.5505063630801056E-2</c:v>
                </c:pt>
                <c:pt idx="3">
                  <c:v>0.16058268047735808</c:v>
                </c:pt>
                <c:pt idx="4">
                  <c:v>0.16683914854790449</c:v>
                </c:pt>
                <c:pt idx="5">
                  <c:v>0.15432621240681166</c:v>
                </c:pt>
                <c:pt idx="6">
                  <c:v>0.18352306340269495</c:v>
                </c:pt>
                <c:pt idx="7">
                  <c:v>0.22314736118282227</c:v>
                </c:pt>
                <c:pt idx="8">
                  <c:v>0.25651519089240316</c:v>
                </c:pt>
                <c:pt idx="9">
                  <c:v>0.25442970153555433</c:v>
                </c:pt>
                <c:pt idx="10">
                  <c:v>0.23148931861021746</c:v>
                </c:pt>
                <c:pt idx="11">
                  <c:v>0.23566029732391508</c:v>
                </c:pt>
                <c:pt idx="12">
                  <c:v>0.25234421217870551</c:v>
                </c:pt>
                <c:pt idx="13">
                  <c:v>0.28571204188828642</c:v>
                </c:pt>
                <c:pt idx="14">
                  <c:v>0.30031046738622807</c:v>
                </c:pt>
                <c:pt idx="15">
                  <c:v>0.3399347651663554</c:v>
                </c:pt>
                <c:pt idx="16">
                  <c:v>0.35036221195059941</c:v>
                </c:pt>
                <c:pt idx="17">
                  <c:v>0.35036221195059941</c:v>
                </c:pt>
                <c:pt idx="18">
                  <c:v>0.34202025452320417</c:v>
                </c:pt>
                <c:pt idx="19">
                  <c:v>0.36496063744854101</c:v>
                </c:pt>
                <c:pt idx="20">
                  <c:v>0.30865242481362326</c:v>
                </c:pt>
                <c:pt idx="21">
                  <c:v>0.30239595674307684</c:v>
                </c:pt>
                <c:pt idx="22">
                  <c:v>0.31282340352732085</c:v>
                </c:pt>
                <c:pt idx="23">
                  <c:v>0.28571204188828636</c:v>
                </c:pt>
                <c:pt idx="24">
                  <c:v>0.3357637864526577</c:v>
                </c:pt>
                <c:pt idx="25">
                  <c:v>0.30448144609992561</c:v>
                </c:pt>
                <c:pt idx="26">
                  <c:v>0.31699438224101845</c:v>
                </c:pt>
                <c:pt idx="27">
                  <c:v>0.34619123323690171</c:v>
                </c:pt>
                <c:pt idx="28">
                  <c:v>0.29822497802937914</c:v>
                </c:pt>
                <c:pt idx="29">
                  <c:v>0.30448144609992556</c:v>
                </c:pt>
                <c:pt idx="30">
                  <c:v>0.27111361639034465</c:v>
                </c:pt>
                <c:pt idx="31">
                  <c:v>0.23357480796706614</c:v>
                </c:pt>
                <c:pt idx="32">
                  <c:v>0.18977953147324123</c:v>
                </c:pt>
                <c:pt idx="33">
                  <c:v>0.13138582948147465</c:v>
                </c:pt>
                <c:pt idx="34">
                  <c:v>0.13972778690886986</c:v>
                </c:pt>
                <c:pt idx="35">
                  <c:v>0.12512936141092823</c:v>
                </c:pt>
                <c:pt idx="36">
                  <c:v>0.13764229755202106</c:v>
                </c:pt>
                <c:pt idx="37">
                  <c:v>0.13764229755202106</c:v>
                </c:pt>
                <c:pt idx="38">
                  <c:v>0.1501552336931139</c:v>
                </c:pt>
                <c:pt idx="39">
                  <c:v>0.12930034012462582</c:v>
                </c:pt>
                <c:pt idx="40">
                  <c:v>7.0906638132859245E-2</c:v>
                </c:pt>
                <c:pt idx="41">
                  <c:v>0.10218897848559134</c:v>
                </c:pt>
                <c:pt idx="42">
                  <c:v>0.17101012726160197</c:v>
                </c:pt>
                <c:pt idx="43">
                  <c:v>0.15641170176366032</c:v>
                </c:pt>
                <c:pt idx="44">
                  <c:v>0.18143757404584598</c:v>
                </c:pt>
                <c:pt idx="45">
                  <c:v>0.20229246761433406</c:v>
                </c:pt>
                <c:pt idx="46">
                  <c:v>0.1876940421163924</c:v>
                </c:pt>
                <c:pt idx="47">
                  <c:v>0.16475365919105553</c:v>
                </c:pt>
                <c:pt idx="48">
                  <c:v>0.22731833989651973</c:v>
                </c:pt>
                <c:pt idx="49">
                  <c:v>0.21271991439857807</c:v>
                </c:pt>
                <c:pt idx="50">
                  <c:v>0.18560855275954358</c:v>
                </c:pt>
                <c:pt idx="51">
                  <c:v>0.15849719112050908</c:v>
                </c:pt>
                <c:pt idx="52">
                  <c:v>0.23566029732391491</c:v>
                </c:pt>
                <c:pt idx="53">
                  <c:v>0.25442970153555416</c:v>
                </c:pt>
                <c:pt idx="54">
                  <c:v>0.27945557381773983</c:v>
                </c:pt>
                <c:pt idx="55">
                  <c:v>0.25442970153555416</c:v>
                </c:pt>
                <c:pt idx="56">
                  <c:v>0.28154106317458866</c:v>
                </c:pt>
                <c:pt idx="57">
                  <c:v>0.25025872282185657</c:v>
                </c:pt>
                <c:pt idx="58">
                  <c:v>0.26068616960610058</c:v>
                </c:pt>
                <c:pt idx="59">
                  <c:v>0.26068616960610058</c:v>
                </c:pt>
                <c:pt idx="60">
                  <c:v>0.25651519089240299</c:v>
                </c:pt>
                <c:pt idx="61">
                  <c:v>0.30656693545677433</c:v>
                </c:pt>
                <c:pt idx="62">
                  <c:v>0.32116536095471598</c:v>
                </c:pt>
                <c:pt idx="63">
                  <c:v>0.36287514809169213</c:v>
                </c:pt>
                <c:pt idx="64">
                  <c:v>0.32950731838211123</c:v>
                </c:pt>
                <c:pt idx="65">
                  <c:v>0.28362655253143748</c:v>
                </c:pt>
                <c:pt idx="66">
                  <c:v>0.29822497802937914</c:v>
                </c:pt>
                <c:pt idx="67">
                  <c:v>0.31073791417047197</c:v>
                </c:pt>
                <c:pt idx="68">
                  <c:v>0.32325085031156481</c:v>
                </c:pt>
                <c:pt idx="69">
                  <c:v>0.35870416937799454</c:v>
                </c:pt>
                <c:pt idx="70">
                  <c:v>0.34619123323690171</c:v>
                </c:pt>
                <c:pt idx="71">
                  <c:v>0.38790102037387786</c:v>
                </c:pt>
                <c:pt idx="72">
                  <c:v>0.32533633966841369</c:v>
                </c:pt>
                <c:pt idx="73">
                  <c:v>0.28362655253143754</c:v>
                </c:pt>
                <c:pt idx="74">
                  <c:v>0.2335748079670662</c:v>
                </c:pt>
                <c:pt idx="75">
                  <c:v>0.23774578668076382</c:v>
                </c:pt>
                <c:pt idx="76">
                  <c:v>0.2711136163903447</c:v>
                </c:pt>
                <c:pt idx="77">
                  <c:v>0.29613948867253037</c:v>
                </c:pt>
                <c:pt idx="78">
                  <c:v>0.30656693545677438</c:v>
                </c:pt>
                <c:pt idx="79">
                  <c:v>0.30239595674307679</c:v>
                </c:pt>
                <c:pt idx="80">
                  <c:v>0.2711136163903447</c:v>
                </c:pt>
                <c:pt idx="81">
                  <c:v>0.27737008446089112</c:v>
                </c:pt>
                <c:pt idx="82">
                  <c:v>0.235660297323915</c:v>
                </c:pt>
                <c:pt idx="83">
                  <c:v>0.20646344632803171</c:v>
                </c:pt>
                <c:pt idx="84">
                  <c:v>0.14181327626571871</c:v>
                </c:pt>
                <c:pt idx="85">
                  <c:v>0.11470191462668423</c:v>
                </c:pt>
                <c:pt idx="86">
                  <c:v>0.1021889784855914</c:v>
                </c:pt>
                <c:pt idx="87">
                  <c:v>0.1021889784855914</c:v>
                </c:pt>
                <c:pt idx="88">
                  <c:v>0.10635995719928901</c:v>
                </c:pt>
                <c:pt idx="89">
                  <c:v>0.1334713188383235</c:v>
                </c:pt>
                <c:pt idx="90">
                  <c:v>0.16892463790475321</c:v>
                </c:pt>
                <c:pt idx="91">
                  <c:v>0.16475365919105558</c:v>
                </c:pt>
                <c:pt idx="92">
                  <c:v>0.14806974433626513</c:v>
                </c:pt>
                <c:pt idx="93">
                  <c:v>0.1355568081951723</c:v>
                </c:pt>
                <c:pt idx="94">
                  <c:v>0.1355568081951723</c:v>
                </c:pt>
                <c:pt idx="95">
                  <c:v>0.15015523369311395</c:v>
                </c:pt>
                <c:pt idx="96">
                  <c:v>0.1355568081951723</c:v>
                </c:pt>
                <c:pt idx="97">
                  <c:v>0.15849719112050917</c:v>
                </c:pt>
                <c:pt idx="98">
                  <c:v>0.13764229755202109</c:v>
                </c:pt>
                <c:pt idx="99">
                  <c:v>0.13138582948147468</c:v>
                </c:pt>
                <c:pt idx="100">
                  <c:v>0.20646344632803171</c:v>
                </c:pt>
                <c:pt idx="101">
                  <c:v>0.18143757404584604</c:v>
                </c:pt>
                <c:pt idx="102">
                  <c:v>0.18560855275954366</c:v>
                </c:pt>
                <c:pt idx="103">
                  <c:v>0.18352306340269486</c:v>
                </c:pt>
                <c:pt idx="104">
                  <c:v>0.17518110597529965</c:v>
                </c:pt>
                <c:pt idx="105">
                  <c:v>0.14598425497941636</c:v>
                </c:pt>
                <c:pt idx="106">
                  <c:v>0.12095838269723069</c:v>
                </c:pt>
                <c:pt idx="107">
                  <c:v>8.9676042344498594E-2</c:v>
                </c:pt>
                <c:pt idx="108">
                  <c:v>0.11053093591298666</c:v>
                </c:pt>
                <c:pt idx="109">
                  <c:v>0.11678740398353307</c:v>
                </c:pt>
                <c:pt idx="110">
                  <c:v>0.11678740398353307</c:v>
                </c:pt>
                <c:pt idx="111">
                  <c:v>0.12304387205407949</c:v>
                </c:pt>
                <c:pt idx="112">
                  <c:v>0.12304387205407949</c:v>
                </c:pt>
                <c:pt idx="113">
                  <c:v>0.13764229755202112</c:v>
                </c:pt>
                <c:pt idx="114">
                  <c:v>6.4650170062312898E-2</c:v>
                </c:pt>
                <c:pt idx="115">
                  <c:v>0.10427446784244021</c:v>
                </c:pt>
                <c:pt idx="116">
                  <c:v>0.1313858294814747</c:v>
                </c:pt>
                <c:pt idx="117">
                  <c:v>0.17101012726160203</c:v>
                </c:pt>
                <c:pt idx="118">
                  <c:v>0.16058268047735799</c:v>
                </c:pt>
                <c:pt idx="119">
                  <c:v>0.21689089311227577</c:v>
                </c:pt>
                <c:pt idx="120">
                  <c:v>0.25234421217870551</c:v>
                </c:pt>
                <c:pt idx="121">
                  <c:v>0.23774578668076385</c:v>
                </c:pt>
                <c:pt idx="122">
                  <c:v>0.25860068024925192</c:v>
                </c:pt>
                <c:pt idx="123">
                  <c:v>0.18560855275954369</c:v>
                </c:pt>
                <c:pt idx="124">
                  <c:v>0.18769404211639248</c:v>
                </c:pt>
                <c:pt idx="125">
                  <c:v>0.23148931861021743</c:v>
                </c:pt>
                <c:pt idx="126">
                  <c:v>0.23983127603761265</c:v>
                </c:pt>
                <c:pt idx="127">
                  <c:v>0.25860068024925192</c:v>
                </c:pt>
                <c:pt idx="128">
                  <c:v>0.27737008446089118</c:v>
                </c:pt>
                <c:pt idx="129">
                  <c:v>0.24817323346500789</c:v>
                </c:pt>
                <c:pt idx="130">
                  <c:v>0.24400225475131027</c:v>
                </c:pt>
                <c:pt idx="131">
                  <c:v>0.24400225475131027</c:v>
                </c:pt>
                <c:pt idx="132">
                  <c:v>0.25234421217870551</c:v>
                </c:pt>
                <c:pt idx="133">
                  <c:v>0.28571204188828642</c:v>
                </c:pt>
                <c:pt idx="134">
                  <c:v>0.26902812703349599</c:v>
                </c:pt>
                <c:pt idx="135">
                  <c:v>0.26902812703349599</c:v>
                </c:pt>
                <c:pt idx="136">
                  <c:v>0.26902812703349599</c:v>
                </c:pt>
                <c:pt idx="137">
                  <c:v>0.26902812703349599</c:v>
                </c:pt>
                <c:pt idx="138">
                  <c:v>0.29822497802937931</c:v>
                </c:pt>
                <c:pt idx="139">
                  <c:v>0.25651519089240316</c:v>
                </c:pt>
                <c:pt idx="140">
                  <c:v>0.27737008446089123</c:v>
                </c:pt>
                <c:pt idx="141">
                  <c:v>0.28571204188828647</c:v>
                </c:pt>
                <c:pt idx="142">
                  <c:v>0.23357480796706631</c:v>
                </c:pt>
                <c:pt idx="143">
                  <c:v>0.2606861696061008</c:v>
                </c:pt>
                <c:pt idx="144">
                  <c:v>0.29196850995883289</c:v>
                </c:pt>
                <c:pt idx="145">
                  <c:v>0.29822497802937931</c:v>
                </c:pt>
                <c:pt idx="146">
                  <c:v>0.34202025452320423</c:v>
                </c:pt>
                <c:pt idx="147">
                  <c:v>0.34202025452320423</c:v>
                </c:pt>
                <c:pt idx="148">
                  <c:v>0.31282340352732096</c:v>
                </c:pt>
                <c:pt idx="149">
                  <c:v>0.33993476516635546</c:v>
                </c:pt>
                <c:pt idx="150">
                  <c:v>0.37121710551908754</c:v>
                </c:pt>
                <c:pt idx="151">
                  <c:v>0.3858155310170292</c:v>
                </c:pt>
                <c:pt idx="152">
                  <c:v>0.36078965873484353</c:v>
                </c:pt>
                <c:pt idx="153">
                  <c:v>0.31490889288416979</c:v>
                </c:pt>
                <c:pt idx="154">
                  <c:v>0.29405399931568171</c:v>
                </c:pt>
                <c:pt idx="155">
                  <c:v>0.31282340352732096</c:v>
                </c:pt>
                <c:pt idx="156">
                  <c:v>0.32116536095471621</c:v>
                </c:pt>
                <c:pt idx="157">
                  <c:v>0.33993476516635546</c:v>
                </c:pt>
                <c:pt idx="158">
                  <c:v>0.31282340352732096</c:v>
                </c:pt>
                <c:pt idx="159">
                  <c:v>0.29196850995883289</c:v>
                </c:pt>
                <c:pt idx="160">
                  <c:v>0.21897638246912465</c:v>
                </c:pt>
                <c:pt idx="161">
                  <c:v>0.21480540375542703</c:v>
                </c:pt>
                <c:pt idx="162">
                  <c:v>0.21689089311227583</c:v>
                </c:pt>
                <c:pt idx="163">
                  <c:v>0.27111361639034481</c:v>
                </c:pt>
                <c:pt idx="164">
                  <c:v>0.29196850995883289</c:v>
                </c:pt>
                <c:pt idx="165">
                  <c:v>0.32742182902526262</c:v>
                </c:pt>
                <c:pt idx="166">
                  <c:v>0.27319910574719364</c:v>
                </c:pt>
                <c:pt idx="167">
                  <c:v>0.30448144609992572</c:v>
                </c:pt>
                <c:pt idx="168">
                  <c:v>0.32116536095471615</c:v>
                </c:pt>
                <c:pt idx="169">
                  <c:v>0.28154106317458882</c:v>
                </c:pt>
                <c:pt idx="170">
                  <c:v>0.28362655253143765</c:v>
                </c:pt>
                <c:pt idx="171">
                  <c:v>0.29822497802937931</c:v>
                </c:pt>
                <c:pt idx="172">
                  <c:v>0.29822497802937931</c:v>
                </c:pt>
                <c:pt idx="173">
                  <c:v>0.29822497802937931</c:v>
                </c:pt>
                <c:pt idx="174">
                  <c:v>0.27111361639034481</c:v>
                </c:pt>
                <c:pt idx="175">
                  <c:v>0.3023959567430769</c:v>
                </c:pt>
                <c:pt idx="176">
                  <c:v>0.28154106317458882</c:v>
                </c:pt>
                <c:pt idx="177">
                  <c:v>0.32116536095471615</c:v>
                </c:pt>
                <c:pt idx="178">
                  <c:v>0.33784927580950658</c:v>
                </c:pt>
                <c:pt idx="179">
                  <c:v>0.38581553101702915</c:v>
                </c:pt>
                <c:pt idx="180">
                  <c:v>0.38373004166018032</c:v>
                </c:pt>
                <c:pt idx="181">
                  <c:v>0.39624297780127316</c:v>
                </c:pt>
                <c:pt idx="182">
                  <c:v>0.39832846715812198</c:v>
                </c:pt>
                <c:pt idx="183">
                  <c:v>0.43378178622455166</c:v>
                </c:pt>
                <c:pt idx="184">
                  <c:v>0.39624297780127316</c:v>
                </c:pt>
                <c:pt idx="185">
                  <c:v>0.38998650973072674</c:v>
                </c:pt>
                <c:pt idx="186">
                  <c:v>0.37330259487593631</c:v>
                </c:pt>
                <c:pt idx="187">
                  <c:v>0.36913161616223872</c:v>
                </c:pt>
                <c:pt idx="188">
                  <c:v>0.38581553101702915</c:v>
                </c:pt>
                <c:pt idx="189">
                  <c:v>0.37955906294648273</c:v>
                </c:pt>
                <c:pt idx="190">
                  <c:v>0.36704612680538989</c:v>
                </c:pt>
                <c:pt idx="191">
                  <c:v>0.39832846715812198</c:v>
                </c:pt>
                <c:pt idx="192">
                  <c:v>0.45046570107934214</c:v>
                </c:pt>
                <c:pt idx="193">
                  <c:v>0.46714961593413257</c:v>
                </c:pt>
                <c:pt idx="194">
                  <c:v>0.45880765850673733</c:v>
                </c:pt>
                <c:pt idx="195">
                  <c:v>0.46506412657728374</c:v>
                </c:pt>
                <c:pt idx="196">
                  <c:v>0.46089314786358615</c:v>
                </c:pt>
                <c:pt idx="197">
                  <c:v>0.42543982879715647</c:v>
                </c:pt>
                <c:pt idx="198">
                  <c:v>0.43795276493824931</c:v>
                </c:pt>
                <c:pt idx="199">
                  <c:v>0.41501238201291246</c:v>
                </c:pt>
                <c:pt idx="200">
                  <c:v>0.40875591394236604</c:v>
                </c:pt>
                <c:pt idx="201">
                  <c:v>0.40458493522866845</c:v>
                </c:pt>
                <c:pt idx="202">
                  <c:v>0.42961080751085412</c:v>
                </c:pt>
                <c:pt idx="203">
                  <c:v>0.40458493522866845</c:v>
                </c:pt>
                <c:pt idx="204">
                  <c:v>0.39624297780127321</c:v>
                </c:pt>
                <c:pt idx="205">
                  <c:v>0.39415748844442439</c:v>
                </c:pt>
                <c:pt idx="206">
                  <c:v>0.36704612680538989</c:v>
                </c:pt>
                <c:pt idx="207">
                  <c:v>0.34202025452320423</c:v>
                </c:pt>
                <c:pt idx="208">
                  <c:v>0.32325085031156497</c:v>
                </c:pt>
                <c:pt idx="209">
                  <c:v>0.31282340352732096</c:v>
                </c:pt>
                <c:pt idx="210">
                  <c:v>0.32950731838211139</c:v>
                </c:pt>
                <c:pt idx="211">
                  <c:v>0.3399347651663554</c:v>
                </c:pt>
                <c:pt idx="212">
                  <c:v>0.31490889288416973</c:v>
                </c:pt>
                <c:pt idx="213">
                  <c:v>0.31907987159786733</c:v>
                </c:pt>
                <c:pt idx="214">
                  <c:v>0.3399347651663554</c:v>
                </c:pt>
                <c:pt idx="215">
                  <c:v>0.35870416937799465</c:v>
                </c:pt>
                <c:pt idx="216">
                  <c:v>0.34410574388005299</c:v>
                </c:pt>
                <c:pt idx="217">
                  <c:v>0.354533190664297</c:v>
                </c:pt>
                <c:pt idx="218">
                  <c:v>0.37330259487593626</c:v>
                </c:pt>
                <c:pt idx="219">
                  <c:v>0.35244770130744818</c:v>
                </c:pt>
                <c:pt idx="220">
                  <c:v>0.33784927580950652</c:v>
                </c:pt>
                <c:pt idx="221">
                  <c:v>0.41292689265606353</c:v>
                </c:pt>
                <c:pt idx="222">
                  <c:v>0.40041395651497069</c:v>
                </c:pt>
                <c:pt idx="223">
                  <c:v>0.39415748844442428</c:v>
                </c:pt>
                <c:pt idx="224">
                  <c:v>0.35244770130744812</c:v>
                </c:pt>
                <c:pt idx="225">
                  <c:v>0.32325085031156486</c:v>
                </c:pt>
                <c:pt idx="226">
                  <c:v>0.29613948867253037</c:v>
                </c:pt>
                <c:pt idx="227">
                  <c:v>0.28571204188828636</c:v>
                </c:pt>
                <c:pt idx="228">
                  <c:v>0.28362655253143754</c:v>
                </c:pt>
                <c:pt idx="229">
                  <c:v>0.29405399931568155</c:v>
                </c:pt>
                <c:pt idx="230">
                  <c:v>0.32950731838211123</c:v>
                </c:pt>
                <c:pt idx="231">
                  <c:v>0.36704612680538973</c:v>
                </c:pt>
                <c:pt idx="232">
                  <c:v>0.34619123323690165</c:v>
                </c:pt>
                <c:pt idx="233">
                  <c:v>0.3274218290252624</c:v>
                </c:pt>
                <c:pt idx="234">
                  <c:v>0.26902812703349582</c:v>
                </c:pt>
                <c:pt idx="235">
                  <c:v>0.2523442121787054</c:v>
                </c:pt>
                <c:pt idx="236">
                  <c:v>0.21480540375542689</c:v>
                </c:pt>
                <c:pt idx="237">
                  <c:v>0.1856085527595436</c:v>
                </c:pt>
                <c:pt idx="238">
                  <c:v>0.17101012726160197</c:v>
                </c:pt>
                <c:pt idx="239">
                  <c:v>0.16683914854790435</c:v>
                </c:pt>
                <c:pt idx="240">
                  <c:v>0.17101012726160197</c:v>
                </c:pt>
                <c:pt idx="241">
                  <c:v>0.16475365919105556</c:v>
                </c:pt>
                <c:pt idx="242">
                  <c:v>0.20020697825748526</c:v>
                </c:pt>
                <c:pt idx="243">
                  <c:v>0.22106187182597334</c:v>
                </c:pt>
                <c:pt idx="244">
                  <c:v>0.26694263767664705</c:v>
                </c:pt>
                <c:pt idx="245">
                  <c:v>0.29405399931568155</c:v>
                </c:pt>
                <c:pt idx="246">
                  <c:v>0.27945557381773989</c:v>
                </c:pt>
                <c:pt idx="247">
                  <c:v>0.25860068024925181</c:v>
                </c:pt>
                <c:pt idx="248">
                  <c:v>0.30031046738622796</c:v>
                </c:pt>
                <c:pt idx="249">
                  <c:v>0.30031046738622796</c:v>
                </c:pt>
                <c:pt idx="250">
                  <c:v>0.36287514809169219</c:v>
                </c:pt>
                <c:pt idx="251">
                  <c:v>0.35453319066429695</c:v>
                </c:pt>
                <c:pt idx="252">
                  <c:v>0.36496063744854096</c:v>
                </c:pt>
                <c:pt idx="253">
                  <c:v>0.40249944587181946</c:v>
                </c:pt>
                <c:pt idx="254">
                  <c:v>0.48174804143207411</c:v>
                </c:pt>
                <c:pt idx="255">
                  <c:v>0.44629472236564438</c:v>
                </c:pt>
                <c:pt idx="256">
                  <c:v>0.43586727558140037</c:v>
                </c:pt>
                <c:pt idx="257">
                  <c:v>0.43586727558140037</c:v>
                </c:pt>
                <c:pt idx="258">
                  <c:v>0.42752531815400513</c:v>
                </c:pt>
                <c:pt idx="259">
                  <c:v>0.40041395651497064</c:v>
                </c:pt>
                <c:pt idx="260">
                  <c:v>0.3920719990875754</c:v>
                </c:pt>
                <c:pt idx="261">
                  <c:v>0.36913161616223855</c:v>
                </c:pt>
                <c:pt idx="262">
                  <c:v>0.46089314786358604</c:v>
                </c:pt>
                <c:pt idx="263">
                  <c:v>0.45880765850673721</c:v>
                </c:pt>
                <c:pt idx="264">
                  <c:v>0.44212374365194679</c:v>
                </c:pt>
                <c:pt idx="265">
                  <c:v>0.44629472236564438</c:v>
                </c:pt>
                <c:pt idx="266">
                  <c:v>0.45672216914988839</c:v>
                </c:pt>
                <c:pt idx="267">
                  <c:v>0.44212374365194673</c:v>
                </c:pt>
                <c:pt idx="268">
                  <c:v>0.42543982879715631</c:v>
                </c:pt>
                <c:pt idx="269">
                  <c:v>0.43378178622455155</c:v>
                </c:pt>
                <c:pt idx="270">
                  <c:v>0.42335433944030754</c:v>
                </c:pt>
                <c:pt idx="271">
                  <c:v>0.43378178622455155</c:v>
                </c:pt>
                <c:pt idx="272">
                  <c:v>0.37121710551908738</c:v>
                </c:pt>
                <c:pt idx="273">
                  <c:v>0.36704612680538978</c:v>
                </c:pt>
                <c:pt idx="274">
                  <c:v>0.33159280773896005</c:v>
                </c:pt>
                <c:pt idx="275">
                  <c:v>0.31907987159786722</c:v>
                </c:pt>
                <c:pt idx="276">
                  <c:v>0.36287514809169213</c:v>
                </c:pt>
                <c:pt idx="277">
                  <c:v>0.42126885008345871</c:v>
                </c:pt>
                <c:pt idx="278">
                  <c:v>0.38998650973072663</c:v>
                </c:pt>
                <c:pt idx="279">
                  <c:v>0.39832846715812187</c:v>
                </c:pt>
                <c:pt idx="280">
                  <c:v>0.36287514809169219</c:v>
                </c:pt>
                <c:pt idx="281">
                  <c:v>0.38164455230333144</c:v>
                </c:pt>
                <c:pt idx="282">
                  <c:v>0.41709787136976118</c:v>
                </c:pt>
                <c:pt idx="283">
                  <c:v>0.37538808423278502</c:v>
                </c:pt>
                <c:pt idx="284">
                  <c:v>0.38790102037387786</c:v>
                </c:pt>
                <c:pt idx="285">
                  <c:v>0.40041395651497069</c:v>
                </c:pt>
                <c:pt idx="286">
                  <c:v>0.35870416937799454</c:v>
                </c:pt>
                <c:pt idx="287">
                  <c:v>0.37747357358963379</c:v>
                </c:pt>
                <c:pt idx="288">
                  <c:v>0.39832846715812187</c:v>
                </c:pt>
                <c:pt idx="289">
                  <c:v>0.34202025452320411</c:v>
                </c:pt>
                <c:pt idx="290">
                  <c:v>0.35661868002114577</c:v>
                </c:pt>
                <c:pt idx="291">
                  <c:v>0.38373004166018027</c:v>
                </c:pt>
                <c:pt idx="292">
                  <c:v>0.37538808423278502</c:v>
                </c:pt>
                <c:pt idx="293">
                  <c:v>0.27737008446089112</c:v>
                </c:pt>
                <c:pt idx="294">
                  <c:v>0.28779753124513513</c:v>
                </c:pt>
                <c:pt idx="295">
                  <c:v>0.29822497802937914</c:v>
                </c:pt>
                <c:pt idx="296">
                  <c:v>0.24608774410815898</c:v>
                </c:pt>
                <c:pt idx="297">
                  <c:v>0.20020697825748524</c:v>
                </c:pt>
                <c:pt idx="298">
                  <c:v>0.20646344632803165</c:v>
                </c:pt>
                <c:pt idx="299">
                  <c:v>0.19603599954378761</c:v>
                </c:pt>
                <c:pt idx="300">
                  <c:v>0.20229246761433403</c:v>
                </c:pt>
                <c:pt idx="301">
                  <c:v>0.2273183398965197</c:v>
                </c:pt>
                <c:pt idx="302">
                  <c:v>0.26277165896294941</c:v>
                </c:pt>
                <c:pt idx="303">
                  <c:v>0.26277165896294941</c:v>
                </c:pt>
                <c:pt idx="304">
                  <c:v>0.2898830206019839</c:v>
                </c:pt>
                <c:pt idx="305">
                  <c:v>0.28571204188828631</c:v>
                </c:pt>
                <c:pt idx="306">
                  <c:v>0.27945557381773989</c:v>
                </c:pt>
                <c:pt idx="307">
                  <c:v>0.27737008446089106</c:v>
                </c:pt>
                <c:pt idx="308">
                  <c:v>0.29196850995883272</c:v>
                </c:pt>
                <c:pt idx="309">
                  <c:v>0.23148931861021732</c:v>
                </c:pt>
                <c:pt idx="310">
                  <c:v>0.33576378645265764</c:v>
                </c:pt>
                <c:pt idx="311">
                  <c:v>0.3274218290252624</c:v>
                </c:pt>
                <c:pt idx="312">
                  <c:v>0.37330259487593614</c:v>
                </c:pt>
                <c:pt idx="313">
                  <c:v>0.36078965873484331</c:v>
                </c:pt>
                <c:pt idx="314">
                  <c:v>0.33576378645265764</c:v>
                </c:pt>
                <c:pt idx="315">
                  <c:v>0.29822497802937914</c:v>
                </c:pt>
                <c:pt idx="316">
                  <c:v>0.32325085031156481</c:v>
                </c:pt>
                <c:pt idx="317">
                  <c:v>0.28779753124513507</c:v>
                </c:pt>
                <c:pt idx="318">
                  <c:v>0.29613948867253032</c:v>
                </c:pt>
                <c:pt idx="319">
                  <c:v>0.34619123323690165</c:v>
                </c:pt>
                <c:pt idx="320">
                  <c:v>0.42126885008345871</c:v>
                </c:pt>
                <c:pt idx="321">
                  <c:v>0.39832846715812187</c:v>
                </c:pt>
                <c:pt idx="322">
                  <c:v>0.3357637864526577</c:v>
                </c:pt>
                <c:pt idx="323">
                  <c:v>0.32742182902526246</c:v>
                </c:pt>
                <c:pt idx="324">
                  <c:v>0.35870416937799454</c:v>
                </c:pt>
                <c:pt idx="325">
                  <c:v>0.36496063744854096</c:v>
                </c:pt>
                <c:pt idx="326">
                  <c:v>0.35453319066429695</c:v>
                </c:pt>
                <c:pt idx="327">
                  <c:v>0.35036221195059936</c:v>
                </c:pt>
                <c:pt idx="328">
                  <c:v>0.35661868002114577</c:v>
                </c:pt>
                <c:pt idx="329">
                  <c:v>0.36078965873484337</c:v>
                </c:pt>
                <c:pt idx="330">
                  <c:v>0.34410574388005294</c:v>
                </c:pt>
                <c:pt idx="331">
                  <c:v>0.31282340352732085</c:v>
                </c:pt>
                <c:pt idx="332">
                  <c:v>0.28988302060198401</c:v>
                </c:pt>
                <c:pt idx="333">
                  <c:v>0.23774578668076385</c:v>
                </c:pt>
                <c:pt idx="334">
                  <c:v>0.23983127603761265</c:v>
                </c:pt>
                <c:pt idx="335">
                  <c:v>0.13764229755202112</c:v>
                </c:pt>
                <c:pt idx="336">
                  <c:v>0.11887289334038187</c:v>
                </c:pt>
                <c:pt idx="337">
                  <c:v>6.4650170062312912E-2</c:v>
                </c:pt>
                <c:pt idx="338">
                  <c:v>3.3367829709580812E-2</c:v>
                </c:pt>
                <c:pt idx="339">
                  <c:v>1.8769404211639168E-2</c:v>
                </c:pt>
                <c:pt idx="340">
                  <c:v>7.0906638132859329E-2</c:v>
                </c:pt>
                <c:pt idx="341">
                  <c:v>3.3367829709580812E-2</c:v>
                </c:pt>
                <c:pt idx="342">
                  <c:v>9.3847021058196201E-2</c:v>
                </c:pt>
                <c:pt idx="343">
                  <c:v>9.5932510415045011E-2</c:v>
                </c:pt>
                <c:pt idx="344">
                  <c:v>0.13764229755202115</c:v>
                </c:pt>
                <c:pt idx="345">
                  <c:v>0.18560855275954369</c:v>
                </c:pt>
                <c:pt idx="346">
                  <c:v>0.25442970153555433</c:v>
                </c:pt>
                <c:pt idx="347">
                  <c:v>0.20437795697118299</c:v>
                </c:pt>
                <c:pt idx="348">
                  <c:v>0.17101012726160209</c:v>
                </c:pt>
                <c:pt idx="349">
                  <c:v>0.20646344632803179</c:v>
                </c:pt>
                <c:pt idx="350">
                  <c:v>0.25651519089240316</c:v>
                </c:pt>
                <c:pt idx="351">
                  <c:v>0.28779753124513524</c:v>
                </c:pt>
                <c:pt idx="352">
                  <c:v>0.28988302060198406</c:v>
                </c:pt>
                <c:pt idx="353">
                  <c:v>0.32325085031156497</c:v>
                </c:pt>
                <c:pt idx="354">
                  <c:v>0.36496063744854113</c:v>
                </c:pt>
                <c:pt idx="355">
                  <c:v>0.32116536095471621</c:v>
                </c:pt>
                <c:pt idx="356">
                  <c:v>0.26277165896294963</c:v>
                </c:pt>
                <c:pt idx="357">
                  <c:v>0.30448144609992578</c:v>
                </c:pt>
                <c:pt idx="358">
                  <c:v>0.31699438224101861</c:v>
                </c:pt>
                <c:pt idx="359">
                  <c:v>0.34619123323690193</c:v>
                </c:pt>
                <c:pt idx="360">
                  <c:v>0.3295073183821115</c:v>
                </c:pt>
                <c:pt idx="361">
                  <c:v>0.29822497802937942</c:v>
                </c:pt>
                <c:pt idx="362">
                  <c:v>0.23983127603761284</c:v>
                </c:pt>
                <c:pt idx="363">
                  <c:v>0.26068616960610091</c:v>
                </c:pt>
                <c:pt idx="364">
                  <c:v>0.30239595674307707</c:v>
                </c:pt>
                <c:pt idx="365">
                  <c:v>0.3149088928841699</c:v>
                </c:pt>
                <c:pt idx="366">
                  <c:v>0.30239595674307707</c:v>
                </c:pt>
                <c:pt idx="367">
                  <c:v>0.36078965873484364</c:v>
                </c:pt>
                <c:pt idx="368">
                  <c:v>0.36704612680539006</c:v>
                </c:pt>
                <c:pt idx="369">
                  <c:v>0.40041395651497097</c:v>
                </c:pt>
                <c:pt idx="370">
                  <c:v>0.37955906294648289</c:v>
                </c:pt>
                <c:pt idx="371">
                  <c:v>0.3753880842327853</c:v>
                </c:pt>
                <c:pt idx="372">
                  <c:v>0.38790102037387814</c:v>
                </c:pt>
                <c:pt idx="373">
                  <c:v>0.35036221195059963</c:v>
                </c:pt>
                <c:pt idx="374">
                  <c:v>0.32533633966841397</c:v>
                </c:pt>
                <c:pt idx="375">
                  <c:v>0.32116536095471637</c:v>
                </c:pt>
                <c:pt idx="376">
                  <c:v>0.30448144609992595</c:v>
                </c:pt>
                <c:pt idx="377">
                  <c:v>0.27319910574719386</c:v>
                </c:pt>
                <c:pt idx="378">
                  <c:v>0.27945557381774028</c:v>
                </c:pt>
                <c:pt idx="379">
                  <c:v>0.29405399931568194</c:v>
                </c:pt>
                <c:pt idx="380">
                  <c:v>0.27945557381774028</c:v>
                </c:pt>
                <c:pt idx="381">
                  <c:v>0.25025872282185702</c:v>
                </c:pt>
                <c:pt idx="382">
                  <c:v>0.28571204188828669</c:v>
                </c:pt>
                <c:pt idx="383">
                  <c:v>0.3190798715978676</c:v>
                </c:pt>
                <c:pt idx="384">
                  <c:v>0.31490889288417001</c:v>
                </c:pt>
                <c:pt idx="385">
                  <c:v>0.25651519089240343</c:v>
                </c:pt>
                <c:pt idx="386">
                  <c:v>0.23774578668076418</c:v>
                </c:pt>
                <c:pt idx="387">
                  <c:v>0.28362655253143793</c:v>
                </c:pt>
                <c:pt idx="388">
                  <c:v>0.28988302060198434</c:v>
                </c:pt>
                <c:pt idx="389">
                  <c:v>0.29822497802937958</c:v>
                </c:pt>
                <c:pt idx="390">
                  <c:v>0.29822497802937958</c:v>
                </c:pt>
                <c:pt idx="391">
                  <c:v>0.28154106317458916</c:v>
                </c:pt>
                <c:pt idx="392">
                  <c:v>0.26485714831979873</c:v>
                </c:pt>
                <c:pt idx="393">
                  <c:v>0.25025872282185707</c:v>
                </c:pt>
                <c:pt idx="394">
                  <c:v>0.26485714831979873</c:v>
                </c:pt>
                <c:pt idx="395">
                  <c:v>0.28362655253143798</c:v>
                </c:pt>
                <c:pt idx="396">
                  <c:v>0.28779753124513557</c:v>
                </c:pt>
                <c:pt idx="397">
                  <c:v>0.27111361639034515</c:v>
                </c:pt>
                <c:pt idx="398">
                  <c:v>0.2523442121787059</c:v>
                </c:pt>
                <c:pt idx="399">
                  <c:v>0.21897638246912499</c:v>
                </c:pt>
                <c:pt idx="400">
                  <c:v>0.1626681698342072</c:v>
                </c:pt>
                <c:pt idx="401">
                  <c:v>0.17518110597530004</c:v>
                </c:pt>
                <c:pt idx="402">
                  <c:v>0.23983127603761303</c:v>
                </c:pt>
                <c:pt idx="403">
                  <c:v>0.16892463790475362</c:v>
                </c:pt>
                <c:pt idx="404">
                  <c:v>0.16683914854790483</c:v>
                </c:pt>
                <c:pt idx="405">
                  <c:v>0.13347131883832392</c:v>
                </c:pt>
                <c:pt idx="406">
                  <c:v>0.13138582948147512</c:v>
                </c:pt>
                <c:pt idx="407">
                  <c:v>0.16058268047735841</c:v>
                </c:pt>
                <c:pt idx="408">
                  <c:v>0.13764229755202154</c:v>
                </c:pt>
                <c:pt idx="409">
                  <c:v>0.10427446784244063</c:v>
                </c:pt>
                <c:pt idx="410">
                  <c:v>0.11470191462668466</c:v>
                </c:pt>
                <c:pt idx="411">
                  <c:v>0.11470191462668466</c:v>
                </c:pt>
                <c:pt idx="412">
                  <c:v>0.11261642526983585</c:v>
                </c:pt>
                <c:pt idx="413">
                  <c:v>0.10218897848559182</c:v>
                </c:pt>
                <c:pt idx="414">
                  <c:v>0.11678740398353346</c:v>
                </c:pt>
                <c:pt idx="415">
                  <c:v>0.13555680819517271</c:v>
                </c:pt>
                <c:pt idx="416">
                  <c:v>0.12304387205407988</c:v>
                </c:pt>
                <c:pt idx="417">
                  <c:v>0.10427446784244063</c:v>
                </c:pt>
                <c:pt idx="418">
                  <c:v>0.15224072304996317</c:v>
                </c:pt>
                <c:pt idx="419">
                  <c:v>0.13764229755202151</c:v>
                </c:pt>
                <c:pt idx="420">
                  <c:v>0.15641170176366076</c:v>
                </c:pt>
                <c:pt idx="421">
                  <c:v>0.13972778690887031</c:v>
                </c:pt>
                <c:pt idx="422">
                  <c:v>0.11261642526983583</c:v>
                </c:pt>
                <c:pt idx="423">
                  <c:v>6.2564680705464476E-2</c:v>
                </c:pt>
                <c:pt idx="424">
                  <c:v>6.4650170062313286E-2</c:v>
                </c:pt>
                <c:pt idx="425">
                  <c:v>0.12930034012462627</c:v>
                </c:pt>
                <c:pt idx="426">
                  <c:v>0.18769404211639285</c:v>
                </c:pt>
                <c:pt idx="427">
                  <c:v>0.19812148890063688</c:v>
                </c:pt>
                <c:pt idx="428">
                  <c:v>0.2022924676143345</c:v>
                </c:pt>
                <c:pt idx="429">
                  <c:v>0.2043779569711833</c:v>
                </c:pt>
                <c:pt idx="430">
                  <c:v>0.15432621240681194</c:v>
                </c:pt>
                <c:pt idx="431">
                  <c:v>0.1438987656225679</c:v>
                </c:pt>
                <c:pt idx="432">
                  <c:v>0.15015523369311432</c:v>
                </c:pt>
                <c:pt idx="433">
                  <c:v>0.16266816983420715</c:v>
                </c:pt>
                <c:pt idx="434">
                  <c:v>0.12512936141092862</c:v>
                </c:pt>
                <c:pt idx="435">
                  <c:v>0.12304387205407981</c:v>
                </c:pt>
                <c:pt idx="436">
                  <c:v>0.15015523369311429</c:v>
                </c:pt>
                <c:pt idx="437">
                  <c:v>0.25234421217870578</c:v>
                </c:pt>
                <c:pt idx="438">
                  <c:v>0.20229246761433445</c:v>
                </c:pt>
                <c:pt idx="439">
                  <c:v>0.1564117017636607</c:v>
                </c:pt>
                <c:pt idx="440">
                  <c:v>0.1584971911205095</c:v>
                </c:pt>
                <c:pt idx="441">
                  <c:v>0.20020697825748562</c:v>
                </c:pt>
                <c:pt idx="442">
                  <c:v>0.28779753124513552</c:v>
                </c:pt>
                <c:pt idx="443">
                  <c:v>0.30448144609992595</c:v>
                </c:pt>
                <c:pt idx="444">
                  <c:v>0.30865242481362354</c:v>
                </c:pt>
                <c:pt idx="445">
                  <c:v>0.28362655253143787</c:v>
                </c:pt>
                <c:pt idx="446">
                  <c:v>0.23148931861021771</c:v>
                </c:pt>
                <c:pt idx="447">
                  <c:v>0.18769404211639279</c:v>
                </c:pt>
                <c:pt idx="448">
                  <c:v>0.15432621240681188</c:v>
                </c:pt>
                <c:pt idx="449">
                  <c:v>0.14181327626571905</c:v>
                </c:pt>
                <c:pt idx="450">
                  <c:v>0.12721485076777739</c:v>
                </c:pt>
                <c:pt idx="451">
                  <c:v>0.14389876562256784</c:v>
                </c:pt>
                <c:pt idx="452">
                  <c:v>0.15849719112050947</c:v>
                </c:pt>
                <c:pt idx="453">
                  <c:v>0.1376422975520214</c:v>
                </c:pt>
                <c:pt idx="454">
                  <c:v>0.1063599571992893</c:v>
                </c:pt>
                <c:pt idx="455">
                  <c:v>0.13347131883832378</c:v>
                </c:pt>
                <c:pt idx="456">
                  <c:v>0.10844544655613811</c:v>
                </c:pt>
                <c:pt idx="457">
                  <c:v>0.1355568081951726</c:v>
                </c:pt>
                <c:pt idx="458">
                  <c:v>0.1376422975520214</c:v>
                </c:pt>
                <c:pt idx="459">
                  <c:v>0.14181327626571902</c:v>
                </c:pt>
                <c:pt idx="460">
                  <c:v>0.17101012726160231</c:v>
                </c:pt>
                <c:pt idx="461">
                  <c:v>0.19186502083009038</c:v>
                </c:pt>
                <c:pt idx="462">
                  <c:v>0.17726659533214872</c:v>
                </c:pt>
                <c:pt idx="463">
                  <c:v>0.15015523369311423</c:v>
                </c:pt>
                <c:pt idx="464">
                  <c:v>0.18143757404584632</c:v>
                </c:pt>
                <c:pt idx="465">
                  <c:v>0.14598425497941661</c:v>
                </c:pt>
                <c:pt idx="466">
                  <c:v>0.12930034012462616</c:v>
                </c:pt>
                <c:pt idx="467">
                  <c:v>0.10218897848559168</c:v>
                </c:pt>
                <c:pt idx="468">
                  <c:v>0.12095838269723094</c:v>
                </c:pt>
                <c:pt idx="469">
                  <c:v>8.9676042344498844E-2</c:v>
                </c:pt>
                <c:pt idx="470">
                  <c:v>0.13972778690887019</c:v>
                </c:pt>
                <c:pt idx="471">
                  <c:v>0.15641170176366065</c:v>
                </c:pt>
                <c:pt idx="472">
                  <c:v>0.16475365919105586</c:v>
                </c:pt>
                <c:pt idx="473">
                  <c:v>0.16475365919105586</c:v>
                </c:pt>
                <c:pt idx="474">
                  <c:v>0.18769404211639273</c:v>
                </c:pt>
                <c:pt idx="475">
                  <c:v>0.22314736118282244</c:v>
                </c:pt>
                <c:pt idx="476">
                  <c:v>0.20854893568488081</c:v>
                </c:pt>
                <c:pt idx="477">
                  <c:v>0.19812148890063677</c:v>
                </c:pt>
                <c:pt idx="478">
                  <c:v>0.22940382925336888</c:v>
                </c:pt>
                <c:pt idx="479">
                  <c:v>0.20646344632803201</c:v>
                </c:pt>
                <c:pt idx="480">
                  <c:v>0.19603599954378798</c:v>
                </c:pt>
                <c:pt idx="481">
                  <c:v>0.1730956166184511</c:v>
                </c:pt>
                <c:pt idx="482">
                  <c:v>0.11887289334038215</c:v>
                </c:pt>
                <c:pt idx="483">
                  <c:v>7.2992127489708403E-2</c:v>
                </c:pt>
                <c:pt idx="484">
                  <c:v>6.4650170062313175E-2</c:v>
                </c:pt>
                <c:pt idx="485">
                  <c:v>4.3795276493825114E-2</c:v>
                </c:pt>
                <c:pt idx="486">
                  <c:v>4.7966255207522727E-2</c:v>
                </c:pt>
                <c:pt idx="487">
                  <c:v>3.5453319066429886E-2</c:v>
                </c:pt>
                <c:pt idx="488">
                  <c:v>6.0479191348615562E-2</c:v>
                </c:pt>
                <c:pt idx="489">
                  <c:v>6.0479191348615562E-2</c:v>
                </c:pt>
                <c:pt idx="490">
                  <c:v>6.8821148776010782E-2</c:v>
                </c:pt>
                <c:pt idx="491">
                  <c:v>5.8393701991766751E-2</c:v>
                </c:pt>
                <c:pt idx="492">
                  <c:v>-3.9624297780127153E-2</c:v>
                </c:pt>
                <c:pt idx="493">
                  <c:v>-1.8769404211639088E-2</c:v>
                </c:pt>
                <c:pt idx="494">
                  <c:v>-1.4598425497941474E-2</c:v>
                </c:pt>
                <c:pt idx="495">
                  <c:v>2.0854893568489768E-3</c:v>
                </c:pt>
                <c:pt idx="496">
                  <c:v>-2.2940382925336698E-2</c:v>
                </c:pt>
                <c:pt idx="497">
                  <c:v>-4.7966255207522374E-2</c:v>
                </c:pt>
                <c:pt idx="498">
                  <c:v>-0.10635995719928895</c:v>
                </c:pt>
                <c:pt idx="499">
                  <c:v>-7.0906638132859245E-2</c:v>
                </c:pt>
                <c:pt idx="500">
                  <c:v>-6.2564680705464018E-2</c:v>
                </c:pt>
                <c:pt idx="501">
                  <c:v>2.0854893568488242E-2</c:v>
                </c:pt>
                <c:pt idx="502">
                  <c:v>1.6683914854790628E-2</c:v>
                </c:pt>
                <c:pt idx="503">
                  <c:v>-2.0854893568487888E-2</c:v>
                </c:pt>
                <c:pt idx="504">
                  <c:v>-2.9196850995883115E-2</c:v>
                </c:pt>
                <c:pt idx="505">
                  <c:v>-1.2512936141092664E-2</c:v>
                </c:pt>
                <c:pt idx="506">
                  <c:v>-1.2512936141092664E-2</c:v>
                </c:pt>
                <c:pt idx="507">
                  <c:v>-5.4222723278068791E-2</c:v>
                </c:pt>
                <c:pt idx="508">
                  <c:v>-3.1282340352731919E-2</c:v>
                </c:pt>
                <c:pt idx="509">
                  <c:v>-3.1282340352731919E-2</c:v>
                </c:pt>
                <c:pt idx="510">
                  <c:v>-2.7111361639034305E-2</c:v>
                </c:pt>
                <c:pt idx="511">
                  <c:v>-4.5880765850673563E-2</c:v>
                </c:pt>
                <c:pt idx="512">
                  <c:v>-3.7538808423278336E-2</c:v>
                </c:pt>
                <c:pt idx="513">
                  <c:v>-5.6308212634917594E-2</c:v>
                </c:pt>
                <c:pt idx="514">
                  <c:v>-2.0854893568487888E-2</c:v>
                </c:pt>
                <c:pt idx="515">
                  <c:v>1.6683914854790628E-2</c:v>
                </c:pt>
                <c:pt idx="516">
                  <c:v>-4.1709787136974368E-3</c:v>
                </c:pt>
                <c:pt idx="517">
                  <c:v>8.3419574273954009E-3</c:v>
                </c:pt>
                <c:pt idx="518">
                  <c:v>-2.5025872282185502E-2</c:v>
                </c:pt>
                <c:pt idx="519">
                  <c:v>6.2564680705465975E-3</c:v>
                </c:pt>
                <c:pt idx="520">
                  <c:v>-1.2512936141092661E-2</c:v>
                </c:pt>
                <c:pt idx="521">
                  <c:v>-2.7111361639034305E-2</c:v>
                </c:pt>
                <c:pt idx="522">
                  <c:v>2.5025872282185856E-2</c:v>
                </c:pt>
                <c:pt idx="523">
                  <c:v>3.7538808423278697E-2</c:v>
                </c:pt>
                <c:pt idx="524">
                  <c:v>2.0854893568489907E-3</c:v>
                </c:pt>
                <c:pt idx="525">
                  <c:v>8.3419574273954095E-3</c:v>
                </c:pt>
                <c:pt idx="526">
                  <c:v>2.5025872282185863E-2</c:v>
                </c:pt>
                <c:pt idx="527">
                  <c:v>6.6735659419161986E-2</c:v>
                </c:pt>
                <c:pt idx="528">
                  <c:v>4.5880765850673924E-2</c:v>
                </c:pt>
                <c:pt idx="529">
                  <c:v>2.0854893568488249E-2</c:v>
                </c:pt>
                <c:pt idx="530">
                  <c:v>2.0854893568488249E-2</c:v>
                </c:pt>
                <c:pt idx="531">
                  <c:v>-6.2564680705462332E-3</c:v>
                </c:pt>
                <c:pt idx="532">
                  <c:v>-4.5880765850673549E-2</c:v>
                </c:pt>
                <c:pt idx="533">
                  <c:v>-3.3367829709580715E-2</c:v>
                </c:pt>
                <c:pt idx="534">
                  <c:v>-6.0479191348615194E-2</c:v>
                </c:pt>
                <c:pt idx="535">
                  <c:v>-0.10010348912874251</c:v>
                </c:pt>
                <c:pt idx="536">
                  <c:v>-8.7590552987649672E-2</c:v>
                </c:pt>
                <c:pt idx="537">
                  <c:v>-0.11470191462668415</c:v>
                </c:pt>
                <c:pt idx="538">
                  <c:v>-0.11470191462668415</c:v>
                </c:pt>
                <c:pt idx="539">
                  <c:v>-0.11053093591298654</c:v>
                </c:pt>
                <c:pt idx="540">
                  <c:v>-4.5880765850673549E-2</c:v>
                </c:pt>
                <c:pt idx="541">
                  <c:v>-5.0051744564371163E-2</c:v>
                </c:pt>
                <c:pt idx="542">
                  <c:v>-0.11470191462668416</c:v>
                </c:pt>
                <c:pt idx="543">
                  <c:v>-0.14181327626571866</c:v>
                </c:pt>
                <c:pt idx="544">
                  <c:v>-0.1209583826972306</c:v>
                </c:pt>
                <c:pt idx="545">
                  <c:v>-0.10010348912874253</c:v>
                </c:pt>
                <c:pt idx="546">
                  <c:v>-9.8017999771893724E-2</c:v>
                </c:pt>
                <c:pt idx="547">
                  <c:v>-0.1209583826972306</c:v>
                </c:pt>
                <c:pt idx="548">
                  <c:v>-0.13138582948147462</c:v>
                </c:pt>
                <c:pt idx="549">
                  <c:v>-0.18143757404584598</c:v>
                </c:pt>
                <c:pt idx="550">
                  <c:v>-0.17309561661845077</c:v>
                </c:pt>
                <c:pt idx="551">
                  <c:v>-0.11053093591298657</c:v>
                </c:pt>
                <c:pt idx="552">
                  <c:v>-0.12095838269723061</c:v>
                </c:pt>
                <c:pt idx="553">
                  <c:v>-8.5505063630800904E-2</c:v>
                </c:pt>
                <c:pt idx="554">
                  <c:v>-8.9676042344498511E-2</c:v>
                </c:pt>
                <c:pt idx="555">
                  <c:v>-0.20020697825748524</c:v>
                </c:pt>
                <c:pt idx="556">
                  <c:v>-0.23774578668076374</c:v>
                </c:pt>
                <c:pt idx="557">
                  <c:v>-0.22940382925336852</c:v>
                </c:pt>
                <c:pt idx="558">
                  <c:v>-0.1876940421163924</c:v>
                </c:pt>
                <c:pt idx="559">
                  <c:v>-0.2252328505396709</c:v>
                </c:pt>
                <c:pt idx="560">
                  <c:v>-0.25442970153555422</c:v>
                </c:pt>
                <c:pt idx="561">
                  <c:v>-0.29613948867253037</c:v>
                </c:pt>
                <c:pt idx="562">
                  <c:v>-0.27737008446089112</c:v>
                </c:pt>
                <c:pt idx="563">
                  <c:v>-0.25234421217870545</c:v>
                </c:pt>
                <c:pt idx="564">
                  <c:v>-0.19812148890063649</c:v>
                </c:pt>
                <c:pt idx="565">
                  <c:v>-0.23983127603761262</c:v>
                </c:pt>
                <c:pt idx="566">
                  <c:v>-0.14598425497941633</c:v>
                </c:pt>
                <c:pt idx="567">
                  <c:v>-0.14806974433626513</c:v>
                </c:pt>
                <c:pt idx="568">
                  <c:v>-0.1042744678424402</c:v>
                </c:pt>
                <c:pt idx="569">
                  <c:v>-0.15224072304996275</c:v>
                </c:pt>
                <c:pt idx="570">
                  <c:v>-0.16475365919105558</c:v>
                </c:pt>
                <c:pt idx="571">
                  <c:v>-0.13764229755202109</c:v>
                </c:pt>
                <c:pt idx="572">
                  <c:v>-0.16058268047735796</c:v>
                </c:pt>
                <c:pt idx="573">
                  <c:v>-0.19395051018693887</c:v>
                </c:pt>
                <c:pt idx="574">
                  <c:v>-0.21480540375542695</c:v>
                </c:pt>
                <c:pt idx="575">
                  <c:v>-0.18143757404584604</c:v>
                </c:pt>
                <c:pt idx="576">
                  <c:v>-0.20020697825748529</c:v>
                </c:pt>
                <c:pt idx="577">
                  <c:v>-0.2335748079670662</c:v>
                </c:pt>
                <c:pt idx="578">
                  <c:v>-0.20229246761433411</c:v>
                </c:pt>
                <c:pt idx="579">
                  <c:v>-0.2314893186102174</c:v>
                </c:pt>
                <c:pt idx="580">
                  <c:v>-0.18143757404584604</c:v>
                </c:pt>
                <c:pt idx="581">
                  <c:v>-0.16475365919105558</c:v>
                </c:pt>
                <c:pt idx="582">
                  <c:v>-0.18143757404584604</c:v>
                </c:pt>
                <c:pt idx="583">
                  <c:v>-0.22314736118282216</c:v>
                </c:pt>
                <c:pt idx="584">
                  <c:v>-0.23774578668076379</c:v>
                </c:pt>
                <c:pt idx="585">
                  <c:v>-0.2106344250417293</c:v>
                </c:pt>
                <c:pt idx="586">
                  <c:v>-0.20646344632803168</c:v>
                </c:pt>
                <c:pt idx="587">
                  <c:v>-0.20854893568488048</c:v>
                </c:pt>
                <c:pt idx="588">
                  <c:v>-0.16892463790475315</c:v>
                </c:pt>
                <c:pt idx="589">
                  <c:v>-9.1761531701347307E-2</c:v>
                </c:pt>
                <c:pt idx="590">
                  <c:v>-6.2564680705464018E-2</c:v>
                </c:pt>
                <c:pt idx="591">
                  <c:v>-7.9248595560254473E-2</c:v>
                </c:pt>
                <c:pt idx="592">
                  <c:v>-6.8821148776010435E-2</c:v>
                </c:pt>
                <c:pt idx="593">
                  <c:v>-7.9248595560254473E-2</c:v>
                </c:pt>
                <c:pt idx="594">
                  <c:v>-4.1709787136974402E-3</c:v>
                </c:pt>
                <c:pt idx="595">
                  <c:v>-6.2564680705462471E-3</c:v>
                </c:pt>
                <c:pt idx="596">
                  <c:v>-8.3419574273950539E-3</c:v>
                </c:pt>
                <c:pt idx="597">
                  <c:v>1.0427446784244204E-2</c:v>
                </c:pt>
                <c:pt idx="598">
                  <c:v>-3.1282340352731926E-2</c:v>
                </c:pt>
                <c:pt idx="599">
                  <c:v>-6.8821148776010449E-2</c:v>
                </c:pt>
                <c:pt idx="600">
                  <c:v>-6.6735659419161639E-2</c:v>
                </c:pt>
                <c:pt idx="601">
                  <c:v>-8.3419574273952093E-2</c:v>
                </c:pt>
                <c:pt idx="602">
                  <c:v>-6.8821148776010449E-2</c:v>
                </c:pt>
                <c:pt idx="603">
                  <c:v>-7.9248595560254487E-2</c:v>
                </c:pt>
                <c:pt idx="604">
                  <c:v>-9.8017999771893738E-2</c:v>
                </c:pt>
                <c:pt idx="605">
                  <c:v>-7.7163106203405676E-2</c:v>
                </c:pt>
                <c:pt idx="606">
                  <c:v>4.1709787136977733E-3</c:v>
                </c:pt>
                <c:pt idx="607">
                  <c:v>-3.5453319066429546E-2</c:v>
                </c:pt>
                <c:pt idx="608">
                  <c:v>-3.753880842327835E-2</c:v>
                </c:pt>
                <c:pt idx="609">
                  <c:v>-3.753880842327835E-2</c:v>
                </c:pt>
                <c:pt idx="610">
                  <c:v>-6.2564680705462505E-3</c:v>
                </c:pt>
                <c:pt idx="611">
                  <c:v>1.2512936141093008E-2</c:v>
                </c:pt>
                <c:pt idx="612">
                  <c:v>6.4650170062313161E-2</c:v>
                </c:pt>
                <c:pt idx="613">
                  <c:v>7.9248595560254806E-2</c:v>
                </c:pt>
                <c:pt idx="614">
                  <c:v>4.5880765850673903E-2</c:v>
                </c:pt>
                <c:pt idx="615">
                  <c:v>7.2992127489708389E-2</c:v>
                </c:pt>
                <c:pt idx="616">
                  <c:v>5.8393701991766744E-2</c:v>
                </c:pt>
                <c:pt idx="617">
                  <c:v>-2.0854893568486438E-3</c:v>
                </c:pt>
                <c:pt idx="618">
                  <c:v>2.7111361639034645E-2</c:v>
                </c:pt>
                <c:pt idx="619">
                  <c:v>6.2564680705465801E-3</c:v>
                </c:pt>
                <c:pt idx="620">
                  <c:v>-2.2940382925336709E-2</c:v>
                </c:pt>
                <c:pt idx="621">
                  <c:v>4.1709787136977733E-3</c:v>
                </c:pt>
                <c:pt idx="622">
                  <c:v>2.7111361639034645E-2</c:v>
                </c:pt>
                <c:pt idx="623">
                  <c:v>1.6306400674181987E-16</c:v>
                </c:pt>
                <c:pt idx="624">
                  <c:v>4.7966255207522707E-2</c:v>
                </c:pt>
                <c:pt idx="625">
                  <c:v>6.2564680705464351E-2</c:v>
                </c:pt>
                <c:pt idx="626">
                  <c:v>9.8017999771894057E-2</c:v>
                </c:pt>
                <c:pt idx="627">
                  <c:v>8.3419574273952413E-2</c:v>
                </c:pt>
                <c:pt idx="628">
                  <c:v>9.5932510415045247E-2</c:v>
                </c:pt>
                <c:pt idx="629">
                  <c:v>7.9248595560254792E-2</c:v>
                </c:pt>
                <c:pt idx="630">
                  <c:v>3.9624297780127472E-2</c:v>
                </c:pt>
                <c:pt idx="631">
                  <c:v>4.1709787136976276E-2</c:v>
                </c:pt>
                <c:pt idx="632">
                  <c:v>2.9196850995883438E-2</c:v>
                </c:pt>
                <c:pt idx="633">
                  <c:v>8.5505063630801209E-2</c:v>
                </c:pt>
                <c:pt idx="634">
                  <c:v>3.7538808423278662E-2</c:v>
                </c:pt>
                <c:pt idx="635">
                  <c:v>6.4650170062313148E-2</c:v>
                </c:pt>
                <c:pt idx="636">
                  <c:v>2.9196850995883442E-2</c:v>
                </c:pt>
                <c:pt idx="637">
                  <c:v>6.6735659419161958E-2</c:v>
                </c:pt>
                <c:pt idx="638">
                  <c:v>9.8017999771894057E-2</c:v>
                </c:pt>
                <c:pt idx="639">
                  <c:v>7.0906638132859579E-2</c:v>
                </c:pt>
                <c:pt idx="640">
                  <c:v>7.2992127489708389E-2</c:v>
                </c:pt>
                <c:pt idx="641">
                  <c:v>2.5025872282185842E-2</c:v>
                </c:pt>
                <c:pt idx="642">
                  <c:v>6.2564680705465836E-3</c:v>
                </c:pt>
                <c:pt idx="643">
                  <c:v>-6.256468070546254E-3</c:v>
                </c:pt>
                <c:pt idx="644">
                  <c:v>1.2512936141093004E-2</c:v>
                </c:pt>
                <c:pt idx="645">
                  <c:v>-4.7966255207522387E-2</c:v>
                </c:pt>
                <c:pt idx="646">
                  <c:v>-2.5025872282185516E-2</c:v>
                </c:pt>
                <c:pt idx="647">
                  <c:v>1.2512936141093001E-2</c:v>
                </c:pt>
                <c:pt idx="648">
                  <c:v>5.8393701991766744E-2</c:v>
                </c:pt>
                <c:pt idx="649">
                  <c:v>5.0051744564371517E-2</c:v>
                </c:pt>
                <c:pt idx="650">
                  <c:v>6.6735659419161972E-2</c:v>
                </c:pt>
                <c:pt idx="651">
                  <c:v>8.1334084917103616E-2</c:v>
                </c:pt>
                <c:pt idx="652">
                  <c:v>5.4222723278069138E-2</c:v>
                </c:pt>
                <c:pt idx="653">
                  <c:v>-1.0427446784243857E-2</c:v>
                </c:pt>
                <c:pt idx="654">
                  <c:v>-4.1709787136974385E-3</c:v>
                </c:pt>
                <c:pt idx="655">
                  <c:v>1.7433970933566911E-16</c:v>
                </c:pt>
                <c:pt idx="656">
                  <c:v>2.2940382925337045E-2</c:v>
                </c:pt>
                <c:pt idx="657">
                  <c:v>2.5025872282185852E-2</c:v>
                </c:pt>
                <c:pt idx="658">
                  <c:v>5.4222723278069138E-2</c:v>
                </c:pt>
                <c:pt idx="659">
                  <c:v>-2.9196850995883122E-2</c:v>
                </c:pt>
                <c:pt idx="660">
                  <c:v>-6.2564680705464032E-2</c:v>
                </c:pt>
                <c:pt idx="661">
                  <c:v>-5.6308212634917615E-2</c:v>
                </c:pt>
                <c:pt idx="662">
                  <c:v>-2.5025872282185516E-2</c:v>
                </c:pt>
                <c:pt idx="663">
                  <c:v>-2.0854893568486438E-3</c:v>
                </c:pt>
                <c:pt idx="664">
                  <c:v>-1.0427446784243869E-2</c:v>
                </c:pt>
                <c:pt idx="665">
                  <c:v>-1.4598425497941481E-2</c:v>
                </c:pt>
                <c:pt idx="666">
                  <c:v>-4.5880765850673577E-2</c:v>
                </c:pt>
                <c:pt idx="667">
                  <c:v>-5.4222723278068805E-2</c:v>
                </c:pt>
                <c:pt idx="668">
                  <c:v>-6.4650170062312842E-2</c:v>
                </c:pt>
                <c:pt idx="669">
                  <c:v>-8.7590552987649714E-2</c:v>
                </c:pt>
                <c:pt idx="670">
                  <c:v>-0.13347131883832347</c:v>
                </c:pt>
                <c:pt idx="671">
                  <c:v>-0.13555680819517227</c:v>
                </c:pt>
                <c:pt idx="672">
                  <c:v>-0.15849719112050914</c:v>
                </c:pt>
                <c:pt idx="673">
                  <c:v>-0.22106187182597334</c:v>
                </c:pt>
                <c:pt idx="674">
                  <c:v>-0.23148931861021738</c:v>
                </c:pt>
                <c:pt idx="675">
                  <c:v>-0.24817323346500783</c:v>
                </c:pt>
                <c:pt idx="676">
                  <c:v>-0.17101012726160197</c:v>
                </c:pt>
                <c:pt idx="677">
                  <c:v>-0.16892463790475318</c:v>
                </c:pt>
                <c:pt idx="678">
                  <c:v>-0.22731833989651976</c:v>
                </c:pt>
                <c:pt idx="679">
                  <c:v>-0.22523285053967096</c:v>
                </c:pt>
                <c:pt idx="680">
                  <c:v>-0.21689089311227575</c:v>
                </c:pt>
                <c:pt idx="681">
                  <c:v>-0.21689089311227575</c:v>
                </c:pt>
                <c:pt idx="682">
                  <c:v>-0.24191676539446141</c:v>
                </c:pt>
                <c:pt idx="683">
                  <c:v>-0.28362655253143754</c:v>
                </c:pt>
                <c:pt idx="684">
                  <c:v>-0.28362655253143754</c:v>
                </c:pt>
                <c:pt idx="685">
                  <c:v>-0.25442970153555422</c:v>
                </c:pt>
                <c:pt idx="686">
                  <c:v>-0.21689089311227572</c:v>
                </c:pt>
                <c:pt idx="687">
                  <c:v>-0.23566029732391497</c:v>
                </c:pt>
                <c:pt idx="688">
                  <c:v>-0.19812148890063647</c:v>
                </c:pt>
                <c:pt idx="689">
                  <c:v>-0.20646344632803168</c:v>
                </c:pt>
                <c:pt idx="690">
                  <c:v>-0.26902812703349588</c:v>
                </c:pt>
                <c:pt idx="691">
                  <c:v>-0.25860068024925187</c:v>
                </c:pt>
                <c:pt idx="692">
                  <c:v>-0.24817323346500783</c:v>
                </c:pt>
                <c:pt idx="693">
                  <c:v>-0.20437795697118288</c:v>
                </c:pt>
                <c:pt idx="694">
                  <c:v>-0.22106187182597334</c:v>
                </c:pt>
                <c:pt idx="695">
                  <c:v>-0.20229246761433409</c:v>
                </c:pt>
                <c:pt idx="696">
                  <c:v>-0.22106187182597334</c:v>
                </c:pt>
                <c:pt idx="697">
                  <c:v>-0.20020697825748526</c:v>
                </c:pt>
                <c:pt idx="698">
                  <c:v>-0.19395051018693885</c:v>
                </c:pt>
                <c:pt idx="699">
                  <c:v>-0.26902812703349588</c:v>
                </c:pt>
                <c:pt idx="700">
                  <c:v>-0.23148931861021738</c:v>
                </c:pt>
                <c:pt idx="701">
                  <c:v>-0.17518110597529959</c:v>
                </c:pt>
                <c:pt idx="702">
                  <c:v>-0.17101012726160197</c:v>
                </c:pt>
                <c:pt idx="703">
                  <c:v>-0.18143757404584601</c:v>
                </c:pt>
                <c:pt idx="704">
                  <c:v>-0.18560855275954363</c:v>
                </c:pt>
                <c:pt idx="705">
                  <c:v>-0.23566029732391497</c:v>
                </c:pt>
                <c:pt idx="706">
                  <c:v>-0.2481732334650078</c:v>
                </c:pt>
                <c:pt idx="707">
                  <c:v>-0.18143757404584598</c:v>
                </c:pt>
                <c:pt idx="708">
                  <c:v>-0.22314736118282211</c:v>
                </c:pt>
                <c:pt idx="709">
                  <c:v>-0.20229246761433403</c:v>
                </c:pt>
                <c:pt idx="710">
                  <c:v>-0.17726659533214836</c:v>
                </c:pt>
                <c:pt idx="711">
                  <c:v>-0.16892463790475315</c:v>
                </c:pt>
                <c:pt idx="712">
                  <c:v>-0.17518110597529957</c:v>
                </c:pt>
                <c:pt idx="713">
                  <c:v>-0.18352306340269478</c:v>
                </c:pt>
                <c:pt idx="714">
                  <c:v>-0.16058268047735791</c:v>
                </c:pt>
                <c:pt idx="715">
                  <c:v>-0.12930034012462582</c:v>
                </c:pt>
                <c:pt idx="716">
                  <c:v>-6.6735659419161625E-2</c:v>
                </c:pt>
                <c:pt idx="717">
                  <c:v>-7.5077616846556852E-2</c:v>
                </c:pt>
                <c:pt idx="718">
                  <c:v>-2.5025872282185502E-2</c:v>
                </c:pt>
                <c:pt idx="719">
                  <c:v>-4.5880765850673563E-2</c:v>
                </c:pt>
                <c:pt idx="720">
                  <c:v>-4.170978713697595E-2</c:v>
                </c:pt>
                <c:pt idx="721">
                  <c:v>2.0854893568489838E-3</c:v>
                </c:pt>
                <c:pt idx="722">
                  <c:v>8.3419574273954026E-3</c:v>
                </c:pt>
                <c:pt idx="723">
                  <c:v>-2.2940382925336698E-2</c:v>
                </c:pt>
                <c:pt idx="724">
                  <c:v>-3.3367829709580729E-2</c:v>
                </c:pt>
                <c:pt idx="725">
                  <c:v>2.5025872282185849E-2</c:v>
                </c:pt>
                <c:pt idx="726">
                  <c:v>1.8769404211639432E-2</c:v>
                </c:pt>
                <c:pt idx="727">
                  <c:v>6.0479191348615562E-2</c:v>
                </c:pt>
                <c:pt idx="728">
                  <c:v>4.1709787136976303E-2</c:v>
                </c:pt>
                <c:pt idx="729">
                  <c:v>0.10844544655613811</c:v>
                </c:pt>
                <c:pt idx="730">
                  <c:v>5.8393701991766758E-2</c:v>
                </c:pt>
                <c:pt idx="731">
                  <c:v>6.0479191348615562E-2</c:v>
                </c:pt>
                <c:pt idx="732">
                  <c:v>4.3795276493825114E-2</c:v>
                </c:pt>
                <c:pt idx="733">
                  <c:v>6.2564680705464365E-2</c:v>
                </c:pt>
                <c:pt idx="734">
                  <c:v>5.2137233921220334E-2</c:v>
                </c:pt>
                <c:pt idx="735">
                  <c:v>2.2940382925337045E-2</c:v>
                </c:pt>
                <c:pt idx="736">
                  <c:v>2.0854893568489803E-3</c:v>
                </c:pt>
                <c:pt idx="737">
                  <c:v>-3.9624297780127146E-2</c:v>
                </c:pt>
                <c:pt idx="738">
                  <c:v>-1.4598425497941471E-2</c:v>
                </c:pt>
                <c:pt idx="739">
                  <c:v>6.256468070546594E-3</c:v>
                </c:pt>
                <c:pt idx="740">
                  <c:v>3.1282340352732266E-2</c:v>
                </c:pt>
                <c:pt idx="741">
                  <c:v>5.6308212634917941E-2</c:v>
                </c:pt>
                <c:pt idx="742">
                  <c:v>0.13138582948147498</c:v>
                </c:pt>
                <c:pt idx="743">
                  <c:v>0.15224072304996306</c:v>
                </c:pt>
                <c:pt idx="744">
                  <c:v>0.10844544655613812</c:v>
                </c:pt>
                <c:pt idx="745">
                  <c:v>0.1605826804773583</c:v>
                </c:pt>
                <c:pt idx="746">
                  <c:v>0.17726659533214875</c:v>
                </c:pt>
                <c:pt idx="747">
                  <c:v>0.14806974433626546</c:v>
                </c:pt>
                <c:pt idx="748">
                  <c:v>0.27111361639034504</c:v>
                </c:pt>
                <c:pt idx="749">
                  <c:v>0.28779753124513546</c:v>
                </c:pt>
                <c:pt idx="750">
                  <c:v>0.31282340352732113</c:v>
                </c:pt>
                <c:pt idx="751">
                  <c:v>0.31490889288416996</c:v>
                </c:pt>
                <c:pt idx="752">
                  <c:v>0.3003104673862283</c:v>
                </c:pt>
                <c:pt idx="753">
                  <c:v>0.27945557381774022</c:v>
                </c:pt>
                <c:pt idx="754">
                  <c:v>0.22731833989652006</c:v>
                </c:pt>
                <c:pt idx="755">
                  <c:v>0.22940382925336886</c:v>
                </c:pt>
                <c:pt idx="756">
                  <c:v>0.25234421217870573</c:v>
                </c:pt>
                <c:pt idx="757">
                  <c:v>0.27528459510404257</c:v>
                </c:pt>
                <c:pt idx="758">
                  <c:v>0.29613948867253065</c:v>
                </c:pt>
                <c:pt idx="759">
                  <c:v>0.28988302060198423</c:v>
                </c:pt>
                <c:pt idx="760">
                  <c:v>0.25442970153555455</c:v>
                </c:pt>
                <c:pt idx="761">
                  <c:v>0.21271991439857843</c:v>
                </c:pt>
                <c:pt idx="762">
                  <c:v>0.19186502083009035</c:v>
                </c:pt>
                <c:pt idx="763">
                  <c:v>0.17726659533214872</c:v>
                </c:pt>
                <c:pt idx="764">
                  <c:v>0.13972778690887022</c:v>
                </c:pt>
                <c:pt idx="765">
                  <c:v>0.17309561661845113</c:v>
                </c:pt>
                <c:pt idx="766">
                  <c:v>0.12512936141092859</c:v>
                </c:pt>
                <c:pt idx="767">
                  <c:v>0.14806974433626546</c:v>
                </c:pt>
                <c:pt idx="768">
                  <c:v>0.1584971911205095</c:v>
                </c:pt>
                <c:pt idx="769">
                  <c:v>0.10218897848559172</c:v>
                </c:pt>
                <c:pt idx="770">
                  <c:v>9.1761531701347682E-2</c:v>
                </c:pt>
                <c:pt idx="771">
                  <c:v>0.10635995719928933</c:v>
                </c:pt>
                <c:pt idx="772">
                  <c:v>6.882114877601081E-2</c:v>
                </c:pt>
                <c:pt idx="773">
                  <c:v>3.1282340352732294E-2</c:v>
                </c:pt>
                <c:pt idx="774">
                  <c:v>8.3419574273954217E-3</c:v>
                </c:pt>
                <c:pt idx="775">
                  <c:v>-1.2512936141092643E-2</c:v>
                </c:pt>
                <c:pt idx="776">
                  <c:v>-1.2512936141092643E-2</c:v>
                </c:pt>
                <c:pt idx="777">
                  <c:v>-1.459842549794145E-2</c:v>
                </c:pt>
                <c:pt idx="778">
                  <c:v>-3.3367829709580708E-2</c:v>
                </c:pt>
                <c:pt idx="779">
                  <c:v>-2.2940382925336678E-2</c:v>
                </c:pt>
                <c:pt idx="780">
                  <c:v>-7.0906638132859218E-2</c:v>
                </c:pt>
                <c:pt idx="781">
                  <c:v>-7.2992127489708028E-2</c:v>
                </c:pt>
                <c:pt idx="782">
                  <c:v>-0.12304387205407938</c:v>
                </c:pt>
                <c:pt idx="783">
                  <c:v>-0.11261642526983534</c:v>
                </c:pt>
                <c:pt idx="784">
                  <c:v>-0.10635995719928892</c:v>
                </c:pt>
                <c:pt idx="785">
                  <c:v>-7.9248595560254445E-2</c:v>
                </c:pt>
                <c:pt idx="786">
                  <c:v>-9.1761531701347279E-2</c:v>
                </c:pt>
                <c:pt idx="787">
                  <c:v>-4.1709787136975929E-2</c:v>
                </c:pt>
                <c:pt idx="788">
                  <c:v>-1.4598425497941447E-2</c:v>
                </c:pt>
                <c:pt idx="789">
                  <c:v>-4.7966255207522346E-2</c:v>
                </c:pt>
                <c:pt idx="790">
                  <c:v>-8.7590552987649672E-2</c:v>
                </c:pt>
                <c:pt idx="791">
                  <c:v>-0.1293003401246258</c:v>
                </c:pt>
                <c:pt idx="792">
                  <c:v>-0.14181327626571863</c:v>
                </c:pt>
                <c:pt idx="793">
                  <c:v>-9.1761531701347279E-2</c:v>
                </c:pt>
                <c:pt idx="794">
                  <c:v>-8.7590552987649672E-2</c:v>
                </c:pt>
                <c:pt idx="795">
                  <c:v>-0.11053093591298654</c:v>
                </c:pt>
                <c:pt idx="796">
                  <c:v>-7.0906638132859218E-2</c:v>
                </c:pt>
                <c:pt idx="797">
                  <c:v>-0.12095838269723057</c:v>
                </c:pt>
                <c:pt idx="798">
                  <c:v>-0.17726659533214834</c:v>
                </c:pt>
                <c:pt idx="799">
                  <c:v>-0.21480540375542684</c:v>
                </c:pt>
                <c:pt idx="800">
                  <c:v>-0.20020697825748518</c:v>
                </c:pt>
                <c:pt idx="801">
                  <c:v>-0.22314736118282205</c:v>
                </c:pt>
                <c:pt idx="802">
                  <c:v>-0.23148931861021727</c:v>
                </c:pt>
                <c:pt idx="803">
                  <c:v>-0.18769404211639235</c:v>
                </c:pt>
                <c:pt idx="804">
                  <c:v>-0.15432621240681144</c:v>
                </c:pt>
                <c:pt idx="805">
                  <c:v>-0.15224072304996264</c:v>
                </c:pt>
                <c:pt idx="806">
                  <c:v>-0.21271991439857801</c:v>
                </c:pt>
                <c:pt idx="807">
                  <c:v>-0.22731833989651967</c:v>
                </c:pt>
                <c:pt idx="808">
                  <c:v>-0.21689089311227563</c:v>
                </c:pt>
                <c:pt idx="809">
                  <c:v>-0.24608774410815892</c:v>
                </c:pt>
                <c:pt idx="810">
                  <c:v>-0.22314736118282205</c:v>
                </c:pt>
                <c:pt idx="811">
                  <c:v>-0.19812148890063638</c:v>
                </c:pt>
                <c:pt idx="812">
                  <c:v>-0.17935208468899713</c:v>
                </c:pt>
                <c:pt idx="813">
                  <c:v>-0.17101012726160192</c:v>
                </c:pt>
                <c:pt idx="814">
                  <c:v>-0.17518110597529954</c:v>
                </c:pt>
                <c:pt idx="815">
                  <c:v>-0.21063442504172925</c:v>
                </c:pt>
                <c:pt idx="816">
                  <c:v>-0.18560855275954358</c:v>
                </c:pt>
                <c:pt idx="817">
                  <c:v>-0.18352306340269478</c:v>
                </c:pt>
                <c:pt idx="818">
                  <c:v>-0.15432621240681149</c:v>
                </c:pt>
                <c:pt idx="819">
                  <c:v>-0.1251293614109282</c:v>
                </c:pt>
                <c:pt idx="820">
                  <c:v>-0.16266816983420673</c:v>
                </c:pt>
                <c:pt idx="821">
                  <c:v>-0.21063442504172927</c:v>
                </c:pt>
                <c:pt idx="822">
                  <c:v>-0.20020697825748524</c:v>
                </c:pt>
                <c:pt idx="823">
                  <c:v>-0.29405399931568155</c:v>
                </c:pt>
                <c:pt idx="824">
                  <c:v>-0.31490889288416962</c:v>
                </c:pt>
                <c:pt idx="825">
                  <c:v>-0.33993476516635529</c:v>
                </c:pt>
                <c:pt idx="826">
                  <c:v>-0.28571204188828631</c:v>
                </c:pt>
                <c:pt idx="827">
                  <c:v>-0.27945557381773989</c:v>
                </c:pt>
                <c:pt idx="828">
                  <c:v>-0.32325085031156481</c:v>
                </c:pt>
                <c:pt idx="829">
                  <c:v>-0.29822497802937914</c:v>
                </c:pt>
                <c:pt idx="830">
                  <c:v>-0.27945557381773989</c:v>
                </c:pt>
                <c:pt idx="831">
                  <c:v>-0.24608774410815898</c:v>
                </c:pt>
                <c:pt idx="832">
                  <c:v>-0.24191676539446136</c:v>
                </c:pt>
                <c:pt idx="833">
                  <c:v>-0.29405399931568155</c:v>
                </c:pt>
                <c:pt idx="834">
                  <c:v>-0.32325085031156486</c:v>
                </c:pt>
                <c:pt idx="835">
                  <c:v>-0.28154106317458871</c:v>
                </c:pt>
                <c:pt idx="836">
                  <c:v>-0.29196850995883272</c:v>
                </c:pt>
                <c:pt idx="837">
                  <c:v>-0.31699438224101839</c:v>
                </c:pt>
                <c:pt idx="838">
                  <c:v>-0.27737008446089106</c:v>
                </c:pt>
                <c:pt idx="839">
                  <c:v>-0.22106187182597328</c:v>
                </c:pt>
                <c:pt idx="840">
                  <c:v>-0.23983127603761253</c:v>
                </c:pt>
                <c:pt idx="841">
                  <c:v>-0.25651519089240299</c:v>
                </c:pt>
                <c:pt idx="842">
                  <c:v>-0.2252328505396709</c:v>
                </c:pt>
                <c:pt idx="843">
                  <c:v>-0.23566029732391494</c:v>
                </c:pt>
                <c:pt idx="844">
                  <c:v>-0.27319910574719347</c:v>
                </c:pt>
                <c:pt idx="845">
                  <c:v>-0.25860068024925181</c:v>
                </c:pt>
                <c:pt idx="846">
                  <c:v>-0.27111361639034465</c:v>
                </c:pt>
                <c:pt idx="847">
                  <c:v>-0.2898830206019839</c:v>
                </c:pt>
                <c:pt idx="848">
                  <c:v>-0.32533633966841358</c:v>
                </c:pt>
                <c:pt idx="849">
                  <c:v>-0.27319910574719342</c:v>
                </c:pt>
                <c:pt idx="850">
                  <c:v>-0.27945557381773983</c:v>
                </c:pt>
                <c:pt idx="851">
                  <c:v>-0.30031046738622791</c:v>
                </c:pt>
                <c:pt idx="852">
                  <c:v>-0.2898830206019839</c:v>
                </c:pt>
                <c:pt idx="853">
                  <c:v>-0.33367829709580882</c:v>
                </c:pt>
                <c:pt idx="854">
                  <c:v>-0.30031046738622791</c:v>
                </c:pt>
                <c:pt idx="855">
                  <c:v>-0.31699438224101834</c:v>
                </c:pt>
                <c:pt idx="856">
                  <c:v>-0.2440022547513101</c:v>
                </c:pt>
                <c:pt idx="857">
                  <c:v>-0.23774578668076368</c:v>
                </c:pt>
                <c:pt idx="858">
                  <c:v>-0.17726659533214828</c:v>
                </c:pt>
                <c:pt idx="859">
                  <c:v>-0.2210618718259732</c:v>
                </c:pt>
                <c:pt idx="860">
                  <c:v>-0.23148931861021724</c:v>
                </c:pt>
                <c:pt idx="861">
                  <c:v>-0.18769404211639229</c:v>
                </c:pt>
                <c:pt idx="862">
                  <c:v>-0.17935208468899708</c:v>
                </c:pt>
                <c:pt idx="863">
                  <c:v>-0.20437795697118274</c:v>
                </c:pt>
                <c:pt idx="864">
                  <c:v>-0.18352306340269467</c:v>
                </c:pt>
                <c:pt idx="865">
                  <c:v>-0.24608774410815887</c:v>
                </c:pt>
                <c:pt idx="866">
                  <c:v>-0.22940382925336841</c:v>
                </c:pt>
                <c:pt idx="867">
                  <c:v>-0.20854893568488034</c:v>
                </c:pt>
                <c:pt idx="868">
                  <c:v>-0.24191676539446125</c:v>
                </c:pt>
                <c:pt idx="869">
                  <c:v>-0.24817323346500766</c:v>
                </c:pt>
                <c:pt idx="870">
                  <c:v>-0.30448144609992545</c:v>
                </c:pt>
                <c:pt idx="871">
                  <c:v>-0.32950731838211111</c:v>
                </c:pt>
                <c:pt idx="872">
                  <c:v>-0.2961394886725302</c:v>
                </c:pt>
                <c:pt idx="873">
                  <c:v>-0.2961394886725302</c:v>
                </c:pt>
                <c:pt idx="874">
                  <c:v>-0.33993476516635512</c:v>
                </c:pt>
                <c:pt idx="875">
                  <c:v>-0.3232508503115647</c:v>
                </c:pt>
                <c:pt idx="876">
                  <c:v>-0.3003104673862278</c:v>
                </c:pt>
                <c:pt idx="877">
                  <c:v>-0.32742182902526229</c:v>
                </c:pt>
                <c:pt idx="878">
                  <c:v>-0.33159280773895988</c:v>
                </c:pt>
                <c:pt idx="879">
                  <c:v>-0.3983284671581217</c:v>
                </c:pt>
                <c:pt idx="880">
                  <c:v>-0.45046570107934186</c:v>
                </c:pt>
                <c:pt idx="881">
                  <c:v>-0.47757706271837636</c:v>
                </c:pt>
                <c:pt idx="882">
                  <c:v>-0.47340608400467876</c:v>
                </c:pt>
                <c:pt idx="883">
                  <c:v>-0.47966255207522518</c:v>
                </c:pt>
                <c:pt idx="884">
                  <c:v>-0.43795276493824903</c:v>
                </c:pt>
                <c:pt idx="885">
                  <c:v>-0.36496063744854079</c:v>
                </c:pt>
                <c:pt idx="886">
                  <c:v>-0.32533633966841347</c:v>
                </c:pt>
                <c:pt idx="887">
                  <c:v>-0.3378492758095063</c:v>
                </c:pt>
                <c:pt idx="888">
                  <c:v>-0.38581553101702887</c:v>
                </c:pt>
                <c:pt idx="889">
                  <c:v>-0.37121710551908721</c:v>
                </c:pt>
                <c:pt idx="890">
                  <c:v>-0.40458493522866812</c:v>
                </c:pt>
                <c:pt idx="891">
                  <c:v>-0.38373004166018004</c:v>
                </c:pt>
                <c:pt idx="892">
                  <c:v>-0.33993476516635512</c:v>
                </c:pt>
                <c:pt idx="893">
                  <c:v>-0.35244770130744796</c:v>
                </c:pt>
                <c:pt idx="894">
                  <c:v>-0.33993476516635512</c:v>
                </c:pt>
                <c:pt idx="895">
                  <c:v>-0.31282340352732063</c:v>
                </c:pt>
                <c:pt idx="896">
                  <c:v>-0.32325085031156464</c:v>
                </c:pt>
                <c:pt idx="897">
                  <c:v>-0.34827672259375031</c:v>
                </c:pt>
                <c:pt idx="898">
                  <c:v>-0.29613948867253015</c:v>
                </c:pt>
                <c:pt idx="899">
                  <c:v>-0.32950731838211106</c:v>
                </c:pt>
                <c:pt idx="900">
                  <c:v>-0.37330259487593598</c:v>
                </c:pt>
                <c:pt idx="901">
                  <c:v>-0.39415748844442405</c:v>
                </c:pt>
                <c:pt idx="902">
                  <c:v>-0.42543982879715614</c:v>
                </c:pt>
                <c:pt idx="903">
                  <c:v>-0.38790102037387764</c:v>
                </c:pt>
                <c:pt idx="904">
                  <c:v>-0.37330259487593598</c:v>
                </c:pt>
                <c:pt idx="905">
                  <c:v>-0.3753880842327848</c:v>
                </c:pt>
                <c:pt idx="906">
                  <c:v>-0.38998650973072646</c:v>
                </c:pt>
                <c:pt idx="907">
                  <c:v>-0.34619123323690154</c:v>
                </c:pt>
                <c:pt idx="908">
                  <c:v>-0.31490889288416946</c:v>
                </c:pt>
                <c:pt idx="909">
                  <c:v>-0.32533633966841347</c:v>
                </c:pt>
                <c:pt idx="910">
                  <c:v>-0.38581553101702887</c:v>
                </c:pt>
                <c:pt idx="911">
                  <c:v>-0.41292689265606336</c:v>
                </c:pt>
                <c:pt idx="912">
                  <c:v>-0.38998650973072646</c:v>
                </c:pt>
                <c:pt idx="913">
                  <c:v>-0.34619123323690154</c:v>
                </c:pt>
                <c:pt idx="914">
                  <c:v>-0.32950731838211111</c:v>
                </c:pt>
                <c:pt idx="915">
                  <c:v>-0.34827672259375037</c:v>
                </c:pt>
                <c:pt idx="916">
                  <c:v>-0.34619123323690154</c:v>
                </c:pt>
                <c:pt idx="917">
                  <c:v>-0.34202025452320395</c:v>
                </c:pt>
                <c:pt idx="918">
                  <c:v>-0.39415748844442411</c:v>
                </c:pt>
                <c:pt idx="919">
                  <c:v>-0.3983284671581217</c:v>
                </c:pt>
                <c:pt idx="920">
                  <c:v>-0.38373004166018004</c:v>
                </c:pt>
                <c:pt idx="921">
                  <c:v>-0.30656693545677421</c:v>
                </c:pt>
                <c:pt idx="922">
                  <c:v>-0.35661868002114555</c:v>
                </c:pt>
                <c:pt idx="923">
                  <c:v>-0.42752531815400496</c:v>
                </c:pt>
                <c:pt idx="924">
                  <c:v>-0.36704612680538956</c:v>
                </c:pt>
                <c:pt idx="925">
                  <c:v>-0.42335433944030731</c:v>
                </c:pt>
                <c:pt idx="926">
                  <c:v>-0.45046570107934181</c:v>
                </c:pt>
                <c:pt idx="927">
                  <c:v>-0.39624297780127282</c:v>
                </c:pt>
                <c:pt idx="928">
                  <c:v>-0.38790102037387758</c:v>
                </c:pt>
                <c:pt idx="929">
                  <c:v>-0.43586727558140015</c:v>
                </c:pt>
                <c:pt idx="930">
                  <c:v>-0.47966255207522507</c:v>
                </c:pt>
                <c:pt idx="931">
                  <c:v>-0.55682565827863095</c:v>
                </c:pt>
                <c:pt idx="932">
                  <c:v>-0.55682565827863095</c:v>
                </c:pt>
                <c:pt idx="933">
                  <c:v>-0.56725310506287496</c:v>
                </c:pt>
                <c:pt idx="934">
                  <c:v>-0.55682565827863095</c:v>
                </c:pt>
                <c:pt idx="935">
                  <c:v>-0.57768055184711897</c:v>
                </c:pt>
                <c:pt idx="936">
                  <c:v>-0.59227897734506063</c:v>
                </c:pt>
                <c:pt idx="937">
                  <c:v>-0.57559506249027015</c:v>
                </c:pt>
                <c:pt idx="938">
                  <c:v>-0.57350957313342132</c:v>
                </c:pt>
                <c:pt idx="939">
                  <c:v>-0.5797660412039678</c:v>
                </c:pt>
                <c:pt idx="940">
                  <c:v>-0.5797660412039678</c:v>
                </c:pt>
                <c:pt idx="941">
                  <c:v>-0.58393701991766545</c:v>
                </c:pt>
                <c:pt idx="942">
                  <c:v>-0.58393701991766545</c:v>
                </c:pt>
                <c:pt idx="943">
                  <c:v>-0.60896289219985111</c:v>
                </c:pt>
                <c:pt idx="944">
                  <c:v>-0.61521936027039759</c:v>
                </c:pt>
                <c:pt idx="945">
                  <c:v>-0.64858718997997844</c:v>
                </c:pt>
                <c:pt idx="946">
                  <c:v>-0.67986953033271058</c:v>
                </c:pt>
                <c:pt idx="947">
                  <c:v>-0.71323736004229144</c:v>
                </c:pt>
                <c:pt idx="948">
                  <c:v>-0.69863893454434978</c:v>
                </c:pt>
                <c:pt idx="949">
                  <c:v>-0.72992127489708192</c:v>
                </c:pt>
                <c:pt idx="950">
                  <c:v>-0.74869067910872122</c:v>
                </c:pt>
                <c:pt idx="951">
                  <c:v>-0.73617774296762839</c:v>
                </c:pt>
                <c:pt idx="952">
                  <c:v>-0.70072442390119871</c:v>
                </c:pt>
                <c:pt idx="953">
                  <c:v>-0.70698089197174518</c:v>
                </c:pt>
                <c:pt idx="954">
                  <c:v>-0.70906638132859401</c:v>
                </c:pt>
                <c:pt idx="955">
                  <c:v>-0.70280991325804754</c:v>
                </c:pt>
                <c:pt idx="956">
                  <c:v>-0.61313387091354887</c:v>
                </c:pt>
                <c:pt idx="957">
                  <c:v>-0.6068774028430024</c:v>
                </c:pt>
                <c:pt idx="958">
                  <c:v>-0.5693385944197239</c:v>
                </c:pt>
                <c:pt idx="959">
                  <c:v>-0.56725310506287507</c:v>
                </c:pt>
                <c:pt idx="960">
                  <c:v>-0.58602250927451438</c:v>
                </c:pt>
                <c:pt idx="961">
                  <c:v>-0.57142408377657272</c:v>
                </c:pt>
                <c:pt idx="962">
                  <c:v>-0.55265467956493342</c:v>
                </c:pt>
                <c:pt idx="963">
                  <c:v>-0.52762880728274775</c:v>
                </c:pt>
                <c:pt idx="964">
                  <c:v>-0.58393701991766556</c:v>
                </c:pt>
                <c:pt idx="965">
                  <c:v>-0.54014174342384058</c:v>
                </c:pt>
                <c:pt idx="966">
                  <c:v>-0.56725310506287507</c:v>
                </c:pt>
                <c:pt idx="967">
                  <c:v>-0.58602250927451438</c:v>
                </c:pt>
                <c:pt idx="968">
                  <c:v>-0.57350957313342155</c:v>
                </c:pt>
                <c:pt idx="969">
                  <c:v>-0.57142408377657272</c:v>
                </c:pt>
                <c:pt idx="970">
                  <c:v>-0.55265467956493342</c:v>
                </c:pt>
                <c:pt idx="971">
                  <c:v>-0.52554331792589892</c:v>
                </c:pt>
                <c:pt idx="972">
                  <c:v>-0.55682565827863106</c:v>
                </c:pt>
                <c:pt idx="973">
                  <c:v>-0.60270642412930475</c:v>
                </c:pt>
                <c:pt idx="974">
                  <c:v>-0.5985354454156071</c:v>
                </c:pt>
                <c:pt idx="975">
                  <c:v>-0.65275816869367609</c:v>
                </c:pt>
                <c:pt idx="976">
                  <c:v>-0.66735659419161775</c:v>
                </c:pt>
                <c:pt idx="977">
                  <c:v>-0.6715275729053154</c:v>
                </c:pt>
                <c:pt idx="978">
                  <c:v>-0.65067267933682738</c:v>
                </c:pt>
                <c:pt idx="979">
                  <c:v>-0.59436446670190957</c:v>
                </c:pt>
                <c:pt idx="980">
                  <c:v>-0.60062093477245604</c:v>
                </c:pt>
                <c:pt idx="981">
                  <c:v>-0.59436446670190957</c:v>
                </c:pt>
                <c:pt idx="982">
                  <c:v>-0.57350957313342155</c:v>
                </c:pt>
                <c:pt idx="983">
                  <c:v>-0.54431272213753823</c:v>
                </c:pt>
                <c:pt idx="984">
                  <c:v>-0.58602250927451438</c:v>
                </c:pt>
                <c:pt idx="985">
                  <c:v>-0.58602250927451438</c:v>
                </c:pt>
                <c:pt idx="986">
                  <c:v>-0.5505691902080847</c:v>
                </c:pt>
                <c:pt idx="987">
                  <c:v>-0.53805625406699187</c:v>
                </c:pt>
                <c:pt idx="988">
                  <c:v>-0.5317997859964454</c:v>
                </c:pt>
                <c:pt idx="989">
                  <c:v>-0.54639821149438705</c:v>
                </c:pt>
                <c:pt idx="990">
                  <c:v>-0.52137233921220139</c:v>
                </c:pt>
                <c:pt idx="991">
                  <c:v>-0.52345782856905021</c:v>
                </c:pt>
                <c:pt idx="992">
                  <c:v>-0.49634646693001572</c:v>
                </c:pt>
                <c:pt idx="993">
                  <c:v>-0.52971429663959657</c:v>
                </c:pt>
                <c:pt idx="994">
                  <c:v>-0.51303038178480609</c:v>
                </c:pt>
                <c:pt idx="995">
                  <c:v>-0.52762880728274775</c:v>
                </c:pt>
                <c:pt idx="996">
                  <c:v>-0.52554331792589892</c:v>
                </c:pt>
                <c:pt idx="997">
                  <c:v>-0.5046884243574109</c:v>
                </c:pt>
                <c:pt idx="998">
                  <c:v>-0.55682565827863106</c:v>
                </c:pt>
                <c:pt idx="999">
                  <c:v>-0.5881079986313632</c:v>
                </c:pt>
                <c:pt idx="1000">
                  <c:v>-0.56099663699232871</c:v>
                </c:pt>
                <c:pt idx="1001">
                  <c:v>-0.54848370085123588</c:v>
                </c:pt>
                <c:pt idx="1002">
                  <c:v>-0.55265467956493353</c:v>
                </c:pt>
                <c:pt idx="1003">
                  <c:v>-0.56933859441972401</c:v>
                </c:pt>
                <c:pt idx="1004">
                  <c:v>-0.57559506249027048</c:v>
                </c:pt>
                <c:pt idx="1005">
                  <c:v>-0.54431272213753834</c:v>
                </c:pt>
                <c:pt idx="1006">
                  <c:v>-0.52971429663959668</c:v>
                </c:pt>
                <c:pt idx="1007">
                  <c:v>-0.50260293500056219</c:v>
                </c:pt>
                <c:pt idx="1008">
                  <c:v>-0.4754915733615277</c:v>
                </c:pt>
                <c:pt idx="1009">
                  <c:v>-0.46297863722043486</c:v>
                </c:pt>
                <c:pt idx="1010">
                  <c:v>-0.4754915733615277</c:v>
                </c:pt>
                <c:pt idx="1011">
                  <c:v>-0.45255119043619085</c:v>
                </c:pt>
                <c:pt idx="1012">
                  <c:v>-0.45046570107934203</c:v>
                </c:pt>
                <c:pt idx="1013">
                  <c:v>-0.46506412657728369</c:v>
                </c:pt>
                <c:pt idx="1014">
                  <c:v>-0.45672216914988845</c:v>
                </c:pt>
                <c:pt idx="1015">
                  <c:v>-0.47340608400467887</c:v>
                </c:pt>
                <c:pt idx="1016">
                  <c:v>-0.50260293500056219</c:v>
                </c:pt>
                <c:pt idx="1017">
                  <c:v>-0.48800450950262053</c:v>
                </c:pt>
                <c:pt idx="1018">
                  <c:v>-0.5130303817848062</c:v>
                </c:pt>
                <c:pt idx="1019">
                  <c:v>-0.47757706271837652</c:v>
                </c:pt>
                <c:pt idx="1020">
                  <c:v>-0.45463667979303968</c:v>
                </c:pt>
                <c:pt idx="1021">
                  <c:v>-0.49008999885946936</c:v>
                </c:pt>
                <c:pt idx="1022">
                  <c:v>-0.50051744564371337</c:v>
                </c:pt>
                <c:pt idx="1023">
                  <c:v>-0.53179978599644551</c:v>
                </c:pt>
                <c:pt idx="1024">
                  <c:v>-0.57559506249027048</c:v>
                </c:pt>
                <c:pt idx="1025">
                  <c:v>-0.6423307219094323</c:v>
                </c:pt>
                <c:pt idx="1026">
                  <c:v>-0.61313387091354898</c:v>
                </c:pt>
                <c:pt idx="1027">
                  <c:v>-0.64650170062312984</c:v>
                </c:pt>
                <c:pt idx="1028">
                  <c:v>-0.66527110483476914</c:v>
                </c:pt>
                <c:pt idx="1029">
                  <c:v>-0.66735659419161797</c:v>
                </c:pt>
                <c:pt idx="1030">
                  <c:v>-0.64441621126628112</c:v>
                </c:pt>
                <c:pt idx="1031">
                  <c:v>-0.69238246647380364</c:v>
                </c:pt>
                <c:pt idx="1032">
                  <c:v>-0.68404050904640845</c:v>
                </c:pt>
                <c:pt idx="1033">
                  <c:v>-0.68195501968955963</c:v>
                </c:pt>
                <c:pt idx="1034">
                  <c:v>-0.67152757290531562</c:v>
                </c:pt>
                <c:pt idx="1035">
                  <c:v>-0.70906638132859412</c:v>
                </c:pt>
                <c:pt idx="1036">
                  <c:v>-0.71323736004229177</c:v>
                </c:pt>
                <c:pt idx="1037">
                  <c:v>-0.71532284939914059</c:v>
                </c:pt>
                <c:pt idx="1038">
                  <c:v>-0.68404050904640845</c:v>
                </c:pt>
                <c:pt idx="1039">
                  <c:v>-0.63815974319573465</c:v>
                </c:pt>
                <c:pt idx="1040">
                  <c:v>-0.65692914740737396</c:v>
                </c:pt>
                <c:pt idx="1041">
                  <c:v>-0.72366480682653578</c:v>
                </c:pt>
                <c:pt idx="1042">
                  <c:v>-0.69238246647380364</c:v>
                </c:pt>
                <c:pt idx="1043">
                  <c:v>-0.59436446670190968</c:v>
                </c:pt>
                <c:pt idx="1044">
                  <c:v>-0.61313387091354898</c:v>
                </c:pt>
                <c:pt idx="1045">
                  <c:v>-0.60270642412930497</c:v>
                </c:pt>
                <c:pt idx="1046">
                  <c:v>-0.55056919020808481</c:v>
                </c:pt>
                <c:pt idx="1047">
                  <c:v>-0.52971429663959679</c:v>
                </c:pt>
                <c:pt idx="1048">
                  <c:v>-0.50051744564371348</c:v>
                </c:pt>
                <c:pt idx="1049">
                  <c:v>-0.55474016892178246</c:v>
                </c:pt>
                <c:pt idx="1050">
                  <c:v>-0.49426097757316706</c:v>
                </c:pt>
                <c:pt idx="1051">
                  <c:v>-0.4796625520752254</c:v>
                </c:pt>
                <c:pt idx="1052">
                  <c:v>-0.48174804143207423</c:v>
                </c:pt>
                <c:pt idx="1053">
                  <c:v>-0.46089314786358615</c:v>
                </c:pt>
                <c:pt idx="1054">
                  <c:v>-0.45463667979303973</c:v>
                </c:pt>
                <c:pt idx="1055">
                  <c:v>-0.46506412657728374</c:v>
                </c:pt>
                <c:pt idx="1056">
                  <c:v>-0.51094489242795749</c:v>
                </c:pt>
                <c:pt idx="1057">
                  <c:v>-0.43795276493824925</c:v>
                </c:pt>
                <c:pt idx="1058">
                  <c:v>-0.44420923300879567</c:v>
                </c:pt>
                <c:pt idx="1059">
                  <c:v>-0.45255119043619091</c:v>
                </c:pt>
                <c:pt idx="1060">
                  <c:v>-0.46297863722043492</c:v>
                </c:pt>
                <c:pt idx="1061">
                  <c:v>-0.45255119043619091</c:v>
                </c:pt>
                <c:pt idx="1062">
                  <c:v>-0.45046570107934208</c:v>
                </c:pt>
                <c:pt idx="1063">
                  <c:v>-0.50468842435741101</c:v>
                </c:pt>
                <c:pt idx="1064">
                  <c:v>-0.5213723392122015</c:v>
                </c:pt>
                <c:pt idx="1065">
                  <c:v>-0.53388527535329433</c:v>
                </c:pt>
                <c:pt idx="1066">
                  <c:v>-0.55891114763548</c:v>
                </c:pt>
                <c:pt idx="1067">
                  <c:v>-0.58810799863136332</c:v>
                </c:pt>
                <c:pt idx="1068">
                  <c:v>-0.61313387091354898</c:v>
                </c:pt>
                <c:pt idx="1069">
                  <c:v>-0.59227897734506096</c:v>
                </c:pt>
                <c:pt idx="1070">
                  <c:v>-0.55682565827863129</c:v>
                </c:pt>
                <c:pt idx="1071">
                  <c:v>-0.53388527535329444</c:v>
                </c:pt>
                <c:pt idx="1072">
                  <c:v>-0.57768055184711942</c:v>
                </c:pt>
                <c:pt idx="1073">
                  <c:v>-0.60270642412930509</c:v>
                </c:pt>
                <c:pt idx="1074">
                  <c:v>-0.61939033898409557</c:v>
                </c:pt>
                <c:pt idx="1075">
                  <c:v>-0.64233072190943241</c:v>
                </c:pt>
                <c:pt idx="1076">
                  <c:v>-0.64858718997997888</c:v>
                </c:pt>
                <c:pt idx="1077">
                  <c:v>-0.64650170062313006</c:v>
                </c:pt>
                <c:pt idx="1078">
                  <c:v>-0.65901463676422289</c:v>
                </c:pt>
                <c:pt idx="1079">
                  <c:v>-0.72992127489708225</c:v>
                </c:pt>
                <c:pt idx="1080">
                  <c:v>-0.74034872168132626</c:v>
                </c:pt>
                <c:pt idx="1081">
                  <c:v>-0.72366480682653578</c:v>
                </c:pt>
                <c:pt idx="1082">
                  <c:v>-0.7069808919717453</c:v>
                </c:pt>
                <c:pt idx="1083">
                  <c:v>-0.69238246647380364</c:v>
                </c:pt>
                <c:pt idx="1084">
                  <c:v>-0.66318561547792032</c:v>
                </c:pt>
                <c:pt idx="1085">
                  <c:v>-0.69029697711695481</c:v>
                </c:pt>
                <c:pt idx="1086">
                  <c:v>-0.65692914740737396</c:v>
                </c:pt>
                <c:pt idx="1087">
                  <c:v>-0.64650170062312995</c:v>
                </c:pt>
                <c:pt idx="1088">
                  <c:v>-0.66527110483476926</c:v>
                </c:pt>
                <c:pt idx="1089">
                  <c:v>-0.6694420835484669</c:v>
                </c:pt>
                <c:pt idx="1090">
                  <c:v>-0.63815974319573476</c:v>
                </c:pt>
                <c:pt idx="1091">
                  <c:v>-0.66735659419161808</c:v>
                </c:pt>
                <c:pt idx="1092">
                  <c:v>-0.69863893454435022</c:v>
                </c:pt>
                <c:pt idx="1093">
                  <c:v>-0.67361306226216455</c:v>
                </c:pt>
                <c:pt idx="1094">
                  <c:v>-0.6694420835484669</c:v>
                </c:pt>
                <c:pt idx="1095">
                  <c:v>-0.69029697711695492</c:v>
                </c:pt>
                <c:pt idx="1096">
                  <c:v>-0.69238246647380375</c:v>
                </c:pt>
                <c:pt idx="1097">
                  <c:v>-0.69863893454435022</c:v>
                </c:pt>
                <c:pt idx="1098">
                  <c:v>-0.71115187068544305</c:v>
                </c:pt>
                <c:pt idx="1099">
                  <c:v>-0.72157931746968706</c:v>
                </c:pt>
                <c:pt idx="1100">
                  <c:v>-0.73826323232447755</c:v>
                </c:pt>
                <c:pt idx="1101">
                  <c:v>-0.76537459396351204</c:v>
                </c:pt>
                <c:pt idx="1102">
                  <c:v>-0.78622948753200006</c:v>
                </c:pt>
                <c:pt idx="1103">
                  <c:v>-0.73826323232447755</c:v>
                </c:pt>
                <c:pt idx="1104">
                  <c:v>-0.73617774296762872</c:v>
                </c:pt>
                <c:pt idx="1105">
                  <c:v>-0.71949382811283824</c:v>
                </c:pt>
                <c:pt idx="1106">
                  <c:v>-0.70489540261489658</c:v>
                </c:pt>
                <c:pt idx="1107">
                  <c:v>-0.75077616846557027</c:v>
                </c:pt>
                <c:pt idx="1108">
                  <c:v>-0.7632891046066631</c:v>
                </c:pt>
                <c:pt idx="1109">
                  <c:v>-0.72783578554023343</c:v>
                </c:pt>
                <c:pt idx="1110">
                  <c:v>-0.74451970039502391</c:v>
                </c:pt>
                <c:pt idx="1111">
                  <c:v>-0.73826323232447744</c:v>
                </c:pt>
                <c:pt idx="1112">
                  <c:v>-0.71115187068544294</c:v>
                </c:pt>
                <c:pt idx="1113">
                  <c:v>-0.67361306226216444</c:v>
                </c:pt>
                <c:pt idx="1114">
                  <c:v>-0.65901463676422278</c:v>
                </c:pt>
                <c:pt idx="1115">
                  <c:v>-0.68612599840325728</c:v>
                </c:pt>
                <c:pt idx="1116">
                  <c:v>-0.64441621126628112</c:v>
                </c:pt>
                <c:pt idx="1117">
                  <c:v>-0.5672531050628753</c:v>
                </c:pt>
                <c:pt idx="1118">
                  <c:v>-0.61730484962724663</c:v>
                </c:pt>
                <c:pt idx="1119">
                  <c:v>-0.66944208354846679</c:v>
                </c:pt>
                <c:pt idx="1120">
                  <c:v>-0.67361306226216444</c:v>
                </c:pt>
                <c:pt idx="1121">
                  <c:v>-0.68195501968955963</c:v>
                </c:pt>
                <c:pt idx="1122">
                  <c:v>-0.65067267933682749</c:v>
                </c:pt>
                <c:pt idx="1123">
                  <c:v>-0.62564680705464182</c:v>
                </c:pt>
                <c:pt idx="1124">
                  <c:v>-0.67152757290531562</c:v>
                </c:pt>
                <c:pt idx="1125">
                  <c:v>-0.63190327512518829</c:v>
                </c:pt>
                <c:pt idx="1126">
                  <c:v>-0.68612599840325728</c:v>
                </c:pt>
                <c:pt idx="1127">
                  <c:v>-0.67778404097586209</c:v>
                </c:pt>
                <c:pt idx="1128">
                  <c:v>-0.69446795583065257</c:v>
                </c:pt>
                <c:pt idx="1129">
                  <c:v>-0.68195501968955974</c:v>
                </c:pt>
                <c:pt idx="1130">
                  <c:v>-0.72992127489708225</c:v>
                </c:pt>
                <c:pt idx="1131">
                  <c:v>-0.81959731724158091</c:v>
                </c:pt>
                <c:pt idx="1132">
                  <c:v>-0.84045221081006893</c:v>
                </c:pt>
                <c:pt idx="1133">
                  <c:v>-0.85296514695116177</c:v>
                </c:pt>
                <c:pt idx="1134">
                  <c:v>-0.81334084917103444</c:v>
                </c:pt>
                <c:pt idx="1135">
                  <c:v>-0.83211025338267375</c:v>
                </c:pt>
                <c:pt idx="1136">
                  <c:v>-0.81959731724158091</c:v>
                </c:pt>
                <c:pt idx="1137">
                  <c:v>-0.7904004662456976</c:v>
                </c:pt>
                <c:pt idx="1138">
                  <c:v>-0.77371655139090711</c:v>
                </c:pt>
                <c:pt idx="1139">
                  <c:v>-0.84045221081006893</c:v>
                </c:pt>
                <c:pt idx="1140">
                  <c:v>-0.89676042344498674</c:v>
                </c:pt>
                <c:pt idx="1141">
                  <c:v>-0.89467493408813792</c:v>
                </c:pt>
                <c:pt idx="1142">
                  <c:v>-0.8738200405196499</c:v>
                </c:pt>
                <c:pt idx="1143">
                  <c:v>-0.84879416823746423</c:v>
                </c:pt>
                <c:pt idx="1144">
                  <c:v>-0.87173455116280107</c:v>
                </c:pt>
                <c:pt idx="1145">
                  <c:v>-0.88216199794704508</c:v>
                </c:pt>
                <c:pt idx="1146">
                  <c:v>-0.93221374251141642</c:v>
                </c:pt>
                <c:pt idx="1147">
                  <c:v>-0.94264118929566043</c:v>
                </c:pt>
                <c:pt idx="1148">
                  <c:v>-0.96349608286414845</c:v>
                </c:pt>
                <c:pt idx="1149">
                  <c:v>-0.93429923186826513</c:v>
                </c:pt>
                <c:pt idx="1150">
                  <c:v>-0.96141059350729963</c:v>
                </c:pt>
                <c:pt idx="1151">
                  <c:v>-0.97183804029154364</c:v>
                </c:pt>
                <c:pt idx="1152">
                  <c:v>-0.99477842321688048</c:v>
                </c:pt>
                <c:pt idx="1153">
                  <c:v>-0.9968639125737293</c:v>
                </c:pt>
                <c:pt idx="1154">
                  <c:v>-0.96766706157784599</c:v>
                </c:pt>
                <c:pt idx="1155">
                  <c:v>-0.92804276379771866</c:v>
                </c:pt>
                <c:pt idx="1156">
                  <c:v>-0.90718787022923064</c:v>
                </c:pt>
                <c:pt idx="1157">
                  <c:v>-0.90927335958607947</c:v>
                </c:pt>
                <c:pt idx="1158">
                  <c:v>-0.93221374251141631</c:v>
                </c:pt>
                <c:pt idx="1159">
                  <c:v>-0.9405556999388115</c:v>
                </c:pt>
                <c:pt idx="1160">
                  <c:v>-0.92595727444086984</c:v>
                </c:pt>
                <c:pt idx="1161">
                  <c:v>-0.88216199794704486</c:v>
                </c:pt>
                <c:pt idx="1162">
                  <c:v>-0.85505063630801037</c:v>
                </c:pt>
                <c:pt idx="1163">
                  <c:v>-0.85505063630801037</c:v>
                </c:pt>
                <c:pt idx="1164">
                  <c:v>-0.85087965759431272</c:v>
                </c:pt>
                <c:pt idx="1165">
                  <c:v>-0.75494714717926759</c:v>
                </c:pt>
                <c:pt idx="1166">
                  <c:v>-0.75911812589296523</c:v>
                </c:pt>
                <c:pt idx="1167">
                  <c:v>-0.73200676425393074</c:v>
                </c:pt>
                <c:pt idx="1168">
                  <c:v>-0.69655344518750106</c:v>
                </c:pt>
                <c:pt idx="1169">
                  <c:v>-0.69238246647380342</c:v>
                </c:pt>
                <c:pt idx="1170">
                  <c:v>-0.67778404097586176</c:v>
                </c:pt>
                <c:pt idx="1171">
                  <c:v>-0.7382632323244771</c:v>
                </c:pt>
                <c:pt idx="1172">
                  <c:v>-0.74451970039502358</c:v>
                </c:pt>
                <c:pt idx="1173">
                  <c:v>-0.76120361524981406</c:v>
                </c:pt>
                <c:pt idx="1174">
                  <c:v>-0.73826323232447721</c:v>
                </c:pt>
                <c:pt idx="1175">
                  <c:v>-0.75077616846557005</c:v>
                </c:pt>
                <c:pt idx="1176">
                  <c:v>-0.72992127489708203</c:v>
                </c:pt>
                <c:pt idx="1177">
                  <c:v>-0.71949382811283802</c:v>
                </c:pt>
                <c:pt idx="1178">
                  <c:v>-0.79040046624569738</c:v>
                </c:pt>
                <c:pt idx="1179">
                  <c:v>-0.76746008332036053</c:v>
                </c:pt>
                <c:pt idx="1180">
                  <c:v>-0.77580204074775572</c:v>
                </c:pt>
                <c:pt idx="1181">
                  <c:v>-0.74869067910872122</c:v>
                </c:pt>
                <c:pt idx="1182">
                  <c:v>-0.7466051897518724</c:v>
                </c:pt>
                <c:pt idx="1183">
                  <c:v>-0.75494714717926759</c:v>
                </c:pt>
                <c:pt idx="1184">
                  <c:v>-0.79040046624569726</c:v>
                </c:pt>
                <c:pt idx="1185">
                  <c:v>-0.80708438110048775</c:v>
                </c:pt>
                <c:pt idx="1186">
                  <c:v>-0.76120361524981406</c:v>
                </c:pt>
                <c:pt idx="1187">
                  <c:v>-0.77580204074775572</c:v>
                </c:pt>
                <c:pt idx="1188">
                  <c:v>-0.72575029618338438</c:v>
                </c:pt>
                <c:pt idx="1189">
                  <c:v>-0.7924859556025462</c:v>
                </c:pt>
                <c:pt idx="1190">
                  <c:v>-0.73200676425393085</c:v>
                </c:pt>
                <c:pt idx="1191">
                  <c:v>-0.71740833875598919</c:v>
                </c:pt>
                <c:pt idx="1192">
                  <c:v>-0.67569855161901304</c:v>
                </c:pt>
                <c:pt idx="1193">
                  <c:v>-0.69655344518750106</c:v>
                </c:pt>
                <c:pt idx="1194">
                  <c:v>-0.67361306226216422</c:v>
                </c:pt>
                <c:pt idx="1195">
                  <c:v>-0.68195501968955941</c:v>
                </c:pt>
                <c:pt idx="1196">
                  <c:v>-0.60896289219985122</c:v>
                </c:pt>
                <c:pt idx="1197">
                  <c:v>-0.61939033898409523</c:v>
                </c:pt>
                <c:pt idx="1198">
                  <c:v>-0.61521936027039759</c:v>
                </c:pt>
                <c:pt idx="1199">
                  <c:v>-0.57559506249027026</c:v>
                </c:pt>
                <c:pt idx="1200">
                  <c:v>-0.56933859441972379</c:v>
                </c:pt>
                <c:pt idx="1201">
                  <c:v>-0.57142408377657261</c:v>
                </c:pt>
                <c:pt idx="1202">
                  <c:v>-0.59019348798821192</c:v>
                </c:pt>
                <c:pt idx="1203">
                  <c:v>-0.63190327512518807</c:v>
                </c:pt>
                <c:pt idx="1204">
                  <c:v>-0.6068774028430024</c:v>
                </c:pt>
                <c:pt idx="1205">
                  <c:v>-0.59644995605875839</c:v>
                </c:pt>
                <c:pt idx="1206">
                  <c:v>-0.61730484962724641</c:v>
                </c:pt>
                <c:pt idx="1207">
                  <c:v>-0.58602250927451427</c:v>
                </c:pt>
                <c:pt idx="1208">
                  <c:v>-0.59227897734506074</c:v>
                </c:pt>
                <c:pt idx="1209">
                  <c:v>-0.62981778576833924</c:v>
                </c:pt>
                <c:pt idx="1210">
                  <c:v>-0.63190327512518807</c:v>
                </c:pt>
                <c:pt idx="1211">
                  <c:v>-0.65901463676422256</c:v>
                </c:pt>
                <c:pt idx="1212">
                  <c:v>-0.62564680705464171</c:v>
                </c:pt>
                <c:pt idx="1213">
                  <c:v>-0.57768055184711919</c:v>
                </c:pt>
                <c:pt idx="1214">
                  <c:v>-0.59227897734506085</c:v>
                </c:pt>
                <c:pt idx="1215">
                  <c:v>-0.55891114763548</c:v>
                </c:pt>
                <c:pt idx="1216">
                  <c:v>-0.59019348798821214</c:v>
                </c:pt>
                <c:pt idx="1217">
                  <c:v>-0.58810799863136332</c:v>
                </c:pt>
                <c:pt idx="1218">
                  <c:v>-0.57768055184711931</c:v>
                </c:pt>
                <c:pt idx="1219">
                  <c:v>-0.59227897734506096</c:v>
                </c:pt>
                <c:pt idx="1220">
                  <c:v>-0.58185153056081695</c:v>
                </c:pt>
                <c:pt idx="1221">
                  <c:v>-0.5401417434238408</c:v>
                </c:pt>
                <c:pt idx="1222">
                  <c:v>-0.50885940307110866</c:v>
                </c:pt>
                <c:pt idx="1223">
                  <c:v>-0.48174804143207417</c:v>
                </c:pt>
                <c:pt idx="1224">
                  <c:v>-0.51511587114165502</c:v>
                </c:pt>
                <c:pt idx="1225">
                  <c:v>-0.54639821149438716</c:v>
                </c:pt>
                <c:pt idx="1226">
                  <c:v>-0.57976604120396802</c:v>
                </c:pt>
                <c:pt idx="1227">
                  <c:v>-0.58602250927451449</c:v>
                </c:pt>
                <c:pt idx="1228">
                  <c:v>-0.61313387091354898</c:v>
                </c:pt>
                <c:pt idx="1229">
                  <c:v>-0.62981778576833947</c:v>
                </c:pt>
                <c:pt idx="1230">
                  <c:v>-0.68612599840325728</c:v>
                </c:pt>
                <c:pt idx="1231">
                  <c:v>-0.69655344518750129</c:v>
                </c:pt>
                <c:pt idx="1232">
                  <c:v>-0.68612599840325728</c:v>
                </c:pt>
                <c:pt idx="1233">
                  <c:v>-0.68404050904640845</c:v>
                </c:pt>
                <c:pt idx="1234">
                  <c:v>-0.68612599840325728</c:v>
                </c:pt>
                <c:pt idx="1235">
                  <c:v>-0.64024523255258359</c:v>
                </c:pt>
                <c:pt idx="1236">
                  <c:v>-0.66527110483476926</c:v>
                </c:pt>
                <c:pt idx="1237">
                  <c:v>-0.65901463676422278</c:v>
                </c:pt>
                <c:pt idx="1238">
                  <c:v>-0.73200676425393096</c:v>
                </c:pt>
                <c:pt idx="1239">
                  <c:v>-0.75077616846557027</c:v>
                </c:pt>
                <c:pt idx="1240">
                  <c:v>-0.72992127489708225</c:v>
                </c:pt>
                <c:pt idx="1241">
                  <c:v>-0.72366480682653578</c:v>
                </c:pt>
                <c:pt idx="1242">
                  <c:v>-0.73409225361077979</c:v>
                </c:pt>
                <c:pt idx="1243">
                  <c:v>-0.80291340238679043</c:v>
                </c:pt>
                <c:pt idx="1244">
                  <c:v>-0.84879416823746423</c:v>
                </c:pt>
                <c:pt idx="1245">
                  <c:v>-0.7716310620340584</c:v>
                </c:pt>
                <c:pt idx="1246">
                  <c:v>-0.77997301946145359</c:v>
                </c:pt>
                <c:pt idx="1247">
                  <c:v>-0.78414399817515124</c:v>
                </c:pt>
                <c:pt idx="1248">
                  <c:v>-0.83211025338267375</c:v>
                </c:pt>
                <c:pt idx="1249">
                  <c:v>-0.87590552987649872</c:v>
                </c:pt>
                <c:pt idx="1250">
                  <c:v>-0.90093140215868439</c:v>
                </c:pt>
                <c:pt idx="1251">
                  <c:v>-0.86964906180595225</c:v>
                </c:pt>
                <c:pt idx="1252">
                  <c:v>-0.85922161502170824</c:v>
                </c:pt>
                <c:pt idx="1253">
                  <c:v>-0.83211025338267375</c:v>
                </c:pt>
                <c:pt idx="1254">
                  <c:v>-0.80708438110048808</c:v>
                </c:pt>
                <c:pt idx="1255">
                  <c:v>-0.77580204074775594</c:v>
                </c:pt>
                <c:pt idx="1256">
                  <c:v>-0.70489540261489658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C3E-41D2-9597-FB46A4D01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43599"/>
        <c:axId val="1152053199"/>
      </c:scatterChart>
      <c:valAx>
        <c:axId val="1152043599"/>
        <c:scaling>
          <c:orientation val="minMax"/>
          <c:max val="12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napok</a:t>
                </a:r>
              </a:p>
            </c:rich>
          </c:tx>
          <c:layout>
            <c:manualLayout>
              <c:xMode val="edge"/>
              <c:yMode val="edge"/>
              <c:x val="0.51516364321863084"/>
              <c:y val="0.915450401235730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152053199"/>
        <c:crosses val="autoZero"/>
        <c:crossBetween val="midCat"/>
        <c:majorUnit val="60"/>
      </c:valAx>
      <c:valAx>
        <c:axId val="1152053199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kumulált loghozam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152043599"/>
        <c:crosses val="autoZero"/>
        <c:crossBetween val="midCat"/>
        <c:majorUnit val="1"/>
        <c:minorUnit val="0.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23276924638564"/>
          <c:y val="0.1693801881224177"/>
          <c:w val="0.14658825418358287"/>
          <c:h val="0.13380562864714365"/>
        </c:manualLayout>
      </c:layout>
      <c:overlay val="1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A WBD loghozamának empirikus sűrűségfüggvénye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tény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Számolások!$Z$5:$Z$41</c:f>
              <c:numCache>
                <c:formatCode>0.00000</c:formatCode>
                <c:ptCount val="37"/>
                <c:pt idx="0">
                  <c:v>-0.10240192185783693</c:v>
                </c:pt>
                <c:pt idx="1">
                  <c:v>-9.6749153511823879E-2</c:v>
                </c:pt>
                <c:pt idx="2">
                  <c:v>-9.1096385165810825E-2</c:v>
                </c:pt>
                <c:pt idx="3">
                  <c:v>-8.5443616819797771E-2</c:v>
                </c:pt>
                <c:pt idx="4">
                  <c:v>-7.9790848473784717E-2</c:v>
                </c:pt>
                <c:pt idx="5">
                  <c:v>-7.4138080127771663E-2</c:v>
                </c:pt>
                <c:pt idx="6">
                  <c:v>-6.8485311781758609E-2</c:v>
                </c:pt>
                <c:pt idx="7">
                  <c:v>-6.2832543435745555E-2</c:v>
                </c:pt>
                <c:pt idx="8">
                  <c:v>-5.7179775089732494E-2</c:v>
                </c:pt>
                <c:pt idx="9">
                  <c:v>-5.1527006743719433E-2</c:v>
                </c:pt>
                <c:pt idx="10">
                  <c:v>-4.5874238397706373E-2</c:v>
                </c:pt>
                <c:pt idx="11">
                  <c:v>-4.0221470051693312E-2</c:v>
                </c:pt>
                <c:pt idx="12">
                  <c:v>-3.4568701705680251E-2</c:v>
                </c:pt>
                <c:pt idx="13">
                  <c:v>-2.8915933359667193E-2</c:v>
                </c:pt>
                <c:pt idx="14">
                  <c:v>-2.3263165013654136E-2</c:v>
                </c:pt>
                <c:pt idx="15">
                  <c:v>-1.7610396667641078E-2</c:v>
                </c:pt>
                <c:pt idx="16">
                  <c:v>-1.1957628321628021E-2</c:v>
                </c:pt>
                <c:pt idx="17">
                  <c:v>-6.3048599756149624E-3</c:v>
                </c:pt>
                <c:pt idx="18">
                  <c:v>-6.5209162960190407E-4</c:v>
                </c:pt>
                <c:pt idx="19">
                  <c:v>5.0006767164111543E-3</c:v>
                </c:pt>
                <c:pt idx="20">
                  <c:v>1.0653445062424213E-2</c:v>
                </c:pt>
                <c:pt idx="21">
                  <c:v>1.630621340843727E-2</c:v>
                </c:pt>
                <c:pt idx="22">
                  <c:v>2.1958981754450328E-2</c:v>
                </c:pt>
                <c:pt idx="23">
                  <c:v>2.7611750100463385E-2</c:v>
                </c:pt>
                <c:pt idx="24">
                  <c:v>3.3264518446476446E-2</c:v>
                </c:pt>
                <c:pt idx="25">
                  <c:v>3.8917286792489507E-2</c:v>
                </c:pt>
                <c:pt idx="26">
                  <c:v>4.4570055138502568E-2</c:v>
                </c:pt>
                <c:pt idx="27">
                  <c:v>5.0222823484515629E-2</c:v>
                </c:pt>
                <c:pt idx="28">
                  <c:v>5.587559183052869E-2</c:v>
                </c:pt>
                <c:pt idx="29">
                  <c:v>6.1528360176541751E-2</c:v>
                </c:pt>
                <c:pt idx="30">
                  <c:v>6.7181128522554812E-2</c:v>
                </c:pt>
                <c:pt idx="31">
                  <c:v>7.2833896868567866E-2</c:v>
                </c:pt>
                <c:pt idx="32">
                  <c:v>7.848666521458092E-2</c:v>
                </c:pt>
                <c:pt idx="33">
                  <c:v>8.4139433560593974E-2</c:v>
                </c:pt>
                <c:pt idx="34">
                  <c:v>8.9792201906607028E-2</c:v>
                </c:pt>
                <c:pt idx="35">
                  <c:v>9.5444970252620082E-2</c:v>
                </c:pt>
                <c:pt idx="36">
                  <c:v>0.10109773859863314</c:v>
                </c:pt>
              </c:numCache>
            </c:numRef>
          </c:xVal>
          <c:yVal>
            <c:numRef>
              <c:f>Számolások!$AC$5:$AC$41</c:f>
              <c:numCache>
                <c:formatCode>0.0000</c:formatCode>
                <c:ptCount val="37"/>
                <c:pt idx="0">
                  <c:v>1.1258836726973713</c:v>
                </c:pt>
                <c:pt idx="1">
                  <c:v>0.42220637726151422</c:v>
                </c:pt>
                <c:pt idx="2">
                  <c:v>0.28147091817434283</c:v>
                </c:pt>
                <c:pt idx="3">
                  <c:v>0.14073545908717142</c:v>
                </c:pt>
                <c:pt idx="4">
                  <c:v>0.70367729543585711</c:v>
                </c:pt>
                <c:pt idx="5">
                  <c:v>0.42220637726151422</c:v>
                </c:pt>
                <c:pt idx="6">
                  <c:v>0.98514821361019989</c:v>
                </c:pt>
                <c:pt idx="7">
                  <c:v>1.2666191317845428</c:v>
                </c:pt>
                <c:pt idx="8">
                  <c:v>1.1258836726973713</c:v>
                </c:pt>
                <c:pt idx="9">
                  <c:v>3.3776510180921138</c:v>
                </c:pt>
                <c:pt idx="10">
                  <c:v>1.8295609681332283</c:v>
                </c:pt>
                <c:pt idx="11">
                  <c:v>5.9108892816611993</c:v>
                </c:pt>
                <c:pt idx="12">
                  <c:v>5.9108892816611993</c:v>
                </c:pt>
                <c:pt idx="13">
                  <c:v>6.7553020361842275</c:v>
                </c:pt>
                <c:pt idx="14">
                  <c:v>8.584863004317457</c:v>
                </c:pt>
                <c:pt idx="15">
                  <c:v>11.540307645148054</c:v>
                </c:pt>
                <c:pt idx="16">
                  <c:v>13.369868613281284</c:v>
                </c:pt>
                <c:pt idx="17">
                  <c:v>15.762371417763198</c:v>
                </c:pt>
                <c:pt idx="18">
                  <c:v>16.747519631373397</c:v>
                </c:pt>
                <c:pt idx="19">
                  <c:v>16.325313254111883</c:v>
                </c:pt>
                <c:pt idx="20">
                  <c:v>12.384720399671084</c:v>
                </c:pt>
                <c:pt idx="21">
                  <c:v>11.540307645148054</c:v>
                </c:pt>
                <c:pt idx="22">
                  <c:v>7.3182438725329133</c:v>
                </c:pt>
                <c:pt idx="23">
                  <c:v>8.0219211679687703</c:v>
                </c:pt>
                <c:pt idx="24">
                  <c:v>5.3479474453125135</c:v>
                </c:pt>
                <c:pt idx="25">
                  <c:v>6.1923601998355418</c:v>
                </c:pt>
                <c:pt idx="26">
                  <c:v>4.0813283135279708</c:v>
                </c:pt>
                <c:pt idx="27">
                  <c:v>2.111031886307571</c:v>
                </c:pt>
                <c:pt idx="28">
                  <c:v>1.8295609681332283</c:v>
                </c:pt>
                <c:pt idx="29">
                  <c:v>1.5480900499588854</c:v>
                </c:pt>
                <c:pt idx="30">
                  <c:v>0.70367729543585711</c:v>
                </c:pt>
                <c:pt idx="31">
                  <c:v>0.70367729543585711</c:v>
                </c:pt>
                <c:pt idx="32">
                  <c:v>0.98514821361019989</c:v>
                </c:pt>
                <c:pt idx="33">
                  <c:v>0.70367729543585711</c:v>
                </c:pt>
                <c:pt idx="34">
                  <c:v>0.14073545908717142</c:v>
                </c:pt>
                <c:pt idx="35">
                  <c:v>0.42220637726151422</c:v>
                </c:pt>
                <c:pt idx="36">
                  <c:v>0.28147091817434283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B5-4144-93B5-FFCD900CD50A}"/>
            </c:ext>
          </c:extLst>
        </c:ser>
        <c:ser>
          <c:idx val="1"/>
          <c:order val="1"/>
          <c:tx>
            <c:v>szimuláció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Számolások!$Z$5:$Z$41</c:f>
              <c:numCache>
                <c:formatCode>0.00000</c:formatCode>
                <c:ptCount val="37"/>
                <c:pt idx="0">
                  <c:v>-0.10240192185783693</c:v>
                </c:pt>
                <c:pt idx="1">
                  <c:v>-9.6749153511823879E-2</c:v>
                </c:pt>
                <c:pt idx="2">
                  <c:v>-9.1096385165810825E-2</c:v>
                </c:pt>
                <c:pt idx="3">
                  <c:v>-8.5443616819797771E-2</c:v>
                </c:pt>
                <c:pt idx="4">
                  <c:v>-7.9790848473784717E-2</c:v>
                </c:pt>
                <c:pt idx="5">
                  <c:v>-7.4138080127771663E-2</c:v>
                </c:pt>
                <c:pt idx="6">
                  <c:v>-6.8485311781758609E-2</c:v>
                </c:pt>
                <c:pt idx="7">
                  <c:v>-6.2832543435745555E-2</c:v>
                </c:pt>
                <c:pt idx="8">
                  <c:v>-5.7179775089732494E-2</c:v>
                </c:pt>
                <c:pt idx="9">
                  <c:v>-5.1527006743719433E-2</c:v>
                </c:pt>
                <c:pt idx="10">
                  <c:v>-4.5874238397706373E-2</c:v>
                </c:pt>
                <c:pt idx="11">
                  <c:v>-4.0221470051693312E-2</c:v>
                </c:pt>
                <c:pt idx="12">
                  <c:v>-3.4568701705680251E-2</c:v>
                </c:pt>
                <c:pt idx="13">
                  <c:v>-2.8915933359667193E-2</c:v>
                </c:pt>
                <c:pt idx="14">
                  <c:v>-2.3263165013654136E-2</c:v>
                </c:pt>
                <c:pt idx="15">
                  <c:v>-1.7610396667641078E-2</c:v>
                </c:pt>
                <c:pt idx="16">
                  <c:v>-1.1957628321628021E-2</c:v>
                </c:pt>
                <c:pt idx="17">
                  <c:v>-6.3048599756149624E-3</c:v>
                </c:pt>
                <c:pt idx="18">
                  <c:v>-6.5209162960190407E-4</c:v>
                </c:pt>
                <c:pt idx="19">
                  <c:v>5.0006767164111543E-3</c:v>
                </c:pt>
                <c:pt idx="20">
                  <c:v>1.0653445062424213E-2</c:v>
                </c:pt>
                <c:pt idx="21">
                  <c:v>1.630621340843727E-2</c:v>
                </c:pt>
                <c:pt idx="22">
                  <c:v>2.1958981754450328E-2</c:v>
                </c:pt>
                <c:pt idx="23">
                  <c:v>2.7611750100463385E-2</c:v>
                </c:pt>
                <c:pt idx="24">
                  <c:v>3.3264518446476446E-2</c:v>
                </c:pt>
                <c:pt idx="25">
                  <c:v>3.8917286792489507E-2</c:v>
                </c:pt>
                <c:pt idx="26">
                  <c:v>4.4570055138502568E-2</c:v>
                </c:pt>
                <c:pt idx="27">
                  <c:v>5.0222823484515629E-2</c:v>
                </c:pt>
                <c:pt idx="28">
                  <c:v>5.587559183052869E-2</c:v>
                </c:pt>
                <c:pt idx="29">
                  <c:v>6.1528360176541751E-2</c:v>
                </c:pt>
                <c:pt idx="30">
                  <c:v>6.7181128522554812E-2</c:v>
                </c:pt>
                <c:pt idx="31">
                  <c:v>7.2833896868567866E-2</c:v>
                </c:pt>
                <c:pt idx="32">
                  <c:v>7.848666521458092E-2</c:v>
                </c:pt>
                <c:pt idx="33">
                  <c:v>8.4139433560593974E-2</c:v>
                </c:pt>
                <c:pt idx="34">
                  <c:v>8.9792201906607028E-2</c:v>
                </c:pt>
                <c:pt idx="35">
                  <c:v>9.5444970252620082E-2</c:v>
                </c:pt>
                <c:pt idx="36">
                  <c:v>0.10109773859863314</c:v>
                </c:pt>
              </c:numCache>
            </c:numRef>
          </c:xVal>
          <c:yVal>
            <c:numRef>
              <c:f>Számolások!$W$5:$W$41</c:f>
              <c:numCache>
                <c:formatCode>0.0000</c:formatCode>
                <c:ptCount val="37"/>
                <c:pt idx="0">
                  <c:v>0.28147091817434283</c:v>
                </c:pt>
                <c:pt idx="1">
                  <c:v>0.28147091817434283</c:v>
                </c:pt>
                <c:pt idx="2">
                  <c:v>0.28147091817434283</c:v>
                </c:pt>
                <c:pt idx="3">
                  <c:v>0.14073545908717142</c:v>
                </c:pt>
                <c:pt idx="4">
                  <c:v>0.14073545908717142</c:v>
                </c:pt>
                <c:pt idx="5">
                  <c:v>0.70367729543585711</c:v>
                </c:pt>
                <c:pt idx="6">
                  <c:v>1.4073545908717142</c:v>
                </c:pt>
                <c:pt idx="7">
                  <c:v>2.111031886307571</c:v>
                </c:pt>
                <c:pt idx="8">
                  <c:v>2.5332382635690855</c:v>
                </c:pt>
                <c:pt idx="9">
                  <c:v>4.222063772615142</c:v>
                </c:pt>
                <c:pt idx="10">
                  <c:v>5.2072119862253423</c:v>
                </c:pt>
                <c:pt idx="11">
                  <c:v>6.0516247407483705</c:v>
                </c:pt>
                <c:pt idx="12">
                  <c:v>4.925741068050999</c:v>
                </c:pt>
                <c:pt idx="13">
                  <c:v>9.7107466770148267</c:v>
                </c:pt>
                <c:pt idx="14">
                  <c:v>10.97736580879937</c:v>
                </c:pt>
                <c:pt idx="15">
                  <c:v>8.7255984634046264</c:v>
                </c:pt>
                <c:pt idx="16">
                  <c:v>14.214281367804313</c:v>
                </c:pt>
                <c:pt idx="17">
                  <c:v>11.540307645148054</c:v>
                </c:pt>
                <c:pt idx="18">
                  <c:v>14.495752285978654</c:v>
                </c:pt>
                <c:pt idx="19">
                  <c:v>8.584863004317457</c:v>
                </c:pt>
                <c:pt idx="20">
                  <c:v>11.821778563322399</c:v>
                </c:pt>
                <c:pt idx="21">
                  <c:v>11.540307645148054</c:v>
                </c:pt>
                <c:pt idx="22">
                  <c:v>7.5997147907072558</c:v>
                </c:pt>
                <c:pt idx="23">
                  <c:v>10.132953054276342</c:v>
                </c:pt>
                <c:pt idx="24">
                  <c:v>9.1478048406661419</c:v>
                </c:pt>
                <c:pt idx="25">
                  <c:v>5.6294183634868569</c:v>
                </c:pt>
                <c:pt idx="26">
                  <c:v>2.8147091817434284</c:v>
                </c:pt>
                <c:pt idx="27">
                  <c:v>3.3776510180921138</c:v>
                </c:pt>
                <c:pt idx="28">
                  <c:v>1.8295609681332283</c:v>
                </c:pt>
                <c:pt idx="29">
                  <c:v>1.2666191317845428</c:v>
                </c:pt>
                <c:pt idx="30">
                  <c:v>0.98514821361019989</c:v>
                </c:pt>
                <c:pt idx="31">
                  <c:v>1.5480900499588854</c:v>
                </c:pt>
                <c:pt idx="32">
                  <c:v>0.98514821361019989</c:v>
                </c:pt>
                <c:pt idx="33">
                  <c:v>0.28147091817434283</c:v>
                </c:pt>
                <c:pt idx="34">
                  <c:v>0.42220637726151422</c:v>
                </c:pt>
                <c:pt idx="35">
                  <c:v>0.42220637726151422</c:v>
                </c:pt>
                <c:pt idx="36">
                  <c:v>0.56294183634868566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B5-4144-93B5-FFCD900CD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48575"/>
        <c:axId val="84550495"/>
      </c:scatterChart>
      <c:valAx>
        <c:axId val="84548575"/>
        <c:scaling>
          <c:orientation val="minMax"/>
          <c:max val="0.12000000000000001"/>
          <c:min val="-0.120000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Napi loghozam, Y</a:t>
                </a:r>
              </a:p>
            </c:rich>
          </c:tx>
          <c:layout>
            <c:manualLayout>
              <c:xMode val="edge"/>
              <c:yMode val="edge"/>
              <c:x val="0.44205288714044388"/>
              <c:y val="0.920961653138568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84550495"/>
        <c:crosses val="autoZero"/>
        <c:crossBetween val="midCat"/>
        <c:majorUnit val="4.0000000000000008E-2"/>
        <c:minorUnit val="1.0000000000000002E-2"/>
      </c:valAx>
      <c:valAx>
        <c:axId val="8455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edf(Y)</a:t>
                </a:r>
              </a:p>
            </c:rich>
          </c:tx>
          <c:layout>
            <c:manualLayout>
              <c:xMode val="edge"/>
              <c:yMode val="edge"/>
              <c:x val="1.6708437761069339E-2"/>
              <c:y val="0.427839634080827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845485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8205520362586239E-2"/>
          <c:y val="0.17707540943346994"/>
          <c:w val="0.14292616512823539"/>
          <c:h val="0.1330146073765219"/>
        </c:manualLayout>
      </c:layout>
      <c:overlay val="1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2</xdr:row>
      <xdr:rowOff>15240</xdr:rowOff>
    </xdr:from>
    <xdr:to>
      <xdr:col>10</xdr:col>
      <xdr:colOff>586740</xdr:colOff>
      <xdr:row>19</xdr:row>
      <xdr:rowOff>160020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DFC5A55C-FC19-E248-E756-2D1417467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2</xdr:row>
      <xdr:rowOff>21166</xdr:rowOff>
    </xdr:from>
    <xdr:to>
      <xdr:col>21</xdr:col>
      <xdr:colOff>586740</xdr:colOff>
      <xdr:row>19</xdr:row>
      <xdr:rowOff>167640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B8569D8B-1EB1-6E1A-0C70-37AC524E6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1B03-E0A5-4B52-9772-8D664F1369CE}">
  <dimension ref="A2:AC1261"/>
  <sheetViews>
    <sheetView showGridLines="0" tabSelected="1" topLeftCell="I1" zoomScale="58" workbookViewId="0">
      <selection activeCell="W6" sqref="W6"/>
    </sheetView>
  </sheetViews>
  <sheetFormatPr defaultRowHeight="14.4" x14ac:dyDescent="0.3"/>
  <cols>
    <col min="1" max="2" width="14" style="1" customWidth="1"/>
    <col min="3" max="3" width="8.88671875" customWidth="1"/>
    <col min="4" max="4" width="11.21875" customWidth="1"/>
    <col min="5" max="7" width="18.6640625" customWidth="1"/>
    <col min="9" max="10" width="11.5546875" customWidth="1"/>
    <col min="12" max="12" width="11.88671875" customWidth="1"/>
    <col min="13" max="14" width="18.6640625" customWidth="1"/>
    <col min="16" max="17" width="17.33203125" customWidth="1"/>
    <col min="19" max="29" width="11.6640625" customWidth="1"/>
  </cols>
  <sheetData>
    <row r="2" spans="1:29" ht="15" thickBot="1" x14ac:dyDescent="0.35">
      <c r="A2" s="45" t="s">
        <v>2</v>
      </c>
      <c r="B2" s="45"/>
      <c r="D2" s="45" t="s">
        <v>0</v>
      </c>
      <c r="E2" s="45"/>
      <c r="F2" s="45"/>
      <c r="G2" s="45"/>
      <c r="I2" s="46" t="s">
        <v>2</v>
      </c>
      <c r="J2" s="46"/>
      <c r="L2" s="45" t="s">
        <v>0</v>
      </c>
      <c r="M2" s="45"/>
      <c r="N2" s="45"/>
      <c r="P2" s="46" t="s">
        <v>16</v>
      </c>
      <c r="Q2" s="46"/>
      <c r="S2" s="48" t="s">
        <v>0</v>
      </c>
      <c r="T2" s="48"/>
      <c r="U2" s="48"/>
      <c r="V2" s="48"/>
      <c r="W2" s="48"/>
      <c r="X2" s="49"/>
      <c r="Y2" s="48"/>
      <c r="Z2" s="48"/>
      <c r="AA2" s="48"/>
      <c r="AB2" s="48"/>
      <c r="AC2" s="48"/>
    </row>
    <row r="3" spans="1:29" ht="15" thickBot="1" x14ac:dyDescent="0.35">
      <c r="A3" s="5" t="s">
        <v>1</v>
      </c>
      <c r="B3" s="5" t="s">
        <v>0</v>
      </c>
      <c r="D3" s="5" t="s">
        <v>12</v>
      </c>
      <c r="E3" s="5" t="s">
        <v>1</v>
      </c>
      <c r="F3" s="14" t="s">
        <v>3</v>
      </c>
      <c r="G3" s="14" t="s">
        <v>4</v>
      </c>
      <c r="I3" s="6" t="s">
        <v>6</v>
      </c>
      <c r="J3" s="12">
        <f>COUNT(E4:E1260)</f>
        <v>1257</v>
      </c>
      <c r="L3" s="5" t="s">
        <v>12</v>
      </c>
      <c r="M3" s="14" t="s">
        <v>11</v>
      </c>
      <c r="N3" s="14" t="s">
        <v>13</v>
      </c>
      <c r="P3" s="6" t="s">
        <v>17</v>
      </c>
      <c r="Q3" s="13">
        <f ca="1">AVERAGE(M4:M1260)</f>
        <v>-5.6077597662282938E-4</v>
      </c>
      <c r="S3" s="50" t="s">
        <v>27</v>
      </c>
      <c r="T3" s="51"/>
      <c r="U3" s="51"/>
      <c r="V3" s="51"/>
      <c r="W3" s="47"/>
      <c r="X3" s="27"/>
      <c r="Y3" s="47" t="s">
        <v>26</v>
      </c>
      <c r="Z3" s="48"/>
      <c r="AA3" s="48"/>
      <c r="AB3" s="48"/>
      <c r="AC3" s="48"/>
    </row>
    <row r="4" spans="1:29" ht="15" thickBot="1" x14ac:dyDescent="0.35">
      <c r="A4" s="3">
        <v>43467</v>
      </c>
      <c r="B4" s="4">
        <v>25.83</v>
      </c>
      <c r="D4" s="11">
        <v>1</v>
      </c>
      <c r="E4" s="3">
        <v>43468</v>
      </c>
      <c r="F4" s="7">
        <f t="shared" ref="F4:F67" si="0">LN(B5/B4)</f>
        <v>-5.8241282859886508E-3</v>
      </c>
      <c r="G4" s="7">
        <f>SUM($F$4:F4)</f>
        <v>-5.8241282859886508E-3</v>
      </c>
      <c r="I4" s="6" t="s">
        <v>5</v>
      </c>
      <c r="J4" s="2">
        <f>Ábrázolás!I26</f>
        <v>1000</v>
      </c>
      <c r="L4" s="11">
        <v>1</v>
      </c>
      <c r="M4" s="7">
        <f ca="1">(2*_xlfn.BINOM.INV($J$4,$J$12,RAND())-$J$4)*$J$11</f>
        <v>-2.0854893568488065E-2</v>
      </c>
      <c r="N4" s="7">
        <f ca="1">SUM($M$4:M4)</f>
        <v>-2.0854893568488065E-2</v>
      </c>
      <c r="P4" s="6" t="s">
        <v>18</v>
      </c>
      <c r="Q4" s="7">
        <f ca="1">_xlfn.STDEV.S(M4:M1260)</f>
        <v>3.2754537161940663E-2</v>
      </c>
      <c r="S4" s="5" t="s">
        <v>28</v>
      </c>
      <c r="T4" s="5" t="s">
        <v>20</v>
      </c>
      <c r="U4" s="5" t="s">
        <v>7</v>
      </c>
      <c r="V4" s="5" t="s">
        <v>21</v>
      </c>
      <c r="W4" s="24" t="s">
        <v>22</v>
      </c>
      <c r="X4" s="20"/>
      <c r="Y4" s="25" t="s">
        <v>28</v>
      </c>
      <c r="Z4" s="5" t="s">
        <v>20</v>
      </c>
      <c r="AA4" s="5" t="s">
        <v>7</v>
      </c>
      <c r="AB4" s="5" t="s">
        <v>21</v>
      </c>
      <c r="AC4" s="5" t="s">
        <v>22</v>
      </c>
    </row>
    <row r="5" spans="1:29" x14ac:dyDescent="0.3">
      <c r="A5" s="3">
        <v>43468</v>
      </c>
      <c r="B5" s="4">
        <v>25.68</v>
      </c>
      <c r="D5" s="11">
        <v>2</v>
      </c>
      <c r="E5" s="3">
        <v>43469</v>
      </c>
      <c r="F5" s="7">
        <f t="shared" si="0"/>
        <v>1.7754191118767765E-2</v>
      </c>
      <c r="G5" s="7">
        <f>SUM($F$4:F5)</f>
        <v>1.1930062832779115E-2</v>
      </c>
      <c r="J5" s="1"/>
      <c r="L5" s="11">
        <v>2</v>
      </c>
      <c r="M5" s="41">
        <f t="shared" ref="M5:M68" ca="1" si="1">(2*_xlfn.BINOM.INV($J$4,$J$12,RAND())-$J$4)*$J$11</f>
        <v>-4.5880765850673744E-2</v>
      </c>
      <c r="N5" s="7">
        <f ca="1">SUM($M$4:M5)</f>
        <v>-6.6735659419161805E-2</v>
      </c>
      <c r="S5" s="21"/>
      <c r="T5" s="43">
        <v>-0.10240192185783693</v>
      </c>
      <c r="U5" s="22">
        <v>-9.9575537684830406E-2</v>
      </c>
      <c r="V5" s="21">
        <f ca="1">COUNTIFS(M4:M1260,"&lt;="&amp;U5)</f>
        <v>2</v>
      </c>
      <c r="W5" s="28">
        <f ca="1">(V5/$Q$13)/$Q$10</f>
        <v>0.28147091817434283</v>
      </c>
      <c r="X5" s="23"/>
      <c r="Y5" s="26"/>
      <c r="Z5" s="22">
        <f ca="1">AA5-Q10/2</f>
        <v>-0.10240192185783693</v>
      </c>
      <c r="AA5" s="22">
        <f>Q8-3*Q9</f>
        <v>-9.9575537684830406E-2</v>
      </c>
      <c r="AB5" s="21">
        <f>COUNTIFS(F4:F1260,"&lt;="&amp;AA5)</f>
        <v>8</v>
      </c>
      <c r="AC5" s="28">
        <f ca="1">(AB5/$Q$13)/$Q$10</f>
        <v>1.1258836726973713</v>
      </c>
    </row>
    <row r="6" spans="1:29" ht="15" thickBot="1" x14ac:dyDescent="0.35">
      <c r="A6" s="3">
        <v>43469</v>
      </c>
      <c r="B6" s="4">
        <v>26.139999</v>
      </c>
      <c r="D6" s="11">
        <v>3</v>
      </c>
      <c r="E6" s="3">
        <v>43472</v>
      </c>
      <c r="F6" s="7">
        <f t="shared" si="0"/>
        <v>1.4809535902296929E-2</v>
      </c>
      <c r="G6" s="7">
        <f>SUM($F$4:F6)</f>
        <v>2.6739598735076045E-2</v>
      </c>
      <c r="I6" s="46" t="s">
        <v>14</v>
      </c>
      <c r="J6" s="46"/>
      <c r="K6" s="40"/>
      <c r="L6" s="11">
        <v>3</v>
      </c>
      <c r="M6" s="7">
        <f t="shared" ca="1" si="1"/>
        <v>0.15224072304996286</v>
      </c>
      <c r="N6" s="7">
        <f ca="1">SUM($M$4:M6)</f>
        <v>8.5505063630801056E-2</v>
      </c>
      <c r="S6" s="18">
        <v>-9.9575537684830406E-2</v>
      </c>
      <c r="T6" s="18">
        <v>-9.6749153511823879E-2</v>
      </c>
      <c r="U6" s="18">
        <v>-9.3922769338817352E-2</v>
      </c>
      <c r="V6" s="2">
        <f ca="1">COUNTIFS($M$4:$M$1260,"&gt;"&amp;S6,$M$4:$M$1260,"&lt;="&amp;U6)</f>
        <v>2</v>
      </c>
      <c r="W6" s="7">
        <f t="shared" ref="W6:W41" ca="1" si="2">(V6/$Q$13)/$Q$10</f>
        <v>0.28147091817434283</v>
      </c>
      <c r="X6" s="23"/>
      <c r="Y6" s="29">
        <f>AA5</f>
        <v>-9.9575537684830406E-2</v>
      </c>
      <c r="Z6" s="18">
        <f ca="1">Z5+$Q$10</f>
        <v>-9.6749153511823879E-2</v>
      </c>
      <c r="AA6" s="18">
        <f ca="1">AA5+$Q$10</f>
        <v>-9.3922769338817352E-2</v>
      </c>
      <c r="AB6" s="2">
        <f ca="1">COUNTIFS($F$4:$F$1260,"&gt;"&amp;Y6,$F$4:$F$1260,"&lt;="&amp;AA6)</f>
        <v>3</v>
      </c>
      <c r="AC6" s="7">
        <f t="shared" ref="AC6:AC41" ca="1" si="3">(AB6/$Q$13)/$Q$10</f>
        <v>0.42220637726151422</v>
      </c>
    </row>
    <row r="7" spans="1:29" ht="15" thickBot="1" x14ac:dyDescent="0.35">
      <c r="A7" s="3">
        <v>43472</v>
      </c>
      <c r="B7" s="4">
        <v>26.530000999999999</v>
      </c>
      <c r="D7" s="11">
        <v>4</v>
      </c>
      <c r="E7" s="3">
        <v>43473</v>
      </c>
      <c r="F7" s="7">
        <f t="shared" si="0"/>
        <v>2.6410275438486584E-2</v>
      </c>
      <c r="G7" s="7">
        <f>SUM($F$4:F7)</f>
        <v>5.3149874173562629E-2</v>
      </c>
      <c r="I7" s="8" t="s">
        <v>9</v>
      </c>
      <c r="J7" s="13">
        <f>AVERAGE(F4:F1260)</f>
        <v>-6.5209162960188141E-4</v>
      </c>
      <c r="L7" s="11">
        <v>4</v>
      </c>
      <c r="M7" s="7">
        <f ca="1">(2*_xlfn.BINOM.INV($J$4,$J$12,RAND())-$J$4)*$J$11</f>
        <v>7.5077616846557033E-2</v>
      </c>
      <c r="N7" s="7">
        <f ca="1">SUM($M$4:M7)</f>
        <v>0.16058268047735808</v>
      </c>
      <c r="P7" s="46" t="s">
        <v>19</v>
      </c>
      <c r="Q7" s="46"/>
      <c r="S7" s="18">
        <v>-9.3922769338817352E-2</v>
      </c>
      <c r="T7" s="18">
        <v>-9.1096385165810825E-2</v>
      </c>
      <c r="U7" s="18">
        <v>-8.8270000992804298E-2</v>
      </c>
      <c r="V7" s="2">
        <f ca="1">COUNTIFS($M$4:$M$1260,"&gt;"&amp;S7,$M$4:$M$1260,"&lt;="&amp;U7)</f>
        <v>2</v>
      </c>
      <c r="W7" s="7">
        <f t="shared" ca="1" si="2"/>
        <v>0.28147091817434283</v>
      </c>
      <c r="X7" s="23"/>
      <c r="Y7" s="29">
        <f ca="1">AA6</f>
        <v>-9.3922769338817352E-2</v>
      </c>
      <c r="Z7" s="18">
        <f t="shared" ref="Z7:Z41" ca="1" si="4">Z6+$Q$10</f>
        <v>-9.1096385165810825E-2</v>
      </c>
      <c r="AA7" s="18">
        <f t="shared" ref="AA7:AA40" ca="1" si="5">AA6+$Q$10</f>
        <v>-8.8270000992804298E-2</v>
      </c>
      <c r="AB7" s="2">
        <f t="shared" ref="AB7:AB40" ca="1" si="6">COUNTIFS($F$4:$F$1260,"&gt;"&amp;Y7,$F$4:$F$1260,"&lt;="&amp;AA7)</f>
        <v>2</v>
      </c>
      <c r="AC7" s="7">
        <f t="shared" ca="1" si="3"/>
        <v>0.28147091817434283</v>
      </c>
    </row>
    <row r="8" spans="1:29" x14ac:dyDescent="0.3">
      <c r="A8" s="3">
        <v>43473</v>
      </c>
      <c r="B8" s="4">
        <v>27.24</v>
      </c>
      <c r="D8" s="11">
        <v>5</v>
      </c>
      <c r="E8" s="3">
        <v>43474</v>
      </c>
      <c r="F8" s="7">
        <f t="shared" si="0"/>
        <v>1.4673883508406133E-3</v>
      </c>
      <c r="G8" s="7">
        <f>SUM($F$4:F8)</f>
        <v>5.4617262524403243E-2</v>
      </c>
      <c r="I8" s="8" t="s">
        <v>10</v>
      </c>
      <c r="J8" s="7">
        <f>_xlfn.STDEV.S(F4:F1260)</f>
        <v>3.2974482018409509E-2</v>
      </c>
      <c r="L8" s="11">
        <v>5</v>
      </c>
      <c r="M8" s="7">
        <f t="shared" ca="1" si="1"/>
        <v>6.2564680705464188E-3</v>
      </c>
      <c r="N8" s="7">
        <f ca="1">SUM($M$4:M8)</f>
        <v>0.16683914854790449</v>
      </c>
      <c r="P8" s="6" t="s">
        <v>17</v>
      </c>
      <c r="Q8" s="13">
        <f>AVERAGE(F4:F1260)</f>
        <v>-6.5209162960188141E-4</v>
      </c>
      <c r="S8" s="18">
        <v>-8.8270000992804298E-2</v>
      </c>
      <c r="T8" s="18">
        <v>-8.5443616819797771E-2</v>
      </c>
      <c r="U8" s="42">
        <v>-8.2617232646791244E-2</v>
      </c>
      <c r="V8" s="2">
        <f t="shared" ref="V8:V40" ca="1" si="7">COUNTIFS($M$4:$M$1260,"&gt;"&amp;S8,$M$4:$M$1260,"&lt;="&amp;U8)</f>
        <v>1</v>
      </c>
      <c r="W8" s="7">
        <f t="shared" ca="1" si="2"/>
        <v>0.14073545908717142</v>
      </c>
      <c r="X8" s="23"/>
      <c r="Y8" s="29">
        <f t="shared" ref="Y8:Y41" ca="1" si="8">AA7</f>
        <v>-8.8270000992804298E-2</v>
      </c>
      <c r="Z8" s="18">
        <f t="shared" ca="1" si="4"/>
        <v>-8.5443616819797771E-2</v>
      </c>
      <c r="AA8" s="18">
        <f t="shared" ca="1" si="5"/>
        <v>-8.2617232646791244E-2</v>
      </c>
      <c r="AB8" s="2">
        <f t="shared" ca="1" si="6"/>
        <v>1</v>
      </c>
      <c r="AC8" s="7">
        <f t="shared" ca="1" si="3"/>
        <v>0.14073545908717142</v>
      </c>
    </row>
    <row r="9" spans="1:29" x14ac:dyDescent="0.3">
      <c r="A9" s="3">
        <v>43474</v>
      </c>
      <c r="B9" s="4">
        <v>27.280000999999999</v>
      </c>
      <c r="D9" s="11">
        <v>6</v>
      </c>
      <c r="E9" s="3">
        <v>43475</v>
      </c>
      <c r="F9" s="7">
        <f t="shared" si="0"/>
        <v>-1.7378954683799956E-2</v>
      </c>
      <c r="G9" s="7">
        <f>SUM($F$4:F9)</f>
        <v>3.7238307840603287E-2</v>
      </c>
      <c r="I9" s="9"/>
      <c r="J9" s="9"/>
      <c r="L9" s="11">
        <v>6</v>
      </c>
      <c r="M9" s="7">
        <f t="shared" ca="1" si="1"/>
        <v>-1.2512936141092838E-2</v>
      </c>
      <c r="N9" s="7">
        <f ca="1">SUM($M$4:M9)</f>
        <v>0.15432621240681166</v>
      </c>
      <c r="P9" s="6" t="s">
        <v>18</v>
      </c>
      <c r="Q9" s="7">
        <f>_xlfn.STDEV.S(F4:F1260)</f>
        <v>3.2974482018409509E-2</v>
      </c>
      <c r="S9" s="18">
        <v>-8.2617232646791244E-2</v>
      </c>
      <c r="T9" s="18">
        <v>-7.9790848473784717E-2</v>
      </c>
      <c r="U9" s="18">
        <v>-7.696446430077819E-2</v>
      </c>
      <c r="V9" s="2">
        <f t="shared" ca="1" si="7"/>
        <v>1</v>
      </c>
      <c r="W9" s="7">
        <f t="shared" ca="1" si="2"/>
        <v>0.14073545908717142</v>
      </c>
      <c r="X9" s="23"/>
      <c r="Y9" s="29">
        <f t="shared" ca="1" si="8"/>
        <v>-8.2617232646791244E-2</v>
      </c>
      <c r="Z9" s="18">
        <f t="shared" ca="1" si="4"/>
        <v>-7.9790848473784717E-2</v>
      </c>
      <c r="AA9" s="18">
        <f t="shared" ca="1" si="5"/>
        <v>-7.696446430077819E-2</v>
      </c>
      <c r="AB9" s="2">
        <f t="shared" ca="1" si="6"/>
        <v>5</v>
      </c>
      <c r="AC9" s="7">
        <f t="shared" ca="1" si="3"/>
        <v>0.70367729543585711</v>
      </c>
    </row>
    <row r="10" spans="1:29" ht="15" thickBot="1" x14ac:dyDescent="0.35">
      <c r="A10" s="3">
        <v>43475</v>
      </c>
      <c r="B10" s="4">
        <v>26.809999000000001</v>
      </c>
      <c r="D10" s="11">
        <v>7</v>
      </c>
      <c r="E10" s="3">
        <v>43476</v>
      </c>
      <c r="F10" s="7">
        <f t="shared" si="0"/>
        <v>1.149658499699834E-2</v>
      </c>
      <c r="G10" s="7">
        <f>SUM($F$4:F10)</f>
        <v>4.8734892837601629E-2</v>
      </c>
      <c r="I10" s="44" t="s">
        <v>15</v>
      </c>
      <c r="J10" s="44"/>
      <c r="L10" s="11">
        <v>7</v>
      </c>
      <c r="M10" s="7">
        <f t="shared" ca="1" si="1"/>
        <v>2.9196850995883289E-2</v>
      </c>
      <c r="N10" s="7">
        <f ca="1">SUM($M$4:M10)</f>
        <v>0.18352306340269495</v>
      </c>
      <c r="P10" s="6" t="s">
        <v>25</v>
      </c>
      <c r="Q10" s="19">
        <f ca="1">6*Q9/(Q14-2)</f>
        <v>5.6527683460130583E-3</v>
      </c>
      <c r="S10" s="18">
        <v>-7.696446430077819E-2</v>
      </c>
      <c r="T10" s="18">
        <v>-7.4138080127771663E-2</v>
      </c>
      <c r="U10" s="18">
        <v>-7.1311695954765136E-2</v>
      </c>
      <c r="V10" s="2">
        <f t="shared" ca="1" si="7"/>
        <v>5</v>
      </c>
      <c r="W10" s="7">
        <f t="shared" ca="1" si="2"/>
        <v>0.70367729543585711</v>
      </c>
      <c r="X10" s="23"/>
      <c r="Y10" s="29">
        <f t="shared" ca="1" si="8"/>
        <v>-7.696446430077819E-2</v>
      </c>
      <c r="Z10" s="18">
        <f t="shared" ca="1" si="4"/>
        <v>-7.4138080127771663E-2</v>
      </c>
      <c r="AA10" s="18">
        <f t="shared" ca="1" si="5"/>
        <v>-7.1311695954765136E-2</v>
      </c>
      <c r="AB10" s="2">
        <f t="shared" ca="1" si="6"/>
        <v>3</v>
      </c>
      <c r="AC10" s="7">
        <f t="shared" ca="1" si="3"/>
        <v>0.42220637726151422</v>
      </c>
    </row>
    <row r="11" spans="1:29" x14ac:dyDescent="0.3">
      <c r="A11" s="3">
        <v>43476</v>
      </c>
      <c r="B11" s="4">
        <v>27.120000999999998</v>
      </c>
      <c r="D11" s="11">
        <v>8</v>
      </c>
      <c r="E11" s="3">
        <v>43479</v>
      </c>
      <c r="F11" s="7">
        <f t="shared" si="0"/>
        <v>-4.4346339410213593E-3</v>
      </c>
      <c r="G11" s="7">
        <f>SUM($F$4:F11)</f>
        <v>4.430025889658027E-2</v>
      </c>
      <c r="I11" s="8" t="s">
        <v>7</v>
      </c>
      <c r="J11" s="10">
        <f>J8/J4^0.5</f>
        <v>1.0427446784244032E-3</v>
      </c>
      <c r="L11" s="11">
        <v>8</v>
      </c>
      <c r="M11" s="7">
        <f t="shared" ca="1" si="1"/>
        <v>3.962429778012732E-2</v>
      </c>
      <c r="N11" s="7">
        <f ca="1">SUM($M$4:M11)</f>
        <v>0.22314736118282227</v>
      </c>
      <c r="S11" s="18">
        <v>-7.1311695954765136E-2</v>
      </c>
      <c r="T11" s="18">
        <v>-6.8485311781758609E-2</v>
      </c>
      <c r="U11" s="18">
        <v>-6.5658927608752082E-2</v>
      </c>
      <c r="V11" s="2">
        <f t="shared" ca="1" si="7"/>
        <v>10</v>
      </c>
      <c r="W11" s="7">
        <f t="shared" ca="1" si="2"/>
        <v>1.4073545908717142</v>
      </c>
      <c r="X11" s="23"/>
      <c r="Y11" s="29">
        <f t="shared" ca="1" si="8"/>
        <v>-7.1311695954765136E-2</v>
      </c>
      <c r="Z11" s="18">
        <f t="shared" ca="1" si="4"/>
        <v>-6.8485311781758609E-2</v>
      </c>
      <c r="AA11" s="18">
        <f t="shared" ca="1" si="5"/>
        <v>-6.5658927608752082E-2</v>
      </c>
      <c r="AB11" s="2">
        <f t="shared" ca="1" si="6"/>
        <v>7</v>
      </c>
      <c r="AC11" s="7">
        <f t="shared" ca="1" si="3"/>
        <v>0.98514821361019989</v>
      </c>
    </row>
    <row r="12" spans="1:29" ht="15.6" x14ac:dyDescent="0.35">
      <c r="A12" s="3">
        <v>43479</v>
      </c>
      <c r="B12" s="4">
        <v>27</v>
      </c>
      <c r="D12" s="11">
        <v>9</v>
      </c>
      <c r="E12" s="3">
        <v>43480</v>
      </c>
      <c r="F12" s="7">
        <f t="shared" si="0"/>
        <v>3.6968618813262026E-3</v>
      </c>
      <c r="G12" s="7">
        <f>SUM($F$4:F12)</f>
        <v>4.7997120777906473E-2</v>
      </c>
      <c r="I12" s="8" t="s">
        <v>8</v>
      </c>
      <c r="J12" s="9">
        <f>(J7/J4+J11)/(2*J11)</f>
        <v>0.4996873196080045</v>
      </c>
      <c r="L12" s="11">
        <v>9</v>
      </c>
      <c r="M12" s="7">
        <f t="shared" ca="1" si="1"/>
        <v>3.3367829709580903E-2</v>
      </c>
      <c r="N12" s="7">
        <f ca="1">SUM($M$4:M12)</f>
        <v>0.25651519089240316</v>
      </c>
      <c r="S12" s="18">
        <v>-6.5658927608752082E-2</v>
      </c>
      <c r="T12" s="18">
        <v>-6.2832543435745555E-2</v>
      </c>
      <c r="U12" s="18">
        <v>-6.0006159262739021E-2</v>
      </c>
      <c r="V12" s="2">
        <f t="shared" ca="1" si="7"/>
        <v>15</v>
      </c>
      <c r="W12" s="7">
        <f t="shared" ca="1" si="2"/>
        <v>2.111031886307571</v>
      </c>
      <c r="X12" s="23"/>
      <c r="Y12" s="29">
        <f t="shared" ca="1" si="8"/>
        <v>-6.5658927608752082E-2</v>
      </c>
      <c r="Z12" s="18">
        <f t="shared" ca="1" si="4"/>
        <v>-6.2832543435745555E-2</v>
      </c>
      <c r="AA12" s="18">
        <f t="shared" ca="1" si="5"/>
        <v>-6.0006159262739021E-2</v>
      </c>
      <c r="AB12" s="2">
        <f t="shared" ca="1" si="6"/>
        <v>9</v>
      </c>
      <c r="AC12" s="7">
        <f t="shared" ca="1" si="3"/>
        <v>1.2666191317845428</v>
      </c>
    </row>
    <row r="13" spans="1:29" x14ac:dyDescent="0.3">
      <c r="A13" s="3">
        <v>43480</v>
      </c>
      <c r="B13" s="4">
        <v>27.1</v>
      </c>
      <c r="D13" s="11">
        <v>10</v>
      </c>
      <c r="E13" s="3">
        <v>43481</v>
      </c>
      <c r="F13" s="7">
        <f t="shared" si="0"/>
        <v>3.6897251167577826E-4</v>
      </c>
      <c r="G13" s="7">
        <f>SUM($F$4:F13)</f>
        <v>4.8366093289582253E-2</v>
      </c>
      <c r="L13" s="11">
        <v>10</v>
      </c>
      <c r="M13" s="7">
        <f t="shared" ca="1" si="1"/>
        <v>-2.0854893568488064E-3</v>
      </c>
      <c r="N13" s="7">
        <f ca="1">SUM($M$4:M13)</f>
        <v>0.25442970153555433</v>
      </c>
      <c r="P13" s="15" t="s">
        <v>23</v>
      </c>
      <c r="Q13" s="16">
        <f ca="1">COUNT(M4:M1260)</f>
        <v>1257</v>
      </c>
      <c r="S13" s="18">
        <v>-6.0006159262739021E-2</v>
      </c>
      <c r="T13" s="18">
        <v>-5.7179775089732494E-2</v>
      </c>
      <c r="U13" s="18">
        <v>-5.435339091672596E-2</v>
      </c>
      <c r="V13" s="2">
        <f t="shared" ca="1" si="7"/>
        <v>18</v>
      </c>
      <c r="W13" s="7">
        <f t="shared" ca="1" si="2"/>
        <v>2.5332382635690855</v>
      </c>
      <c r="X13" s="23"/>
      <c r="Y13" s="29">
        <f t="shared" ca="1" si="8"/>
        <v>-6.0006159262739021E-2</v>
      </c>
      <c r="Z13" s="18">
        <f t="shared" ca="1" si="4"/>
        <v>-5.7179775089732494E-2</v>
      </c>
      <c r="AA13" s="18">
        <f t="shared" ca="1" si="5"/>
        <v>-5.435339091672596E-2</v>
      </c>
      <c r="AB13" s="2">
        <f t="shared" ca="1" si="6"/>
        <v>8</v>
      </c>
      <c r="AC13" s="7">
        <f t="shared" ca="1" si="3"/>
        <v>1.1258836726973713</v>
      </c>
    </row>
    <row r="14" spans="1:29" x14ac:dyDescent="0.3">
      <c r="A14" s="3">
        <v>43481</v>
      </c>
      <c r="B14" s="4">
        <v>27.110001</v>
      </c>
      <c r="D14" s="11">
        <v>11</v>
      </c>
      <c r="E14" s="3">
        <v>43482</v>
      </c>
      <c r="F14" s="7">
        <f t="shared" si="0"/>
        <v>6.9839651635456431E-3</v>
      </c>
      <c r="G14" s="7">
        <f>SUM($F$4:F14)</f>
        <v>5.5350058453127897E-2</v>
      </c>
      <c r="L14" s="11">
        <v>11</v>
      </c>
      <c r="M14" s="7">
        <f ca="1">(2*_xlfn.BINOM.INV($J$4,$J$12,RAND())-$J$4)*$J$11</f>
        <v>-2.2940382925336872E-2</v>
      </c>
      <c r="N14" s="7">
        <f ca="1">SUM($M$4:M14)</f>
        <v>0.23148931861021746</v>
      </c>
      <c r="P14" s="15" t="s">
        <v>24</v>
      </c>
      <c r="Q14" s="17">
        <f ca="1">INT(Q13^0.5)+1+MOD(INT(Q13^0.5),2)</f>
        <v>37</v>
      </c>
      <c r="S14" s="18">
        <v>-5.435339091672596E-2</v>
      </c>
      <c r="T14" s="18">
        <v>-5.1527006743719433E-2</v>
      </c>
      <c r="U14" s="18">
        <v>-4.87006225707129E-2</v>
      </c>
      <c r="V14" s="2">
        <f t="shared" ca="1" si="7"/>
        <v>30</v>
      </c>
      <c r="W14" s="7">
        <f t="shared" ca="1" si="2"/>
        <v>4.222063772615142</v>
      </c>
      <c r="X14" s="23"/>
      <c r="Y14" s="29">
        <f t="shared" ca="1" si="8"/>
        <v>-5.435339091672596E-2</v>
      </c>
      <c r="Z14" s="18">
        <f t="shared" ca="1" si="4"/>
        <v>-5.1527006743719433E-2</v>
      </c>
      <c r="AA14" s="18">
        <f t="shared" ca="1" si="5"/>
        <v>-4.87006225707129E-2</v>
      </c>
      <c r="AB14" s="2">
        <f t="shared" ca="1" si="6"/>
        <v>24</v>
      </c>
      <c r="AC14" s="7">
        <f t="shared" ca="1" si="3"/>
        <v>3.3776510180921138</v>
      </c>
    </row>
    <row r="15" spans="1:29" x14ac:dyDescent="0.3">
      <c r="A15" s="3">
        <v>43482</v>
      </c>
      <c r="B15" s="4">
        <v>27.299999</v>
      </c>
      <c r="D15" s="11">
        <v>12</v>
      </c>
      <c r="E15" s="3">
        <v>43483</v>
      </c>
      <c r="F15" s="7">
        <f t="shared" si="0"/>
        <v>1.4906657225954795E-2</v>
      </c>
      <c r="G15" s="7">
        <f>SUM($F$4:F15)</f>
        <v>7.025671567908269E-2</v>
      </c>
      <c r="L15" s="11">
        <v>12</v>
      </c>
      <c r="M15" s="7">
        <f t="shared" ca="1" si="1"/>
        <v>4.1709787136976128E-3</v>
      </c>
      <c r="N15" s="7">
        <f ca="1">SUM($M$4:M15)</f>
        <v>0.23566029732391508</v>
      </c>
      <c r="S15" s="18">
        <v>-4.87006225707129E-2</v>
      </c>
      <c r="T15" s="18">
        <v>-4.5874238397706373E-2</v>
      </c>
      <c r="U15" s="18">
        <v>-4.3047854224699839E-2</v>
      </c>
      <c r="V15" s="2">
        <f t="shared" ca="1" si="7"/>
        <v>37</v>
      </c>
      <c r="W15" s="7">
        <f t="shared" ca="1" si="2"/>
        <v>5.2072119862253423</v>
      </c>
      <c r="X15" s="23"/>
      <c r="Y15" s="29">
        <f t="shared" ca="1" si="8"/>
        <v>-4.87006225707129E-2</v>
      </c>
      <c r="Z15" s="18">
        <f t="shared" ca="1" si="4"/>
        <v>-4.5874238397706373E-2</v>
      </c>
      <c r="AA15" s="18">
        <f t="shared" ca="1" si="5"/>
        <v>-4.3047854224699839E-2</v>
      </c>
      <c r="AB15" s="2">
        <f t="shared" ca="1" si="6"/>
        <v>13</v>
      </c>
      <c r="AC15" s="7">
        <f t="shared" ca="1" si="3"/>
        <v>1.8295609681332283</v>
      </c>
    </row>
    <row r="16" spans="1:29" x14ac:dyDescent="0.3">
      <c r="A16" s="3">
        <v>43483</v>
      </c>
      <c r="B16" s="4">
        <v>27.709999</v>
      </c>
      <c r="D16" s="11">
        <v>13</v>
      </c>
      <c r="E16" s="3">
        <v>43487</v>
      </c>
      <c r="F16" s="7">
        <f t="shared" si="0"/>
        <v>-4.0882106999178054E-2</v>
      </c>
      <c r="G16" s="7">
        <f>SUM($F$4:F16)</f>
        <v>2.9374608679904636E-2</v>
      </c>
      <c r="L16" s="11">
        <v>13</v>
      </c>
      <c r="M16" s="7">
        <f t="shared" ca="1" si="1"/>
        <v>1.6683914854790451E-2</v>
      </c>
      <c r="N16" s="7">
        <f ca="1">SUM($M$4:M16)</f>
        <v>0.25234421217870551</v>
      </c>
      <c r="S16" s="18">
        <v>-4.3047854224699839E-2</v>
      </c>
      <c r="T16" s="18">
        <v>-4.0221470051693312E-2</v>
      </c>
      <c r="U16" s="18">
        <v>-3.7395085878686778E-2</v>
      </c>
      <c r="V16" s="2">
        <f t="shared" ca="1" si="7"/>
        <v>43</v>
      </c>
      <c r="W16" s="7">
        <f t="shared" ca="1" si="2"/>
        <v>6.0516247407483705</v>
      </c>
      <c r="X16" s="23"/>
      <c r="Y16" s="29">
        <f t="shared" ca="1" si="8"/>
        <v>-4.3047854224699839E-2</v>
      </c>
      <c r="Z16" s="18">
        <f t="shared" ca="1" si="4"/>
        <v>-4.0221470051693312E-2</v>
      </c>
      <c r="AA16" s="18">
        <f t="shared" ca="1" si="5"/>
        <v>-3.7395085878686778E-2</v>
      </c>
      <c r="AB16" s="2">
        <f t="shared" ca="1" si="6"/>
        <v>42</v>
      </c>
      <c r="AC16" s="7">
        <f t="shared" ca="1" si="3"/>
        <v>5.9108892816611993</v>
      </c>
    </row>
    <row r="17" spans="1:29" x14ac:dyDescent="0.3">
      <c r="A17" s="3">
        <v>43487</v>
      </c>
      <c r="B17" s="4">
        <v>26.6</v>
      </c>
      <c r="D17" s="11">
        <v>14</v>
      </c>
      <c r="E17" s="3">
        <v>43488</v>
      </c>
      <c r="F17" s="7">
        <f t="shared" si="0"/>
        <v>-1.5049288300233578E-3</v>
      </c>
      <c r="G17" s="7">
        <f>SUM($F$4:F17)</f>
        <v>2.7869679849881278E-2</v>
      </c>
      <c r="L17" s="11">
        <v>14</v>
      </c>
      <c r="M17" s="7">
        <f t="shared" ca="1" si="1"/>
        <v>3.3367829709580903E-2</v>
      </c>
      <c r="N17" s="7">
        <f ca="1">SUM($M$4:M17)</f>
        <v>0.28571204188828642</v>
      </c>
      <c r="S17" s="18">
        <v>-3.7395085878686778E-2</v>
      </c>
      <c r="T17" s="18">
        <v>-3.4568701705680251E-2</v>
      </c>
      <c r="U17" s="18">
        <v>-3.1742317532673717E-2</v>
      </c>
      <c r="V17" s="2">
        <f t="shared" ca="1" si="7"/>
        <v>35</v>
      </c>
      <c r="W17" s="7">
        <f t="shared" ca="1" si="2"/>
        <v>4.925741068050999</v>
      </c>
      <c r="X17" s="23"/>
      <c r="Y17" s="29">
        <f t="shared" ca="1" si="8"/>
        <v>-3.7395085878686778E-2</v>
      </c>
      <c r="Z17" s="18">
        <f t="shared" ca="1" si="4"/>
        <v>-3.4568701705680251E-2</v>
      </c>
      <c r="AA17" s="18">
        <f t="shared" ca="1" si="5"/>
        <v>-3.1742317532673717E-2</v>
      </c>
      <c r="AB17" s="2">
        <f t="shared" ca="1" si="6"/>
        <v>42</v>
      </c>
      <c r="AC17" s="7">
        <f t="shared" ca="1" si="3"/>
        <v>5.9108892816611993</v>
      </c>
    </row>
    <row r="18" spans="1:29" x14ac:dyDescent="0.3">
      <c r="A18" s="3">
        <v>43488</v>
      </c>
      <c r="B18" s="4">
        <v>26.559999000000001</v>
      </c>
      <c r="D18" s="11">
        <v>15</v>
      </c>
      <c r="E18" s="3">
        <v>43489</v>
      </c>
      <c r="F18" s="7">
        <f t="shared" si="0"/>
        <v>2.8212747744959309E-2</v>
      </c>
      <c r="G18" s="7">
        <f>SUM($F$4:F18)</f>
        <v>5.6082427594840584E-2</v>
      </c>
      <c r="L18" s="11">
        <v>15</v>
      </c>
      <c r="M18" s="7">
        <f t="shared" ca="1" si="1"/>
        <v>1.4598425497941644E-2</v>
      </c>
      <c r="N18" s="7">
        <f ca="1">SUM($M$4:M18)</f>
        <v>0.30031046738622807</v>
      </c>
      <c r="S18" s="18">
        <v>-3.1742317532673717E-2</v>
      </c>
      <c r="T18" s="18">
        <v>-2.8915933359667193E-2</v>
      </c>
      <c r="U18" s="18">
        <v>-2.6089549186660659E-2</v>
      </c>
      <c r="V18" s="2">
        <f t="shared" ca="1" si="7"/>
        <v>69</v>
      </c>
      <c r="W18" s="7">
        <f t="shared" ca="1" si="2"/>
        <v>9.7107466770148267</v>
      </c>
      <c r="X18" s="23"/>
      <c r="Y18" s="29">
        <f t="shared" ca="1" si="8"/>
        <v>-3.1742317532673717E-2</v>
      </c>
      <c r="Z18" s="18">
        <f t="shared" ca="1" si="4"/>
        <v>-2.8915933359667193E-2</v>
      </c>
      <c r="AA18" s="18">
        <f t="shared" ca="1" si="5"/>
        <v>-2.6089549186660659E-2</v>
      </c>
      <c r="AB18" s="2">
        <f t="shared" ca="1" si="6"/>
        <v>48</v>
      </c>
      <c r="AC18" s="7">
        <f t="shared" ca="1" si="3"/>
        <v>6.7553020361842275</v>
      </c>
    </row>
    <row r="19" spans="1:29" x14ac:dyDescent="0.3">
      <c r="A19" s="3">
        <v>43489</v>
      </c>
      <c r="B19" s="4">
        <v>27.32</v>
      </c>
      <c r="D19" s="11">
        <v>16</v>
      </c>
      <c r="E19" s="3">
        <v>43490</v>
      </c>
      <c r="F19" s="7">
        <f t="shared" si="0"/>
        <v>1.309109604687942E-2</v>
      </c>
      <c r="G19" s="7">
        <f>SUM($F$4:F19)</f>
        <v>6.9173523641719997E-2</v>
      </c>
      <c r="L19" s="11">
        <v>16</v>
      </c>
      <c r="M19" s="7">
        <f t="shared" ca="1" si="1"/>
        <v>3.962429778012732E-2</v>
      </c>
      <c r="N19" s="7">
        <f ca="1">SUM($M$4:M19)</f>
        <v>0.3399347651663554</v>
      </c>
      <c r="S19" s="18">
        <v>-2.6089549186660659E-2</v>
      </c>
      <c r="T19" s="18">
        <v>-2.3263165013654136E-2</v>
      </c>
      <c r="U19" s="18">
        <v>-2.0436780840647602E-2</v>
      </c>
      <c r="V19" s="2">
        <f t="shared" ca="1" si="7"/>
        <v>78</v>
      </c>
      <c r="W19" s="7">
        <f t="shared" ca="1" si="2"/>
        <v>10.97736580879937</v>
      </c>
      <c r="X19" s="23"/>
      <c r="Y19" s="29">
        <f t="shared" ca="1" si="8"/>
        <v>-2.6089549186660659E-2</v>
      </c>
      <c r="Z19" s="18">
        <f t="shared" ca="1" si="4"/>
        <v>-2.3263165013654136E-2</v>
      </c>
      <c r="AA19" s="18">
        <f t="shared" ca="1" si="5"/>
        <v>-2.0436780840647602E-2</v>
      </c>
      <c r="AB19" s="2">
        <f t="shared" ca="1" si="6"/>
        <v>61</v>
      </c>
      <c r="AC19" s="7">
        <f t="shared" ca="1" si="3"/>
        <v>8.584863004317457</v>
      </c>
    </row>
    <row r="20" spans="1:29" x14ac:dyDescent="0.3">
      <c r="A20" s="3">
        <v>43490</v>
      </c>
      <c r="B20" s="4">
        <v>27.68</v>
      </c>
      <c r="D20" s="11">
        <v>17</v>
      </c>
      <c r="E20" s="3">
        <v>43493</v>
      </c>
      <c r="F20" s="7">
        <f t="shared" si="0"/>
        <v>3.9661489891099737E-3</v>
      </c>
      <c r="G20" s="7">
        <f>SUM($F$4:F20)</f>
        <v>7.3139672630829974E-2</v>
      </c>
      <c r="L20" s="11">
        <v>17</v>
      </c>
      <c r="M20" s="7">
        <f t="shared" ca="1" si="1"/>
        <v>1.0427446784244032E-2</v>
      </c>
      <c r="N20" s="7">
        <f ca="1">SUM($M$4:M20)</f>
        <v>0.35036221195059941</v>
      </c>
      <c r="S20" s="18">
        <v>-2.0436780840647602E-2</v>
      </c>
      <c r="T20" s="18">
        <v>-1.7610396667641078E-2</v>
      </c>
      <c r="U20" s="18">
        <v>-1.4784012494634544E-2</v>
      </c>
      <c r="V20" s="2">
        <f t="shared" ca="1" si="7"/>
        <v>62</v>
      </c>
      <c r="W20" s="7">
        <f t="shared" ca="1" si="2"/>
        <v>8.7255984634046264</v>
      </c>
      <c r="X20" s="23"/>
      <c r="Y20" s="29">
        <f t="shared" ca="1" si="8"/>
        <v>-2.0436780840647602E-2</v>
      </c>
      <c r="Z20" s="18">
        <f t="shared" ca="1" si="4"/>
        <v>-1.7610396667641078E-2</v>
      </c>
      <c r="AA20" s="18">
        <f t="shared" ca="1" si="5"/>
        <v>-1.4784012494634544E-2</v>
      </c>
      <c r="AB20" s="2">
        <f t="shared" ca="1" si="6"/>
        <v>82</v>
      </c>
      <c r="AC20" s="7">
        <f t="shared" ca="1" si="3"/>
        <v>11.540307645148054</v>
      </c>
    </row>
    <row r="21" spans="1:29" x14ac:dyDescent="0.3">
      <c r="A21" s="3">
        <v>43493</v>
      </c>
      <c r="B21" s="4">
        <v>27.790001</v>
      </c>
      <c r="D21" s="11">
        <v>18</v>
      </c>
      <c r="E21" s="3">
        <v>43494</v>
      </c>
      <c r="F21" s="7">
        <f t="shared" si="0"/>
        <v>-1.4133266344554177E-2</v>
      </c>
      <c r="G21" s="7">
        <f>SUM($F$4:F21)</f>
        <v>5.9006406286275799E-2</v>
      </c>
      <c r="L21" s="11">
        <v>18</v>
      </c>
      <c r="M21" s="7">
        <f t="shared" ca="1" si="1"/>
        <v>0</v>
      </c>
      <c r="N21" s="7">
        <f ca="1">SUM($M$4:M21)</f>
        <v>0.35036221195059941</v>
      </c>
      <c r="S21" s="18">
        <v>-1.4784012494634544E-2</v>
      </c>
      <c r="T21" s="18">
        <v>-1.1957628321628021E-2</v>
      </c>
      <c r="U21" s="18">
        <v>-9.1312441486214868E-3</v>
      </c>
      <c r="V21" s="2">
        <f t="shared" ca="1" si="7"/>
        <v>101</v>
      </c>
      <c r="W21" s="7">
        <f t="shared" ca="1" si="2"/>
        <v>14.214281367804313</v>
      </c>
      <c r="X21" s="23"/>
      <c r="Y21" s="29">
        <f t="shared" ca="1" si="8"/>
        <v>-1.4784012494634544E-2</v>
      </c>
      <c r="Z21" s="18">
        <f t="shared" ca="1" si="4"/>
        <v>-1.1957628321628021E-2</v>
      </c>
      <c r="AA21" s="18">
        <f t="shared" ca="1" si="5"/>
        <v>-9.1312441486214868E-3</v>
      </c>
      <c r="AB21" s="2">
        <f t="shared" ca="1" si="6"/>
        <v>95</v>
      </c>
      <c r="AC21" s="7">
        <f t="shared" ca="1" si="3"/>
        <v>13.369868613281284</v>
      </c>
    </row>
    <row r="22" spans="1:29" x14ac:dyDescent="0.3">
      <c r="A22" s="3">
        <v>43494</v>
      </c>
      <c r="B22" s="4">
        <v>27.4</v>
      </c>
      <c r="D22" s="11">
        <v>19</v>
      </c>
      <c r="E22" s="3">
        <v>43495</v>
      </c>
      <c r="F22" s="7">
        <f t="shared" si="0"/>
        <v>-2.4382441720227403E-2</v>
      </c>
      <c r="G22" s="7">
        <f>SUM($F$4:F22)</f>
        <v>3.4623964566048396E-2</v>
      </c>
      <c r="L22" s="11">
        <v>19</v>
      </c>
      <c r="M22" s="7">
        <f t="shared" ca="1" si="1"/>
        <v>-8.3419574273952257E-3</v>
      </c>
      <c r="N22" s="7">
        <f ca="1">SUM($M$4:M22)</f>
        <v>0.34202025452320417</v>
      </c>
      <c r="S22" s="18">
        <v>-9.1312441486214868E-3</v>
      </c>
      <c r="T22" s="18">
        <v>-6.3048599756149624E-3</v>
      </c>
      <c r="U22" s="18">
        <v>-3.4784758026084285E-3</v>
      </c>
      <c r="V22" s="2">
        <f t="shared" ca="1" si="7"/>
        <v>82</v>
      </c>
      <c r="W22" s="7">
        <f t="shared" ca="1" si="2"/>
        <v>11.540307645148054</v>
      </c>
      <c r="X22" s="23"/>
      <c r="Y22" s="29">
        <f t="shared" ca="1" si="8"/>
        <v>-9.1312441486214868E-3</v>
      </c>
      <c r="Z22" s="18">
        <f t="shared" ca="1" si="4"/>
        <v>-6.3048599756149624E-3</v>
      </c>
      <c r="AA22" s="18">
        <f t="shared" ca="1" si="5"/>
        <v>-3.4784758026084285E-3</v>
      </c>
      <c r="AB22" s="2">
        <f t="shared" ca="1" si="6"/>
        <v>112</v>
      </c>
      <c r="AC22" s="7">
        <f t="shared" ca="1" si="3"/>
        <v>15.762371417763198</v>
      </c>
    </row>
    <row r="23" spans="1:29" x14ac:dyDescent="0.3">
      <c r="A23" s="3">
        <v>43495</v>
      </c>
      <c r="B23" s="4">
        <v>26.74</v>
      </c>
      <c r="D23" s="11">
        <v>20</v>
      </c>
      <c r="E23" s="3">
        <v>43496</v>
      </c>
      <c r="F23" s="7">
        <f t="shared" si="0"/>
        <v>5.952406482201722E-2</v>
      </c>
      <c r="G23" s="7">
        <f>SUM($F$4:F23)</f>
        <v>9.4148029388065615E-2</v>
      </c>
      <c r="L23" s="11">
        <v>20</v>
      </c>
      <c r="M23" s="7">
        <f t="shared" ca="1" si="1"/>
        <v>2.2940382925336872E-2</v>
      </c>
      <c r="N23" s="7">
        <f ca="1">SUM($M$4:M23)</f>
        <v>0.36496063744854101</v>
      </c>
      <c r="S23" s="18">
        <v>-3.4784758026084285E-3</v>
      </c>
      <c r="T23" s="18">
        <v>-6.5209162960190407E-4</v>
      </c>
      <c r="U23" s="18">
        <v>2.1742925434046299E-3</v>
      </c>
      <c r="V23" s="2">
        <f t="shared" ca="1" si="7"/>
        <v>103</v>
      </c>
      <c r="W23" s="7">
        <f t="shared" ca="1" si="2"/>
        <v>14.495752285978654</v>
      </c>
      <c r="X23" s="23"/>
      <c r="Y23" s="29">
        <f t="shared" ca="1" si="8"/>
        <v>-3.4784758026084285E-3</v>
      </c>
      <c r="Z23" s="18">
        <f t="shared" ca="1" si="4"/>
        <v>-6.5209162960190407E-4</v>
      </c>
      <c r="AA23" s="18">
        <f t="shared" ca="1" si="5"/>
        <v>2.1742925434046299E-3</v>
      </c>
      <c r="AB23" s="2">
        <f t="shared" ca="1" si="6"/>
        <v>119</v>
      </c>
      <c r="AC23" s="7">
        <f t="shared" ca="1" si="3"/>
        <v>16.747519631373397</v>
      </c>
    </row>
    <row r="24" spans="1:29" x14ac:dyDescent="0.3">
      <c r="A24" s="3">
        <v>43496</v>
      </c>
      <c r="B24" s="4">
        <v>28.379999000000002</v>
      </c>
      <c r="D24" s="11">
        <v>21</v>
      </c>
      <c r="E24" s="3">
        <v>43497</v>
      </c>
      <c r="F24" s="7">
        <f t="shared" si="0"/>
        <v>6.3224659615631557E-3</v>
      </c>
      <c r="G24" s="7">
        <f>SUM($F$4:F24)</f>
        <v>0.10047049534962878</v>
      </c>
      <c r="L24" s="11">
        <v>21</v>
      </c>
      <c r="M24" s="7">
        <f t="shared" ca="1" si="1"/>
        <v>-5.6308212634917774E-2</v>
      </c>
      <c r="N24" s="7">
        <f ca="1">SUM($M$4:M24)</f>
        <v>0.30865242481362326</v>
      </c>
      <c r="S24" s="18">
        <v>2.1742925434046299E-3</v>
      </c>
      <c r="T24" s="18">
        <v>5.0006767164111543E-3</v>
      </c>
      <c r="U24" s="18">
        <v>7.8270608894176891E-3</v>
      </c>
      <c r="V24" s="2">
        <f t="shared" ca="1" si="7"/>
        <v>61</v>
      </c>
      <c r="W24" s="7">
        <f t="shared" ca="1" si="2"/>
        <v>8.584863004317457</v>
      </c>
      <c r="X24" s="23"/>
      <c r="Y24" s="29">
        <f t="shared" ca="1" si="8"/>
        <v>2.1742925434046299E-3</v>
      </c>
      <c r="Z24" s="18">
        <f t="shared" ca="1" si="4"/>
        <v>5.0006767164111543E-3</v>
      </c>
      <c r="AA24" s="18">
        <f t="shared" ca="1" si="5"/>
        <v>7.8270608894176891E-3</v>
      </c>
      <c r="AB24" s="2">
        <f t="shared" ca="1" si="6"/>
        <v>116</v>
      </c>
      <c r="AC24" s="7">
        <f t="shared" ca="1" si="3"/>
        <v>16.325313254111883</v>
      </c>
    </row>
    <row r="25" spans="1:29" x14ac:dyDescent="0.3">
      <c r="A25" s="3">
        <v>43497</v>
      </c>
      <c r="B25" s="4">
        <v>28.559999000000001</v>
      </c>
      <c r="D25" s="11">
        <v>22</v>
      </c>
      <c r="E25" s="3">
        <v>43500</v>
      </c>
      <c r="F25" s="7">
        <f t="shared" si="0"/>
        <v>-9.4986817957226737E-3</v>
      </c>
      <c r="G25" s="7">
        <f>SUM($F$4:F25)</f>
        <v>9.09718135539061E-2</v>
      </c>
      <c r="L25" s="11">
        <v>22</v>
      </c>
      <c r="M25" s="7">
        <f t="shared" ca="1" si="1"/>
        <v>-6.2564680705464188E-3</v>
      </c>
      <c r="N25" s="7">
        <f ca="1">SUM($M$4:M25)</f>
        <v>0.30239595674307684</v>
      </c>
      <c r="S25" s="18">
        <v>7.8270608894176891E-3</v>
      </c>
      <c r="T25" s="18">
        <v>1.0653445062424213E-2</v>
      </c>
      <c r="U25" s="18">
        <v>1.3479829235430747E-2</v>
      </c>
      <c r="V25" s="2">
        <f t="shared" ca="1" si="7"/>
        <v>84</v>
      </c>
      <c r="W25" s="7">
        <f t="shared" ca="1" si="2"/>
        <v>11.821778563322399</v>
      </c>
      <c r="X25" s="23"/>
      <c r="Y25" s="29">
        <f t="shared" ca="1" si="8"/>
        <v>7.8270608894176891E-3</v>
      </c>
      <c r="Z25" s="18">
        <f t="shared" ca="1" si="4"/>
        <v>1.0653445062424213E-2</v>
      </c>
      <c r="AA25" s="18">
        <f t="shared" ca="1" si="5"/>
        <v>1.3479829235430747E-2</v>
      </c>
      <c r="AB25" s="2">
        <f t="shared" ca="1" si="6"/>
        <v>88</v>
      </c>
      <c r="AC25" s="7">
        <f t="shared" ca="1" si="3"/>
        <v>12.384720399671084</v>
      </c>
    </row>
    <row r="26" spans="1:29" x14ac:dyDescent="0.3">
      <c r="A26" s="3">
        <v>43500</v>
      </c>
      <c r="B26" s="4">
        <v>28.290001</v>
      </c>
      <c r="D26" s="11">
        <v>23</v>
      </c>
      <c r="E26" s="3">
        <v>43501</v>
      </c>
      <c r="F26" s="7">
        <f t="shared" si="0"/>
        <v>2.6165803730201765E-2</v>
      </c>
      <c r="G26" s="7">
        <f>SUM($F$4:F26)</f>
        <v>0.11713761728410786</v>
      </c>
      <c r="L26" s="11">
        <v>23</v>
      </c>
      <c r="M26" s="7">
        <f t="shared" ca="1" si="1"/>
        <v>1.0427446784244032E-2</v>
      </c>
      <c r="N26" s="7">
        <f ca="1">SUM($M$4:M26)</f>
        <v>0.31282340352732085</v>
      </c>
      <c r="S26" s="18">
        <v>1.3479829235430747E-2</v>
      </c>
      <c r="T26" s="18">
        <v>1.630621340843727E-2</v>
      </c>
      <c r="U26" s="18">
        <v>1.9132597581443804E-2</v>
      </c>
      <c r="V26" s="2">
        <f t="shared" ca="1" si="7"/>
        <v>82</v>
      </c>
      <c r="W26" s="7">
        <f t="shared" ca="1" si="2"/>
        <v>11.540307645148054</v>
      </c>
      <c r="X26" s="23"/>
      <c r="Y26" s="29">
        <f t="shared" ca="1" si="8"/>
        <v>1.3479829235430747E-2</v>
      </c>
      <c r="Z26" s="18">
        <f t="shared" ca="1" si="4"/>
        <v>1.630621340843727E-2</v>
      </c>
      <c r="AA26" s="18">
        <f t="shared" ca="1" si="5"/>
        <v>1.9132597581443804E-2</v>
      </c>
      <c r="AB26" s="2">
        <f t="shared" ca="1" si="6"/>
        <v>82</v>
      </c>
      <c r="AC26" s="7">
        <f t="shared" ca="1" si="3"/>
        <v>11.540307645148054</v>
      </c>
    </row>
    <row r="27" spans="1:29" x14ac:dyDescent="0.3">
      <c r="A27" s="3">
        <v>43501</v>
      </c>
      <c r="B27" s="4">
        <v>29.040001</v>
      </c>
      <c r="D27" s="11">
        <v>24</v>
      </c>
      <c r="E27" s="3">
        <v>43502</v>
      </c>
      <c r="F27" s="7">
        <f t="shared" si="0"/>
        <v>2.7510332772874039E-3</v>
      </c>
      <c r="G27" s="7">
        <f>SUM($F$4:F27)</f>
        <v>0.11988865056139526</v>
      </c>
      <c r="L27" s="11">
        <v>24</v>
      </c>
      <c r="M27" s="7">
        <f t="shared" ca="1" si="1"/>
        <v>-2.7111361639034482E-2</v>
      </c>
      <c r="N27" s="7">
        <f ca="1">SUM($M$4:M27)</f>
        <v>0.28571204188828636</v>
      </c>
      <c r="S27" s="18">
        <v>1.9132597581443804E-2</v>
      </c>
      <c r="T27" s="18">
        <v>2.1958981754450328E-2</v>
      </c>
      <c r="U27" s="18">
        <v>2.4785365927456861E-2</v>
      </c>
      <c r="V27" s="2">
        <f t="shared" ca="1" si="7"/>
        <v>54</v>
      </c>
      <c r="W27" s="7">
        <f t="shared" ca="1" si="2"/>
        <v>7.5997147907072558</v>
      </c>
      <c r="X27" s="23"/>
      <c r="Y27" s="29">
        <f t="shared" ca="1" si="8"/>
        <v>1.9132597581443804E-2</v>
      </c>
      <c r="Z27" s="18">
        <f t="shared" ca="1" si="4"/>
        <v>2.1958981754450328E-2</v>
      </c>
      <c r="AA27" s="18">
        <f t="shared" ca="1" si="5"/>
        <v>2.4785365927456861E-2</v>
      </c>
      <c r="AB27" s="2">
        <f t="shared" ca="1" si="6"/>
        <v>52</v>
      </c>
      <c r="AC27" s="7">
        <f t="shared" ca="1" si="3"/>
        <v>7.3182438725329133</v>
      </c>
    </row>
    <row r="28" spans="1:29" x14ac:dyDescent="0.3">
      <c r="A28" s="3">
        <v>43502</v>
      </c>
      <c r="B28" s="4">
        <v>29.120000999999998</v>
      </c>
      <c r="D28" s="11">
        <v>25</v>
      </c>
      <c r="E28" s="3">
        <v>43503</v>
      </c>
      <c r="F28" s="7">
        <f t="shared" si="0"/>
        <v>-1.6620950492900799E-2</v>
      </c>
      <c r="G28" s="7">
        <f>SUM($F$4:F28)</f>
        <v>0.10326770006849446</v>
      </c>
      <c r="L28" s="11">
        <v>25</v>
      </c>
      <c r="M28" s="7">
        <f t="shared" ca="1" si="1"/>
        <v>5.005174456437135E-2</v>
      </c>
      <c r="N28" s="7">
        <f ca="1">SUM($M$4:M28)</f>
        <v>0.3357637864526577</v>
      </c>
      <c r="S28" s="18">
        <v>2.4785365927456861E-2</v>
      </c>
      <c r="T28" s="18">
        <v>2.7611750100463385E-2</v>
      </c>
      <c r="U28" s="18">
        <v>3.0438134273469919E-2</v>
      </c>
      <c r="V28" s="2">
        <f t="shared" ca="1" si="7"/>
        <v>72</v>
      </c>
      <c r="W28" s="7">
        <f t="shared" ca="1" si="2"/>
        <v>10.132953054276342</v>
      </c>
      <c r="X28" s="23"/>
      <c r="Y28" s="29">
        <f t="shared" ca="1" si="8"/>
        <v>2.4785365927456861E-2</v>
      </c>
      <c r="Z28" s="18">
        <f t="shared" ca="1" si="4"/>
        <v>2.7611750100463385E-2</v>
      </c>
      <c r="AA28" s="18">
        <f t="shared" ca="1" si="5"/>
        <v>3.0438134273469919E-2</v>
      </c>
      <c r="AB28" s="2">
        <f t="shared" ca="1" si="6"/>
        <v>57</v>
      </c>
      <c r="AC28" s="7">
        <f t="shared" ca="1" si="3"/>
        <v>8.0219211679687703</v>
      </c>
    </row>
    <row r="29" spans="1:29" x14ac:dyDescent="0.3">
      <c r="A29" s="3">
        <v>43503</v>
      </c>
      <c r="B29" s="4">
        <v>28.639999</v>
      </c>
      <c r="D29" s="11">
        <v>26</v>
      </c>
      <c r="E29" s="3">
        <v>43504</v>
      </c>
      <c r="F29" s="7">
        <f t="shared" si="0"/>
        <v>1.9021911948087219E-2</v>
      </c>
      <c r="G29" s="7">
        <f>SUM($F$4:F29)</f>
        <v>0.12228961201658169</v>
      </c>
      <c r="L29" s="11">
        <v>26</v>
      </c>
      <c r="M29" s="7">
        <f t="shared" ca="1" si="1"/>
        <v>-3.1282340352732099E-2</v>
      </c>
      <c r="N29" s="7">
        <f ca="1">SUM($M$4:M29)</f>
        <v>0.30448144609992561</v>
      </c>
      <c r="S29" s="18">
        <v>3.0438134273469919E-2</v>
      </c>
      <c r="T29" s="18">
        <v>3.3264518446476446E-2</v>
      </c>
      <c r="U29" s="18">
        <v>3.609090261948298E-2</v>
      </c>
      <c r="V29" s="2">
        <f t="shared" ca="1" si="7"/>
        <v>65</v>
      </c>
      <c r="W29" s="7">
        <f t="shared" ca="1" si="2"/>
        <v>9.1478048406661419</v>
      </c>
      <c r="X29" s="23"/>
      <c r="Y29" s="29">
        <f t="shared" ca="1" si="8"/>
        <v>3.0438134273469919E-2</v>
      </c>
      <c r="Z29" s="18">
        <f t="shared" ca="1" si="4"/>
        <v>3.3264518446476446E-2</v>
      </c>
      <c r="AA29" s="18">
        <f t="shared" ca="1" si="5"/>
        <v>3.609090261948298E-2</v>
      </c>
      <c r="AB29" s="2">
        <f t="shared" ca="1" si="6"/>
        <v>38</v>
      </c>
      <c r="AC29" s="7">
        <f t="shared" ca="1" si="3"/>
        <v>5.3479474453125135</v>
      </c>
    </row>
    <row r="30" spans="1:29" x14ac:dyDescent="0.3">
      <c r="A30" s="3">
        <v>43504</v>
      </c>
      <c r="B30" s="4">
        <v>29.190000999999999</v>
      </c>
      <c r="D30" s="11">
        <v>27</v>
      </c>
      <c r="E30" s="3">
        <v>43507</v>
      </c>
      <c r="F30" s="7">
        <f t="shared" si="0"/>
        <v>-1.9021911948087264E-2</v>
      </c>
      <c r="G30" s="7">
        <f>SUM($F$4:F30)</f>
        <v>0.10326770006849442</v>
      </c>
      <c r="L30" s="11">
        <v>27</v>
      </c>
      <c r="M30" s="7">
        <f t="shared" ca="1" si="1"/>
        <v>1.2512936141092838E-2</v>
      </c>
      <c r="N30" s="7">
        <f ca="1">SUM($M$4:M30)</f>
        <v>0.31699438224101845</v>
      </c>
      <c r="S30" s="18">
        <v>3.609090261948298E-2</v>
      </c>
      <c r="T30" s="18">
        <v>3.8917286792489507E-2</v>
      </c>
      <c r="U30" s="18">
        <v>4.1743670965496041E-2</v>
      </c>
      <c r="V30" s="2">
        <f t="shared" ca="1" si="7"/>
        <v>40</v>
      </c>
      <c r="W30" s="7">
        <f t="shared" ca="1" si="2"/>
        <v>5.6294183634868569</v>
      </c>
      <c r="X30" s="23"/>
      <c r="Y30" s="29">
        <f t="shared" ca="1" si="8"/>
        <v>3.609090261948298E-2</v>
      </c>
      <c r="Z30" s="18">
        <f t="shared" ca="1" si="4"/>
        <v>3.8917286792489507E-2</v>
      </c>
      <c r="AA30" s="18">
        <f t="shared" ca="1" si="5"/>
        <v>4.1743670965496041E-2</v>
      </c>
      <c r="AB30" s="2">
        <f t="shared" ca="1" si="6"/>
        <v>44</v>
      </c>
      <c r="AC30" s="7">
        <f t="shared" ca="1" si="3"/>
        <v>6.1923601998355418</v>
      </c>
    </row>
    <row r="31" spans="1:29" x14ac:dyDescent="0.3">
      <c r="A31" s="3">
        <v>43507</v>
      </c>
      <c r="B31" s="4">
        <v>28.639999</v>
      </c>
      <c r="D31" s="11">
        <v>28</v>
      </c>
      <c r="E31" s="3">
        <v>43508</v>
      </c>
      <c r="F31" s="7">
        <f t="shared" si="0"/>
        <v>-1.7967720223713908E-2</v>
      </c>
      <c r="G31" s="7">
        <f>SUM($F$4:F31)</f>
        <v>8.5299979844780521E-2</v>
      </c>
      <c r="L31" s="11">
        <v>28</v>
      </c>
      <c r="M31" s="7">
        <f t="shared" ca="1" si="1"/>
        <v>2.9196850995883289E-2</v>
      </c>
      <c r="N31" s="7">
        <f ca="1">SUM($M$4:M31)</f>
        <v>0.34619123323690171</v>
      </c>
      <c r="S31" s="18">
        <v>4.1743670965496041E-2</v>
      </c>
      <c r="T31" s="18">
        <v>4.4570055138502568E-2</v>
      </c>
      <c r="U31" s="18">
        <v>4.7396439311509102E-2</v>
      </c>
      <c r="V31" s="2">
        <f t="shared" ca="1" si="7"/>
        <v>20</v>
      </c>
      <c r="W31" s="7">
        <f t="shared" ca="1" si="2"/>
        <v>2.8147091817434284</v>
      </c>
      <c r="X31" s="23"/>
      <c r="Y31" s="29">
        <f t="shared" ca="1" si="8"/>
        <v>4.1743670965496041E-2</v>
      </c>
      <c r="Z31" s="18">
        <f t="shared" ca="1" si="4"/>
        <v>4.4570055138502568E-2</v>
      </c>
      <c r="AA31" s="18">
        <f t="shared" ca="1" si="5"/>
        <v>4.7396439311509102E-2</v>
      </c>
      <c r="AB31" s="2">
        <f t="shared" ca="1" si="6"/>
        <v>29</v>
      </c>
      <c r="AC31" s="7">
        <f t="shared" ca="1" si="3"/>
        <v>4.0813283135279708</v>
      </c>
    </row>
    <row r="32" spans="1:29" x14ac:dyDescent="0.3">
      <c r="A32" s="3">
        <v>43508</v>
      </c>
      <c r="B32" s="4">
        <v>28.129999000000002</v>
      </c>
      <c r="D32" s="11">
        <v>29</v>
      </c>
      <c r="E32" s="3">
        <v>43509</v>
      </c>
      <c r="F32" s="7">
        <f t="shared" si="0"/>
        <v>6.731681872989787E-3</v>
      </c>
      <c r="G32" s="7">
        <f>SUM($F$4:F32)</f>
        <v>9.2031661717770302E-2</v>
      </c>
      <c r="L32" s="11">
        <v>29</v>
      </c>
      <c r="M32" s="7">
        <f t="shared" ca="1" si="1"/>
        <v>-4.7966255207522547E-2</v>
      </c>
      <c r="N32" s="7">
        <f ca="1">SUM($M$4:M32)</f>
        <v>0.29822497802937914</v>
      </c>
      <c r="S32" s="18">
        <v>4.7396439311509102E-2</v>
      </c>
      <c r="T32" s="18">
        <v>5.0222823484515629E-2</v>
      </c>
      <c r="U32" s="18">
        <v>5.3049207657522163E-2</v>
      </c>
      <c r="V32" s="2">
        <f t="shared" ca="1" si="7"/>
        <v>24</v>
      </c>
      <c r="W32" s="7">
        <f t="shared" ca="1" si="2"/>
        <v>3.3776510180921138</v>
      </c>
      <c r="X32" s="23"/>
      <c r="Y32" s="29">
        <f t="shared" ca="1" si="8"/>
        <v>4.7396439311509102E-2</v>
      </c>
      <c r="Z32" s="18">
        <f t="shared" ca="1" si="4"/>
        <v>5.0222823484515629E-2</v>
      </c>
      <c r="AA32" s="18">
        <f t="shared" ca="1" si="5"/>
        <v>5.3049207657522163E-2</v>
      </c>
      <c r="AB32" s="2">
        <f t="shared" ca="1" si="6"/>
        <v>15</v>
      </c>
      <c r="AC32" s="7">
        <f t="shared" ca="1" si="3"/>
        <v>2.111031886307571</v>
      </c>
    </row>
    <row r="33" spans="1:29" x14ac:dyDescent="0.3">
      <c r="A33" s="3">
        <v>43509</v>
      </c>
      <c r="B33" s="4">
        <v>28.32</v>
      </c>
      <c r="D33" s="11">
        <v>30</v>
      </c>
      <c r="E33" s="3">
        <v>43510</v>
      </c>
      <c r="F33" s="7">
        <f t="shared" si="0"/>
        <v>1.5764908737937434E-2</v>
      </c>
      <c r="G33" s="7">
        <f>SUM($F$4:F33)</f>
        <v>0.10779657045570773</v>
      </c>
      <c r="L33" s="11">
        <v>30</v>
      </c>
      <c r="M33" s="7">
        <f t="shared" ca="1" si="1"/>
        <v>6.2564680705464188E-3</v>
      </c>
      <c r="N33" s="7">
        <f ca="1">SUM($M$4:M33)</f>
        <v>0.30448144609992556</v>
      </c>
      <c r="S33" s="18">
        <v>5.3049207657522163E-2</v>
      </c>
      <c r="T33" s="18">
        <v>5.587559183052869E-2</v>
      </c>
      <c r="U33" s="18">
        <v>5.8701976003535224E-2</v>
      </c>
      <c r="V33" s="2">
        <f t="shared" ca="1" si="7"/>
        <v>13</v>
      </c>
      <c r="W33" s="7">
        <f t="shared" ca="1" si="2"/>
        <v>1.8295609681332283</v>
      </c>
      <c r="X33" s="23"/>
      <c r="Y33" s="29">
        <f t="shared" ca="1" si="8"/>
        <v>5.3049207657522163E-2</v>
      </c>
      <c r="Z33" s="18">
        <f t="shared" ca="1" si="4"/>
        <v>5.587559183052869E-2</v>
      </c>
      <c r="AA33" s="18">
        <f t="shared" ca="1" si="5"/>
        <v>5.8701976003535224E-2</v>
      </c>
      <c r="AB33" s="2">
        <f t="shared" ca="1" si="6"/>
        <v>13</v>
      </c>
      <c r="AC33" s="7">
        <f t="shared" ca="1" si="3"/>
        <v>1.8295609681332283</v>
      </c>
    </row>
    <row r="34" spans="1:29" x14ac:dyDescent="0.3">
      <c r="A34" s="3">
        <v>43510</v>
      </c>
      <c r="B34" s="4">
        <v>28.77</v>
      </c>
      <c r="D34" s="11">
        <v>31</v>
      </c>
      <c r="E34" s="3">
        <v>43511</v>
      </c>
      <c r="F34" s="7">
        <f t="shared" si="0"/>
        <v>1.8254304329871646E-2</v>
      </c>
      <c r="G34" s="7">
        <f>SUM($F$4:F34)</f>
        <v>0.12605087478557939</v>
      </c>
      <c r="L34" s="11">
        <v>31</v>
      </c>
      <c r="M34" s="7">
        <f t="shared" ca="1" si="1"/>
        <v>-3.3367829709580903E-2</v>
      </c>
      <c r="N34" s="7">
        <f ca="1">SUM($M$4:M34)</f>
        <v>0.27111361639034465</v>
      </c>
      <c r="S34" s="18">
        <v>5.8701976003535224E-2</v>
      </c>
      <c r="T34" s="18">
        <v>6.1528360176541751E-2</v>
      </c>
      <c r="U34" s="18">
        <v>6.4354744349548285E-2</v>
      </c>
      <c r="V34" s="2">
        <f t="shared" ca="1" si="7"/>
        <v>9</v>
      </c>
      <c r="W34" s="7">
        <f t="shared" ca="1" si="2"/>
        <v>1.2666191317845428</v>
      </c>
      <c r="X34" s="23"/>
      <c r="Y34" s="29">
        <f t="shared" ca="1" si="8"/>
        <v>5.8701976003535224E-2</v>
      </c>
      <c r="Z34" s="18">
        <f t="shared" ca="1" si="4"/>
        <v>6.1528360176541751E-2</v>
      </c>
      <c r="AA34" s="18">
        <f t="shared" ca="1" si="5"/>
        <v>6.4354744349548285E-2</v>
      </c>
      <c r="AB34" s="2">
        <f t="shared" ca="1" si="6"/>
        <v>11</v>
      </c>
      <c r="AC34" s="7">
        <f t="shared" ca="1" si="3"/>
        <v>1.5480900499588854</v>
      </c>
    </row>
    <row r="35" spans="1:29" x14ac:dyDescent="0.3">
      <c r="A35" s="3">
        <v>43511</v>
      </c>
      <c r="B35" s="4">
        <v>29.299999</v>
      </c>
      <c r="D35" s="11">
        <v>32</v>
      </c>
      <c r="E35" s="3">
        <v>43515</v>
      </c>
      <c r="F35" s="7">
        <f t="shared" si="0"/>
        <v>-8.2248581627542353E-3</v>
      </c>
      <c r="G35" s="7">
        <f>SUM($F$4:F35)</f>
        <v>0.11782601662282516</v>
      </c>
      <c r="L35" s="11">
        <v>32</v>
      </c>
      <c r="M35" s="7">
        <f t="shared" ca="1" si="1"/>
        <v>-3.7538808423278516E-2</v>
      </c>
      <c r="N35" s="7">
        <f ca="1">SUM($M$4:M35)</f>
        <v>0.23357480796706614</v>
      </c>
      <c r="S35" s="18">
        <v>6.4354744349548285E-2</v>
      </c>
      <c r="T35" s="18">
        <v>6.7181128522554812E-2</v>
      </c>
      <c r="U35" s="18">
        <v>7.0007512695561339E-2</v>
      </c>
      <c r="V35" s="2">
        <f t="shared" ca="1" si="7"/>
        <v>7</v>
      </c>
      <c r="W35" s="7">
        <f t="shared" ca="1" si="2"/>
        <v>0.98514821361019989</v>
      </c>
      <c r="X35" s="23"/>
      <c r="Y35" s="29">
        <f t="shared" ca="1" si="8"/>
        <v>6.4354744349548285E-2</v>
      </c>
      <c r="Z35" s="18">
        <f t="shared" ca="1" si="4"/>
        <v>6.7181128522554812E-2</v>
      </c>
      <c r="AA35" s="18">
        <f t="shared" ca="1" si="5"/>
        <v>7.0007512695561339E-2</v>
      </c>
      <c r="AB35" s="2">
        <f t="shared" ca="1" si="6"/>
        <v>5</v>
      </c>
      <c r="AC35" s="7">
        <f t="shared" ca="1" si="3"/>
        <v>0.70367729543585711</v>
      </c>
    </row>
    <row r="36" spans="1:29" x14ac:dyDescent="0.3">
      <c r="A36" s="3">
        <v>43515</v>
      </c>
      <c r="B36" s="4">
        <v>29.059999000000001</v>
      </c>
      <c r="D36" s="11">
        <v>33</v>
      </c>
      <c r="E36" s="3">
        <v>43516</v>
      </c>
      <c r="F36" s="7">
        <f t="shared" si="0"/>
        <v>1.0318487765362027E-3</v>
      </c>
      <c r="G36" s="7">
        <f>SUM($F$4:F36)</f>
        <v>0.11885786539936136</v>
      </c>
      <c r="L36" s="11">
        <v>33</v>
      </c>
      <c r="M36" s="7">
        <f t="shared" ca="1" si="1"/>
        <v>-4.3795276493824933E-2</v>
      </c>
      <c r="N36" s="7">
        <f ca="1">SUM($M$4:M36)</f>
        <v>0.18977953147324123</v>
      </c>
      <c r="S36" s="18">
        <v>7.0007512695561339E-2</v>
      </c>
      <c r="T36" s="18">
        <v>7.2833896868567866E-2</v>
      </c>
      <c r="U36" s="18">
        <v>7.5660281041574393E-2</v>
      </c>
      <c r="V36" s="2">
        <f t="shared" ca="1" si="7"/>
        <v>11</v>
      </c>
      <c r="W36" s="7">
        <f t="shared" ca="1" si="2"/>
        <v>1.5480900499588854</v>
      </c>
      <c r="X36" s="23"/>
      <c r="Y36" s="29">
        <f t="shared" ca="1" si="8"/>
        <v>7.0007512695561339E-2</v>
      </c>
      <c r="Z36" s="18">
        <f t="shared" ca="1" si="4"/>
        <v>7.2833896868567866E-2</v>
      </c>
      <c r="AA36" s="18">
        <f t="shared" ca="1" si="5"/>
        <v>7.5660281041574393E-2</v>
      </c>
      <c r="AB36" s="2">
        <f t="shared" ca="1" si="6"/>
        <v>5</v>
      </c>
      <c r="AC36" s="7">
        <f t="shared" ca="1" si="3"/>
        <v>0.70367729543585711</v>
      </c>
    </row>
    <row r="37" spans="1:29" x14ac:dyDescent="0.3">
      <c r="A37" s="3">
        <v>43516</v>
      </c>
      <c r="B37" s="4">
        <v>29.09</v>
      </c>
      <c r="D37" s="11">
        <v>34</v>
      </c>
      <c r="E37" s="3">
        <v>43517</v>
      </c>
      <c r="F37" s="7">
        <f t="shared" si="0"/>
        <v>-3.0986425206362476E-3</v>
      </c>
      <c r="G37" s="7">
        <f>SUM($F$4:F37)</f>
        <v>0.11575922287872512</v>
      </c>
      <c r="L37" s="11">
        <v>34</v>
      </c>
      <c r="M37" s="7">
        <f t="shared" ca="1" si="1"/>
        <v>-5.8393701991766578E-2</v>
      </c>
      <c r="N37" s="7">
        <f ca="1">SUM($M$4:M37)</f>
        <v>0.13138582948147465</v>
      </c>
      <c r="S37" s="18">
        <v>7.5660281041574393E-2</v>
      </c>
      <c r="T37" s="18">
        <v>7.848666521458092E-2</v>
      </c>
      <c r="U37" s="18">
        <v>8.1313049387587447E-2</v>
      </c>
      <c r="V37" s="2">
        <f t="shared" ca="1" si="7"/>
        <v>7</v>
      </c>
      <c r="W37" s="7">
        <f t="shared" ca="1" si="2"/>
        <v>0.98514821361019989</v>
      </c>
      <c r="X37" s="23"/>
      <c r="Y37" s="29">
        <f t="shared" ca="1" si="8"/>
        <v>7.5660281041574393E-2</v>
      </c>
      <c r="Z37" s="18">
        <f t="shared" ca="1" si="4"/>
        <v>7.848666521458092E-2</v>
      </c>
      <c r="AA37" s="18">
        <f t="shared" ca="1" si="5"/>
        <v>8.1313049387587447E-2</v>
      </c>
      <c r="AB37" s="2">
        <f t="shared" ca="1" si="6"/>
        <v>7</v>
      </c>
      <c r="AC37" s="7">
        <f t="shared" ca="1" si="3"/>
        <v>0.98514821361019989</v>
      </c>
    </row>
    <row r="38" spans="1:29" x14ac:dyDescent="0.3">
      <c r="A38" s="3">
        <v>43517</v>
      </c>
      <c r="B38" s="4">
        <v>29</v>
      </c>
      <c r="D38" s="11">
        <v>35</v>
      </c>
      <c r="E38" s="3">
        <v>43518</v>
      </c>
      <c r="F38" s="7">
        <f t="shared" si="0"/>
        <v>7.2152521783237916E-3</v>
      </c>
      <c r="G38" s="7">
        <f>SUM($F$4:F38)</f>
        <v>0.12297447505704891</v>
      </c>
      <c r="L38" s="11">
        <v>35</v>
      </c>
      <c r="M38" s="7">
        <f t="shared" ca="1" si="1"/>
        <v>8.3419574273952257E-3</v>
      </c>
      <c r="N38" s="7">
        <f ca="1">SUM($M$4:M38)</f>
        <v>0.13972778690886986</v>
      </c>
      <c r="S38" s="18">
        <v>8.1313049387587447E-2</v>
      </c>
      <c r="T38" s="18">
        <v>8.4139433560593974E-2</v>
      </c>
      <c r="U38" s="18">
        <v>8.6965817733600501E-2</v>
      </c>
      <c r="V38" s="2">
        <f ca="1">COUNTIFS($M$4:$M$1260,"&gt;"&amp;S38,$M$4:$M$1260,"&lt;="&amp;U38)</f>
        <v>2</v>
      </c>
      <c r="W38" s="7">
        <f t="shared" ca="1" si="2"/>
        <v>0.28147091817434283</v>
      </c>
      <c r="X38" s="23"/>
      <c r="Y38" s="29">
        <f t="shared" ca="1" si="8"/>
        <v>8.1313049387587447E-2</v>
      </c>
      <c r="Z38" s="18">
        <f t="shared" ca="1" si="4"/>
        <v>8.4139433560593974E-2</v>
      </c>
      <c r="AA38" s="18">
        <f t="shared" ca="1" si="5"/>
        <v>8.6965817733600501E-2</v>
      </c>
      <c r="AB38" s="2">
        <f t="shared" ca="1" si="6"/>
        <v>5</v>
      </c>
      <c r="AC38" s="7">
        <f t="shared" ca="1" si="3"/>
        <v>0.70367729543585711</v>
      </c>
    </row>
    <row r="39" spans="1:29" x14ac:dyDescent="0.3">
      <c r="A39" s="3">
        <v>43518</v>
      </c>
      <c r="B39" s="4">
        <v>29.209999</v>
      </c>
      <c r="D39" s="11">
        <v>36</v>
      </c>
      <c r="E39" s="3">
        <v>43521</v>
      </c>
      <c r="F39" s="7">
        <f t="shared" si="0"/>
        <v>0</v>
      </c>
      <c r="G39" s="7">
        <f>SUM($F$4:F39)</f>
        <v>0.12297447505704891</v>
      </c>
      <c r="L39" s="11">
        <v>36</v>
      </c>
      <c r="M39" s="7">
        <f t="shared" ca="1" si="1"/>
        <v>-1.4598425497941644E-2</v>
      </c>
      <c r="N39" s="7">
        <f ca="1">SUM($M$4:M39)</f>
        <v>0.12512936141092823</v>
      </c>
      <c r="S39" s="18">
        <v>8.6965817733600501E-2</v>
      </c>
      <c r="T39" s="18">
        <v>8.9792201906607028E-2</v>
      </c>
      <c r="U39" s="18">
        <v>9.2618586079613555E-2</v>
      </c>
      <c r="V39" s="2">
        <f t="shared" ca="1" si="7"/>
        <v>3</v>
      </c>
      <c r="W39" s="7">
        <f t="shared" ca="1" si="2"/>
        <v>0.42220637726151422</v>
      </c>
      <c r="X39" s="23"/>
      <c r="Y39" s="29">
        <f t="shared" ca="1" si="8"/>
        <v>8.6965817733600501E-2</v>
      </c>
      <c r="Z39" s="18">
        <f t="shared" ca="1" si="4"/>
        <v>8.9792201906607028E-2</v>
      </c>
      <c r="AA39" s="18">
        <f t="shared" ca="1" si="5"/>
        <v>9.2618586079613555E-2</v>
      </c>
      <c r="AB39" s="2">
        <f t="shared" ca="1" si="6"/>
        <v>1</v>
      </c>
      <c r="AC39" s="7">
        <f t="shared" ca="1" si="3"/>
        <v>0.14073545908717142</v>
      </c>
    </row>
    <row r="40" spans="1:29" x14ac:dyDescent="0.3">
      <c r="A40" s="3">
        <v>43521</v>
      </c>
      <c r="B40" s="4">
        <v>29.209999</v>
      </c>
      <c r="D40" s="11">
        <v>37</v>
      </c>
      <c r="E40" s="3">
        <v>43522</v>
      </c>
      <c r="F40" s="7">
        <f t="shared" si="0"/>
        <v>-2.8474146903589032E-2</v>
      </c>
      <c r="G40" s="7">
        <f>SUM($F$4:F40)</f>
        <v>9.4500328153459878E-2</v>
      </c>
      <c r="L40" s="11">
        <v>37</v>
      </c>
      <c r="M40" s="7">
        <f t="shared" ca="1" si="1"/>
        <v>1.2512936141092838E-2</v>
      </c>
      <c r="N40" s="7">
        <f ca="1">SUM($M$4:M40)</f>
        <v>0.13764229755202106</v>
      </c>
      <c r="S40" s="18">
        <v>9.2618586079613555E-2</v>
      </c>
      <c r="T40" s="18">
        <v>9.5444970252620082E-2</v>
      </c>
      <c r="U40" s="18">
        <v>9.8271354425626609E-2</v>
      </c>
      <c r="V40" s="2">
        <f t="shared" ca="1" si="7"/>
        <v>3</v>
      </c>
      <c r="W40" s="7">
        <f t="shared" ca="1" si="2"/>
        <v>0.42220637726151422</v>
      </c>
      <c r="X40" s="23"/>
      <c r="Y40" s="29">
        <f t="shared" ca="1" si="8"/>
        <v>9.2618586079613555E-2</v>
      </c>
      <c r="Z40" s="18">
        <f t="shared" ca="1" si="4"/>
        <v>9.5444970252620082E-2</v>
      </c>
      <c r="AA40" s="18">
        <f t="shared" ca="1" si="5"/>
        <v>9.8271354425626609E-2</v>
      </c>
      <c r="AB40" s="2">
        <f t="shared" ca="1" si="6"/>
        <v>3</v>
      </c>
      <c r="AC40" s="7">
        <f t="shared" ca="1" si="3"/>
        <v>0.42220637726151422</v>
      </c>
    </row>
    <row r="41" spans="1:29" x14ac:dyDescent="0.3">
      <c r="A41" s="3">
        <v>43522</v>
      </c>
      <c r="B41" s="4">
        <v>28.389999</v>
      </c>
      <c r="D41" s="11">
        <v>38</v>
      </c>
      <c r="E41" s="3">
        <v>43523</v>
      </c>
      <c r="F41" s="7">
        <f t="shared" si="0"/>
        <v>8.7673719150343204E-3</v>
      </c>
      <c r="G41" s="7">
        <f>SUM($F$4:F41)</f>
        <v>0.1032677000684942</v>
      </c>
      <c r="L41" s="11">
        <v>38</v>
      </c>
      <c r="M41" s="7">
        <f t="shared" ca="1" si="1"/>
        <v>0</v>
      </c>
      <c r="N41" s="7">
        <f ca="1">SUM($M$4:M41)</f>
        <v>0.13764229755202106</v>
      </c>
      <c r="S41" s="18">
        <v>9.8271354425626609E-2</v>
      </c>
      <c r="T41" s="18">
        <v>0.10109773859863314</v>
      </c>
      <c r="U41" s="18"/>
      <c r="V41" s="2">
        <f ca="1">COUNTIFS(M4:M1260,"&gt;"&amp;S41)</f>
        <v>4</v>
      </c>
      <c r="W41" s="7">
        <f t="shared" ca="1" si="2"/>
        <v>0.56294183634868566</v>
      </c>
      <c r="X41" s="30"/>
      <c r="Y41" s="29">
        <f t="shared" ca="1" si="8"/>
        <v>9.8271354425626609E-2</v>
      </c>
      <c r="Z41" s="18">
        <f t="shared" ca="1" si="4"/>
        <v>0.10109773859863314</v>
      </c>
      <c r="AA41" s="18"/>
      <c r="AB41" s="2">
        <f ca="1">COUNTIFS(F4:F1260,"&gt;"&amp;Y41)</f>
        <v>2</v>
      </c>
      <c r="AC41" s="7">
        <f t="shared" ca="1" si="3"/>
        <v>0.28147091817434283</v>
      </c>
    </row>
    <row r="42" spans="1:29" x14ac:dyDescent="0.3">
      <c r="A42" s="3">
        <v>43523</v>
      </c>
      <c r="B42" s="4">
        <v>28.639999</v>
      </c>
      <c r="D42" s="11">
        <v>39</v>
      </c>
      <c r="E42" s="3">
        <v>43524</v>
      </c>
      <c r="F42" s="7">
        <f t="shared" si="0"/>
        <v>9.0372879421432052E-3</v>
      </c>
      <c r="G42" s="7">
        <f>SUM($F$4:F42)</f>
        <v>0.1123049880106374</v>
      </c>
      <c r="L42" s="11">
        <v>39</v>
      </c>
      <c r="M42" s="7">
        <f t="shared" ca="1" si="1"/>
        <v>1.2512936141092838E-2</v>
      </c>
      <c r="N42" s="7">
        <f ca="1">SUM($M$4:M42)</f>
        <v>0.1501552336931139</v>
      </c>
    </row>
    <row r="43" spans="1:29" x14ac:dyDescent="0.3">
      <c r="A43" s="3">
        <v>43524</v>
      </c>
      <c r="B43" s="4">
        <v>28.9</v>
      </c>
      <c r="D43" s="11">
        <v>40</v>
      </c>
      <c r="E43" s="3">
        <v>43525</v>
      </c>
      <c r="F43" s="7">
        <f t="shared" si="0"/>
        <v>6.2090575469322352E-3</v>
      </c>
      <c r="G43" s="7">
        <f>SUM($F$4:F43)</f>
        <v>0.11851404555756964</v>
      </c>
      <c r="L43" s="11">
        <v>40</v>
      </c>
      <c r="M43" s="7">
        <f t="shared" ca="1" si="1"/>
        <v>-2.0854893568488065E-2</v>
      </c>
      <c r="N43" s="7">
        <f ca="1">SUM($M$4:M43)</f>
        <v>0.12930034012462582</v>
      </c>
    </row>
    <row r="44" spans="1:29" x14ac:dyDescent="0.3">
      <c r="A44" s="3">
        <v>43525</v>
      </c>
      <c r="B44" s="4">
        <v>29.08</v>
      </c>
      <c r="D44" s="11">
        <v>41</v>
      </c>
      <c r="E44" s="3">
        <v>43528</v>
      </c>
      <c r="F44" s="7">
        <f t="shared" si="0"/>
        <v>-1.0369916459745788E-2</v>
      </c>
      <c r="G44" s="7">
        <f>SUM($F$4:F44)</f>
        <v>0.10814412909782385</v>
      </c>
      <c r="L44" s="11">
        <v>41</v>
      </c>
      <c r="M44" s="7">
        <f t="shared" ca="1" si="1"/>
        <v>-5.8393701991766578E-2</v>
      </c>
      <c r="N44" s="7">
        <f ca="1">SUM($M$4:M44)</f>
        <v>7.0906638132859245E-2</v>
      </c>
    </row>
    <row r="45" spans="1:29" x14ac:dyDescent="0.3">
      <c r="A45" s="3">
        <v>43528</v>
      </c>
      <c r="B45" s="4">
        <v>28.780000999999999</v>
      </c>
      <c r="D45" s="11">
        <v>42</v>
      </c>
      <c r="E45" s="3">
        <v>43529</v>
      </c>
      <c r="F45" s="7">
        <f t="shared" si="0"/>
        <v>7.2702067279913117E-3</v>
      </c>
      <c r="G45" s="7">
        <f>SUM($F$4:F45)</f>
        <v>0.11541433582581516</v>
      </c>
      <c r="L45" s="11">
        <v>42</v>
      </c>
      <c r="M45" s="7">
        <f t="shared" ca="1" si="1"/>
        <v>3.1282340352732099E-2</v>
      </c>
      <c r="N45" s="7">
        <f ca="1">SUM($M$4:M45)</f>
        <v>0.10218897848559134</v>
      </c>
    </row>
    <row r="46" spans="1:29" x14ac:dyDescent="0.3">
      <c r="A46" s="3">
        <v>43529</v>
      </c>
      <c r="B46" s="4">
        <v>28.99</v>
      </c>
      <c r="D46" s="11">
        <v>43</v>
      </c>
      <c r="E46" s="3">
        <v>43530</v>
      </c>
      <c r="F46" s="7">
        <f t="shared" si="0"/>
        <v>-6.2284285472976103E-3</v>
      </c>
      <c r="G46" s="7">
        <f>SUM($F$4:F46)</f>
        <v>0.10918590727851755</v>
      </c>
      <c r="L46" s="11">
        <v>43</v>
      </c>
      <c r="M46" s="7">
        <f t="shared" ca="1" si="1"/>
        <v>6.8821148776010616E-2</v>
      </c>
      <c r="N46" s="7">
        <f ca="1">SUM($M$4:M46)</f>
        <v>0.17101012726160197</v>
      </c>
    </row>
    <row r="47" spans="1:29" x14ac:dyDescent="0.3">
      <c r="A47" s="3">
        <v>43530</v>
      </c>
      <c r="B47" s="4">
        <v>28.809999000000001</v>
      </c>
      <c r="D47" s="11">
        <v>44</v>
      </c>
      <c r="E47" s="3">
        <v>43531</v>
      </c>
      <c r="F47" s="7">
        <f t="shared" si="0"/>
        <v>-1.3629391717311871E-2</v>
      </c>
      <c r="G47" s="7">
        <f>SUM($F$4:F47)</f>
        <v>9.5556515561205688E-2</v>
      </c>
      <c r="L47" s="11">
        <v>44</v>
      </c>
      <c r="M47" s="7">
        <f t="shared" ca="1" si="1"/>
        <v>-1.4598425497941644E-2</v>
      </c>
      <c r="N47" s="7">
        <f ca="1">SUM($M$4:M47)</f>
        <v>0.15641170176366032</v>
      </c>
    </row>
    <row r="48" spans="1:29" x14ac:dyDescent="0.3">
      <c r="A48" s="3">
        <v>43531</v>
      </c>
      <c r="B48" s="4">
        <v>28.42</v>
      </c>
      <c r="D48" s="11">
        <v>45</v>
      </c>
      <c r="E48" s="3">
        <v>43532</v>
      </c>
      <c r="F48" s="7">
        <f t="shared" si="0"/>
        <v>1.7440274621609415E-2</v>
      </c>
      <c r="G48" s="7">
        <f>SUM($F$4:F48)</f>
        <v>0.11299679018281511</v>
      </c>
      <c r="L48" s="11">
        <v>45</v>
      </c>
      <c r="M48" s="7">
        <f t="shared" ca="1" si="1"/>
        <v>2.5025872282185675E-2</v>
      </c>
      <c r="N48" s="7">
        <f ca="1">SUM($M$4:M48)</f>
        <v>0.18143757404584598</v>
      </c>
    </row>
    <row r="49" spans="1:14" x14ac:dyDescent="0.3">
      <c r="A49" s="3">
        <v>43532</v>
      </c>
      <c r="B49" s="4">
        <v>28.92</v>
      </c>
      <c r="D49" s="11">
        <v>46</v>
      </c>
      <c r="E49" s="3">
        <v>43535</v>
      </c>
      <c r="F49" s="7">
        <f t="shared" si="0"/>
        <v>-1.7440274621609408E-2</v>
      </c>
      <c r="G49" s="7">
        <f>SUM($F$4:F49)</f>
        <v>9.5556515561205702E-2</v>
      </c>
      <c r="L49" s="11">
        <v>46</v>
      </c>
      <c r="M49" s="7">
        <f t="shared" ca="1" si="1"/>
        <v>2.0854893568488065E-2</v>
      </c>
      <c r="N49" s="7">
        <f ca="1">SUM($M$4:M49)</f>
        <v>0.20229246761433406</v>
      </c>
    </row>
    <row r="50" spans="1:14" x14ac:dyDescent="0.3">
      <c r="A50" s="3">
        <v>43535</v>
      </c>
      <c r="B50" s="4">
        <v>28.42</v>
      </c>
      <c r="D50" s="11">
        <v>47</v>
      </c>
      <c r="E50" s="3">
        <v>43536</v>
      </c>
      <c r="F50" s="7">
        <f t="shared" si="0"/>
        <v>-1.7608385996933968E-3</v>
      </c>
      <c r="G50" s="7">
        <f>SUM($F$4:F50)</f>
        <v>9.3795676961512309E-2</v>
      </c>
      <c r="L50" s="11">
        <v>47</v>
      </c>
      <c r="M50" s="7">
        <f t="shared" ca="1" si="1"/>
        <v>-1.4598425497941644E-2</v>
      </c>
      <c r="N50" s="7">
        <f ca="1">SUM($M$4:M50)</f>
        <v>0.1876940421163924</v>
      </c>
    </row>
    <row r="51" spans="1:14" x14ac:dyDescent="0.3">
      <c r="A51" s="3">
        <v>43536</v>
      </c>
      <c r="B51" s="4">
        <v>28.370000999999998</v>
      </c>
      <c r="D51" s="11">
        <v>48</v>
      </c>
      <c r="E51" s="3">
        <v>43537</v>
      </c>
      <c r="F51" s="7">
        <f t="shared" si="0"/>
        <v>-5.2091377245753669E-2</v>
      </c>
      <c r="G51" s="7">
        <f>SUM($F$4:F51)</f>
        <v>4.170429971575864E-2</v>
      </c>
      <c r="L51" s="11">
        <v>48</v>
      </c>
      <c r="M51" s="7">
        <f t="shared" ca="1" si="1"/>
        <v>-2.2940382925336872E-2</v>
      </c>
      <c r="N51" s="7">
        <f ca="1">SUM($M$4:M51)</f>
        <v>0.16475365919105553</v>
      </c>
    </row>
    <row r="52" spans="1:14" x14ac:dyDescent="0.3">
      <c r="A52" s="3">
        <v>43537</v>
      </c>
      <c r="B52" s="4">
        <v>26.93</v>
      </c>
      <c r="D52" s="11">
        <v>49</v>
      </c>
      <c r="E52" s="3">
        <v>43538</v>
      </c>
      <c r="F52" s="7">
        <f t="shared" si="0"/>
        <v>1.8396398126004326E-2</v>
      </c>
      <c r="G52" s="7">
        <f>SUM($F$4:F52)</f>
        <v>6.0100697841762966E-2</v>
      </c>
      <c r="L52" s="11">
        <v>49</v>
      </c>
      <c r="M52" s="7">
        <f t="shared" ca="1" si="1"/>
        <v>6.2564680705464198E-2</v>
      </c>
      <c r="N52" s="7">
        <f ca="1">SUM($M$4:M52)</f>
        <v>0.22731833989651973</v>
      </c>
    </row>
    <row r="53" spans="1:14" x14ac:dyDescent="0.3">
      <c r="A53" s="3">
        <v>43538</v>
      </c>
      <c r="B53" s="4">
        <v>27.43</v>
      </c>
      <c r="D53" s="11">
        <v>50</v>
      </c>
      <c r="E53" s="3">
        <v>43539</v>
      </c>
      <c r="F53" s="7">
        <f t="shared" si="0"/>
        <v>0</v>
      </c>
      <c r="G53" s="7">
        <f>SUM($F$4:F53)</f>
        <v>6.0100697841762966E-2</v>
      </c>
      <c r="L53" s="11">
        <v>50</v>
      </c>
      <c r="M53" s="7">
        <f t="shared" ca="1" si="1"/>
        <v>-1.4598425497941644E-2</v>
      </c>
      <c r="N53" s="7">
        <f ca="1">SUM($M$4:M53)</f>
        <v>0.21271991439857807</v>
      </c>
    </row>
    <row r="54" spans="1:14" x14ac:dyDescent="0.3">
      <c r="A54" s="3">
        <v>43539</v>
      </c>
      <c r="B54" s="4">
        <v>27.43</v>
      </c>
      <c r="D54" s="11">
        <v>51</v>
      </c>
      <c r="E54" s="3">
        <v>43542</v>
      </c>
      <c r="F54" s="7">
        <f t="shared" si="0"/>
        <v>-7.3179982638436241E-3</v>
      </c>
      <c r="G54" s="7">
        <f>SUM($F$4:F54)</f>
        <v>5.278269957791934E-2</v>
      </c>
      <c r="L54" s="11">
        <v>51</v>
      </c>
      <c r="M54" s="7">
        <f t="shared" ca="1" si="1"/>
        <v>-2.7111361639034482E-2</v>
      </c>
      <c r="N54" s="7">
        <f ca="1">SUM($M$4:M54)</f>
        <v>0.18560855275954358</v>
      </c>
    </row>
    <row r="55" spans="1:14" x14ac:dyDescent="0.3">
      <c r="A55" s="3">
        <v>43542</v>
      </c>
      <c r="B55" s="4">
        <v>27.23</v>
      </c>
      <c r="D55" s="11">
        <v>52</v>
      </c>
      <c r="E55" s="3">
        <v>43543</v>
      </c>
      <c r="F55" s="7">
        <f t="shared" si="0"/>
        <v>1.1011195827182571E-3</v>
      </c>
      <c r="G55" s="7">
        <f>SUM($F$4:F55)</f>
        <v>5.38838191606376E-2</v>
      </c>
      <c r="L55" s="11">
        <v>52</v>
      </c>
      <c r="M55" s="7">
        <f t="shared" ca="1" si="1"/>
        <v>-2.7111361639034482E-2</v>
      </c>
      <c r="N55" s="7">
        <f ca="1">SUM($M$4:M55)</f>
        <v>0.15849719112050908</v>
      </c>
    </row>
    <row r="56" spans="1:14" x14ac:dyDescent="0.3">
      <c r="A56" s="3">
        <v>43543</v>
      </c>
      <c r="B56" s="4">
        <v>27.26</v>
      </c>
      <c r="D56" s="11">
        <v>53</v>
      </c>
      <c r="E56" s="3">
        <v>43544</v>
      </c>
      <c r="F56" s="7">
        <f t="shared" si="0"/>
        <v>-2.1131425384738448E-2</v>
      </c>
      <c r="G56" s="7">
        <f>SUM($F$4:F56)</f>
        <v>3.2752393775899155E-2</v>
      </c>
      <c r="L56" s="11">
        <v>53</v>
      </c>
      <c r="M56" s="7">
        <f t="shared" ca="1" si="1"/>
        <v>7.7163106203405843E-2</v>
      </c>
      <c r="N56" s="7">
        <f ca="1">SUM($M$4:M56)</f>
        <v>0.23566029732391491</v>
      </c>
    </row>
    <row r="57" spans="1:14" x14ac:dyDescent="0.3">
      <c r="A57" s="3">
        <v>43544</v>
      </c>
      <c r="B57" s="4">
        <v>26.690000999999999</v>
      </c>
      <c r="D57" s="11">
        <v>54</v>
      </c>
      <c r="E57" s="3">
        <v>43545</v>
      </c>
      <c r="F57" s="7">
        <f t="shared" si="0"/>
        <v>-3.7477983622521369E-4</v>
      </c>
      <c r="G57" s="7">
        <f>SUM($F$4:F57)</f>
        <v>3.2377613939673942E-2</v>
      </c>
      <c r="L57" s="11">
        <v>54</v>
      </c>
      <c r="M57" s="7">
        <f t="shared" ca="1" si="1"/>
        <v>1.8769404211639258E-2</v>
      </c>
      <c r="N57" s="7">
        <f ca="1">SUM($M$4:M57)</f>
        <v>0.25442970153555416</v>
      </c>
    </row>
    <row r="58" spans="1:14" x14ac:dyDescent="0.3">
      <c r="A58" s="3">
        <v>43545</v>
      </c>
      <c r="B58" s="4">
        <v>26.68</v>
      </c>
      <c r="D58" s="11">
        <v>55</v>
      </c>
      <c r="E58" s="3">
        <v>43546</v>
      </c>
      <c r="F58" s="7">
        <f t="shared" si="0"/>
        <v>-3.7488285350000764E-4</v>
      </c>
      <c r="G58" s="7">
        <f>SUM($F$4:F58)</f>
        <v>3.2002731086173936E-2</v>
      </c>
      <c r="L58" s="11">
        <v>55</v>
      </c>
      <c r="M58" s="7">
        <f t="shared" ca="1" si="1"/>
        <v>2.5025872282185675E-2</v>
      </c>
      <c r="N58" s="7">
        <f ca="1">SUM($M$4:M58)</f>
        <v>0.27945557381773983</v>
      </c>
    </row>
    <row r="59" spans="1:14" x14ac:dyDescent="0.3">
      <c r="A59" s="3">
        <v>43546</v>
      </c>
      <c r="B59" s="4">
        <v>26.67</v>
      </c>
      <c r="D59" s="11">
        <v>56</v>
      </c>
      <c r="E59" s="3">
        <v>43549</v>
      </c>
      <c r="F59" s="7">
        <f t="shared" si="0"/>
        <v>1.6363362203408244E-2</v>
      </c>
      <c r="G59" s="7">
        <f>SUM($F$4:F59)</f>
        <v>4.8366093289582177E-2</v>
      </c>
      <c r="L59" s="11">
        <v>56</v>
      </c>
      <c r="M59" s="7">
        <f t="shared" ca="1" si="1"/>
        <v>-2.5025872282185675E-2</v>
      </c>
      <c r="N59" s="7">
        <f ca="1">SUM($M$4:M59)</f>
        <v>0.25442970153555416</v>
      </c>
    </row>
    <row r="60" spans="1:14" x14ac:dyDescent="0.3">
      <c r="A60" s="3">
        <v>43549</v>
      </c>
      <c r="B60" s="4">
        <v>27.110001</v>
      </c>
      <c r="D60" s="11">
        <v>57</v>
      </c>
      <c r="E60" s="3">
        <v>43550</v>
      </c>
      <c r="F60" s="7">
        <f t="shared" si="0"/>
        <v>1.9361262322687235E-2</v>
      </c>
      <c r="G60" s="7">
        <f>SUM($F$4:F60)</f>
        <v>6.7727355612269419E-2</v>
      </c>
      <c r="L60" s="11">
        <v>57</v>
      </c>
      <c r="M60" s="7">
        <f t="shared" ca="1" si="1"/>
        <v>2.7111361639034482E-2</v>
      </c>
      <c r="N60" s="7">
        <f ca="1">SUM($M$4:M60)</f>
        <v>0.28154106317458866</v>
      </c>
    </row>
    <row r="61" spans="1:14" x14ac:dyDescent="0.3">
      <c r="A61" s="3">
        <v>43550</v>
      </c>
      <c r="B61" s="4">
        <v>27.639999</v>
      </c>
      <c r="D61" s="11">
        <v>58</v>
      </c>
      <c r="E61" s="3">
        <v>43551</v>
      </c>
      <c r="F61" s="7">
        <f t="shared" si="0"/>
        <v>-2.1730903548626977E-3</v>
      </c>
      <c r="G61" s="7">
        <f>SUM($F$4:F61)</f>
        <v>6.5554265257406721E-2</v>
      </c>
      <c r="L61" s="11">
        <v>58</v>
      </c>
      <c r="M61" s="7">
        <f t="shared" ca="1" si="1"/>
        <v>-3.1282340352732099E-2</v>
      </c>
      <c r="N61" s="7">
        <f ca="1">SUM($M$4:M61)</f>
        <v>0.25025872282185657</v>
      </c>
    </row>
    <row r="62" spans="1:14" x14ac:dyDescent="0.3">
      <c r="A62" s="3">
        <v>43551</v>
      </c>
      <c r="B62" s="4">
        <v>27.58</v>
      </c>
      <c r="D62" s="11">
        <v>59</v>
      </c>
      <c r="E62" s="3">
        <v>43552</v>
      </c>
      <c r="F62" s="7">
        <f t="shared" si="0"/>
        <v>-2.4592907626341233E-2</v>
      </c>
      <c r="G62" s="7">
        <f>SUM($F$4:F62)</f>
        <v>4.0961357631065488E-2</v>
      </c>
      <c r="L62" s="11">
        <v>59</v>
      </c>
      <c r="M62" s="7">
        <f t="shared" ca="1" si="1"/>
        <v>1.0427446784244032E-2</v>
      </c>
      <c r="N62" s="7">
        <f ca="1">SUM($M$4:M62)</f>
        <v>0.26068616960610058</v>
      </c>
    </row>
    <row r="63" spans="1:14" x14ac:dyDescent="0.3">
      <c r="A63" s="3">
        <v>43552</v>
      </c>
      <c r="B63" s="4">
        <v>26.91</v>
      </c>
      <c r="D63" s="11">
        <v>60</v>
      </c>
      <c r="E63" s="3">
        <v>43553</v>
      </c>
      <c r="F63" s="7">
        <f t="shared" si="0"/>
        <v>4.0793677932382559E-3</v>
      </c>
      <c r="G63" s="7">
        <f>SUM($F$4:F63)</f>
        <v>4.5040725424303742E-2</v>
      </c>
      <c r="L63" s="11">
        <v>60</v>
      </c>
      <c r="M63" s="7">
        <f t="shared" ca="1" si="1"/>
        <v>0</v>
      </c>
      <c r="N63" s="7">
        <f ca="1">SUM($M$4:M63)</f>
        <v>0.26068616960610058</v>
      </c>
    </row>
    <row r="64" spans="1:14" x14ac:dyDescent="0.3">
      <c r="A64" s="3">
        <v>43553</v>
      </c>
      <c r="B64" s="4">
        <v>27.02</v>
      </c>
      <c r="D64" s="11">
        <v>61</v>
      </c>
      <c r="E64" s="3">
        <v>43556</v>
      </c>
      <c r="F64" s="7">
        <f t="shared" si="0"/>
        <v>2.6658507660390657E-2</v>
      </c>
      <c r="G64" s="7">
        <f>SUM($F$4:F64)</f>
        <v>7.1699233084694391E-2</v>
      </c>
      <c r="L64" s="11">
        <v>61</v>
      </c>
      <c r="M64" s="7">
        <f t="shared" ca="1" si="1"/>
        <v>-4.1709787136976128E-3</v>
      </c>
      <c r="N64" s="7">
        <f ca="1">SUM($M$4:M64)</f>
        <v>0.25651519089240299</v>
      </c>
    </row>
    <row r="65" spans="1:14" x14ac:dyDescent="0.3">
      <c r="A65" s="3">
        <v>43556</v>
      </c>
      <c r="B65" s="4">
        <v>27.75</v>
      </c>
      <c r="D65" s="11">
        <v>62</v>
      </c>
      <c r="E65" s="3">
        <v>43557</v>
      </c>
      <c r="F65" s="7">
        <f t="shared" si="0"/>
        <v>-1.3057893427132443E-2</v>
      </c>
      <c r="G65" s="7">
        <f>SUM($F$4:F65)</f>
        <v>5.864133965756195E-2</v>
      </c>
      <c r="L65" s="11">
        <v>62</v>
      </c>
      <c r="M65" s="7">
        <f t="shared" ca="1" si="1"/>
        <v>5.005174456437135E-2</v>
      </c>
      <c r="N65" s="7">
        <f ca="1">SUM($M$4:M65)</f>
        <v>0.30656693545677433</v>
      </c>
    </row>
    <row r="66" spans="1:14" x14ac:dyDescent="0.3">
      <c r="A66" s="3">
        <v>43557</v>
      </c>
      <c r="B66" s="4">
        <v>27.389999</v>
      </c>
      <c r="D66" s="11">
        <v>63</v>
      </c>
      <c r="E66" s="3">
        <v>43558</v>
      </c>
      <c r="F66" s="7">
        <f t="shared" si="0"/>
        <v>1.7372930609420502E-2</v>
      </c>
      <c r="G66" s="7">
        <f>SUM($F$4:F66)</f>
        <v>7.6014270266982459E-2</v>
      </c>
      <c r="L66" s="11">
        <v>63</v>
      </c>
      <c r="M66" s="7">
        <f t="shared" ca="1" si="1"/>
        <v>1.4598425497941644E-2</v>
      </c>
      <c r="N66" s="7">
        <f ca="1">SUM($M$4:M66)</f>
        <v>0.32116536095471598</v>
      </c>
    </row>
    <row r="67" spans="1:14" x14ac:dyDescent="0.3">
      <c r="A67" s="3">
        <v>43558</v>
      </c>
      <c r="B67" s="4">
        <v>27.870000999999998</v>
      </c>
      <c r="D67" s="11">
        <v>64</v>
      </c>
      <c r="E67" s="3">
        <v>43559</v>
      </c>
      <c r="F67" s="7">
        <f t="shared" si="0"/>
        <v>3.5598402023854468E-2</v>
      </c>
      <c r="G67" s="7">
        <f>SUM($F$4:F67)</f>
        <v>0.11161267229083693</v>
      </c>
      <c r="L67" s="11">
        <v>64</v>
      </c>
      <c r="M67" s="7">
        <f t="shared" ca="1" si="1"/>
        <v>4.170978713697613E-2</v>
      </c>
      <c r="N67" s="7">
        <f ca="1">SUM($M$4:M67)</f>
        <v>0.36287514809169213</v>
      </c>
    </row>
    <row r="68" spans="1:14" x14ac:dyDescent="0.3">
      <c r="A68" s="3">
        <v>43559</v>
      </c>
      <c r="B68" s="4">
        <v>28.879999000000002</v>
      </c>
      <c r="D68" s="11">
        <v>65</v>
      </c>
      <c r="E68" s="3">
        <v>43560</v>
      </c>
      <c r="F68" s="7">
        <f t="shared" ref="F68:F131" si="9">LN(B69/B68)</f>
        <v>2.0562787922549609E-2</v>
      </c>
      <c r="G68" s="7">
        <f>SUM($F$4:F68)</f>
        <v>0.13217546021338655</v>
      </c>
      <c r="L68" s="11">
        <v>65</v>
      </c>
      <c r="M68" s="7">
        <f t="shared" ca="1" si="1"/>
        <v>-3.3367829709580903E-2</v>
      </c>
      <c r="N68" s="7">
        <f ca="1">SUM($M$4:M68)</f>
        <v>0.32950731838211123</v>
      </c>
    </row>
    <row r="69" spans="1:14" x14ac:dyDescent="0.3">
      <c r="A69" s="3">
        <v>43560</v>
      </c>
      <c r="B69" s="4">
        <v>29.48</v>
      </c>
      <c r="D69" s="11">
        <v>66</v>
      </c>
      <c r="E69" s="3">
        <v>43563</v>
      </c>
      <c r="F69" s="7">
        <f t="shared" si="9"/>
        <v>-2.0909039008260247E-2</v>
      </c>
      <c r="G69" s="7">
        <f>SUM($F$4:F69)</f>
        <v>0.11126642120512631</v>
      </c>
      <c r="L69" s="11">
        <v>66</v>
      </c>
      <c r="M69" s="7">
        <f t="shared" ref="M69:M132" ca="1" si="10">(2*_xlfn.BINOM.INV($J$4,$J$12,RAND())-$J$4)*$J$11</f>
        <v>-4.5880765850673744E-2</v>
      </c>
      <c r="N69" s="7">
        <f ca="1">SUM($M$4:M69)</f>
        <v>0.28362655253143748</v>
      </c>
    </row>
    <row r="70" spans="1:14" x14ac:dyDescent="0.3">
      <c r="A70" s="3">
        <v>43563</v>
      </c>
      <c r="B70" s="4">
        <v>28.870000999999998</v>
      </c>
      <c r="D70" s="11">
        <v>67</v>
      </c>
      <c r="E70" s="3">
        <v>43564</v>
      </c>
      <c r="F70" s="7">
        <f t="shared" si="9"/>
        <v>-1.0397158961273215E-3</v>
      </c>
      <c r="G70" s="7">
        <f>SUM($F$4:F70)</f>
        <v>0.11022670530899899</v>
      </c>
      <c r="L70" s="11">
        <v>67</v>
      </c>
      <c r="M70" s="7">
        <f t="shared" ca="1" si="10"/>
        <v>1.4598425497941644E-2</v>
      </c>
      <c r="N70" s="7">
        <f ca="1">SUM($M$4:M70)</f>
        <v>0.29822497802937914</v>
      </c>
    </row>
    <row r="71" spans="1:14" x14ac:dyDescent="0.3">
      <c r="A71" s="3">
        <v>43564</v>
      </c>
      <c r="B71" s="4">
        <v>28.84</v>
      </c>
      <c r="D71" s="11">
        <v>68</v>
      </c>
      <c r="E71" s="3">
        <v>43565</v>
      </c>
      <c r="F71" s="7">
        <f t="shared" si="9"/>
        <v>5.8909845746063838E-2</v>
      </c>
      <c r="G71" s="7">
        <f>SUM($F$4:F71)</f>
        <v>0.16913655105506281</v>
      </c>
      <c r="L71" s="11">
        <v>68</v>
      </c>
      <c r="M71" s="7">
        <f t="shared" ca="1" si="10"/>
        <v>1.2512936141092838E-2</v>
      </c>
      <c r="N71" s="7">
        <f ca="1">SUM($M$4:M71)</f>
        <v>0.31073791417047197</v>
      </c>
    </row>
    <row r="72" spans="1:14" x14ac:dyDescent="0.3">
      <c r="A72" s="3">
        <v>43565</v>
      </c>
      <c r="B72" s="4">
        <v>30.59</v>
      </c>
      <c r="D72" s="11">
        <v>69</v>
      </c>
      <c r="E72" s="3">
        <v>43566</v>
      </c>
      <c r="F72" s="7">
        <f t="shared" si="9"/>
        <v>-1.316238132051435E-2</v>
      </c>
      <c r="G72" s="7">
        <f>SUM($F$4:F72)</f>
        <v>0.15597416973454847</v>
      </c>
      <c r="L72" s="11">
        <v>69</v>
      </c>
      <c r="M72" s="7">
        <f t="shared" ca="1" si="10"/>
        <v>1.2512936141092838E-2</v>
      </c>
      <c r="N72" s="7">
        <f ca="1">SUM($M$4:M72)</f>
        <v>0.32325085031156481</v>
      </c>
    </row>
    <row r="73" spans="1:14" x14ac:dyDescent="0.3">
      <c r="A73" s="3">
        <v>43566</v>
      </c>
      <c r="B73" s="4">
        <v>30.190000999999999</v>
      </c>
      <c r="D73" s="11">
        <v>70</v>
      </c>
      <c r="E73" s="3">
        <v>43567</v>
      </c>
      <c r="F73" s="7">
        <f t="shared" si="9"/>
        <v>-5.6469506369817967E-3</v>
      </c>
      <c r="G73" s="7">
        <f>SUM($F$4:F73)</f>
        <v>0.15032721909756669</v>
      </c>
      <c r="L73" s="11">
        <v>70</v>
      </c>
      <c r="M73" s="7">
        <f t="shared" ca="1" si="10"/>
        <v>3.5453319066429706E-2</v>
      </c>
      <c r="N73" s="7">
        <f ca="1">SUM($M$4:M73)</f>
        <v>0.35870416937799454</v>
      </c>
    </row>
    <row r="74" spans="1:14" x14ac:dyDescent="0.3">
      <c r="A74" s="3">
        <v>43567</v>
      </c>
      <c r="B74" s="4">
        <v>30.02</v>
      </c>
      <c r="D74" s="11">
        <v>71</v>
      </c>
      <c r="E74" s="3">
        <v>43570</v>
      </c>
      <c r="F74" s="7">
        <f t="shared" si="9"/>
        <v>9.9880149802992558E-4</v>
      </c>
      <c r="G74" s="7">
        <f>SUM($F$4:F74)</f>
        <v>0.15132602059559661</v>
      </c>
      <c r="L74" s="11">
        <v>71</v>
      </c>
      <c r="M74" s="7">
        <f t="shared" ca="1" si="10"/>
        <v>-1.2512936141092838E-2</v>
      </c>
      <c r="N74" s="7">
        <f ca="1">SUM($M$4:M74)</f>
        <v>0.34619123323690171</v>
      </c>
    </row>
    <row r="75" spans="1:14" x14ac:dyDescent="0.3">
      <c r="A75" s="3">
        <v>43570</v>
      </c>
      <c r="B75" s="4">
        <v>30.049999</v>
      </c>
      <c r="D75" s="11">
        <v>72</v>
      </c>
      <c r="E75" s="3">
        <v>43571</v>
      </c>
      <c r="F75" s="7">
        <f t="shared" si="9"/>
        <v>-2.3321350288941236E-3</v>
      </c>
      <c r="G75" s="7">
        <f>SUM($F$4:F75)</f>
        <v>0.14899388556670248</v>
      </c>
      <c r="L75" s="11">
        <v>72</v>
      </c>
      <c r="M75" s="7">
        <f t="shared" ca="1" si="10"/>
        <v>4.170978713697613E-2</v>
      </c>
      <c r="N75" s="7">
        <f ca="1">SUM($M$4:M75)</f>
        <v>0.38790102037387786</v>
      </c>
    </row>
    <row r="76" spans="1:14" x14ac:dyDescent="0.3">
      <c r="A76" s="3">
        <v>43571</v>
      </c>
      <c r="B76" s="4">
        <v>29.98</v>
      </c>
      <c r="D76" s="11">
        <v>73</v>
      </c>
      <c r="E76" s="3">
        <v>43572</v>
      </c>
      <c r="F76" s="7">
        <f t="shared" si="9"/>
        <v>1.4241009014821586E-2</v>
      </c>
      <c r="G76" s="7">
        <f>SUM($F$4:F76)</f>
        <v>0.16323489458152407</v>
      </c>
      <c r="L76" s="11">
        <v>73</v>
      </c>
      <c r="M76" s="7">
        <f t="shared" ca="1" si="10"/>
        <v>-6.2564680705464198E-2</v>
      </c>
      <c r="N76" s="7">
        <f ca="1">SUM($M$4:M76)</f>
        <v>0.32533633966841369</v>
      </c>
    </row>
    <row r="77" spans="1:14" x14ac:dyDescent="0.3">
      <c r="A77" s="3">
        <v>43572</v>
      </c>
      <c r="B77" s="4">
        <v>30.41</v>
      </c>
      <c r="D77" s="11">
        <v>74</v>
      </c>
      <c r="E77" s="3">
        <v>43573</v>
      </c>
      <c r="F77" s="7">
        <f t="shared" si="9"/>
        <v>-9.2501817365760811E-3</v>
      </c>
      <c r="G77" s="7">
        <f>SUM($F$4:F77)</f>
        <v>0.153984712844948</v>
      </c>
      <c r="L77" s="11">
        <v>74</v>
      </c>
      <c r="M77" s="7">
        <f t="shared" ca="1" si="10"/>
        <v>-4.170978713697613E-2</v>
      </c>
      <c r="N77" s="7">
        <f ca="1">SUM($M$4:M77)</f>
        <v>0.28362655253143754</v>
      </c>
    </row>
    <row r="78" spans="1:14" x14ac:dyDescent="0.3">
      <c r="A78" s="3">
        <v>43573</v>
      </c>
      <c r="B78" s="4">
        <v>30.129999000000002</v>
      </c>
      <c r="D78" s="11">
        <v>75</v>
      </c>
      <c r="E78" s="3">
        <v>43577</v>
      </c>
      <c r="F78" s="7">
        <f t="shared" si="9"/>
        <v>-3.4096062283553323E-2</v>
      </c>
      <c r="G78" s="7">
        <f>SUM($F$4:F78)</f>
        <v>0.11988865056139467</v>
      </c>
      <c r="L78" s="11">
        <v>75</v>
      </c>
      <c r="M78" s="7">
        <f t="shared" ca="1" si="10"/>
        <v>-5.005174456437135E-2</v>
      </c>
      <c r="N78" s="7">
        <f ca="1">SUM($M$4:M78)</f>
        <v>0.2335748079670662</v>
      </c>
    </row>
    <row r="79" spans="1:14" x14ac:dyDescent="0.3">
      <c r="A79" s="3">
        <v>43577</v>
      </c>
      <c r="B79" s="4">
        <v>29.120000999999998</v>
      </c>
      <c r="D79" s="11">
        <v>76</v>
      </c>
      <c r="E79" s="3">
        <v>43578</v>
      </c>
      <c r="F79" s="7">
        <f t="shared" si="9"/>
        <v>1.1947505147645771E-2</v>
      </c>
      <c r="G79" s="7">
        <f>SUM($F$4:F79)</f>
        <v>0.13183615570904045</v>
      </c>
      <c r="L79" s="11">
        <v>76</v>
      </c>
      <c r="M79" s="7">
        <f t="shared" ca="1" si="10"/>
        <v>4.1709787136976128E-3</v>
      </c>
      <c r="N79" s="7">
        <f ca="1">SUM($M$4:M79)</f>
        <v>0.23774578668076382</v>
      </c>
    </row>
    <row r="80" spans="1:14" x14ac:dyDescent="0.3">
      <c r="A80" s="3">
        <v>43578</v>
      </c>
      <c r="B80" s="4">
        <v>29.469999000000001</v>
      </c>
      <c r="D80" s="11">
        <v>77</v>
      </c>
      <c r="E80" s="3">
        <v>43579</v>
      </c>
      <c r="F80" s="7">
        <f t="shared" si="9"/>
        <v>3.041170143444414E-2</v>
      </c>
      <c r="G80" s="7">
        <f>SUM($F$4:F80)</f>
        <v>0.16224785714348458</v>
      </c>
      <c r="L80" s="11">
        <v>77</v>
      </c>
      <c r="M80" s="7">
        <f t="shared" ca="1" si="10"/>
        <v>3.3367829709580903E-2</v>
      </c>
      <c r="N80" s="7">
        <f ca="1">SUM($M$4:M80)</f>
        <v>0.2711136163903447</v>
      </c>
    </row>
    <row r="81" spans="1:14" x14ac:dyDescent="0.3">
      <c r="A81" s="3">
        <v>43579</v>
      </c>
      <c r="B81" s="4">
        <v>30.379999000000002</v>
      </c>
      <c r="D81" s="11">
        <v>78</v>
      </c>
      <c r="E81" s="3">
        <v>43580</v>
      </c>
      <c r="F81" s="7">
        <f t="shared" si="9"/>
        <v>-3.291522663462739E-4</v>
      </c>
      <c r="G81" s="7">
        <f>SUM($F$4:F81)</f>
        <v>0.1619187048771383</v>
      </c>
      <c r="L81" s="11">
        <v>78</v>
      </c>
      <c r="M81" s="7">
        <f t="shared" ca="1" si="10"/>
        <v>2.5025872282185675E-2</v>
      </c>
      <c r="N81" s="7">
        <f ca="1">SUM($M$4:M81)</f>
        <v>0.29613948867253037</v>
      </c>
    </row>
    <row r="82" spans="1:14" x14ac:dyDescent="0.3">
      <c r="A82" s="3">
        <v>43580</v>
      </c>
      <c r="B82" s="4">
        <v>30.370000999999998</v>
      </c>
      <c r="D82" s="11">
        <v>79</v>
      </c>
      <c r="E82" s="3">
        <v>43581</v>
      </c>
      <c r="F82" s="7">
        <f t="shared" si="9"/>
        <v>3.684964378429572E-2</v>
      </c>
      <c r="G82" s="7">
        <f>SUM($F$4:F82)</f>
        <v>0.19876834866143403</v>
      </c>
      <c r="L82" s="11">
        <v>79</v>
      </c>
      <c r="M82" s="7">
        <f t="shared" ca="1" si="10"/>
        <v>1.0427446784244032E-2</v>
      </c>
      <c r="N82" s="7">
        <f ca="1">SUM($M$4:M82)</f>
        <v>0.30656693545677438</v>
      </c>
    </row>
    <row r="83" spans="1:14" x14ac:dyDescent="0.3">
      <c r="A83" s="3">
        <v>43581</v>
      </c>
      <c r="B83" s="4">
        <v>31.51</v>
      </c>
      <c r="D83" s="11">
        <v>80</v>
      </c>
      <c r="E83" s="3">
        <v>43584</v>
      </c>
      <c r="F83" s="7">
        <f t="shared" si="9"/>
        <v>3.8010499328188971E-3</v>
      </c>
      <c r="G83" s="7">
        <f>SUM($F$4:F83)</f>
        <v>0.20256939859425294</v>
      </c>
      <c r="L83" s="11">
        <v>80</v>
      </c>
      <c r="M83" s="7">
        <f t="shared" ca="1" si="10"/>
        <v>-4.1709787136976128E-3</v>
      </c>
      <c r="N83" s="7">
        <f ca="1">SUM($M$4:M83)</f>
        <v>0.30239595674307679</v>
      </c>
    </row>
    <row r="84" spans="1:14" x14ac:dyDescent="0.3">
      <c r="A84" s="3">
        <v>43584</v>
      </c>
      <c r="B84" s="4">
        <v>31.629999000000002</v>
      </c>
      <c r="D84" s="11">
        <v>81</v>
      </c>
      <c r="E84" s="3">
        <v>43585</v>
      </c>
      <c r="F84" s="7">
        <f t="shared" si="9"/>
        <v>-2.3349821798302486E-2</v>
      </c>
      <c r="G84" s="7">
        <f>SUM($F$4:F84)</f>
        <v>0.17921957679595046</v>
      </c>
      <c r="L84" s="11">
        <v>81</v>
      </c>
      <c r="M84" s="7">
        <f t="shared" ca="1" si="10"/>
        <v>-3.1282340352732099E-2</v>
      </c>
      <c r="N84" s="7">
        <f ca="1">SUM($M$4:M84)</f>
        <v>0.2711136163903447</v>
      </c>
    </row>
    <row r="85" spans="1:14" x14ac:dyDescent="0.3">
      <c r="A85" s="3">
        <v>43585</v>
      </c>
      <c r="B85" s="4">
        <v>30.9</v>
      </c>
      <c r="D85" s="11">
        <v>82</v>
      </c>
      <c r="E85" s="3">
        <v>43586</v>
      </c>
      <c r="F85" s="7">
        <f t="shared" si="9"/>
        <v>-3.2370934614618419E-4</v>
      </c>
      <c r="G85" s="7">
        <f>SUM($F$4:F85)</f>
        <v>0.17889586744980429</v>
      </c>
      <c r="L85" s="11">
        <v>82</v>
      </c>
      <c r="M85" s="7">
        <f t="shared" ca="1" si="10"/>
        <v>6.2564680705464188E-3</v>
      </c>
      <c r="N85" s="7">
        <f ca="1">SUM($M$4:M85)</f>
        <v>0.27737008446089112</v>
      </c>
    </row>
    <row r="86" spans="1:14" x14ac:dyDescent="0.3">
      <c r="A86" s="3">
        <v>43586</v>
      </c>
      <c r="B86" s="4">
        <v>30.889999</v>
      </c>
      <c r="D86" s="11">
        <v>83</v>
      </c>
      <c r="E86" s="3">
        <v>43587</v>
      </c>
      <c r="F86" s="7">
        <f t="shared" si="9"/>
        <v>-5.4211078965575324E-2</v>
      </c>
      <c r="G86" s="7">
        <f>SUM($F$4:F86)</f>
        <v>0.12468478848422897</v>
      </c>
      <c r="L86" s="11">
        <v>83</v>
      </c>
      <c r="M86" s="7">
        <f t="shared" ca="1" si="10"/>
        <v>-4.170978713697613E-2</v>
      </c>
      <c r="N86" s="7">
        <f ca="1">SUM($M$4:M86)</f>
        <v>0.235660297323915</v>
      </c>
    </row>
    <row r="87" spans="1:14" x14ac:dyDescent="0.3">
      <c r="A87" s="3">
        <v>43587</v>
      </c>
      <c r="B87" s="4">
        <v>29.26</v>
      </c>
      <c r="D87" s="11">
        <v>84</v>
      </c>
      <c r="E87" s="3">
        <v>43588</v>
      </c>
      <c r="F87" s="7">
        <f t="shared" si="9"/>
        <v>2.7303771228573272E-3</v>
      </c>
      <c r="G87" s="7">
        <f>SUM($F$4:F87)</f>
        <v>0.12741516560708629</v>
      </c>
      <c r="L87" s="11">
        <v>84</v>
      </c>
      <c r="M87" s="7">
        <f t="shared" ca="1" si="10"/>
        <v>-2.9196850995883289E-2</v>
      </c>
      <c r="N87" s="7">
        <f ca="1">SUM($M$4:M87)</f>
        <v>0.20646344632803171</v>
      </c>
    </row>
    <row r="88" spans="1:14" x14ac:dyDescent="0.3">
      <c r="A88" s="3">
        <v>43588</v>
      </c>
      <c r="B88" s="4">
        <v>29.34</v>
      </c>
      <c r="D88" s="11">
        <v>85</v>
      </c>
      <c r="E88" s="3">
        <v>43591</v>
      </c>
      <c r="F88" s="7">
        <f t="shared" si="9"/>
        <v>-6.8400062648674102E-3</v>
      </c>
      <c r="G88" s="7">
        <f>SUM($F$4:F88)</f>
        <v>0.12057515934221888</v>
      </c>
      <c r="L88" s="11">
        <v>85</v>
      </c>
      <c r="M88" s="7">
        <f t="shared" ca="1" si="10"/>
        <v>-6.4650170062312995E-2</v>
      </c>
      <c r="N88" s="7">
        <f ca="1">SUM($M$4:M88)</f>
        <v>0.14181327626571871</v>
      </c>
    </row>
    <row r="89" spans="1:14" x14ac:dyDescent="0.3">
      <c r="A89" s="3">
        <v>43591</v>
      </c>
      <c r="B89" s="4">
        <v>29.139999</v>
      </c>
      <c r="D89" s="11">
        <v>86</v>
      </c>
      <c r="E89" s="3">
        <v>43592</v>
      </c>
      <c r="F89" s="7">
        <f t="shared" si="9"/>
        <v>-1.5563101601345233E-2</v>
      </c>
      <c r="G89" s="7">
        <f>SUM($F$4:F89)</f>
        <v>0.10501205774087365</v>
      </c>
      <c r="L89" s="11">
        <v>86</v>
      </c>
      <c r="M89" s="7">
        <f t="shared" ca="1" si="10"/>
        <v>-2.7111361639034482E-2</v>
      </c>
      <c r="N89" s="7">
        <f ca="1">SUM($M$4:M89)</f>
        <v>0.11470191462668423</v>
      </c>
    </row>
    <row r="90" spans="1:14" x14ac:dyDescent="0.3">
      <c r="A90" s="3">
        <v>43592</v>
      </c>
      <c r="B90" s="4">
        <v>28.690000999999999</v>
      </c>
      <c r="D90" s="11">
        <v>87</v>
      </c>
      <c r="E90" s="3">
        <v>43593</v>
      </c>
      <c r="F90" s="7">
        <f t="shared" si="9"/>
        <v>7.9847324419410007E-3</v>
      </c>
      <c r="G90" s="7">
        <f>SUM($F$4:F90)</f>
        <v>0.11299679018281465</v>
      </c>
      <c r="L90" s="11">
        <v>87</v>
      </c>
      <c r="M90" s="7">
        <f t="shared" ca="1" si="10"/>
        <v>-1.2512936141092838E-2</v>
      </c>
      <c r="N90" s="7">
        <f ca="1">SUM($M$4:M90)</f>
        <v>0.1021889784855914</v>
      </c>
    </row>
    <row r="91" spans="1:14" x14ac:dyDescent="0.3">
      <c r="A91" s="3">
        <v>43593</v>
      </c>
      <c r="B91" s="4">
        <v>28.92</v>
      </c>
      <c r="D91" s="11">
        <v>88</v>
      </c>
      <c r="E91" s="3">
        <v>43594</v>
      </c>
      <c r="F91" s="7">
        <f t="shared" si="9"/>
        <v>-1.6385201568839838E-2</v>
      </c>
      <c r="G91" s="7">
        <f>SUM($F$4:F91)</f>
        <v>9.6611588613974814E-2</v>
      </c>
      <c r="L91" s="11">
        <v>88</v>
      </c>
      <c r="M91" s="7">
        <f t="shared" ca="1" si="10"/>
        <v>0</v>
      </c>
      <c r="N91" s="7">
        <f ca="1">SUM($M$4:M91)</f>
        <v>0.1021889784855914</v>
      </c>
    </row>
    <row r="92" spans="1:14" x14ac:dyDescent="0.3">
      <c r="A92" s="3">
        <v>43594</v>
      </c>
      <c r="B92" s="4">
        <v>28.450001</v>
      </c>
      <c r="D92" s="11">
        <v>89</v>
      </c>
      <c r="E92" s="3">
        <v>43595</v>
      </c>
      <c r="F92" s="7">
        <f t="shared" si="9"/>
        <v>3.513618029470512E-4</v>
      </c>
      <c r="G92" s="7">
        <f>SUM($F$4:F92)</f>
        <v>9.6962950416921864E-2</v>
      </c>
      <c r="L92" s="11">
        <v>89</v>
      </c>
      <c r="M92" s="7">
        <f t="shared" ca="1" si="10"/>
        <v>4.1709787136976128E-3</v>
      </c>
      <c r="N92" s="7">
        <f ca="1">SUM($M$4:M92)</f>
        <v>0.10635995719928901</v>
      </c>
    </row>
    <row r="93" spans="1:14" x14ac:dyDescent="0.3">
      <c r="A93" s="3">
        <v>43595</v>
      </c>
      <c r="B93" s="4">
        <v>28.459999</v>
      </c>
      <c r="D93" s="11">
        <v>90</v>
      </c>
      <c r="E93" s="3">
        <v>43598</v>
      </c>
      <c r="F93" s="7">
        <f t="shared" si="9"/>
        <v>-4.0148726228867719E-2</v>
      </c>
      <c r="G93" s="7">
        <f>SUM($F$4:F93)</f>
        <v>5.6814224188054145E-2</v>
      </c>
      <c r="L93" s="11">
        <v>90</v>
      </c>
      <c r="M93" s="7">
        <f t="shared" ca="1" si="10"/>
        <v>2.7111361639034482E-2</v>
      </c>
      <c r="N93" s="7">
        <f ca="1">SUM($M$4:M93)</f>
        <v>0.1334713188383235</v>
      </c>
    </row>
    <row r="94" spans="1:14" x14ac:dyDescent="0.3">
      <c r="A94" s="3">
        <v>43598</v>
      </c>
      <c r="B94" s="4">
        <v>27.34</v>
      </c>
      <c r="D94" s="11">
        <v>91</v>
      </c>
      <c r="E94" s="3">
        <v>43599</v>
      </c>
      <c r="F94" s="7">
        <f t="shared" si="9"/>
        <v>1.4524583590881962E-2</v>
      </c>
      <c r="G94" s="7">
        <f>SUM($F$4:F94)</f>
        <v>7.1338807778936114E-2</v>
      </c>
      <c r="L94" s="11">
        <v>91</v>
      </c>
      <c r="M94" s="7">
        <f t="shared" ca="1" si="10"/>
        <v>3.5453319066429706E-2</v>
      </c>
      <c r="N94" s="7">
        <f ca="1">SUM($M$4:M94)</f>
        <v>0.16892463790475321</v>
      </c>
    </row>
    <row r="95" spans="1:14" x14ac:dyDescent="0.3">
      <c r="A95" s="3">
        <v>43599</v>
      </c>
      <c r="B95" s="4">
        <v>27.74</v>
      </c>
      <c r="D95" s="11">
        <v>92</v>
      </c>
      <c r="E95" s="3">
        <v>43600</v>
      </c>
      <c r="F95" s="7">
        <f t="shared" si="9"/>
        <v>3.6042530575806968E-4</v>
      </c>
      <c r="G95" s="7">
        <f>SUM($F$4:F95)</f>
        <v>7.1699233084694183E-2</v>
      </c>
      <c r="L95" s="11">
        <v>92</v>
      </c>
      <c r="M95" s="7">
        <f t="shared" ca="1" si="10"/>
        <v>-4.1709787136976128E-3</v>
      </c>
      <c r="N95" s="7">
        <f ca="1">SUM($M$4:M95)</f>
        <v>0.16475365919105558</v>
      </c>
    </row>
    <row r="96" spans="1:14" x14ac:dyDescent="0.3">
      <c r="A96" s="3">
        <v>43600</v>
      </c>
      <c r="B96" s="4">
        <v>27.75</v>
      </c>
      <c r="D96" s="11">
        <v>93</v>
      </c>
      <c r="E96" s="3">
        <v>43601</v>
      </c>
      <c r="F96" s="7">
        <f t="shared" si="9"/>
        <v>4.6737098318732906E-3</v>
      </c>
      <c r="G96" s="7">
        <f>SUM($F$4:F96)</f>
        <v>7.6372942916567474E-2</v>
      </c>
      <c r="L96" s="11">
        <v>93</v>
      </c>
      <c r="M96" s="7">
        <f t="shared" ca="1" si="10"/>
        <v>-1.6683914854790451E-2</v>
      </c>
      <c r="N96" s="7">
        <f ca="1">SUM($M$4:M96)</f>
        <v>0.14806974433626513</v>
      </c>
    </row>
    <row r="97" spans="1:14" x14ac:dyDescent="0.3">
      <c r="A97" s="3">
        <v>43601</v>
      </c>
      <c r="B97" s="4">
        <v>27.879999000000002</v>
      </c>
      <c r="D97" s="11">
        <v>94</v>
      </c>
      <c r="E97" s="3">
        <v>43602</v>
      </c>
      <c r="F97" s="7">
        <f t="shared" si="9"/>
        <v>-3.586726495851168E-4</v>
      </c>
      <c r="G97" s="7">
        <f>SUM($F$4:F97)</f>
        <v>7.6014270266982362E-2</v>
      </c>
      <c r="L97" s="11">
        <v>94</v>
      </c>
      <c r="M97" s="7">
        <f t="shared" ca="1" si="10"/>
        <v>-1.2512936141092838E-2</v>
      </c>
      <c r="N97" s="7">
        <f ca="1">SUM($M$4:M97)</f>
        <v>0.1355568081951723</v>
      </c>
    </row>
    <row r="98" spans="1:14" x14ac:dyDescent="0.3">
      <c r="A98" s="3">
        <v>43602</v>
      </c>
      <c r="B98" s="4">
        <v>27.870000999999998</v>
      </c>
      <c r="D98" s="11">
        <v>95</v>
      </c>
      <c r="E98" s="3">
        <v>43605</v>
      </c>
      <c r="F98" s="7">
        <f t="shared" si="9"/>
        <v>-2.0297978505742515E-2</v>
      </c>
      <c r="G98" s="7">
        <f>SUM($F$4:F98)</f>
        <v>5.571629176123985E-2</v>
      </c>
      <c r="L98" s="11">
        <v>95</v>
      </c>
      <c r="M98" s="7">
        <f t="shared" ca="1" si="10"/>
        <v>0</v>
      </c>
      <c r="N98" s="7">
        <f ca="1">SUM($M$4:M98)</f>
        <v>0.1355568081951723</v>
      </c>
    </row>
    <row r="99" spans="1:14" x14ac:dyDescent="0.3">
      <c r="A99" s="3">
        <v>43605</v>
      </c>
      <c r="B99" s="4">
        <v>27.309999000000001</v>
      </c>
      <c r="D99" s="11">
        <v>96</v>
      </c>
      <c r="E99" s="3">
        <v>43606</v>
      </c>
      <c r="F99" s="7">
        <f t="shared" si="9"/>
        <v>2.5308690403028217E-2</v>
      </c>
      <c r="G99" s="7">
        <f>SUM($F$4:F99)</f>
        <v>8.1024982164268067E-2</v>
      </c>
      <c r="L99" s="11">
        <v>96</v>
      </c>
      <c r="M99" s="7">
        <f t="shared" ca="1" si="10"/>
        <v>1.4598425497941644E-2</v>
      </c>
      <c r="N99" s="7">
        <f ca="1">SUM($M$4:M99)</f>
        <v>0.15015523369311395</v>
      </c>
    </row>
    <row r="100" spans="1:14" x14ac:dyDescent="0.3">
      <c r="A100" s="3">
        <v>43606</v>
      </c>
      <c r="B100" s="4">
        <v>28.01</v>
      </c>
      <c r="D100" s="11">
        <v>97</v>
      </c>
      <c r="E100" s="3">
        <v>43607</v>
      </c>
      <c r="F100" s="7">
        <f t="shared" si="9"/>
        <v>-2.1288915137848804E-2</v>
      </c>
      <c r="G100" s="7">
        <f>SUM($F$4:F100)</f>
        <v>5.9736067026419259E-2</v>
      </c>
      <c r="L100" s="11">
        <v>97</v>
      </c>
      <c r="M100" s="7">
        <f t="shared" ca="1" si="10"/>
        <v>-1.4598425497941644E-2</v>
      </c>
      <c r="N100" s="7">
        <f ca="1">SUM($M$4:M100)</f>
        <v>0.1355568081951723</v>
      </c>
    </row>
    <row r="101" spans="1:14" x14ac:dyDescent="0.3">
      <c r="A101" s="3">
        <v>43607</v>
      </c>
      <c r="B101" s="4">
        <v>27.42</v>
      </c>
      <c r="D101" s="11">
        <v>98</v>
      </c>
      <c r="E101" s="3">
        <v>43608</v>
      </c>
      <c r="F101" s="7">
        <f t="shared" si="9"/>
        <v>-6.5861928528568384E-3</v>
      </c>
      <c r="G101" s="7">
        <f>SUM($F$4:F101)</f>
        <v>5.3149874173562421E-2</v>
      </c>
      <c r="L101" s="11">
        <v>98</v>
      </c>
      <c r="M101" s="7">
        <f t="shared" ca="1" si="10"/>
        <v>2.2940382925336872E-2</v>
      </c>
      <c r="N101" s="7">
        <f ca="1">SUM($M$4:M101)</f>
        <v>0.15849719112050917</v>
      </c>
    </row>
    <row r="102" spans="1:14" x14ac:dyDescent="0.3">
      <c r="A102" s="3">
        <v>43608</v>
      </c>
      <c r="B102" s="4">
        <v>27.24</v>
      </c>
      <c r="D102" s="11">
        <v>99</v>
      </c>
      <c r="E102" s="3">
        <v>43609</v>
      </c>
      <c r="F102" s="7">
        <f t="shared" si="9"/>
        <v>-3.6778637205729637E-3</v>
      </c>
      <c r="G102" s="7">
        <f>SUM($F$4:F102)</f>
        <v>4.9472010452989455E-2</v>
      </c>
      <c r="L102" s="11">
        <v>99</v>
      </c>
      <c r="M102" s="7">
        <f t="shared" ca="1" si="10"/>
        <v>-2.0854893568488065E-2</v>
      </c>
      <c r="N102" s="7">
        <f ca="1">SUM($M$4:M102)</f>
        <v>0.13764229755202109</v>
      </c>
    </row>
    <row r="103" spans="1:14" x14ac:dyDescent="0.3">
      <c r="A103" s="3">
        <v>43609</v>
      </c>
      <c r="B103" s="4">
        <v>27.139999</v>
      </c>
      <c r="D103" s="11">
        <v>100</v>
      </c>
      <c r="E103" s="3">
        <v>43613</v>
      </c>
      <c r="F103" s="7">
        <f t="shared" si="9"/>
        <v>2.8334660333433275E-2</v>
      </c>
      <c r="G103" s="7">
        <f>SUM($F$4:F103)</f>
        <v>7.7806670786422727E-2</v>
      </c>
      <c r="L103" s="11">
        <v>100</v>
      </c>
      <c r="M103" s="7">
        <f t="shared" ca="1" si="10"/>
        <v>-6.2564680705464188E-3</v>
      </c>
      <c r="N103" s="7">
        <f ca="1">SUM($M$4:M103)</f>
        <v>0.13138582948147468</v>
      </c>
    </row>
    <row r="104" spans="1:14" x14ac:dyDescent="0.3">
      <c r="A104" s="3">
        <v>43613</v>
      </c>
      <c r="B104" s="4">
        <v>27.92</v>
      </c>
      <c r="D104" s="11">
        <v>101</v>
      </c>
      <c r="E104" s="3">
        <v>43614</v>
      </c>
      <c r="F104" s="7">
        <f t="shared" si="9"/>
        <v>-1.6248814190338974E-2</v>
      </c>
      <c r="G104" s="7">
        <f>SUM($F$4:F104)</f>
        <v>6.1557856596083753E-2</v>
      </c>
      <c r="L104" s="11">
        <v>101</v>
      </c>
      <c r="M104" s="7">
        <f t="shared" ca="1" si="10"/>
        <v>7.5077616846557033E-2</v>
      </c>
      <c r="N104" s="7">
        <f ca="1">SUM($M$4:M104)</f>
        <v>0.20646344632803171</v>
      </c>
    </row>
    <row r="105" spans="1:14" x14ac:dyDescent="0.3">
      <c r="A105" s="3">
        <v>43614</v>
      </c>
      <c r="B105" s="4">
        <v>27.469999000000001</v>
      </c>
      <c r="D105" s="11">
        <v>102</v>
      </c>
      <c r="E105" s="3">
        <v>43615</v>
      </c>
      <c r="F105" s="7">
        <f t="shared" si="9"/>
        <v>-1.2454373892558074E-2</v>
      </c>
      <c r="G105" s="7">
        <f>SUM($F$4:F105)</f>
        <v>4.9103482703525679E-2</v>
      </c>
      <c r="L105" s="11">
        <v>102</v>
      </c>
      <c r="M105" s="7">
        <f t="shared" ca="1" si="10"/>
        <v>-2.5025872282185675E-2</v>
      </c>
      <c r="N105" s="7">
        <f ca="1">SUM($M$4:M105)</f>
        <v>0.18143757404584604</v>
      </c>
    </row>
    <row r="106" spans="1:14" x14ac:dyDescent="0.3">
      <c r="A106" s="3">
        <v>43615</v>
      </c>
      <c r="B106" s="4">
        <v>27.129999000000002</v>
      </c>
      <c r="D106" s="11">
        <v>103</v>
      </c>
      <c r="E106" s="3">
        <v>43616</v>
      </c>
      <c r="F106" s="7">
        <f t="shared" si="9"/>
        <v>4.7803364571119937E-3</v>
      </c>
      <c r="G106" s="7">
        <f>SUM($F$4:F106)</f>
        <v>5.3883819160637669E-2</v>
      </c>
      <c r="L106" s="11">
        <v>103</v>
      </c>
      <c r="M106" s="7">
        <f t="shared" ca="1" si="10"/>
        <v>4.1709787136976128E-3</v>
      </c>
      <c r="N106" s="7">
        <f ca="1">SUM($M$4:M106)</f>
        <v>0.18560855275954366</v>
      </c>
    </row>
    <row r="107" spans="1:14" x14ac:dyDescent="0.3">
      <c r="A107" s="3">
        <v>43616</v>
      </c>
      <c r="B107" s="4">
        <v>27.26</v>
      </c>
      <c r="D107" s="11">
        <v>104</v>
      </c>
      <c r="E107" s="3">
        <v>43619</v>
      </c>
      <c r="F107" s="7">
        <f t="shared" si="9"/>
        <v>2.198608434202636E-3</v>
      </c>
      <c r="G107" s="7">
        <f>SUM($F$4:F107)</f>
        <v>5.6082427594840306E-2</v>
      </c>
      <c r="L107" s="11">
        <v>104</v>
      </c>
      <c r="M107" s="7">
        <f t="shared" ca="1" si="10"/>
        <v>-2.0854893568488064E-3</v>
      </c>
      <c r="N107" s="7">
        <f ca="1">SUM($M$4:M107)</f>
        <v>0.18352306340269486</v>
      </c>
    </row>
    <row r="108" spans="1:14" x14ac:dyDescent="0.3">
      <c r="A108" s="3">
        <v>43619</v>
      </c>
      <c r="B108" s="4">
        <v>27.32</v>
      </c>
      <c r="D108" s="11">
        <v>105</v>
      </c>
      <c r="E108" s="3">
        <v>43620</v>
      </c>
      <c r="F108" s="7">
        <f t="shared" si="9"/>
        <v>4.6486774366315903E-2</v>
      </c>
      <c r="G108" s="7">
        <f>SUM($F$4:F108)</f>
        <v>0.10256920196115621</v>
      </c>
      <c r="L108" s="11">
        <v>105</v>
      </c>
      <c r="M108" s="7">
        <f t="shared" ca="1" si="10"/>
        <v>-8.3419574273952257E-3</v>
      </c>
      <c r="N108" s="7">
        <f ca="1">SUM($M$4:M108)</f>
        <v>0.17518110597529965</v>
      </c>
    </row>
    <row r="109" spans="1:14" x14ac:dyDescent="0.3">
      <c r="A109" s="3">
        <v>43620</v>
      </c>
      <c r="B109" s="4">
        <v>28.620000999999998</v>
      </c>
      <c r="D109" s="11">
        <v>106</v>
      </c>
      <c r="E109" s="3">
        <v>43621</v>
      </c>
      <c r="F109" s="7">
        <f t="shared" si="9"/>
        <v>-2.0117212750824412E-2</v>
      </c>
      <c r="G109" s="7">
        <f>SUM($F$4:F109)</f>
        <v>8.2451989210331797E-2</v>
      </c>
      <c r="L109" s="11">
        <v>106</v>
      </c>
      <c r="M109" s="7">
        <f t="shared" ca="1" si="10"/>
        <v>-2.9196850995883289E-2</v>
      </c>
      <c r="N109" s="7">
        <f ca="1">SUM($M$4:M109)</f>
        <v>0.14598425497941636</v>
      </c>
    </row>
    <row r="110" spans="1:14" x14ac:dyDescent="0.3">
      <c r="A110" s="3">
        <v>43621</v>
      </c>
      <c r="B110" s="4">
        <v>28.049999</v>
      </c>
      <c r="D110" s="11">
        <v>107</v>
      </c>
      <c r="E110" s="3">
        <v>43622</v>
      </c>
      <c r="F110" s="7">
        <f t="shared" si="9"/>
        <v>1.1696040177733435E-2</v>
      </c>
      <c r="G110" s="7">
        <f>SUM($F$4:F110)</f>
        <v>9.4148029388065227E-2</v>
      </c>
      <c r="L110" s="11">
        <v>107</v>
      </c>
      <c r="M110" s="7">
        <f t="shared" ca="1" si="10"/>
        <v>-2.5025872282185675E-2</v>
      </c>
      <c r="N110" s="7">
        <f ca="1">SUM($M$4:M110)</f>
        <v>0.12095838269723069</v>
      </c>
    </row>
    <row r="111" spans="1:14" x14ac:dyDescent="0.3">
      <c r="A111" s="3">
        <v>43622</v>
      </c>
      <c r="B111" s="4">
        <v>28.379999000000002</v>
      </c>
      <c r="D111" s="11">
        <v>108</v>
      </c>
      <c r="E111" s="3">
        <v>43623</v>
      </c>
      <c r="F111" s="7">
        <f t="shared" si="9"/>
        <v>1.4084861731403645E-3</v>
      </c>
      <c r="G111" s="7">
        <f>SUM($F$4:F111)</f>
        <v>9.5556515561205591E-2</v>
      </c>
      <c r="L111" s="11">
        <v>108</v>
      </c>
      <c r="M111" s="7">
        <f t="shared" ca="1" si="10"/>
        <v>-3.1282340352732099E-2</v>
      </c>
      <c r="N111" s="7">
        <f ca="1">SUM($M$4:M111)</f>
        <v>8.9676042344498594E-2</v>
      </c>
    </row>
    <row r="112" spans="1:14" x14ac:dyDescent="0.3">
      <c r="A112" s="3">
        <v>43623</v>
      </c>
      <c r="B112" s="4">
        <v>28.42</v>
      </c>
      <c r="D112" s="11">
        <v>109</v>
      </c>
      <c r="E112" s="3">
        <v>43626</v>
      </c>
      <c r="F112" s="7">
        <f t="shared" si="9"/>
        <v>-5.9996650765046936E-3</v>
      </c>
      <c r="G112" s="7">
        <f>SUM($F$4:F112)</f>
        <v>8.9556850484700898E-2</v>
      </c>
      <c r="L112" s="11">
        <v>109</v>
      </c>
      <c r="M112" s="7">
        <f t="shared" ca="1" si="10"/>
        <v>2.0854893568488065E-2</v>
      </c>
      <c r="N112" s="7">
        <f ca="1">SUM($M$4:M112)</f>
        <v>0.11053093591298666</v>
      </c>
    </row>
    <row r="113" spans="1:14" x14ac:dyDescent="0.3">
      <c r="A113" s="3">
        <v>43626</v>
      </c>
      <c r="B113" s="4">
        <v>28.25</v>
      </c>
      <c r="D113" s="11">
        <v>110</v>
      </c>
      <c r="E113" s="3">
        <v>43627</v>
      </c>
      <c r="F113" s="7">
        <f t="shared" si="9"/>
        <v>2.5167319670341047E-2</v>
      </c>
      <c r="G113" s="7">
        <f>SUM($F$4:F113)</f>
        <v>0.11472417015504194</v>
      </c>
      <c r="L113" s="11">
        <v>110</v>
      </c>
      <c r="M113" s="7">
        <f t="shared" ca="1" si="10"/>
        <v>6.2564680705464188E-3</v>
      </c>
      <c r="N113" s="7">
        <f ca="1">SUM($M$4:M113)</f>
        <v>0.11678740398353307</v>
      </c>
    </row>
    <row r="114" spans="1:14" x14ac:dyDescent="0.3">
      <c r="A114" s="3">
        <v>43627</v>
      </c>
      <c r="B114" s="4">
        <v>28.969999000000001</v>
      </c>
      <c r="D114" s="11">
        <v>111</v>
      </c>
      <c r="E114" s="3">
        <v>43628</v>
      </c>
      <c r="F114" s="7">
        <f t="shared" si="9"/>
        <v>8.9348018603633839E-3</v>
      </c>
      <c r="G114" s="7">
        <f>SUM($F$4:F114)</f>
        <v>0.12365897201540532</v>
      </c>
      <c r="L114" s="11">
        <v>111</v>
      </c>
      <c r="M114" s="7">
        <f t="shared" ca="1" si="10"/>
        <v>0</v>
      </c>
      <c r="N114" s="7">
        <f ca="1">SUM($M$4:M114)</f>
        <v>0.11678740398353307</v>
      </c>
    </row>
    <row r="115" spans="1:14" x14ac:dyDescent="0.3">
      <c r="A115" s="3">
        <v>43628</v>
      </c>
      <c r="B115" s="4">
        <v>29.23</v>
      </c>
      <c r="D115" s="11">
        <v>112</v>
      </c>
      <c r="E115" s="3">
        <v>43629</v>
      </c>
      <c r="F115" s="7">
        <f t="shared" si="9"/>
        <v>2.2328363716685951E-2</v>
      </c>
      <c r="G115" s="7">
        <f>SUM($F$4:F115)</f>
        <v>0.14598733573209127</v>
      </c>
      <c r="L115" s="11">
        <v>112</v>
      </c>
      <c r="M115" s="7">
        <f t="shared" ca="1" si="10"/>
        <v>6.2564680705464188E-3</v>
      </c>
      <c r="N115" s="7">
        <f ca="1">SUM($M$4:M115)</f>
        <v>0.12304387205407949</v>
      </c>
    </row>
    <row r="116" spans="1:14" x14ac:dyDescent="0.3">
      <c r="A116" s="3">
        <v>43629</v>
      </c>
      <c r="B116" s="4">
        <v>29.889999</v>
      </c>
      <c r="D116" s="11">
        <v>113</v>
      </c>
      <c r="E116" s="3">
        <v>43630</v>
      </c>
      <c r="F116" s="7">
        <f t="shared" si="9"/>
        <v>-2.953869538379883E-2</v>
      </c>
      <c r="G116" s="7">
        <f>SUM($F$4:F116)</f>
        <v>0.11644864034829244</v>
      </c>
      <c r="L116" s="11">
        <v>113</v>
      </c>
      <c r="M116" s="7">
        <f t="shared" ca="1" si="10"/>
        <v>0</v>
      </c>
      <c r="N116" s="7">
        <f ca="1">SUM($M$4:M116)</f>
        <v>0.12304387205407949</v>
      </c>
    </row>
    <row r="117" spans="1:14" x14ac:dyDescent="0.3">
      <c r="A117" s="3">
        <v>43630</v>
      </c>
      <c r="B117" s="4">
        <v>29.02</v>
      </c>
      <c r="D117" s="11">
        <v>114</v>
      </c>
      <c r="E117" s="3">
        <v>43633</v>
      </c>
      <c r="F117" s="7">
        <f t="shared" si="9"/>
        <v>1.7082752276229976E-2</v>
      </c>
      <c r="G117" s="7">
        <f>SUM($F$4:F117)</f>
        <v>0.1335313926245224</v>
      </c>
      <c r="L117" s="11">
        <v>114</v>
      </c>
      <c r="M117" s="7">
        <f t="shared" ca="1" si="10"/>
        <v>1.4598425497941644E-2</v>
      </c>
      <c r="N117" s="7">
        <f ca="1">SUM($M$4:M117)</f>
        <v>0.13764229755202112</v>
      </c>
    </row>
    <row r="118" spans="1:14" x14ac:dyDescent="0.3">
      <c r="A118" s="3">
        <v>43633</v>
      </c>
      <c r="B118" s="4">
        <v>29.52</v>
      </c>
      <c r="D118" s="11">
        <v>115</v>
      </c>
      <c r="E118" s="3">
        <v>43634</v>
      </c>
      <c r="F118" s="7">
        <f t="shared" si="9"/>
        <v>4.3941257114627772E-3</v>
      </c>
      <c r="G118" s="7">
        <f>SUM($F$4:F118)</f>
        <v>0.13792551833598518</v>
      </c>
      <c r="L118" s="11">
        <v>115</v>
      </c>
      <c r="M118" s="7">
        <f t="shared" ca="1" si="10"/>
        <v>-7.2992127489708222E-2</v>
      </c>
      <c r="N118" s="7">
        <f ca="1">SUM($M$4:M118)</f>
        <v>6.4650170062312898E-2</v>
      </c>
    </row>
    <row r="119" spans="1:14" x14ac:dyDescent="0.3">
      <c r="A119" s="3">
        <v>43634</v>
      </c>
      <c r="B119" s="4">
        <v>29.65</v>
      </c>
      <c r="D119" s="11">
        <v>116</v>
      </c>
      <c r="E119" s="3">
        <v>43635</v>
      </c>
      <c r="F119" s="7">
        <f t="shared" si="9"/>
        <v>2.8264558169631422E-2</v>
      </c>
      <c r="G119" s="7">
        <f>SUM($F$4:F119)</f>
        <v>0.1661900765056166</v>
      </c>
      <c r="L119" s="11">
        <v>116</v>
      </c>
      <c r="M119" s="7">
        <f t="shared" ca="1" si="10"/>
        <v>3.962429778012732E-2</v>
      </c>
      <c r="N119" s="7">
        <f ca="1">SUM($M$4:M119)</f>
        <v>0.10427446784244021</v>
      </c>
    </row>
    <row r="120" spans="1:14" x14ac:dyDescent="0.3">
      <c r="A120" s="3">
        <v>43635</v>
      </c>
      <c r="B120" s="4">
        <v>30.5</v>
      </c>
      <c r="D120" s="11">
        <v>117</v>
      </c>
      <c r="E120" s="3">
        <v>43636</v>
      </c>
      <c r="F120" s="7">
        <f t="shared" si="9"/>
        <v>1.3999903083612267E-2</v>
      </c>
      <c r="G120" s="7">
        <f>SUM($F$4:F120)</f>
        <v>0.18018997958922886</v>
      </c>
      <c r="L120" s="11">
        <v>117</v>
      </c>
      <c r="M120" s="7">
        <f t="shared" ca="1" si="10"/>
        <v>2.7111361639034482E-2</v>
      </c>
      <c r="N120" s="7">
        <f ca="1">SUM($M$4:M120)</f>
        <v>0.1313858294814747</v>
      </c>
    </row>
    <row r="121" spans="1:14" x14ac:dyDescent="0.3">
      <c r="A121" s="3">
        <v>43636</v>
      </c>
      <c r="B121" s="4">
        <v>30.93</v>
      </c>
      <c r="D121" s="11">
        <v>118</v>
      </c>
      <c r="E121" s="3">
        <v>43637</v>
      </c>
      <c r="F121" s="7">
        <f t="shared" si="9"/>
        <v>-7.7896854814304617E-3</v>
      </c>
      <c r="G121" s="7">
        <f>SUM($F$4:F121)</f>
        <v>0.17240029410779839</v>
      </c>
      <c r="L121" s="11">
        <v>118</v>
      </c>
      <c r="M121" s="7">
        <f t="shared" ca="1" si="10"/>
        <v>3.962429778012732E-2</v>
      </c>
      <c r="N121" s="7">
        <f ca="1">SUM($M$4:M121)</f>
        <v>0.17101012726160203</v>
      </c>
    </row>
    <row r="122" spans="1:14" x14ac:dyDescent="0.3">
      <c r="A122" s="3">
        <v>43637</v>
      </c>
      <c r="B122" s="4">
        <v>30.690000999999999</v>
      </c>
      <c r="D122" s="11">
        <v>119</v>
      </c>
      <c r="E122" s="3">
        <v>43640</v>
      </c>
      <c r="F122" s="7">
        <f t="shared" si="9"/>
        <v>1.0372831896809785E-2</v>
      </c>
      <c r="G122" s="7">
        <f>SUM($F$4:F122)</f>
        <v>0.18277312600460818</v>
      </c>
      <c r="L122" s="11">
        <v>119</v>
      </c>
      <c r="M122" s="7">
        <f t="shared" ca="1" si="10"/>
        <v>-1.0427446784244032E-2</v>
      </c>
      <c r="N122" s="7">
        <f ca="1">SUM($M$4:M122)</f>
        <v>0.16058268047735799</v>
      </c>
    </row>
    <row r="123" spans="1:14" x14ac:dyDescent="0.3">
      <c r="A123" s="3">
        <v>43640</v>
      </c>
      <c r="B123" s="4">
        <v>31.01</v>
      </c>
      <c r="D123" s="11">
        <v>120</v>
      </c>
      <c r="E123" s="3">
        <v>43641</v>
      </c>
      <c r="F123" s="7">
        <f t="shared" si="9"/>
        <v>-3.5448411247750035E-2</v>
      </c>
      <c r="G123" s="7">
        <f>SUM($F$4:F123)</f>
        <v>0.14732471475685815</v>
      </c>
      <c r="L123" s="11">
        <v>120</v>
      </c>
      <c r="M123" s="7">
        <f t="shared" ca="1" si="10"/>
        <v>5.6308212634917774E-2</v>
      </c>
      <c r="N123" s="7">
        <f ca="1">SUM($M$4:M123)</f>
        <v>0.21689089311227577</v>
      </c>
    </row>
    <row r="124" spans="1:14" x14ac:dyDescent="0.3">
      <c r="A124" s="3">
        <v>43641</v>
      </c>
      <c r="B124" s="4">
        <v>29.93</v>
      </c>
      <c r="D124" s="11">
        <v>121</v>
      </c>
      <c r="E124" s="3">
        <v>43642</v>
      </c>
      <c r="F124" s="7">
        <f t="shared" si="9"/>
        <v>-1.3793322132335873E-2</v>
      </c>
      <c r="G124" s="7">
        <f>SUM($F$4:F124)</f>
        <v>0.13353139262452229</v>
      </c>
      <c r="L124" s="11">
        <v>121</v>
      </c>
      <c r="M124" s="7">
        <f t="shared" ca="1" si="10"/>
        <v>3.5453319066429706E-2</v>
      </c>
      <c r="N124" s="7">
        <f ca="1">SUM($M$4:M124)</f>
        <v>0.25234421217870551</v>
      </c>
    </row>
    <row r="125" spans="1:14" x14ac:dyDescent="0.3">
      <c r="A125" s="3">
        <v>43642</v>
      </c>
      <c r="B125" s="4">
        <v>29.52</v>
      </c>
      <c r="D125" s="11">
        <v>122</v>
      </c>
      <c r="E125" s="3">
        <v>43643</v>
      </c>
      <c r="F125" s="7">
        <f t="shared" si="9"/>
        <v>7.4249412997372255E-3</v>
      </c>
      <c r="G125" s="7">
        <f>SUM($F$4:F125)</f>
        <v>0.14095633392425952</v>
      </c>
      <c r="L125" s="11">
        <v>122</v>
      </c>
      <c r="M125" s="7">
        <f t="shared" ca="1" si="10"/>
        <v>-1.4598425497941644E-2</v>
      </c>
      <c r="N125" s="7">
        <f ca="1">SUM($M$4:M125)</f>
        <v>0.23774578668076385</v>
      </c>
    </row>
    <row r="126" spans="1:14" x14ac:dyDescent="0.3">
      <c r="A126" s="3">
        <v>43643</v>
      </c>
      <c r="B126" s="4">
        <v>29.74</v>
      </c>
      <c r="D126" s="11">
        <v>123</v>
      </c>
      <c r="E126" s="3">
        <v>43644</v>
      </c>
      <c r="F126" s="7">
        <f t="shared" si="9"/>
        <v>3.1769746134431849E-2</v>
      </c>
      <c r="G126" s="7">
        <f>SUM($F$4:F126)</f>
        <v>0.17272608005869136</v>
      </c>
      <c r="L126" s="11">
        <v>123</v>
      </c>
      <c r="M126" s="7">
        <f t="shared" ca="1" si="10"/>
        <v>2.0854893568488065E-2</v>
      </c>
      <c r="N126" s="7">
        <f ca="1">SUM($M$4:M126)</f>
        <v>0.25860068024925192</v>
      </c>
    </row>
    <row r="127" spans="1:14" x14ac:dyDescent="0.3">
      <c r="A127" s="3">
        <v>43644</v>
      </c>
      <c r="B127" s="4">
        <v>30.700001</v>
      </c>
      <c r="D127" s="11">
        <v>124</v>
      </c>
      <c r="E127" s="3">
        <v>43647</v>
      </c>
      <c r="F127" s="7">
        <f t="shared" si="9"/>
        <v>-6.5171066738547621E-4</v>
      </c>
      <c r="G127" s="7">
        <f>SUM($F$4:F127)</f>
        <v>0.17207436939130588</v>
      </c>
      <c r="L127" s="11">
        <v>124</v>
      </c>
      <c r="M127" s="7">
        <f t="shared" ca="1" si="10"/>
        <v>-7.2992127489708222E-2</v>
      </c>
      <c r="N127" s="7">
        <f ca="1">SUM($M$4:M127)</f>
        <v>0.18560855275954369</v>
      </c>
    </row>
    <row r="128" spans="1:14" x14ac:dyDescent="0.3">
      <c r="A128" s="3">
        <v>43647</v>
      </c>
      <c r="B128" s="4">
        <v>30.68</v>
      </c>
      <c r="D128" s="11">
        <v>125</v>
      </c>
      <c r="E128" s="3">
        <v>43648</v>
      </c>
      <c r="F128" s="7">
        <f t="shared" si="9"/>
        <v>6.4977162740998866E-3</v>
      </c>
      <c r="G128" s="7">
        <f>SUM($F$4:F128)</f>
        <v>0.17857208566540578</v>
      </c>
      <c r="L128" s="11">
        <v>125</v>
      </c>
      <c r="M128" s="7">
        <f t="shared" ca="1" si="10"/>
        <v>2.0854893568488064E-3</v>
      </c>
      <c r="N128" s="7">
        <f ca="1">SUM($M$4:M128)</f>
        <v>0.18769404211639248</v>
      </c>
    </row>
    <row r="129" spans="1:14" x14ac:dyDescent="0.3">
      <c r="A129" s="3">
        <v>43648</v>
      </c>
      <c r="B129" s="4">
        <v>30.879999000000002</v>
      </c>
      <c r="D129" s="11">
        <v>126</v>
      </c>
      <c r="E129" s="3">
        <v>43649</v>
      </c>
      <c r="F129" s="7">
        <f t="shared" si="9"/>
        <v>6.4749113054439564E-4</v>
      </c>
      <c r="G129" s="7">
        <f>SUM($F$4:F129)</f>
        <v>0.17921957679595019</v>
      </c>
      <c r="L129" s="11">
        <v>126</v>
      </c>
      <c r="M129" s="7">
        <f t="shared" ca="1" si="10"/>
        <v>4.3795276493824933E-2</v>
      </c>
      <c r="N129" s="7">
        <f ca="1">SUM($M$4:M129)</f>
        <v>0.23148931861021743</v>
      </c>
    </row>
    <row r="130" spans="1:14" x14ac:dyDescent="0.3">
      <c r="A130" s="3">
        <v>43649</v>
      </c>
      <c r="B130" s="4">
        <v>30.9</v>
      </c>
      <c r="D130" s="11">
        <v>127</v>
      </c>
      <c r="E130" s="3">
        <v>43651</v>
      </c>
      <c r="F130" s="7">
        <f t="shared" si="9"/>
        <v>1.1583141089630855E-2</v>
      </c>
      <c r="G130" s="7">
        <f>SUM($F$4:F130)</f>
        <v>0.19080271788558104</v>
      </c>
      <c r="L130" s="11">
        <v>127</v>
      </c>
      <c r="M130" s="7">
        <f t="shared" ca="1" si="10"/>
        <v>8.3419574273952257E-3</v>
      </c>
      <c r="N130" s="7">
        <f ca="1">SUM($M$4:M130)</f>
        <v>0.23983127603761265</v>
      </c>
    </row>
    <row r="131" spans="1:14" x14ac:dyDescent="0.3">
      <c r="A131" s="3">
        <v>43651</v>
      </c>
      <c r="B131" s="4">
        <v>31.26</v>
      </c>
      <c r="D131" s="11">
        <v>128</v>
      </c>
      <c r="E131" s="3">
        <v>43654</v>
      </c>
      <c r="F131" s="7">
        <f t="shared" si="9"/>
        <v>1.2787406038947107E-3</v>
      </c>
      <c r="G131" s="7">
        <f>SUM($F$4:F131)</f>
        <v>0.19208145848947575</v>
      </c>
      <c r="L131" s="11">
        <v>128</v>
      </c>
      <c r="M131" s="7">
        <f t="shared" ca="1" si="10"/>
        <v>1.8769404211639258E-2</v>
      </c>
      <c r="N131" s="7">
        <f ca="1">SUM($M$4:M131)</f>
        <v>0.25860068024925192</v>
      </c>
    </row>
    <row r="132" spans="1:14" x14ac:dyDescent="0.3">
      <c r="A132" s="3">
        <v>43654</v>
      </c>
      <c r="B132" s="4">
        <v>31.299999</v>
      </c>
      <c r="D132" s="11">
        <v>129</v>
      </c>
      <c r="E132" s="3">
        <v>43655</v>
      </c>
      <c r="F132" s="7">
        <f t="shared" ref="F132:F195" si="11">LN(B133/B132)</f>
        <v>1.0487940104776888E-2</v>
      </c>
      <c r="G132" s="7">
        <f>SUM($F$4:F132)</f>
        <v>0.20256939859425263</v>
      </c>
      <c r="L132" s="11">
        <v>129</v>
      </c>
      <c r="M132" s="7">
        <f t="shared" ca="1" si="10"/>
        <v>1.8769404211639258E-2</v>
      </c>
      <c r="N132" s="7">
        <f ca="1">SUM($M$4:M132)</f>
        <v>0.27737008446089118</v>
      </c>
    </row>
    <row r="133" spans="1:14" x14ac:dyDescent="0.3">
      <c r="A133" s="3">
        <v>43655</v>
      </c>
      <c r="B133" s="4">
        <v>31.629999000000002</v>
      </c>
      <c r="D133" s="11">
        <v>130</v>
      </c>
      <c r="E133" s="3">
        <v>43656</v>
      </c>
      <c r="F133" s="7">
        <f t="shared" si="11"/>
        <v>6.3214288818308462E-4</v>
      </c>
      <c r="G133" s="7">
        <f>SUM($F$4:F133)</f>
        <v>0.20320154148243572</v>
      </c>
      <c r="L133" s="11">
        <v>130</v>
      </c>
      <c r="M133" s="7">
        <f t="shared" ref="M133:M196" ca="1" si="12">(2*_xlfn.BINOM.INV($J$4,$J$12,RAND())-$J$4)*$J$11</f>
        <v>-2.9196850995883289E-2</v>
      </c>
      <c r="N133" s="7">
        <f ca="1">SUM($M$4:M133)</f>
        <v>0.24817323346500789</v>
      </c>
    </row>
    <row r="134" spans="1:14" x14ac:dyDescent="0.3">
      <c r="A134" s="3">
        <v>43656</v>
      </c>
      <c r="B134" s="4">
        <v>31.65</v>
      </c>
      <c r="D134" s="11">
        <v>131</v>
      </c>
      <c r="E134" s="3">
        <v>43657</v>
      </c>
      <c r="F134" s="7">
        <f t="shared" si="11"/>
        <v>-9.4828518330631727E-4</v>
      </c>
      <c r="G134" s="7">
        <f>SUM($F$4:F134)</f>
        <v>0.20225325629912941</v>
      </c>
      <c r="L134" s="11">
        <v>131</v>
      </c>
      <c r="M134" s="7">
        <f t="shared" ca="1" si="12"/>
        <v>-4.1709787136976128E-3</v>
      </c>
      <c r="N134" s="7">
        <f ca="1">SUM($M$4:M134)</f>
        <v>0.24400225475131027</v>
      </c>
    </row>
    <row r="135" spans="1:14" x14ac:dyDescent="0.3">
      <c r="A135" s="3">
        <v>43657</v>
      </c>
      <c r="B135" s="4">
        <v>31.620000999999998</v>
      </c>
      <c r="D135" s="11">
        <v>132</v>
      </c>
      <c r="E135" s="3">
        <v>43658</v>
      </c>
      <c r="F135" s="7">
        <f t="shared" si="11"/>
        <v>2.4677153746576964E-2</v>
      </c>
      <c r="G135" s="7">
        <f>SUM($F$4:F135)</f>
        <v>0.22693041004570638</v>
      </c>
      <c r="L135" s="11">
        <v>132</v>
      </c>
      <c r="M135" s="7">
        <f t="shared" ca="1" si="12"/>
        <v>0</v>
      </c>
      <c r="N135" s="7">
        <f ca="1">SUM($M$4:M135)</f>
        <v>0.24400225475131027</v>
      </c>
    </row>
    <row r="136" spans="1:14" x14ac:dyDescent="0.3">
      <c r="A136" s="3">
        <v>43658</v>
      </c>
      <c r="B136" s="4">
        <v>32.409999999999997</v>
      </c>
      <c r="D136" s="11">
        <v>133</v>
      </c>
      <c r="E136" s="3">
        <v>43661</v>
      </c>
      <c r="F136" s="7">
        <f t="shared" si="11"/>
        <v>-9.2603802070599184E-4</v>
      </c>
      <c r="G136" s="7">
        <f>SUM($F$4:F136)</f>
        <v>0.2260043720250004</v>
      </c>
      <c r="L136" s="11">
        <v>133</v>
      </c>
      <c r="M136" s="7">
        <f t="shared" ca="1" si="12"/>
        <v>8.3419574273952257E-3</v>
      </c>
      <c r="N136" s="7">
        <f ca="1">SUM($M$4:M136)</f>
        <v>0.25234421217870551</v>
      </c>
    </row>
    <row r="137" spans="1:14" x14ac:dyDescent="0.3">
      <c r="A137" s="3">
        <v>43661</v>
      </c>
      <c r="B137" s="4">
        <v>32.380001</v>
      </c>
      <c r="D137" s="11">
        <v>134</v>
      </c>
      <c r="E137" s="3">
        <v>43662</v>
      </c>
      <c r="F137" s="7">
        <f t="shared" si="11"/>
        <v>5.8506401553922406E-3</v>
      </c>
      <c r="G137" s="7">
        <f>SUM($F$4:F137)</f>
        <v>0.23185501218039264</v>
      </c>
      <c r="L137" s="11">
        <v>134</v>
      </c>
      <c r="M137" s="7">
        <f t="shared" ca="1" si="12"/>
        <v>3.3367829709580903E-2</v>
      </c>
      <c r="N137" s="7">
        <f ca="1">SUM($M$4:M137)</f>
        <v>0.28571204188828642</v>
      </c>
    </row>
    <row r="138" spans="1:14" x14ac:dyDescent="0.3">
      <c r="A138" s="3">
        <v>43662</v>
      </c>
      <c r="B138" s="4">
        <v>32.57</v>
      </c>
      <c r="D138" s="11">
        <v>135</v>
      </c>
      <c r="E138" s="3">
        <v>43663</v>
      </c>
      <c r="F138" s="7">
        <f t="shared" si="11"/>
        <v>-2.3925360948552379E-2</v>
      </c>
      <c r="G138" s="7">
        <f>SUM($F$4:F138)</f>
        <v>0.20792965123184026</v>
      </c>
      <c r="L138" s="11">
        <v>135</v>
      </c>
      <c r="M138" s="7">
        <f t="shared" ca="1" si="12"/>
        <v>-1.6683914854790451E-2</v>
      </c>
      <c r="N138" s="7">
        <f ca="1">SUM($M$4:M138)</f>
        <v>0.26902812703349599</v>
      </c>
    </row>
    <row r="139" spans="1:14" x14ac:dyDescent="0.3">
      <c r="A139" s="3">
        <v>43663</v>
      </c>
      <c r="B139" s="4">
        <v>31.799999</v>
      </c>
      <c r="D139" s="11">
        <v>136</v>
      </c>
      <c r="E139" s="3">
        <v>43664</v>
      </c>
      <c r="F139" s="7">
        <f t="shared" si="11"/>
        <v>-1.5209387216987445E-2</v>
      </c>
      <c r="G139" s="7">
        <f>SUM($F$4:F139)</f>
        <v>0.19272026401485282</v>
      </c>
      <c r="L139" s="11">
        <v>136</v>
      </c>
      <c r="M139" s="7">
        <f t="shared" ca="1" si="12"/>
        <v>0</v>
      </c>
      <c r="N139" s="7">
        <f ca="1">SUM($M$4:M139)</f>
        <v>0.26902812703349599</v>
      </c>
    </row>
    <row r="140" spans="1:14" x14ac:dyDescent="0.3">
      <c r="A140" s="3">
        <v>43664</v>
      </c>
      <c r="B140" s="4">
        <v>31.32</v>
      </c>
      <c r="D140" s="11">
        <v>137</v>
      </c>
      <c r="E140" s="3">
        <v>43665</v>
      </c>
      <c r="F140" s="7">
        <f t="shared" si="11"/>
        <v>4.4599947211334976E-3</v>
      </c>
      <c r="G140" s="7">
        <f>SUM($F$4:F140)</f>
        <v>0.19718025873598632</v>
      </c>
      <c r="L140" s="11">
        <v>137</v>
      </c>
      <c r="M140" s="7">
        <f t="shared" ca="1" si="12"/>
        <v>0</v>
      </c>
      <c r="N140" s="7">
        <f ca="1">SUM($M$4:M140)</f>
        <v>0.26902812703349599</v>
      </c>
    </row>
    <row r="141" spans="1:14" x14ac:dyDescent="0.3">
      <c r="A141" s="3">
        <v>43665</v>
      </c>
      <c r="B141" s="4">
        <v>31.459999</v>
      </c>
      <c r="D141" s="11">
        <v>138</v>
      </c>
      <c r="E141" s="3">
        <v>43668</v>
      </c>
      <c r="F141" s="7">
        <f t="shared" si="11"/>
        <v>-1.5375030855013213E-2</v>
      </c>
      <c r="G141" s="7">
        <f>SUM($F$4:F141)</f>
        <v>0.18180522788097311</v>
      </c>
      <c r="L141" s="11">
        <v>138</v>
      </c>
      <c r="M141" s="7">
        <f t="shared" ca="1" si="12"/>
        <v>0</v>
      </c>
      <c r="N141" s="7">
        <f ca="1">SUM($M$4:M141)</f>
        <v>0.26902812703349599</v>
      </c>
    </row>
    <row r="142" spans="1:14" x14ac:dyDescent="0.3">
      <c r="A142" s="3">
        <v>43668</v>
      </c>
      <c r="B142" s="4">
        <v>30.98</v>
      </c>
      <c r="D142" s="11">
        <v>139</v>
      </c>
      <c r="E142" s="3">
        <v>43669</v>
      </c>
      <c r="F142" s="7">
        <f t="shared" si="11"/>
        <v>-2.909360431168957E-3</v>
      </c>
      <c r="G142" s="7">
        <f>SUM($F$4:F142)</f>
        <v>0.17889586744980415</v>
      </c>
      <c r="L142" s="11">
        <v>139</v>
      </c>
      <c r="M142" s="7">
        <f t="shared" ca="1" si="12"/>
        <v>2.9196850995883289E-2</v>
      </c>
      <c r="N142" s="7">
        <f ca="1">SUM($M$4:M142)</f>
        <v>0.29822497802937931</v>
      </c>
    </row>
    <row r="143" spans="1:14" x14ac:dyDescent="0.3">
      <c r="A143" s="3">
        <v>43669</v>
      </c>
      <c r="B143" s="4">
        <v>30.889999</v>
      </c>
      <c r="D143" s="11">
        <v>140</v>
      </c>
      <c r="E143" s="3">
        <v>43670</v>
      </c>
      <c r="F143" s="7">
        <f t="shared" si="11"/>
        <v>1.9237560555379712E-2</v>
      </c>
      <c r="G143" s="7">
        <f>SUM($F$4:F143)</f>
        <v>0.19813342800518385</v>
      </c>
      <c r="L143" s="11">
        <v>140</v>
      </c>
      <c r="M143" s="7">
        <f t="shared" ca="1" si="12"/>
        <v>-4.170978713697613E-2</v>
      </c>
      <c r="N143" s="7">
        <f ca="1">SUM($M$4:M143)</f>
        <v>0.25651519089240316</v>
      </c>
    </row>
    <row r="144" spans="1:14" x14ac:dyDescent="0.3">
      <c r="A144" s="3">
        <v>43670</v>
      </c>
      <c r="B144" s="4">
        <v>31.49</v>
      </c>
      <c r="D144" s="11">
        <v>141</v>
      </c>
      <c r="E144" s="3">
        <v>43671</v>
      </c>
      <c r="F144" s="7">
        <f t="shared" si="11"/>
        <v>-9.5316926919744311E-4</v>
      </c>
      <c r="G144" s="7">
        <f>SUM($F$4:F144)</f>
        <v>0.19718025873598641</v>
      </c>
      <c r="L144" s="11">
        <v>141</v>
      </c>
      <c r="M144" s="7">
        <f t="shared" ca="1" si="12"/>
        <v>2.0854893568488065E-2</v>
      </c>
      <c r="N144" s="7">
        <f ca="1">SUM($M$4:M144)</f>
        <v>0.27737008446089123</v>
      </c>
    </row>
    <row r="145" spans="1:14" x14ac:dyDescent="0.3">
      <c r="A145" s="3">
        <v>43671</v>
      </c>
      <c r="B145" s="4">
        <v>31.459999</v>
      </c>
      <c r="D145" s="11">
        <v>142</v>
      </c>
      <c r="E145" s="3">
        <v>43672</v>
      </c>
      <c r="F145" s="7">
        <f t="shared" si="11"/>
        <v>3.178134562842425E-4</v>
      </c>
      <c r="G145" s="7">
        <f>SUM($F$4:F145)</f>
        <v>0.19749807219227064</v>
      </c>
      <c r="L145" s="11">
        <v>142</v>
      </c>
      <c r="M145" s="7">
        <f t="shared" ca="1" si="12"/>
        <v>8.3419574273952257E-3</v>
      </c>
      <c r="N145" s="7">
        <f ca="1">SUM($M$4:M145)</f>
        <v>0.28571204188828647</v>
      </c>
    </row>
    <row r="146" spans="1:14" x14ac:dyDescent="0.3">
      <c r="A146" s="3">
        <v>43672</v>
      </c>
      <c r="B146" s="4">
        <v>31.469999000000001</v>
      </c>
      <c r="D146" s="11">
        <v>143</v>
      </c>
      <c r="E146" s="3">
        <v>43675</v>
      </c>
      <c r="F146" s="7">
        <f t="shared" si="11"/>
        <v>-1.2470153800573529E-2</v>
      </c>
      <c r="G146" s="7">
        <f>SUM($F$4:F146)</f>
        <v>0.1850279183916971</v>
      </c>
      <c r="L146" s="11">
        <v>143</v>
      </c>
      <c r="M146" s="7">
        <f t="shared" ca="1" si="12"/>
        <v>-5.2137233921220161E-2</v>
      </c>
      <c r="N146" s="7">
        <f ca="1">SUM($M$4:M146)</f>
        <v>0.23357480796706631</v>
      </c>
    </row>
    <row r="147" spans="1:14" x14ac:dyDescent="0.3">
      <c r="A147" s="3">
        <v>43675</v>
      </c>
      <c r="B147" s="4">
        <v>31.08</v>
      </c>
      <c r="D147" s="11">
        <v>144</v>
      </c>
      <c r="E147" s="3">
        <v>43676</v>
      </c>
      <c r="F147" s="7">
        <f t="shared" si="11"/>
        <v>-1.9323677510539241E-3</v>
      </c>
      <c r="G147" s="7">
        <f>SUM($F$4:F147)</f>
        <v>0.18309555064064317</v>
      </c>
      <c r="L147" s="11">
        <v>144</v>
      </c>
      <c r="M147" s="7">
        <f t="shared" ca="1" si="12"/>
        <v>2.7111361639034482E-2</v>
      </c>
      <c r="N147" s="7">
        <f ca="1">SUM($M$4:M147)</f>
        <v>0.2606861696061008</v>
      </c>
    </row>
    <row r="148" spans="1:14" x14ac:dyDescent="0.3">
      <c r="A148" s="3">
        <v>43676</v>
      </c>
      <c r="B148" s="4">
        <v>31.02</v>
      </c>
      <c r="D148" s="11">
        <v>145</v>
      </c>
      <c r="E148" s="3">
        <v>43677</v>
      </c>
      <c r="F148" s="7">
        <f t="shared" si="11"/>
        <v>-2.3154499671093228E-2</v>
      </c>
      <c r="G148" s="7">
        <f>SUM($F$4:F148)</f>
        <v>0.15994105096954994</v>
      </c>
      <c r="L148" s="11">
        <v>145</v>
      </c>
      <c r="M148" s="7">
        <f t="shared" ca="1" si="12"/>
        <v>3.1282340352732099E-2</v>
      </c>
      <c r="N148" s="7">
        <f ca="1">SUM($M$4:M148)</f>
        <v>0.29196850995883289</v>
      </c>
    </row>
    <row r="149" spans="1:14" x14ac:dyDescent="0.3">
      <c r="A149" s="3">
        <v>43677</v>
      </c>
      <c r="B149" s="4">
        <v>30.309999000000001</v>
      </c>
      <c r="D149" s="11">
        <v>146</v>
      </c>
      <c r="E149" s="3">
        <v>43678</v>
      </c>
      <c r="F149" s="7">
        <f t="shared" si="11"/>
        <v>-1.228224568568425E-2</v>
      </c>
      <c r="G149" s="7">
        <f>SUM($F$4:F149)</f>
        <v>0.14765880528386569</v>
      </c>
      <c r="L149" s="11">
        <v>146</v>
      </c>
      <c r="M149" s="7">
        <f t="shared" ca="1" si="12"/>
        <v>6.2564680705464188E-3</v>
      </c>
      <c r="N149" s="7">
        <f ca="1">SUM($M$4:M149)</f>
        <v>0.29822497802937931</v>
      </c>
    </row>
    <row r="150" spans="1:14" x14ac:dyDescent="0.3">
      <c r="A150" s="3">
        <v>43678</v>
      </c>
      <c r="B150" s="4">
        <v>29.940000999999999</v>
      </c>
      <c r="D150" s="11">
        <v>147</v>
      </c>
      <c r="E150" s="3">
        <v>43679</v>
      </c>
      <c r="F150" s="7">
        <f t="shared" si="11"/>
        <v>-1.7180850146233863E-2</v>
      </c>
      <c r="G150" s="7">
        <f>SUM($F$4:F150)</f>
        <v>0.13047795513763183</v>
      </c>
      <c r="L150" s="11">
        <v>147</v>
      </c>
      <c r="M150" s="7">
        <f t="shared" ca="1" si="12"/>
        <v>4.3795276493824933E-2</v>
      </c>
      <c r="N150" s="7">
        <f ca="1">SUM($M$4:M150)</f>
        <v>0.34202025452320423</v>
      </c>
    </row>
    <row r="151" spans="1:14" x14ac:dyDescent="0.3">
      <c r="A151" s="3">
        <v>43679</v>
      </c>
      <c r="B151" s="4">
        <v>29.43</v>
      </c>
      <c r="D151" s="11">
        <v>148</v>
      </c>
      <c r="E151" s="3">
        <v>43682</v>
      </c>
      <c r="F151" s="7">
        <f t="shared" si="11"/>
        <v>-8.5310191507417723E-3</v>
      </c>
      <c r="G151" s="7">
        <f>SUM($F$4:F151)</f>
        <v>0.12194693598689006</v>
      </c>
      <c r="L151" s="11">
        <v>148</v>
      </c>
      <c r="M151" s="7">
        <f t="shared" ca="1" si="12"/>
        <v>0</v>
      </c>
      <c r="N151" s="7">
        <f ca="1">SUM($M$4:M151)</f>
        <v>0.34202025452320423</v>
      </c>
    </row>
    <row r="152" spans="1:14" x14ac:dyDescent="0.3">
      <c r="A152" s="3">
        <v>43682</v>
      </c>
      <c r="B152" s="4">
        <v>29.18</v>
      </c>
      <c r="D152" s="11">
        <v>149</v>
      </c>
      <c r="E152" s="3">
        <v>43683</v>
      </c>
      <c r="F152" s="7">
        <f t="shared" si="11"/>
        <v>1.2261767860997204E-2</v>
      </c>
      <c r="G152" s="7">
        <f>SUM($F$4:F152)</f>
        <v>0.13420870384788727</v>
      </c>
      <c r="L152" s="11">
        <v>149</v>
      </c>
      <c r="M152" s="7">
        <f t="shared" ca="1" si="12"/>
        <v>-2.9196850995883289E-2</v>
      </c>
      <c r="N152" s="7">
        <f ca="1">SUM($M$4:M152)</f>
        <v>0.31282340352732096</v>
      </c>
    </row>
    <row r="153" spans="1:14" x14ac:dyDescent="0.3">
      <c r="A153" s="3">
        <v>43683</v>
      </c>
      <c r="B153" s="4">
        <v>29.540001</v>
      </c>
      <c r="D153" s="11">
        <v>150</v>
      </c>
      <c r="E153" s="3">
        <v>43684</v>
      </c>
      <c r="F153" s="7">
        <f t="shared" si="11"/>
        <v>1.0774514645025372E-2</v>
      </c>
      <c r="G153" s="7">
        <f>SUM($F$4:F153)</f>
        <v>0.14498321849291265</v>
      </c>
      <c r="L153" s="11">
        <v>150</v>
      </c>
      <c r="M153" s="7">
        <f t="shared" ca="1" si="12"/>
        <v>2.7111361639034482E-2</v>
      </c>
      <c r="N153" s="7">
        <f ca="1">SUM($M$4:M153)</f>
        <v>0.33993476516635546</v>
      </c>
    </row>
    <row r="154" spans="1:14" x14ac:dyDescent="0.3">
      <c r="A154" s="3">
        <v>43684</v>
      </c>
      <c r="B154" s="4">
        <v>29.860001</v>
      </c>
      <c r="D154" s="11">
        <v>151</v>
      </c>
      <c r="E154" s="3">
        <v>43685</v>
      </c>
      <c r="F154" s="7">
        <f t="shared" si="11"/>
        <v>-6.3833912979314941E-3</v>
      </c>
      <c r="G154" s="7">
        <f>SUM($F$4:F154)</f>
        <v>0.13859982719498115</v>
      </c>
      <c r="L154" s="11">
        <v>151</v>
      </c>
      <c r="M154" s="7">
        <f t="shared" ca="1" si="12"/>
        <v>3.1282340352732099E-2</v>
      </c>
      <c r="N154" s="7">
        <f ca="1">SUM($M$4:M154)</f>
        <v>0.37121710551908754</v>
      </c>
    </row>
    <row r="155" spans="1:14" x14ac:dyDescent="0.3">
      <c r="A155" s="3">
        <v>43685</v>
      </c>
      <c r="B155" s="4">
        <v>29.67</v>
      </c>
      <c r="D155" s="11">
        <v>152</v>
      </c>
      <c r="E155" s="3">
        <v>43686</v>
      </c>
      <c r="F155" s="7">
        <f t="shared" si="11"/>
        <v>-7.1030572125781767E-3</v>
      </c>
      <c r="G155" s="7">
        <f>SUM($F$4:F155)</f>
        <v>0.13149676998240298</v>
      </c>
      <c r="L155" s="11">
        <v>152</v>
      </c>
      <c r="M155" s="7">
        <f t="shared" ca="1" si="12"/>
        <v>1.4598425497941644E-2</v>
      </c>
      <c r="N155" s="7">
        <f ca="1">SUM($M$4:M155)</f>
        <v>0.3858155310170292</v>
      </c>
    </row>
    <row r="156" spans="1:14" x14ac:dyDescent="0.3">
      <c r="A156" s="3">
        <v>43686</v>
      </c>
      <c r="B156" s="4">
        <v>29.459999</v>
      </c>
      <c r="D156" s="11">
        <v>153</v>
      </c>
      <c r="E156" s="3">
        <v>43689</v>
      </c>
      <c r="F156" s="7">
        <f t="shared" si="11"/>
        <v>-7.153803412286849E-3</v>
      </c>
      <c r="G156" s="7">
        <f>SUM($F$4:F156)</f>
        <v>0.12434296657011613</v>
      </c>
      <c r="L156" s="11">
        <v>153</v>
      </c>
      <c r="M156" s="7">
        <f t="shared" ca="1" si="12"/>
        <v>-2.5025872282185675E-2</v>
      </c>
      <c r="N156" s="7">
        <f ca="1">SUM($M$4:M156)</f>
        <v>0.36078965873484353</v>
      </c>
    </row>
    <row r="157" spans="1:14" x14ac:dyDescent="0.3">
      <c r="A157" s="3">
        <v>43689</v>
      </c>
      <c r="B157" s="4">
        <v>29.25</v>
      </c>
      <c r="D157" s="11">
        <v>154</v>
      </c>
      <c r="E157" s="3">
        <v>43690</v>
      </c>
      <c r="F157" s="7">
        <f t="shared" si="11"/>
        <v>1.1894787652149146E-2</v>
      </c>
      <c r="G157" s="7">
        <f>SUM($F$4:F157)</f>
        <v>0.13623775422226528</v>
      </c>
      <c r="L157" s="11">
        <v>154</v>
      </c>
      <c r="M157" s="7">
        <f t="shared" ca="1" si="12"/>
        <v>-4.5880765850673744E-2</v>
      </c>
      <c r="N157" s="7">
        <f ca="1">SUM($M$4:M157)</f>
        <v>0.31490889288416979</v>
      </c>
    </row>
    <row r="158" spans="1:14" x14ac:dyDescent="0.3">
      <c r="A158" s="3">
        <v>43690</v>
      </c>
      <c r="B158" s="4">
        <v>29.6</v>
      </c>
      <c r="D158" s="11">
        <v>155</v>
      </c>
      <c r="E158" s="3">
        <v>43691</v>
      </c>
      <c r="F158" s="7">
        <f t="shared" si="11"/>
        <v>-7.3952059152860433E-2</v>
      </c>
      <c r="G158" s="7">
        <f>SUM($F$4:F158)</f>
        <v>6.2285695069404845E-2</v>
      </c>
      <c r="L158" s="11">
        <v>155</v>
      </c>
      <c r="M158" s="7">
        <f t="shared" ca="1" si="12"/>
        <v>-2.0854893568488065E-2</v>
      </c>
      <c r="N158" s="7">
        <f ca="1">SUM($M$4:M158)</f>
        <v>0.29405399931568171</v>
      </c>
    </row>
    <row r="159" spans="1:14" x14ac:dyDescent="0.3">
      <c r="A159" s="3">
        <v>43691</v>
      </c>
      <c r="B159" s="4">
        <v>27.49</v>
      </c>
      <c r="D159" s="11">
        <v>156</v>
      </c>
      <c r="E159" s="3">
        <v>43692</v>
      </c>
      <c r="F159" s="7">
        <f t="shared" si="11"/>
        <v>-1.1708878738897808E-2</v>
      </c>
      <c r="G159" s="7">
        <f>SUM($F$4:F159)</f>
        <v>5.0576816330507035E-2</v>
      </c>
      <c r="L159" s="11">
        <v>156</v>
      </c>
      <c r="M159" s="7">
        <f t="shared" ca="1" si="12"/>
        <v>1.8769404211639258E-2</v>
      </c>
      <c r="N159" s="7">
        <f ca="1">SUM($M$4:M159)</f>
        <v>0.31282340352732096</v>
      </c>
    </row>
    <row r="160" spans="1:14" x14ac:dyDescent="0.3">
      <c r="A160" s="3">
        <v>43692</v>
      </c>
      <c r="B160" s="4">
        <v>27.17</v>
      </c>
      <c r="D160" s="11">
        <v>157</v>
      </c>
      <c r="E160" s="3">
        <v>43693</v>
      </c>
      <c r="F160" s="7">
        <f t="shared" si="11"/>
        <v>2.8303811941026352E-2</v>
      </c>
      <c r="G160" s="7">
        <f>SUM($F$4:F160)</f>
        <v>7.8880628271533387E-2</v>
      </c>
      <c r="L160" s="11">
        <v>157</v>
      </c>
      <c r="M160" s="7">
        <f t="shared" ca="1" si="12"/>
        <v>8.3419574273952257E-3</v>
      </c>
      <c r="N160" s="7">
        <f ca="1">SUM($M$4:M160)</f>
        <v>0.32116536095471621</v>
      </c>
    </row>
    <row r="161" spans="1:14" x14ac:dyDescent="0.3">
      <c r="A161" s="3">
        <v>43693</v>
      </c>
      <c r="B161" s="4">
        <v>27.950001</v>
      </c>
      <c r="D161" s="11">
        <v>158</v>
      </c>
      <c r="E161" s="3">
        <v>43696</v>
      </c>
      <c r="F161" s="7">
        <f t="shared" si="11"/>
        <v>1.6675887289671874E-2</v>
      </c>
      <c r="G161" s="7">
        <f>SUM($F$4:F161)</f>
        <v>9.5556515561205257E-2</v>
      </c>
      <c r="L161" s="11">
        <v>158</v>
      </c>
      <c r="M161" s="7">
        <f t="shared" ca="1" si="12"/>
        <v>1.8769404211639258E-2</v>
      </c>
      <c r="N161" s="7">
        <f ca="1">SUM($M$4:M161)</f>
        <v>0.33993476516635546</v>
      </c>
    </row>
    <row r="162" spans="1:14" x14ac:dyDescent="0.3">
      <c r="A162" s="3">
        <v>43696</v>
      </c>
      <c r="B162" s="4">
        <v>28.42</v>
      </c>
      <c r="D162" s="11">
        <v>159</v>
      </c>
      <c r="E162" s="3">
        <v>43697</v>
      </c>
      <c r="F162" s="7">
        <f t="shared" si="11"/>
        <v>-7.416633103472881E-3</v>
      </c>
      <c r="G162" s="7">
        <f>SUM($F$4:F162)</f>
        <v>8.8139882457732383E-2</v>
      </c>
      <c r="L162" s="11">
        <v>159</v>
      </c>
      <c r="M162" s="7">
        <f t="shared" ca="1" si="12"/>
        <v>-2.7111361639034482E-2</v>
      </c>
      <c r="N162" s="7">
        <f ca="1">SUM($M$4:M162)</f>
        <v>0.31282340352732096</v>
      </c>
    </row>
    <row r="163" spans="1:14" x14ac:dyDescent="0.3">
      <c r="A163" s="3">
        <v>43697</v>
      </c>
      <c r="B163" s="4">
        <v>28.209999</v>
      </c>
      <c r="D163" s="11">
        <v>160</v>
      </c>
      <c r="E163" s="3">
        <v>43698</v>
      </c>
      <c r="F163" s="7">
        <f t="shared" si="11"/>
        <v>2.4783868235684404E-3</v>
      </c>
      <c r="G163" s="7">
        <f>SUM($F$4:F163)</f>
        <v>9.0618269281300817E-2</v>
      </c>
      <c r="L163" s="11">
        <v>160</v>
      </c>
      <c r="M163" s="7">
        <f t="shared" ca="1" si="12"/>
        <v>-2.0854893568488065E-2</v>
      </c>
      <c r="N163" s="7">
        <f ca="1">SUM($M$4:M163)</f>
        <v>0.29196850995883289</v>
      </c>
    </row>
    <row r="164" spans="1:14" x14ac:dyDescent="0.3">
      <c r="A164" s="3">
        <v>43698</v>
      </c>
      <c r="B164" s="4">
        <v>28.280000999999999</v>
      </c>
      <c r="D164" s="11">
        <v>161</v>
      </c>
      <c r="E164" s="3">
        <v>43699</v>
      </c>
      <c r="F164" s="7">
        <f t="shared" si="11"/>
        <v>-8.8794755362927233E-3</v>
      </c>
      <c r="G164" s="7">
        <f>SUM($F$4:F164)</f>
        <v>8.1738793745008087E-2</v>
      </c>
      <c r="L164" s="11">
        <v>161</v>
      </c>
      <c r="M164" s="7">
        <f t="shared" ca="1" si="12"/>
        <v>-7.2992127489708222E-2</v>
      </c>
      <c r="N164" s="7">
        <f ca="1">SUM($M$4:M164)</f>
        <v>0.21897638246912465</v>
      </c>
    </row>
    <row r="165" spans="1:14" x14ac:dyDescent="0.3">
      <c r="A165" s="3">
        <v>43699</v>
      </c>
      <c r="B165" s="4">
        <v>28.030000999999999</v>
      </c>
      <c r="D165" s="11">
        <v>162</v>
      </c>
      <c r="E165" s="3">
        <v>43700</v>
      </c>
      <c r="F165" s="7">
        <f t="shared" si="11"/>
        <v>-3.7068233048233319E-2</v>
      </c>
      <c r="G165" s="7">
        <f>SUM($F$4:F165)</f>
        <v>4.4670560696774768E-2</v>
      </c>
      <c r="L165" s="11">
        <v>162</v>
      </c>
      <c r="M165" s="7">
        <f t="shared" ca="1" si="12"/>
        <v>-4.1709787136976128E-3</v>
      </c>
      <c r="N165" s="7">
        <f ca="1">SUM($M$4:M165)</f>
        <v>0.21480540375542703</v>
      </c>
    </row>
    <row r="166" spans="1:14" x14ac:dyDescent="0.3">
      <c r="A166" s="3">
        <v>43700</v>
      </c>
      <c r="B166" s="4">
        <v>27.01</v>
      </c>
      <c r="D166" s="11">
        <v>163</v>
      </c>
      <c r="E166" s="3">
        <v>43703</v>
      </c>
      <c r="F166" s="7">
        <f t="shared" si="11"/>
        <v>7.009842262132567E-3</v>
      </c>
      <c r="G166" s="7">
        <f>SUM($F$4:F166)</f>
        <v>5.1680402958907336E-2</v>
      </c>
      <c r="L166" s="11">
        <v>163</v>
      </c>
      <c r="M166" s="7">
        <f t="shared" ca="1" si="12"/>
        <v>2.0854893568488064E-3</v>
      </c>
      <c r="N166" s="7">
        <f ca="1">SUM($M$4:M166)</f>
        <v>0.21689089311227583</v>
      </c>
    </row>
    <row r="167" spans="1:14" x14ac:dyDescent="0.3">
      <c r="A167" s="3">
        <v>43703</v>
      </c>
      <c r="B167" s="4">
        <v>27.200001</v>
      </c>
      <c r="D167" s="11">
        <v>164</v>
      </c>
      <c r="E167" s="3">
        <v>43704</v>
      </c>
      <c r="F167" s="7">
        <f t="shared" si="11"/>
        <v>-2.7205031606264873E-2</v>
      </c>
      <c r="G167" s="7">
        <f>SUM($F$4:F167)</f>
        <v>2.4475371352642463E-2</v>
      </c>
      <c r="L167" s="11">
        <v>164</v>
      </c>
      <c r="M167" s="7">
        <f t="shared" ca="1" si="12"/>
        <v>5.4222723278068964E-2</v>
      </c>
      <c r="N167" s="7">
        <f ca="1">SUM($M$4:M167)</f>
        <v>0.27111361639034481</v>
      </c>
    </row>
    <row r="168" spans="1:14" x14ac:dyDescent="0.3">
      <c r="A168" s="3">
        <v>43704</v>
      </c>
      <c r="B168" s="4">
        <v>26.469999000000001</v>
      </c>
      <c r="D168" s="11">
        <v>165</v>
      </c>
      <c r="E168" s="3">
        <v>43705</v>
      </c>
      <c r="F168" s="7">
        <f t="shared" si="11"/>
        <v>1.7600229641350194E-2</v>
      </c>
      <c r="G168" s="7">
        <f>SUM($F$4:F168)</f>
        <v>4.2075600993992657E-2</v>
      </c>
      <c r="L168" s="11">
        <v>165</v>
      </c>
      <c r="M168" s="7">
        <f t="shared" ca="1" si="12"/>
        <v>2.0854893568488065E-2</v>
      </c>
      <c r="N168" s="7">
        <f ca="1">SUM($M$4:M168)</f>
        <v>0.29196850995883289</v>
      </c>
    </row>
    <row r="169" spans="1:14" x14ac:dyDescent="0.3">
      <c r="A169" s="3">
        <v>43705</v>
      </c>
      <c r="B169" s="4">
        <v>26.940000999999999</v>
      </c>
      <c r="D169" s="11">
        <v>166</v>
      </c>
      <c r="E169" s="3">
        <v>43706</v>
      </c>
      <c r="F169" s="7">
        <f t="shared" si="11"/>
        <v>2.8902651525944647E-2</v>
      </c>
      <c r="G169" s="7">
        <f>SUM($F$4:F169)</f>
        <v>7.0978252519937307E-2</v>
      </c>
      <c r="L169" s="11">
        <v>166</v>
      </c>
      <c r="M169" s="7">
        <f t="shared" ca="1" si="12"/>
        <v>3.5453319066429706E-2</v>
      </c>
      <c r="N169" s="7">
        <f ca="1">SUM($M$4:M169)</f>
        <v>0.32742182902526262</v>
      </c>
    </row>
    <row r="170" spans="1:14" x14ac:dyDescent="0.3">
      <c r="A170" s="3">
        <v>43706</v>
      </c>
      <c r="B170" s="4">
        <v>27.73</v>
      </c>
      <c r="D170" s="11">
        <v>167</v>
      </c>
      <c r="E170" s="3">
        <v>43707</v>
      </c>
      <c r="F170" s="7">
        <f t="shared" si="11"/>
        <v>-4.6990869045823325E-3</v>
      </c>
      <c r="G170" s="7">
        <f>SUM($F$4:F170)</f>
        <v>6.6279165615354976E-2</v>
      </c>
      <c r="L170" s="11">
        <v>167</v>
      </c>
      <c r="M170" s="7">
        <f t="shared" ca="1" si="12"/>
        <v>-5.4222723278068964E-2</v>
      </c>
      <c r="N170" s="7">
        <f ca="1">SUM($M$4:M170)</f>
        <v>0.27319910574719364</v>
      </c>
    </row>
    <row r="171" spans="1:14" x14ac:dyDescent="0.3">
      <c r="A171" s="3">
        <v>43707</v>
      </c>
      <c r="B171" s="4">
        <v>27.6</v>
      </c>
      <c r="D171" s="11">
        <v>168</v>
      </c>
      <c r="E171" s="3">
        <v>43711</v>
      </c>
      <c r="F171" s="7">
        <f t="shared" si="11"/>
        <v>-2.6061339630877721E-2</v>
      </c>
      <c r="G171" s="7">
        <f>SUM($F$4:F171)</f>
        <v>4.0217825984477255E-2</v>
      </c>
      <c r="L171" s="11">
        <v>168</v>
      </c>
      <c r="M171" s="7">
        <f t="shared" ca="1" si="12"/>
        <v>3.1282340352732099E-2</v>
      </c>
      <c r="N171" s="7">
        <f ca="1">SUM($M$4:M171)</f>
        <v>0.30448144609992572</v>
      </c>
    </row>
    <row r="172" spans="1:14" x14ac:dyDescent="0.3">
      <c r="A172" s="3">
        <v>43711</v>
      </c>
      <c r="B172" s="4">
        <v>26.889999</v>
      </c>
      <c r="D172" s="11">
        <v>169</v>
      </c>
      <c r="E172" s="3">
        <v>43712</v>
      </c>
      <c r="F172" s="7">
        <f t="shared" si="11"/>
        <v>5.5628550647846102E-3</v>
      </c>
      <c r="G172" s="7">
        <f>SUM($F$4:F172)</f>
        <v>4.5780681049261862E-2</v>
      </c>
      <c r="L172" s="11">
        <v>169</v>
      </c>
      <c r="M172" s="7">
        <f t="shared" ca="1" si="12"/>
        <v>1.6683914854790451E-2</v>
      </c>
      <c r="N172" s="7">
        <f ca="1">SUM($M$4:M172)</f>
        <v>0.32116536095471615</v>
      </c>
    </row>
    <row r="173" spans="1:14" x14ac:dyDescent="0.3">
      <c r="A173" s="3">
        <v>43712</v>
      </c>
      <c r="B173" s="4">
        <v>27.040001</v>
      </c>
      <c r="D173" s="11">
        <v>170</v>
      </c>
      <c r="E173" s="3">
        <v>43713</v>
      </c>
      <c r="F173" s="7">
        <f t="shared" si="11"/>
        <v>1.3225725237013312E-2</v>
      </c>
      <c r="G173" s="7">
        <f>SUM($F$4:F173)</f>
        <v>5.9006406286275175E-2</v>
      </c>
      <c r="L173" s="11">
        <v>170</v>
      </c>
      <c r="M173" s="7">
        <f t="shared" ca="1" si="12"/>
        <v>-3.962429778012732E-2</v>
      </c>
      <c r="N173" s="7">
        <f ca="1">SUM($M$4:M173)</f>
        <v>0.28154106317458882</v>
      </c>
    </row>
    <row r="174" spans="1:14" x14ac:dyDescent="0.3">
      <c r="A174" s="3">
        <v>43713</v>
      </c>
      <c r="B174" s="4">
        <v>27.4</v>
      </c>
      <c r="D174" s="11">
        <v>171</v>
      </c>
      <c r="E174" s="3">
        <v>43714</v>
      </c>
      <c r="F174" s="7">
        <f t="shared" si="11"/>
        <v>-2.1921820982210472E-3</v>
      </c>
      <c r="G174" s="7">
        <f>SUM($F$4:F174)</f>
        <v>5.6814224188054124E-2</v>
      </c>
      <c r="L174" s="11">
        <v>171</v>
      </c>
      <c r="M174" s="7">
        <f t="shared" ca="1" si="12"/>
        <v>2.0854893568488064E-3</v>
      </c>
      <c r="N174" s="7">
        <f ca="1">SUM($M$4:M174)</f>
        <v>0.28362655253143765</v>
      </c>
    </row>
    <row r="175" spans="1:14" x14ac:dyDescent="0.3">
      <c r="A175" s="3">
        <v>43714</v>
      </c>
      <c r="B175" s="4">
        <v>27.34</v>
      </c>
      <c r="D175" s="11">
        <v>172</v>
      </c>
      <c r="E175" s="3">
        <v>43717</v>
      </c>
      <c r="F175" s="7">
        <f t="shared" si="11"/>
        <v>-1.4641657349267175E-3</v>
      </c>
      <c r="G175" s="7">
        <f>SUM($F$4:F175)</f>
        <v>5.5350058453127404E-2</v>
      </c>
      <c r="L175" s="11">
        <v>172</v>
      </c>
      <c r="M175" s="7">
        <f t="shared" ca="1" si="12"/>
        <v>1.4598425497941644E-2</v>
      </c>
      <c r="N175" s="7">
        <f ca="1">SUM($M$4:M175)</f>
        <v>0.29822497802937931</v>
      </c>
    </row>
    <row r="176" spans="1:14" x14ac:dyDescent="0.3">
      <c r="A176" s="3">
        <v>43717</v>
      </c>
      <c r="B176" s="4">
        <v>27.299999</v>
      </c>
      <c r="D176" s="11">
        <v>173</v>
      </c>
      <c r="E176" s="3">
        <v>43718</v>
      </c>
      <c r="F176" s="7">
        <f t="shared" si="11"/>
        <v>4.0558260102031569E-2</v>
      </c>
      <c r="G176" s="7">
        <f>SUM($F$4:F176)</f>
        <v>9.5908318555158967E-2</v>
      </c>
      <c r="L176" s="11">
        <v>173</v>
      </c>
      <c r="M176" s="7">
        <f t="shared" ca="1" si="12"/>
        <v>0</v>
      </c>
      <c r="N176" s="7">
        <f ca="1">SUM($M$4:M176)</f>
        <v>0.29822497802937931</v>
      </c>
    </row>
    <row r="177" spans="1:14" x14ac:dyDescent="0.3">
      <c r="A177" s="3">
        <v>43718</v>
      </c>
      <c r="B177" s="4">
        <v>28.43</v>
      </c>
      <c r="D177" s="11">
        <v>174</v>
      </c>
      <c r="E177" s="3">
        <v>43719</v>
      </c>
      <c r="F177" s="7">
        <f t="shared" si="11"/>
        <v>4.2119754128404482E-3</v>
      </c>
      <c r="G177" s="7">
        <f>SUM($F$4:F177)</f>
        <v>0.10012029396799942</v>
      </c>
      <c r="L177" s="11">
        <v>174</v>
      </c>
      <c r="M177" s="7">
        <f t="shared" ca="1" si="12"/>
        <v>0</v>
      </c>
      <c r="N177" s="7">
        <f ca="1">SUM($M$4:M177)</f>
        <v>0.29822497802937931</v>
      </c>
    </row>
    <row r="178" spans="1:14" x14ac:dyDescent="0.3">
      <c r="A178" s="3">
        <v>43719</v>
      </c>
      <c r="B178" s="4">
        <v>28.549999</v>
      </c>
      <c r="D178" s="11">
        <v>175</v>
      </c>
      <c r="E178" s="3">
        <v>43720</v>
      </c>
      <c r="F178" s="7">
        <f t="shared" si="11"/>
        <v>-1.5531480582780401E-2</v>
      </c>
      <c r="G178" s="7">
        <f>SUM($F$4:F178)</f>
        <v>8.4588813385219008E-2</v>
      </c>
      <c r="L178" s="11">
        <v>175</v>
      </c>
      <c r="M178" s="7">
        <f t="shared" ca="1" si="12"/>
        <v>-2.7111361639034482E-2</v>
      </c>
      <c r="N178" s="7">
        <f ca="1">SUM($M$4:M178)</f>
        <v>0.27111361639034481</v>
      </c>
    </row>
    <row r="179" spans="1:14" x14ac:dyDescent="0.3">
      <c r="A179" s="3">
        <v>43720</v>
      </c>
      <c r="B179" s="4">
        <v>28.110001</v>
      </c>
      <c r="D179" s="11">
        <v>176</v>
      </c>
      <c r="E179" s="3">
        <v>43721</v>
      </c>
      <c r="F179" s="7">
        <f t="shared" si="11"/>
        <v>-7.8572547087167929E-3</v>
      </c>
      <c r="G179" s="7">
        <f>SUM($F$4:F179)</f>
        <v>7.6731558676502221E-2</v>
      </c>
      <c r="L179" s="11">
        <v>176</v>
      </c>
      <c r="M179" s="7">
        <f t="shared" ca="1" si="12"/>
        <v>3.1282340352732099E-2</v>
      </c>
      <c r="N179" s="7">
        <f ca="1">SUM($M$4:M179)</f>
        <v>0.3023959567430769</v>
      </c>
    </row>
    <row r="180" spans="1:14" x14ac:dyDescent="0.3">
      <c r="A180" s="3">
        <v>43721</v>
      </c>
      <c r="B180" s="4">
        <v>27.889999</v>
      </c>
      <c r="D180" s="11">
        <v>177</v>
      </c>
      <c r="E180" s="3">
        <v>43724</v>
      </c>
      <c r="F180" s="7">
        <f t="shared" si="11"/>
        <v>2.8643056770240351E-3</v>
      </c>
      <c r="G180" s="7">
        <f>SUM($F$4:F180)</f>
        <v>7.9595864353526252E-2</v>
      </c>
      <c r="L180" s="11">
        <v>177</v>
      </c>
      <c r="M180" s="7">
        <f t="shared" ca="1" si="12"/>
        <v>-2.0854893568488065E-2</v>
      </c>
      <c r="N180" s="7">
        <f ca="1">SUM($M$4:M180)</f>
        <v>0.28154106317458882</v>
      </c>
    </row>
    <row r="181" spans="1:14" x14ac:dyDescent="0.3">
      <c r="A181" s="3">
        <v>43724</v>
      </c>
      <c r="B181" s="4">
        <v>27.969999000000001</v>
      </c>
      <c r="D181" s="11">
        <v>178</v>
      </c>
      <c r="E181" s="3">
        <v>43725</v>
      </c>
      <c r="F181" s="7">
        <f t="shared" si="11"/>
        <v>-2.791546139461884E-2</v>
      </c>
      <c r="G181" s="7">
        <f>SUM($F$4:F181)</f>
        <v>5.1680402958907412E-2</v>
      </c>
      <c r="L181" s="11">
        <v>178</v>
      </c>
      <c r="M181" s="7">
        <f t="shared" ca="1" si="12"/>
        <v>3.962429778012732E-2</v>
      </c>
      <c r="N181" s="7">
        <f ca="1">SUM($M$4:M181)</f>
        <v>0.32116536095471615</v>
      </c>
    </row>
    <row r="182" spans="1:14" x14ac:dyDescent="0.3">
      <c r="A182" s="3">
        <v>43725</v>
      </c>
      <c r="B182" s="4">
        <v>27.200001</v>
      </c>
      <c r="D182" s="11">
        <v>179</v>
      </c>
      <c r="E182" s="3">
        <v>43726</v>
      </c>
      <c r="F182" s="7">
        <f t="shared" si="11"/>
        <v>3.675059773030761E-4</v>
      </c>
      <c r="G182" s="7">
        <f>SUM($F$4:F182)</f>
        <v>5.2047908936210488E-2</v>
      </c>
      <c r="L182" s="11">
        <v>179</v>
      </c>
      <c r="M182" s="7">
        <f t="shared" ca="1" si="12"/>
        <v>1.6683914854790451E-2</v>
      </c>
      <c r="N182" s="7">
        <f ca="1">SUM($M$4:M182)</f>
        <v>0.33784927580950658</v>
      </c>
    </row>
    <row r="183" spans="1:14" x14ac:dyDescent="0.3">
      <c r="A183" s="3">
        <v>43726</v>
      </c>
      <c r="B183" s="4">
        <v>27.209999</v>
      </c>
      <c r="D183" s="11">
        <v>180</v>
      </c>
      <c r="E183" s="3">
        <v>43727</v>
      </c>
      <c r="F183" s="7">
        <f t="shared" si="11"/>
        <v>-2.004517785003691E-2</v>
      </c>
      <c r="G183" s="7">
        <f>SUM($F$4:F183)</f>
        <v>3.2002731086173575E-2</v>
      </c>
      <c r="L183" s="11">
        <v>180</v>
      </c>
      <c r="M183" s="7">
        <f t="shared" ca="1" si="12"/>
        <v>4.7966255207522547E-2</v>
      </c>
      <c r="N183" s="7">
        <f ca="1">SUM($M$4:M183)</f>
        <v>0.38581553101702915</v>
      </c>
    </row>
    <row r="184" spans="1:14" x14ac:dyDescent="0.3">
      <c r="A184" s="3">
        <v>43727</v>
      </c>
      <c r="B184" s="4">
        <v>26.67</v>
      </c>
      <c r="D184" s="11">
        <v>181</v>
      </c>
      <c r="E184" s="3">
        <v>43728</v>
      </c>
      <c r="F184" s="7">
        <f t="shared" si="11"/>
        <v>-1.6635544315140621E-2</v>
      </c>
      <c r="G184" s="7">
        <f>SUM($F$4:F184)</f>
        <v>1.5367186771032954E-2</v>
      </c>
      <c r="L184" s="11">
        <v>181</v>
      </c>
      <c r="M184" s="7">
        <f t="shared" ca="1" si="12"/>
        <v>-2.0854893568488064E-3</v>
      </c>
      <c r="N184" s="7">
        <f ca="1">SUM($M$4:M184)</f>
        <v>0.38373004166018032</v>
      </c>
    </row>
    <row r="185" spans="1:14" x14ac:dyDescent="0.3">
      <c r="A185" s="3">
        <v>43728</v>
      </c>
      <c r="B185" s="4">
        <v>26.23</v>
      </c>
      <c r="D185" s="11">
        <v>182</v>
      </c>
      <c r="E185" s="3">
        <v>43731</v>
      </c>
      <c r="F185" s="7">
        <f t="shared" si="11"/>
        <v>1.3255259406316829E-2</v>
      </c>
      <c r="G185" s="7">
        <f>SUM($F$4:F185)</f>
        <v>2.8622446177349783E-2</v>
      </c>
      <c r="L185" s="11">
        <v>182</v>
      </c>
      <c r="M185" s="7">
        <f t="shared" ca="1" si="12"/>
        <v>1.2512936141092838E-2</v>
      </c>
      <c r="N185" s="7">
        <f ca="1">SUM($M$4:M185)</f>
        <v>0.39624297780127316</v>
      </c>
    </row>
    <row r="186" spans="1:14" x14ac:dyDescent="0.3">
      <c r="A186" s="3">
        <v>43731</v>
      </c>
      <c r="B186" s="4">
        <v>26.58</v>
      </c>
      <c r="D186" s="11">
        <v>183</v>
      </c>
      <c r="E186" s="3">
        <v>43732</v>
      </c>
      <c r="F186" s="7">
        <f t="shared" si="11"/>
        <v>-6.0377541909199207E-3</v>
      </c>
      <c r="G186" s="7">
        <f>SUM($F$4:F186)</f>
        <v>2.2584691986429862E-2</v>
      </c>
      <c r="L186" s="11">
        <v>183</v>
      </c>
      <c r="M186" s="7">
        <f t="shared" ca="1" si="12"/>
        <v>2.0854893568488064E-3</v>
      </c>
      <c r="N186" s="7">
        <f ca="1">SUM($M$4:M186)</f>
        <v>0.39832846715812198</v>
      </c>
    </row>
    <row r="187" spans="1:14" x14ac:dyDescent="0.3">
      <c r="A187" s="3">
        <v>43732</v>
      </c>
      <c r="B187" s="4">
        <v>26.42</v>
      </c>
      <c r="D187" s="11">
        <v>184</v>
      </c>
      <c r="E187" s="3">
        <v>43733</v>
      </c>
      <c r="F187" s="7">
        <f t="shared" si="11"/>
        <v>1.0167701789468891E-2</v>
      </c>
      <c r="G187" s="7">
        <f>SUM($F$4:F187)</f>
        <v>3.2752393775898753E-2</v>
      </c>
      <c r="L187" s="11">
        <v>184</v>
      </c>
      <c r="M187" s="7">
        <f t="shared" ca="1" si="12"/>
        <v>3.5453319066429706E-2</v>
      </c>
      <c r="N187" s="7">
        <f ca="1">SUM($M$4:M187)</f>
        <v>0.43378178622455166</v>
      </c>
    </row>
    <row r="188" spans="1:14" x14ac:dyDescent="0.3">
      <c r="A188" s="3">
        <v>43733</v>
      </c>
      <c r="B188" s="4">
        <v>26.690000999999999</v>
      </c>
      <c r="D188" s="11">
        <v>185</v>
      </c>
      <c r="E188" s="3">
        <v>43734</v>
      </c>
      <c r="F188" s="7">
        <f t="shared" si="11"/>
        <v>-8.6548799897342311E-3</v>
      </c>
      <c r="G188" s="7">
        <f>SUM($F$4:F188)</f>
        <v>2.4097513786164523E-2</v>
      </c>
      <c r="L188" s="11">
        <v>185</v>
      </c>
      <c r="M188" s="7">
        <f t="shared" ca="1" si="12"/>
        <v>-3.7538808423278516E-2</v>
      </c>
      <c r="N188" s="7">
        <f ca="1">SUM($M$4:M188)</f>
        <v>0.39624297780127316</v>
      </c>
    </row>
    <row r="189" spans="1:14" x14ac:dyDescent="0.3">
      <c r="A189" s="3">
        <v>43734</v>
      </c>
      <c r="B189" s="4">
        <v>26.459999</v>
      </c>
      <c r="D189" s="11">
        <v>186</v>
      </c>
      <c r="E189" s="3">
        <v>43735</v>
      </c>
      <c r="F189" s="7">
        <f t="shared" si="11"/>
        <v>1.2767729309463394E-2</v>
      </c>
      <c r="G189" s="7">
        <f>SUM($F$4:F189)</f>
        <v>3.6865243095627914E-2</v>
      </c>
      <c r="L189" s="11">
        <v>186</v>
      </c>
      <c r="M189" s="7">
        <f t="shared" ca="1" si="12"/>
        <v>-6.2564680705464188E-3</v>
      </c>
      <c r="N189" s="7">
        <f ca="1">SUM($M$4:M189)</f>
        <v>0.38998650973072674</v>
      </c>
    </row>
    <row r="190" spans="1:14" x14ac:dyDescent="0.3">
      <c r="A190" s="3">
        <v>43735</v>
      </c>
      <c r="B190" s="4">
        <v>26.799999</v>
      </c>
      <c r="D190" s="11">
        <v>187</v>
      </c>
      <c r="E190" s="3">
        <v>43738</v>
      </c>
      <c r="F190" s="7">
        <f t="shared" si="11"/>
        <v>-6.3634879291706858E-3</v>
      </c>
      <c r="G190" s="7">
        <f>SUM($F$4:F190)</f>
        <v>3.0501755166457228E-2</v>
      </c>
      <c r="L190" s="11">
        <v>187</v>
      </c>
      <c r="M190" s="7">
        <f t="shared" ca="1" si="12"/>
        <v>-1.6683914854790451E-2</v>
      </c>
      <c r="N190" s="7">
        <f ca="1">SUM($M$4:M190)</f>
        <v>0.37330259487593631</v>
      </c>
    </row>
    <row r="191" spans="1:14" x14ac:dyDescent="0.3">
      <c r="A191" s="3">
        <v>43738</v>
      </c>
      <c r="B191" s="4">
        <v>26.629999000000002</v>
      </c>
      <c r="D191" s="11">
        <v>188</v>
      </c>
      <c r="E191" s="3">
        <v>43739</v>
      </c>
      <c r="F191" s="7">
        <f t="shared" si="11"/>
        <v>5.24349525805449E-3</v>
      </c>
      <c r="G191" s="7">
        <f>SUM($F$4:F191)</f>
        <v>3.5745250424511717E-2</v>
      </c>
      <c r="L191" s="11">
        <v>188</v>
      </c>
      <c r="M191" s="7">
        <f t="shared" ca="1" si="12"/>
        <v>-4.1709787136976128E-3</v>
      </c>
      <c r="N191" s="7">
        <f ca="1">SUM($M$4:M191)</f>
        <v>0.36913161616223872</v>
      </c>
    </row>
    <row r="192" spans="1:14" x14ac:dyDescent="0.3">
      <c r="A192" s="3">
        <v>43739</v>
      </c>
      <c r="B192" s="4">
        <v>26.77</v>
      </c>
      <c r="D192" s="11">
        <v>189</v>
      </c>
      <c r="E192" s="3">
        <v>43740</v>
      </c>
      <c r="F192" s="7">
        <f t="shared" si="11"/>
        <v>-1.2782128916063255E-2</v>
      </c>
      <c r="G192" s="7">
        <f>SUM($F$4:F192)</f>
        <v>2.296312150844846E-2</v>
      </c>
      <c r="L192" s="11">
        <v>189</v>
      </c>
      <c r="M192" s="7">
        <f t="shared" ca="1" si="12"/>
        <v>1.6683914854790451E-2</v>
      </c>
      <c r="N192" s="7">
        <f ca="1">SUM($M$4:M192)</f>
        <v>0.38581553101702915</v>
      </c>
    </row>
    <row r="193" spans="1:14" x14ac:dyDescent="0.3">
      <c r="A193" s="3">
        <v>43740</v>
      </c>
      <c r="B193" s="4">
        <v>26.43</v>
      </c>
      <c r="D193" s="11">
        <v>190</v>
      </c>
      <c r="E193" s="3">
        <v>43741</v>
      </c>
      <c r="F193" s="7">
        <f t="shared" si="11"/>
        <v>2.2077603915855067E-2</v>
      </c>
      <c r="G193" s="7">
        <f>SUM($F$4:F193)</f>
        <v>4.5040725424303527E-2</v>
      </c>
      <c r="L193" s="11">
        <v>190</v>
      </c>
      <c r="M193" s="7">
        <f t="shared" ca="1" si="12"/>
        <v>-6.2564680705464188E-3</v>
      </c>
      <c r="N193" s="7">
        <f ca="1">SUM($M$4:M193)</f>
        <v>0.37955906294648273</v>
      </c>
    </row>
    <row r="194" spans="1:14" x14ac:dyDescent="0.3">
      <c r="A194" s="3">
        <v>43741</v>
      </c>
      <c r="B194" s="4">
        <v>27.02</v>
      </c>
      <c r="D194" s="11">
        <v>191</v>
      </c>
      <c r="E194" s="3">
        <v>43742</v>
      </c>
      <c r="F194" s="7">
        <f t="shared" si="11"/>
        <v>-3.701647275284673E-4</v>
      </c>
      <c r="G194" s="7">
        <f>SUM($F$4:F194)</f>
        <v>4.4670560696775059E-2</v>
      </c>
      <c r="L194" s="11">
        <v>191</v>
      </c>
      <c r="M194" s="7">
        <f t="shared" ca="1" si="12"/>
        <v>-1.2512936141092838E-2</v>
      </c>
      <c r="N194" s="7">
        <f ca="1">SUM($M$4:M194)</f>
        <v>0.36704612680538989</v>
      </c>
    </row>
    <row r="195" spans="1:14" x14ac:dyDescent="0.3">
      <c r="A195" s="3">
        <v>43742</v>
      </c>
      <c r="B195" s="4">
        <v>27.01</v>
      </c>
      <c r="D195" s="11">
        <v>192</v>
      </c>
      <c r="E195" s="3">
        <v>43745</v>
      </c>
      <c r="F195" s="7">
        <f t="shared" si="11"/>
        <v>1.3605615532768362E-2</v>
      </c>
      <c r="G195" s="7">
        <f>SUM($F$4:F195)</f>
        <v>5.8276176229543425E-2</v>
      </c>
      <c r="L195" s="11">
        <v>192</v>
      </c>
      <c r="M195" s="7">
        <f t="shared" ca="1" si="12"/>
        <v>3.1282340352732099E-2</v>
      </c>
      <c r="N195" s="7">
        <f ca="1">SUM($M$4:M195)</f>
        <v>0.39832846715812198</v>
      </c>
    </row>
    <row r="196" spans="1:14" x14ac:dyDescent="0.3">
      <c r="A196" s="3">
        <v>43745</v>
      </c>
      <c r="B196" s="4">
        <v>27.379999000000002</v>
      </c>
      <c r="D196" s="11">
        <v>193</v>
      </c>
      <c r="E196" s="3">
        <v>43746</v>
      </c>
      <c r="F196" s="7">
        <f t="shared" ref="F196:F259" si="13">LN(B197/B196)</f>
        <v>-2.0292118899760004E-2</v>
      </c>
      <c r="G196" s="7">
        <f>SUM($F$4:F196)</f>
        <v>3.7984057329783424E-2</v>
      </c>
      <c r="L196" s="11">
        <v>193</v>
      </c>
      <c r="M196" s="7">
        <f t="shared" ca="1" si="12"/>
        <v>5.2137233921220161E-2</v>
      </c>
      <c r="N196" s="7">
        <f ca="1">SUM($M$4:M196)</f>
        <v>0.45046570107934214</v>
      </c>
    </row>
    <row r="197" spans="1:14" x14ac:dyDescent="0.3">
      <c r="A197" s="3">
        <v>43746</v>
      </c>
      <c r="B197" s="4">
        <v>26.83</v>
      </c>
      <c r="D197" s="11">
        <v>194</v>
      </c>
      <c r="E197" s="3">
        <v>43747</v>
      </c>
      <c r="F197" s="7">
        <f t="shared" si="13"/>
        <v>6.6865033669915039E-3</v>
      </c>
      <c r="G197" s="7">
        <f>SUM($F$4:F197)</f>
        <v>4.4670560696774927E-2</v>
      </c>
      <c r="L197" s="11">
        <v>194</v>
      </c>
      <c r="M197" s="7">
        <f t="shared" ref="M197:M260" ca="1" si="14">(2*_xlfn.BINOM.INV($J$4,$J$12,RAND())-$J$4)*$J$11</f>
        <v>1.6683914854790451E-2</v>
      </c>
      <c r="N197" s="7">
        <f ca="1">SUM($M$4:M197)</f>
        <v>0.46714961593413257</v>
      </c>
    </row>
    <row r="198" spans="1:14" x14ac:dyDescent="0.3">
      <c r="A198" s="3">
        <v>43747</v>
      </c>
      <c r="B198" s="4">
        <v>27.01</v>
      </c>
      <c r="D198" s="11">
        <v>195</v>
      </c>
      <c r="E198" s="3">
        <v>43748</v>
      </c>
      <c r="F198" s="7">
        <f t="shared" si="13"/>
        <v>1.2509361063466016E-2</v>
      </c>
      <c r="G198" s="7">
        <f>SUM($F$4:F198)</f>
        <v>5.7179921760240941E-2</v>
      </c>
      <c r="L198" s="11">
        <v>195</v>
      </c>
      <c r="M198" s="7">
        <f t="shared" ca="1" si="14"/>
        <v>-8.3419574273952257E-3</v>
      </c>
      <c r="N198" s="7">
        <f ca="1">SUM($M$4:M198)</f>
        <v>0.45880765850673733</v>
      </c>
    </row>
    <row r="199" spans="1:14" x14ac:dyDescent="0.3">
      <c r="A199" s="3">
        <v>43748</v>
      </c>
      <c r="B199" s="4">
        <v>27.35</v>
      </c>
      <c r="D199" s="11">
        <v>196</v>
      </c>
      <c r="E199" s="3">
        <v>43749</v>
      </c>
      <c r="F199" s="7">
        <f t="shared" si="13"/>
        <v>2.2415942593285405E-2</v>
      </c>
      <c r="G199" s="7">
        <f>SUM($F$4:F199)</f>
        <v>7.9595864353526349E-2</v>
      </c>
      <c r="L199" s="11">
        <v>196</v>
      </c>
      <c r="M199" s="7">
        <f t="shared" ca="1" si="14"/>
        <v>6.2564680705464188E-3</v>
      </c>
      <c r="N199" s="7">
        <f ca="1">SUM($M$4:M199)</f>
        <v>0.46506412657728374</v>
      </c>
    </row>
    <row r="200" spans="1:14" x14ac:dyDescent="0.3">
      <c r="A200" s="3">
        <v>43749</v>
      </c>
      <c r="B200" s="4">
        <v>27.969999000000001</v>
      </c>
      <c r="D200" s="11">
        <v>197</v>
      </c>
      <c r="E200" s="3">
        <v>43752</v>
      </c>
      <c r="F200" s="7">
        <f t="shared" si="13"/>
        <v>-7.896631268832199E-3</v>
      </c>
      <c r="G200" s="7">
        <f>SUM($F$4:F200)</f>
        <v>7.1699233084694156E-2</v>
      </c>
      <c r="L200" s="11">
        <v>197</v>
      </c>
      <c r="M200" s="7">
        <f t="shared" ca="1" si="14"/>
        <v>-4.1709787136976128E-3</v>
      </c>
      <c r="N200" s="7">
        <f ca="1">SUM($M$4:M200)</f>
        <v>0.46089314786358615</v>
      </c>
    </row>
    <row r="201" spans="1:14" x14ac:dyDescent="0.3">
      <c r="A201" s="3">
        <v>43752</v>
      </c>
      <c r="B201" s="4">
        <v>27.75</v>
      </c>
      <c r="D201" s="11">
        <v>198</v>
      </c>
      <c r="E201" s="3">
        <v>43753</v>
      </c>
      <c r="F201" s="7">
        <f t="shared" si="13"/>
        <v>3.9561640529700457E-3</v>
      </c>
      <c r="G201" s="7">
        <f>SUM($F$4:F201)</f>
        <v>7.5655397137664199E-2</v>
      </c>
      <c r="L201" s="11">
        <v>198</v>
      </c>
      <c r="M201" s="7">
        <f t="shared" ca="1" si="14"/>
        <v>-3.5453319066429706E-2</v>
      </c>
      <c r="N201" s="7">
        <f ca="1">SUM($M$4:M201)</f>
        <v>0.42543982879715647</v>
      </c>
    </row>
    <row r="202" spans="1:14" x14ac:dyDescent="0.3">
      <c r="A202" s="3">
        <v>43753</v>
      </c>
      <c r="B202" s="4">
        <v>27.860001</v>
      </c>
      <c r="D202" s="11">
        <v>199</v>
      </c>
      <c r="E202" s="3">
        <v>43754</v>
      </c>
      <c r="F202" s="7">
        <f t="shared" si="13"/>
        <v>-2.1560195200458353E-3</v>
      </c>
      <c r="G202" s="7">
        <f>SUM($F$4:F202)</f>
        <v>7.3499377617618364E-2</v>
      </c>
      <c r="L202" s="11">
        <v>199</v>
      </c>
      <c r="M202" s="7">
        <f t="shared" ca="1" si="14"/>
        <v>1.2512936141092838E-2</v>
      </c>
      <c r="N202" s="7">
        <f ca="1">SUM($M$4:M202)</f>
        <v>0.43795276493824931</v>
      </c>
    </row>
    <row r="203" spans="1:14" x14ac:dyDescent="0.3">
      <c r="A203" s="3">
        <v>43754</v>
      </c>
      <c r="B203" s="4">
        <v>27.799999</v>
      </c>
      <c r="D203" s="11">
        <v>200</v>
      </c>
      <c r="E203" s="3">
        <v>43755</v>
      </c>
      <c r="F203" s="7">
        <f t="shared" si="13"/>
        <v>3.2321810588840376E-3</v>
      </c>
      <c r="G203" s="7">
        <f>SUM($F$4:F203)</f>
        <v>7.6731558676502401E-2</v>
      </c>
      <c r="L203" s="11">
        <v>200</v>
      </c>
      <c r="M203" s="7">
        <f t="shared" ca="1" si="14"/>
        <v>-2.2940382925336872E-2</v>
      </c>
      <c r="N203" s="7">
        <f ca="1">SUM($M$4:M203)</f>
        <v>0.41501238201291246</v>
      </c>
    </row>
    <row r="204" spans="1:14" x14ac:dyDescent="0.3">
      <c r="A204" s="3">
        <v>43755</v>
      </c>
      <c r="B204" s="4">
        <v>27.889999</v>
      </c>
      <c r="D204" s="11">
        <v>201</v>
      </c>
      <c r="E204" s="3">
        <v>43756</v>
      </c>
      <c r="F204" s="7">
        <f t="shared" si="13"/>
        <v>-6.4748429974202104E-3</v>
      </c>
      <c r="G204" s="7">
        <f>SUM($F$4:F204)</f>
        <v>7.0256715679082191E-2</v>
      </c>
      <c r="L204" s="11">
        <v>201</v>
      </c>
      <c r="M204" s="7">
        <f t="shared" ca="1" si="14"/>
        <v>-6.2564680705464188E-3</v>
      </c>
      <c r="N204" s="7">
        <f ca="1">SUM($M$4:M204)</f>
        <v>0.40875591394236604</v>
      </c>
    </row>
    <row r="205" spans="1:14" x14ac:dyDescent="0.3">
      <c r="A205" s="3">
        <v>43756</v>
      </c>
      <c r="B205" s="4">
        <v>27.709999</v>
      </c>
      <c r="D205" s="11">
        <v>202</v>
      </c>
      <c r="E205" s="3">
        <v>43759</v>
      </c>
      <c r="F205" s="7">
        <f t="shared" si="13"/>
        <v>-7.2194948984110414E-4</v>
      </c>
      <c r="G205" s="7">
        <f>SUM($F$4:F205)</f>
        <v>6.9534766189241093E-2</v>
      </c>
      <c r="L205" s="11">
        <v>202</v>
      </c>
      <c r="M205" s="7">
        <f t="shared" ca="1" si="14"/>
        <v>-4.1709787136976128E-3</v>
      </c>
      <c r="N205" s="7">
        <f ca="1">SUM($M$4:M205)</f>
        <v>0.40458493522866845</v>
      </c>
    </row>
    <row r="206" spans="1:14" x14ac:dyDescent="0.3">
      <c r="A206" s="3">
        <v>43759</v>
      </c>
      <c r="B206" s="4">
        <v>27.690000999999999</v>
      </c>
      <c r="D206" s="11">
        <v>203</v>
      </c>
      <c r="E206" s="3">
        <v>43760</v>
      </c>
      <c r="F206" s="7">
        <f t="shared" si="13"/>
        <v>1.7186208591290858E-2</v>
      </c>
      <c r="G206" s="7">
        <f>SUM($F$4:F206)</f>
        <v>8.6720974780531951E-2</v>
      </c>
      <c r="L206" s="11">
        <v>203</v>
      </c>
      <c r="M206" s="7">
        <f t="shared" ca="1" si="14"/>
        <v>2.5025872282185675E-2</v>
      </c>
      <c r="N206" s="7">
        <f ca="1">SUM($M$4:M206)</f>
        <v>0.42961080751085412</v>
      </c>
    </row>
    <row r="207" spans="1:14" x14ac:dyDescent="0.3">
      <c r="A207" s="3">
        <v>43760</v>
      </c>
      <c r="B207" s="4">
        <v>28.17</v>
      </c>
      <c r="D207" s="11">
        <v>204</v>
      </c>
      <c r="E207" s="3">
        <v>43761</v>
      </c>
      <c r="F207" s="7">
        <f t="shared" si="13"/>
        <v>-3.5505059843967107E-4</v>
      </c>
      <c r="G207" s="7">
        <f>SUM($F$4:F207)</f>
        <v>8.6365924182092282E-2</v>
      </c>
      <c r="L207" s="11">
        <v>204</v>
      </c>
      <c r="M207" s="7">
        <f t="shared" ca="1" si="14"/>
        <v>-2.5025872282185675E-2</v>
      </c>
      <c r="N207" s="7">
        <f ca="1">SUM($M$4:M207)</f>
        <v>0.40458493522866845</v>
      </c>
    </row>
    <row r="208" spans="1:14" x14ac:dyDescent="0.3">
      <c r="A208" s="3">
        <v>43761</v>
      </c>
      <c r="B208" s="4">
        <v>28.16</v>
      </c>
      <c r="D208" s="11">
        <v>205</v>
      </c>
      <c r="E208" s="3">
        <v>43762</v>
      </c>
      <c r="F208" s="7">
        <f t="shared" si="13"/>
        <v>-2.2263001678512865E-2</v>
      </c>
      <c r="G208" s="7">
        <f>SUM($F$4:F208)</f>
        <v>6.4102922503579421E-2</v>
      </c>
      <c r="L208" s="11">
        <v>205</v>
      </c>
      <c r="M208" s="7">
        <f t="shared" ca="1" si="14"/>
        <v>-8.3419574273952257E-3</v>
      </c>
      <c r="N208" s="7">
        <f ca="1">SUM($M$4:M208)</f>
        <v>0.39624297780127321</v>
      </c>
    </row>
    <row r="209" spans="1:14" x14ac:dyDescent="0.3">
      <c r="A209" s="3">
        <v>43762</v>
      </c>
      <c r="B209" s="4">
        <v>27.540001</v>
      </c>
      <c r="D209" s="11">
        <v>206</v>
      </c>
      <c r="E209" s="3">
        <v>43763</v>
      </c>
      <c r="F209" s="7">
        <f t="shared" si="13"/>
        <v>1.088695424376666E-3</v>
      </c>
      <c r="G209" s="7">
        <f>SUM($F$4:F209)</f>
        <v>6.519161792795608E-2</v>
      </c>
      <c r="L209" s="11">
        <v>206</v>
      </c>
      <c r="M209" s="7">
        <f t="shared" ca="1" si="14"/>
        <v>-2.0854893568488064E-3</v>
      </c>
      <c r="N209" s="7">
        <f ca="1">SUM($M$4:M209)</f>
        <v>0.39415748844442439</v>
      </c>
    </row>
    <row r="210" spans="1:14" x14ac:dyDescent="0.3">
      <c r="A210" s="3">
        <v>43763</v>
      </c>
      <c r="B210" s="4">
        <v>27.57</v>
      </c>
      <c r="D210" s="11">
        <v>207</v>
      </c>
      <c r="E210" s="3">
        <v>43766</v>
      </c>
      <c r="F210" s="7">
        <f t="shared" si="13"/>
        <v>7.9480547028733025E-3</v>
      </c>
      <c r="G210" s="7">
        <f>SUM($F$4:F210)</f>
        <v>7.3139672630829378E-2</v>
      </c>
      <c r="L210" s="11">
        <v>207</v>
      </c>
      <c r="M210" s="7">
        <f t="shared" ca="1" si="14"/>
        <v>-2.7111361639034482E-2</v>
      </c>
      <c r="N210" s="7">
        <f ca="1">SUM($M$4:M210)</f>
        <v>0.36704612680538989</v>
      </c>
    </row>
    <row r="211" spans="1:14" x14ac:dyDescent="0.3">
      <c r="A211" s="3">
        <v>43766</v>
      </c>
      <c r="B211" s="4">
        <v>27.790001</v>
      </c>
      <c r="D211" s="11">
        <v>208</v>
      </c>
      <c r="E211" s="3">
        <v>43767</v>
      </c>
      <c r="F211" s="7">
        <f t="shared" si="13"/>
        <v>-1.3403605604410236E-2</v>
      </c>
      <c r="G211" s="7">
        <f>SUM($F$4:F211)</f>
        <v>5.9736067026419142E-2</v>
      </c>
      <c r="L211" s="11">
        <v>208</v>
      </c>
      <c r="M211" s="7">
        <f t="shared" ca="1" si="14"/>
        <v>-2.5025872282185675E-2</v>
      </c>
      <c r="N211" s="7">
        <f ca="1">SUM($M$4:M211)</f>
        <v>0.34202025452320423</v>
      </c>
    </row>
    <row r="212" spans="1:14" x14ac:dyDescent="0.3">
      <c r="A212" s="3">
        <v>43767</v>
      </c>
      <c r="B212" s="4">
        <v>27.42</v>
      </c>
      <c r="D212" s="11">
        <v>209</v>
      </c>
      <c r="E212" s="3">
        <v>43768</v>
      </c>
      <c r="F212" s="7">
        <f t="shared" si="13"/>
        <v>-1.8774709395353945E-2</v>
      </c>
      <c r="G212" s="7">
        <f>SUM($F$4:F212)</f>
        <v>4.0961357631065197E-2</v>
      </c>
      <c r="L212" s="11">
        <v>209</v>
      </c>
      <c r="M212" s="7">
        <f t="shared" ca="1" si="14"/>
        <v>-1.8769404211639258E-2</v>
      </c>
      <c r="N212" s="7">
        <f ca="1">SUM($M$4:M212)</f>
        <v>0.32325085031156497</v>
      </c>
    </row>
    <row r="213" spans="1:14" x14ac:dyDescent="0.3">
      <c r="A213" s="3">
        <v>43768</v>
      </c>
      <c r="B213" s="4">
        <v>26.91</v>
      </c>
      <c r="D213" s="11">
        <v>210</v>
      </c>
      <c r="E213" s="3">
        <v>43769</v>
      </c>
      <c r="F213" s="7">
        <f t="shared" si="13"/>
        <v>1.8562842133029289E-3</v>
      </c>
      <c r="G213" s="7">
        <f>SUM($F$4:F213)</f>
        <v>4.2817641844368128E-2</v>
      </c>
      <c r="L213" s="11">
        <v>210</v>
      </c>
      <c r="M213" s="7">
        <f t="shared" ca="1" si="14"/>
        <v>-1.0427446784244032E-2</v>
      </c>
      <c r="N213" s="7">
        <f ca="1">SUM($M$4:M213)</f>
        <v>0.31282340352732096</v>
      </c>
    </row>
    <row r="214" spans="1:14" x14ac:dyDescent="0.3">
      <c r="A214" s="3">
        <v>43769</v>
      </c>
      <c r="B214" s="4">
        <v>26.959999</v>
      </c>
      <c r="D214" s="11">
        <v>211</v>
      </c>
      <c r="E214" s="3">
        <v>43770</v>
      </c>
      <c r="F214" s="7">
        <f t="shared" si="13"/>
        <v>1.1066177316269233E-2</v>
      </c>
      <c r="G214" s="7">
        <f>SUM($F$4:F214)</f>
        <v>5.3883819160637364E-2</v>
      </c>
      <c r="L214" s="11">
        <v>211</v>
      </c>
      <c r="M214" s="7">
        <f t="shared" ca="1" si="14"/>
        <v>1.6683914854790451E-2</v>
      </c>
      <c r="N214" s="7">
        <f ca="1">SUM($M$4:M214)</f>
        <v>0.32950731838211139</v>
      </c>
    </row>
    <row r="215" spans="1:14" x14ac:dyDescent="0.3">
      <c r="A215" s="3">
        <v>43770</v>
      </c>
      <c r="B215" s="4">
        <v>27.26</v>
      </c>
      <c r="D215" s="11">
        <v>212</v>
      </c>
      <c r="E215" s="3">
        <v>43773</v>
      </c>
      <c r="F215" s="7">
        <f t="shared" si="13"/>
        <v>1.997520601919785E-2</v>
      </c>
      <c r="G215" s="7">
        <f>SUM($F$4:F215)</f>
        <v>7.3859025179835211E-2</v>
      </c>
      <c r="L215" s="11">
        <v>212</v>
      </c>
      <c r="M215" s="7">
        <f t="shared" ca="1" si="14"/>
        <v>1.0427446784244032E-2</v>
      </c>
      <c r="N215" s="7">
        <f ca="1">SUM($M$4:M215)</f>
        <v>0.3399347651663554</v>
      </c>
    </row>
    <row r="216" spans="1:14" x14ac:dyDescent="0.3">
      <c r="A216" s="3">
        <v>43773</v>
      </c>
      <c r="B216" s="4">
        <v>27.809999000000001</v>
      </c>
      <c r="D216" s="11">
        <v>213</v>
      </c>
      <c r="E216" s="3">
        <v>43774</v>
      </c>
      <c r="F216" s="7">
        <f t="shared" si="13"/>
        <v>5.021603091698355E-3</v>
      </c>
      <c r="G216" s="7">
        <f>SUM($F$4:F216)</f>
        <v>7.8880628271533568E-2</v>
      </c>
      <c r="L216" s="11">
        <v>213</v>
      </c>
      <c r="M216" s="7">
        <f t="shared" ca="1" si="14"/>
        <v>-2.5025872282185675E-2</v>
      </c>
      <c r="N216" s="7">
        <f ca="1">SUM($M$4:M216)</f>
        <v>0.31490889288416973</v>
      </c>
    </row>
    <row r="217" spans="1:14" x14ac:dyDescent="0.3">
      <c r="A217" s="3">
        <v>43774</v>
      </c>
      <c r="B217" s="4">
        <v>27.950001</v>
      </c>
      <c r="D217" s="11">
        <v>214</v>
      </c>
      <c r="E217" s="3">
        <v>43775</v>
      </c>
      <c r="F217" s="7">
        <f t="shared" si="13"/>
        <v>-9.3458620822924818E-3</v>
      </c>
      <c r="G217" s="7">
        <f>SUM($F$4:F217)</f>
        <v>6.9534766189241093E-2</v>
      </c>
      <c r="L217" s="11">
        <v>214</v>
      </c>
      <c r="M217" s="7">
        <f t="shared" ca="1" si="14"/>
        <v>4.1709787136976128E-3</v>
      </c>
      <c r="N217" s="7">
        <f ca="1">SUM($M$4:M217)</f>
        <v>0.31907987159786733</v>
      </c>
    </row>
    <row r="218" spans="1:14" x14ac:dyDescent="0.3">
      <c r="A218" s="3">
        <v>43775</v>
      </c>
      <c r="B218" s="4">
        <v>27.690000999999999</v>
      </c>
      <c r="D218" s="11">
        <v>215</v>
      </c>
      <c r="E218" s="3">
        <v>43776</v>
      </c>
      <c r="F218" s="7">
        <f t="shared" si="13"/>
        <v>0.11388313739017517</v>
      </c>
      <c r="G218" s="7">
        <f>SUM($F$4:F218)</f>
        <v>0.18341790357941626</v>
      </c>
      <c r="L218" s="11">
        <v>215</v>
      </c>
      <c r="M218" s="7">
        <f t="shared" ca="1" si="14"/>
        <v>2.0854893568488065E-2</v>
      </c>
      <c r="N218" s="7">
        <f ca="1">SUM($M$4:M218)</f>
        <v>0.3399347651663554</v>
      </c>
    </row>
    <row r="219" spans="1:14" x14ac:dyDescent="0.3">
      <c r="A219" s="3">
        <v>43776</v>
      </c>
      <c r="B219" s="4">
        <v>31.030000999999999</v>
      </c>
      <c r="D219" s="11">
        <v>216</v>
      </c>
      <c r="E219" s="3">
        <v>43777</v>
      </c>
      <c r="F219" s="7">
        <f t="shared" si="13"/>
        <v>-3.8747545431405891E-3</v>
      </c>
      <c r="G219" s="7">
        <f>SUM($F$4:F219)</f>
        <v>0.17954314903627566</v>
      </c>
      <c r="L219" s="11">
        <v>216</v>
      </c>
      <c r="M219" s="7">
        <f t="shared" ca="1" si="14"/>
        <v>1.8769404211639258E-2</v>
      </c>
      <c r="N219" s="7">
        <f ca="1">SUM($M$4:M219)</f>
        <v>0.35870416937799465</v>
      </c>
    </row>
    <row r="220" spans="1:14" x14ac:dyDescent="0.3">
      <c r="A220" s="3">
        <v>43777</v>
      </c>
      <c r="B220" s="4">
        <v>30.91</v>
      </c>
      <c r="D220" s="11">
        <v>217</v>
      </c>
      <c r="E220" s="3">
        <v>43780</v>
      </c>
      <c r="F220" s="7">
        <f t="shared" si="13"/>
        <v>1.6162602777592002E-3</v>
      </c>
      <c r="G220" s="7">
        <f>SUM($F$4:F220)</f>
        <v>0.18115940931403487</v>
      </c>
      <c r="L220" s="11">
        <v>217</v>
      </c>
      <c r="M220" s="7">
        <f t="shared" ca="1" si="14"/>
        <v>-1.4598425497941644E-2</v>
      </c>
      <c r="N220" s="7">
        <f ca="1">SUM($M$4:M220)</f>
        <v>0.34410574388005299</v>
      </c>
    </row>
    <row r="221" spans="1:14" x14ac:dyDescent="0.3">
      <c r="A221" s="3">
        <v>43780</v>
      </c>
      <c r="B221" s="4">
        <v>30.959999</v>
      </c>
      <c r="D221" s="11">
        <v>218</v>
      </c>
      <c r="E221" s="3">
        <v>43781</v>
      </c>
      <c r="F221" s="7">
        <f t="shared" si="13"/>
        <v>-7.1312783113345228E-3</v>
      </c>
      <c r="G221" s="7">
        <f>SUM($F$4:F221)</f>
        <v>0.17402813100270034</v>
      </c>
      <c r="L221" s="11">
        <v>218</v>
      </c>
      <c r="M221" s="7">
        <f t="shared" ca="1" si="14"/>
        <v>1.0427446784244032E-2</v>
      </c>
      <c r="N221" s="7">
        <f ca="1">SUM($M$4:M221)</f>
        <v>0.354533190664297</v>
      </c>
    </row>
    <row r="222" spans="1:14" x14ac:dyDescent="0.3">
      <c r="A222" s="3">
        <v>43781</v>
      </c>
      <c r="B222" s="4">
        <v>30.74</v>
      </c>
      <c r="D222" s="11">
        <v>219</v>
      </c>
      <c r="E222" s="3">
        <v>43782</v>
      </c>
      <c r="F222" s="7">
        <f t="shared" si="13"/>
        <v>-2.8375411313035892E-2</v>
      </c>
      <c r="G222" s="7">
        <f>SUM($F$4:F222)</f>
        <v>0.14565271968966445</v>
      </c>
      <c r="L222" s="11">
        <v>219</v>
      </c>
      <c r="M222" s="7">
        <f t="shared" ca="1" si="14"/>
        <v>1.8769404211639258E-2</v>
      </c>
      <c r="N222" s="7">
        <f ca="1">SUM($M$4:M222)</f>
        <v>0.37330259487593626</v>
      </c>
    </row>
    <row r="223" spans="1:14" x14ac:dyDescent="0.3">
      <c r="A223" s="3">
        <v>43782</v>
      </c>
      <c r="B223" s="4">
        <v>29.879999000000002</v>
      </c>
      <c r="D223" s="11">
        <v>220</v>
      </c>
      <c r="E223" s="3">
        <v>43783</v>
      </c>
      <c r="F223" s="7">
        <f t="shared" si="13"/>
        <v>6.6915359922676198E-4</v>
      </c>
      <c r="G223" s="7">
        <f>SUM($F$4:F223)</f>
        <v>0.14632187328889121</v>
      </c>
      <c r="L223" s="11">
        <v>220</v>
      </c>
      <c r="M223" s="7">
        <f t="shared" ca="1" si="14"/>
        <v>-2.0854893568488065E-2</v>
      </c>
      <c r="N223" s="7">
        <f ca="1">SUM($M$4:M223)</f>
        <v>0.35244770130744818</v>
      </c>
    </row>
    <row r="224" spans="1:14" x14ac:dyDescent="0.3">
      <c r="A224" s="3">
        <v>43783</v>
      </c>
      <c r="B224" s="4">
        <v>29.9</v>
      </c>
      <c r="D224" s="11">
        <v>221</v>
      </c>
      <c r="E224" s="3">
        <v>43784</v>
      </c>
      <c r="F224" s="7">
        <f t="shared" si="13"/>
        <v>-6.0382941944583457E-3</v>
      </c>
      <c r="G224" s="7">
        <f>SUM($F$4:F224)</f>
        <v>0.14028357909443287</v>
      </c>
      <c r="L224" s="11">
        <v>221</v>
      </c>
      <c r="M224" s="7">
        <f t="shared" ca="1" si="14"/>
        <v>-1.4598425497941644E-2</v>
      </c>
      <c r="N224" s="7">
        <f ca="1">SUM($M$4:M224)</f>
        <v>0.33784927580950652</v>
      </c>
    </row>
    <row r="225" spans="1:14" x14ac:dyDescent="0.3">
      <c r="A225" s="3">
        <v>43784</v>
      </c>
      <c r="B225" s="4">
        <v>29.719999000000001</v>
      </c>
      <c r="D225" s="11">
        <v>222</v>
      </c>
      <c r="E225" s="3">
        <v>43787</v>
      </c>
      <c r="F225" s="7">
        <f t="shared" si="13"/>
        <v>3.4394958435260782E-2</v>
      </c>
      <c r="G225" s="7">
        <f>SUM($F$4:F225)</f>
        <v>0.17467853752969364</v>
      </c>
      <c r="L225" s="11">
        <v>222</v>
      </c>
      <c r="M225" s="7">
        <f t="shared" ca="1" si="14"/>
        <v>7.5077616846557033E-2</v>
      </c>
      <c r="N225" s="7">
        <f ca="1">SUM($M$4:M225)</f>
        <v>0.41292689265606353</v>
      </c>
    </row>
    <row r="226" spans="1:14" x14ac:dyDescent="0.3">
      <c r="A226" s="3">
        <v>43787</v>
      </c>
      <c r="B226" s="4">
        <v>30.76</v>
      </c>
      <c r="D226" s="11">
        <v>223</v>
      </c>
      <c r="E226" s="3">
        <v>43788</v>
      </c>
      <c r="F226" s="7">
        <f t="shared" si="13"/>
        <v>2.5992157932457082E-2</v>
      </c>
      <c r="G226" s="7">
        <f>SUM($F$4:F226)</f>
        <v>0.20067069546215072</v>
      </c>
      <c r="L226" s="11">
        <v>223</v>
      </c>
      <c r="M226" s="7">
        <f t="shared" ca="1" si="14"/>
        <v>-1.2512936141092838E-2</v>
      </c>
      <c r="N226" s="7">
        <f ca="1">SUM($M$4:M226)</f>
        <v>0.40041395651497069</v>
      </c>
    </row>
    <row r="227" spans="1:14" x14ac:dyDescent="0.3">
      <c r="A227" s="3">
        <v>43788</v>
      </c>
      <c r="B227" s="4">
        <v>31.57</v>
      </c>
      <c r="D227" s="11">
        <v>224</v>
      </c>
      <c r="E227" s="3">
        <v>43789</v>
      </c>
      <c r="F227" s="7">
        <f t="shared" si="13"/>
        <v>1.4153404998668446E-2</v>
      </c>
      <c r="G227" s="7">
        <f>SUM($F$4:F227)</f>
        <v>0.21482410046081915</v>
      </c>
      <c r="L227" s="11">
        <v>224</v>
      </c>
      <c r="M227" s="7">
        <f t="shared" ca="1" si="14"/>
        <v>-6.2564680705464188E-3</v>
      </c>
      <c r="N227" s="7">
        <f ca="1">SUM($M$4:M227)</f>
        <v>0.39415748844442428</v>
      </c>
    </row>
    <row r="228" spans="1:14" x14ac:dyDescent="0.3">
      <c r="A228" s="3">
        <v>43789</v>
      </c>
      <c r="B228" s="4">
        <v>32.020000000000003</v>
      </c>
      <c r="D228" s="11">
        <v>225</v>
      </c>
      <c r="E228" s="3">
        <v>43790</v>
      </c>
      <c r="F228" s="7">
        <f t="shared" si="13"/>
        <v>3.740621626920734E-3</v>
      </c>
      <c r="G228" s="7">
        <f>SUM($F$4:F228)</f>
        <v>0.21856472208773989</v>
      </c>
      <c r="L228" s="11">
        <v>225</v>
      </c>
      <c r="M228" s="7">
        <f t="shared" ca="1" si="14"/>
        <v>-4.170978713697613E-2</v>
      </c>
      <c r="N228" s="7">
        <f ca="1">SUM($M$4:M228)</f>
        <v>0.35244770130744812</v>
      </c>
    </row>
    <row r="229" spans="1:14" x14ac:dyDescent="0.3">
      <c r="A229" s="3">
        <v>43790</v>
      </c>
      <c r="B229" s="4">
        <v>32.139999000000003</v>
      </c>
      <c r="D229" s="11">
        <v>226</v>
      </c>
      <c r="E229" s="3">
        <v>43791</v>
      </c>
      <c r="F229" s="7">
        <f t="shared" si="13"/>
        <v>1.2061380548915592E-2</v>
      </c>
      <c r="G229" s="7">
        <f>SUM($F$4:F229)</f>
        <v>0.23062610263665548</v>
      </c>
      <c r="L229" s="11">
        <v>226</v>
      </c>
      <c r="M229" s="7">
        <f t="shared" ca="1" si="14"/>
        <v>-2.9196850995883289E-2</v>
      </c>
      <c r="N229" s="7">
        <f ca="1">SUM($M$4:M229)</f>
        <v>0.32325085031156486</v>
      </c>
    </row>
    <row r="230" spans="1:14" x14ac:dyDescent="0.3">
      <c r="A230" s="3">
        <v>43791</v>
      </c>
      <c r="B230" s="4">
        <v>32.529998999999997</v>
      </c>
      <c r="D230" s="11">
        <v>227</v>
      </c>
      <c r="E230" s="3">
        <v>43794</v>
      </c>
      <c r="F230" s="7">
        <f t="shared" si="13"/>
        <v>-6.1670561450175038E-3</v>
      </c>
      <c r="G230" s="7">
        <f>SUM($F$4:F230)</f>
        <v>0.22445904649163798</v>
      </c>
      <c r="L230" s="11">
        <v>227</v>
      </c>
      <c r="M230" s="7">
        <f t="shared" ca="1" si="14"/>
        <v>-2.7111361639034482E-2</v>
      </c>
      <c r="N230" s="7">
        <f ca="1">SUM($M$4:M230)</f>
        <v>0.29613948867253037</v>
      </c>
    </row>
    <row r="231" spans="1:14" x14ac:dyDescent="0.3">
      <c r="A231" s="3">
        <v>43794</v>
      </c>
      <c r="B231" s="4">
        <v>32.330002</v>
      </c>
      <c r="D231" s="11">
        <v>228</v>
      </c>
      <c r="E231" s="3">
        <v>43795</v>
      </c>
      <c r="F231" s="7">
        <f t="shared" si="13"/>
        <v>3.1361953867177141E-2</v>
      </c>
      <c r="G231" s="7">
        <f>SUM($F$4:F231)</f>
        <v>0.25582100035881511</v>
      </c>
      <c r="L231" s="11">
        <v>228</v>
      </c>
      <c r="M231" s="7">
        <f t="shared" ca="1" si="14"/>
        <v>-1.0427446784244032E-2</v>
      </c>
      <c r="N231" s="7">
        <f ca="1">SUM($M$4:M231)</f>
        <v>0.28571204188828636</v>
      </c>
    </row>
    <row r="232" spans="1:14" x14ac:dyDescent="0.3">
      <c r="A232" s="3">
        <v>43795</v>
      </c>
      <c r="B232" s="4">
        <v>33.360000999999997</v>
      </c>
      <c r="D232" s="11">
        <v>229</v>
      </c>
      <c r="E232" s="3">
        <v>43796</v>
      </c>
      <c r="F232" s="7">
        <f t="shared" si="13"/>
        <v>-7.2203081427428921E-3</v>
      </c>
      <c r="G232" s="7">
        <f>SUM($F$4:F232)</f>
        <v>0.24860069221607223</v>
      </c>
      <c r="L232" s="11">
        <v>229</v>
      </c>
      <c r="M232" s="7">
        <f t="shared" ca="1" si="14"/>
        <v>-2.0854893568488064E-3</v>
      </c>
      <c r="N232" s="7">
        <f ca="1">SUM($M$4:M232)</f>
        <v>0.28362655253143754</v>
      </c>
    </row>
    <row r="233" spans="1:14" x14ac:dyDescent="0.3">
      <c r="A233" s="3">
        <v>43796</v>
      </c>
      <c r="B233" s="4">
        <v>33.119999</v>
      </c>
      <c r="D233" s="11">
        <v>230</v>
      </c>
      <c r="E233" s="3">
        <v>43798</v>
      </c>
      <c r="F233" s="7">
        <f t="shared" si="13"/>
        <v>-5.449604932555017E-3</v>
      </c>
      <c r="G233" s="7">
        <f>SUM($F$4:F233)</f>
        <v>0.2431510872835172</v>
      </c>
      <c r="L233" s="11">
        <v>230</v>
      </c>
      <c r="M233" s="7">
        <f t="shared" ca="1" si="14"/>
        <v>1.0427446784244032E-2</v>
      </c>
      <c r="N233" s="7">
        <f ca="1">SUM($M$4:M233)</f>
        <v>0.29405399931568155</v>
      </c>
    </row>
    <row r="234" spans="1:14" x14ac:dyDescent="0.3">
      <c r="A234" s="3">
        <v>43798</v>
      </c>
      <c r="B234" s="4">
        <v>32.939999</v>
      </c>
      <c r="D234" s="11">
        <v>231</v>
      </c>
      <c r="E234" s="3">
        <v>43801</v>
      </c>
      <c r="F234" s="7">
        <f t="shared" si="13"/>
        <v>-6.0900613609249201E-3</v>
      </c>
      <c r="G234" s="7">
        <f>SUM($F$4:F234)</f>
        <v>0.23706102592259229</v>
      </c>
      <c r="L234" s="11">
        <v>231</v>
      </c>
      <c r="M234" s="7">
        <f t="shared" ca="1" si="14"/>
        <v>3.5453319066429706E-2</v>
      </c>
      <c r="N234" s="7">
        <f ca="1">SUM($M$4:M234)</f>
        <v>0.32950731838211123</v>
      </c>
    </row>
    <row r="235" spans="1:14" x14ac:dyDescent="0.3">
      <c r="A235" s="3">
        <v>43801</v>
      </c>
      <c r="B235" s="4">
        <v>32.740001999999997</v>
      </c>
      <c r="D235" s="11">
        <v>232</v>
      </c>
      <c r="E235" s="3">
        <v>43802</v>
      </c>
      <c r="F235" s="7">
        <f t="shared" si="13"/>
        <v>-1.8807428779014639E-2</v>
      </c>
      <c r="G235" s="7">
        <f>SUM($F$4:F235)</f>
        <v>0.21825359714357764</v>
      </c>
      <c r="L235" s="11">
        <v>232</v>
      </c>
      <c r="M235" s="7">
        <f t="shared" ca="1" si="14"/>
        <v>3.7538808423278516E-2</v>
      </c>
      <c r="N235" s="7">
        <f ca="1">SUM($M$4:M235)</f>
        <v>0.36704612680538973</v>
      </c>
    </row>
    <row r="236" spans="1:14" x14ac:dyDescent="0.3">
      <c r="A236" s="3">
        <v>43802</v>
      </c>
      <c r="B236" s="4">
        <v>32.130001</v>
      </c>
      <c r="D236" s="11">
        <v>233</v>
      </c>
      <c r="E236" s="3">
        <v>43803</v>
      </c>
      <c r="F236" s="7">
        <f t="shared" si="13"/>
        <v>2.1762793549355403E-3</v>
      </c>
      <c r="G236" s="7">
        <f>SUM($F$4:F236)</f>
        <v>0.22042987649851317</v>
      </c>
      <c r="L236" s="11">
        <v>233</v>
      </c>
      <c r="M236" s="7">
        <f t="shared" ca="1" si="14"/>
        <v>-2.0854893568488065E-2</v>
      </c>
      <c r="N236" s="7">
        <f ca="1">SUM($M$4:M236)</f>
        <v>0.34619123323690165</v>
      </c>
    </row>
    <row r="237" spans="1:14" x14ac:dyDescent="0.3">
      <c r="A237" s="3">
        <v>43803</v>
      </c>
      <c r="B237" s="4">
        <v>32.200001</v>
      </c>
      <c r="D237" s="11">
        <v>234</v>
      </c>
      <c r="E237" s="3">
        <v>43804</v>
      </c>
      <c r="F237" s="7">
        <f t="shared" si="13"/>
        <v>-3.7336382638112585E-3</v>
      </c>
      <c r="G237" s="7">
        <f>SUM($F$4:F237)</f>
        <v>0.21669623823470191</v>
      </c>
      <c r="L237" s="11">
        <v>234</v>
      </c>
      <c r="M237" s="7">
        <f t="shared" ca="1" si="14"/>
        <v>-1.8769404211639258E-2</v>
      </c>
      <c r="N237" s="7">
        <f ca="1">SUM($M$4:M237)</f>
        <v>0.3274218290252624</v>
      </c>
    </row>
    <row r="238" spans="1:14" x14ac:dyDescent="0.3">
      <c r="A238" s="3">
        <v>43804</v>
      </c>
      <c r="B238" s="4">
        <v>32.080002</v>
      </c>
      <c r="D238" s="11">
        <v>235</v>
      </c>
      <c r="E238" s="3">
        <v>43805</v>
      </c>
      <c r="F238" s="7">
        <f t="shared" si="13"/>
        <v>-1.2476919313073479E-3</v>
      </c>
      <c r="G238" s="7">
        <f>SUM($F$4:F238)</f>
        <v>0.21544854630339455</v>
      </c>
      <c r="L238" s="11">
        <v>235</v>
      </c>
      <c r="M238" s="7">
        <f t="shared" ca="1" si="14"/>
        <v>-5.8393701991766578E-2</v>
      </c>
      <c r="N238" s="7">
        <f ca="1">SUM($M$4:M238)</f>
        <v>0.26902812703349582</v>
      </c>
    </row>
    <row r="239" spans="1:14" x14ac:dyDescent="0.3">
      <c r="A239" s="3">
        <v>43805</v>
      </c>
      <c r="B239" s="4">
        <v>32.040000999999997</v>
      </c>
      <c r="D239" s="11">
        <v>236</v>
      </c>
      <c r="E239" s="3">
        <v>43808</v>
      </c>
      <c r="F239" s="7">
        <f t="shared" si="13"/>
        <v>-6.244458425754486E-4</v>
      </c>
      <c r="G239" s="7">
        <f>SUM($F$4:F239)</f>
        <v>0.2148241004608191</v>
      </c>
      <c r="L239" s="11">
        <v>236</v>
      </c>
      <c r="M239" s="7">
        <f t="shared" ca="1" si="14"/>
        <v>-1.6683914854790451E-2</v>
      </c>
      <c r="N239" s="7">
        <f ca="1">SUM($M$4:M239)</f>
        <v>0.2523442121787054</v>
      </c>
    </row>
    <row r="240" spans="1:14" x14ac:dyDescent="0.3">
      <c r="A240" s="3">
        <v>43808</v>
      </c>
      <c r="B240" s="4">
        <v>32.020000000000003</v>
      </c>
      <c r="D240" s="11">
        <v>237</v>
      </c>
      <c r="E240" s="3">
        <v>43809</v>
      </c>
      <c r="F240" s="7">
        <f t="shared" si="13"/>
        <v>6.8472721045963296E-3</v>
      </c>
      <c r="G240" s="7">
        <f>SUM($F$4:F240)</f>
        <v>0.22167137256541541</v>
      </c>
      <c r="L240" s="11">
        <v>237</v>
      </c>
      <c r="M240" s="7">
        <f t="shared" ca="1" si="14"/>
        <v>-3.7538808423278516E-2</v>
      </c>
      <c r="N240" s="7">
        <f ca="1">SUM($M$4:M240)</f>
        <v>0.21480540375542689</v>
      </c>
    </row>
    <row r="241" spans="1:14" x14ac:dyDescent="0.3">
      <c r="A241" s="3">
        <v>43809</v>
      </c>
      <c r="B241" s="4">
        <v>32.240001999999997</v>
      </c>
      <c r="D241" s="11">
        <v>238</v>
      </c>
      <c r="E241" s="3">
        <v>43810</v>
      </c>
      <c r="F241" s="7">
        <f t="shared" si="13"/>
        <v>-4.6635245513993659E-3</v>
      </c>
      <c r="G241" s="7">
        <f>SUM($F$4:F241)</f>
        <v>0.21700784801401604</v>
      </c>
      <c r="L241" s="11">
        <v>238</v>
      </c>
      <c r="M241" s="7">
        <f t="shared" ca="1" si="14"/>
        <v>-2.9196850995883289E-2</v>
      </c>
      <c r="N241" s="7">
        <f ca="1">SUM($M$4:M241)</f>
        <v>0.1856085527595436</v>
      </c>
    </row>
    <row r="242" spans="1:14" x14ac:dyDescent="0.3">
      <c r="A242" s="3">
        <v>43810</v>
      </c>
      <c r="B242" s="4">
        <v>32.090000000000003</v>
      </c>
      <c r="D242" s="11">
        <v>239</v>
      </c>
      <c r="E242" s="3">
        <v>43811</v>
      </c>
      <c r="F242" s="7">
        <f t="shared" si="13"/>
        <v>8.3786679708733568E-3</v>
      </c>
      <c r="G242" s="7">
        <f>SUM($F$4:F242)</f>
        <v>0.2253865159848894</v>
      </c>
      <c r="L242" s="11">
        <v>239</v>
      </c>
      <c r="M242" s="7">
        <f t="shared" ca="1" si="14"/>
        <v>-1.4598425497941644E-2</v>
      </c>
      <c r="N242" s="7">
        <f ca="1">SUM($M$4:M242)</f>
        <v>0.17101012726160197</v>
      </c>
    </row>
    <row r="243" spans="1:14" x14ac:dyDescent="0.3">
      <c r="A243" s="3">
        <v>43811</v>
      </c>
      <c r="B243" s="4">
        <v>32.360000999999997</v>
      </c>
      <c r="D243" s="11">
        <v>240</v>
      </c>
      <c r="E243" s="3">
        <v>43812</v>
      </c>
      <c r="F243" s="7">
        <f t="shared" si="13"/>
        <v>-6.1826894367804895E-4</v>
      </c>
      <c r="G243" s="7">
        <f>SUM($F$4:F243)</f>
        <v>0.22476824704121134</v>
      </c>
      <c r="L243" s="11">
        <v>240</v>
      </c>
      <c r="M243" s="7">
        <f t="shared" ca="1" si="14"/>
        <v>-4.1709787136976128E-3</v>
      </c>
      <c r="N243" s="7">
        <f ca="1">SUM($M$4:M243)</f>
        <v>0.16683914854790435</v>
      </c>
    </row>
    <row r="244" spans="1:14" x14ac:dyDescent="0.3">
      <c r="A244" s="3">
        <v>43812</v>
      </c>
      <c r="B244" s="4">
        <v>32.340000000000003</v>
      </c>
      <c r="D244" s="11">
        <v>241</v>
      </c>
      <c r="E244" s="3">
        <v>43815</v>
      </c>
      <c r="F244" s="7">
        <f t="shared" si="13"/>
        <v>3.091049741446369E-4</v>
      </c>
      <c r="G244" s="7">
        <f>SUM($F$4:F244)</f>
        <v>0.22507735201535597</v>
      </c>
      <c r="L244" s="11">
        <v>241</v>
      </c>
      <c r="M244" s="7">
        <f t="shared" ca="1" si="14"/>
        <v>4.1709787136976128E-3</v>
      </c>
      <c r="N244" s="7">
        <f ca="1">SUM($M$4:M244)</f>
        <v>0.17101012726160197</v>
      </c>
    </row>
    <row r="245" spans="1:14" x14ac:dyDescent="0.3">
      <c r="A245" s="3">
        <v>43815</v>
      </c>
      <c r="B245" s="4">
        <v>32.349997999999999</v>
      </c>
      <c r="D245" s="11">
        <v>242</v>
      </c>
      <c r="E245" s="3">
        <v>43816</v>
      </c>
      <c r="F245" s="7">
        <f t="shared" si="13"/>
        <v>6.1807792224497285E-4</v>
      </c>
      <c r="G245" s="7">
        <f>SUM($F$4:F245)</f>
        <v>0.22569542993760094</v>
      </c>
      <c r="L245" s="11">
        <v>242</v>
      </c>
      <c r="M245" s="7">
        <f t="shared" ca="1" si="14"/>
        <v>-6.2564680705464188E-3</v>
      </c>
      <c r="N245" s="7">
        <f ca="1">SUM($M$4:M245)</f>
        <v>0.16475365919105556</v>
      </c>
    </row>
    <row r="246" spans="1:14" x14ac:dyDescent="0.3">
      <c r="A246" s="3">
        <v>43816</v>
      </c>
      <c r="B246" s="4">
        <v>32.369999</v>
      </c>
      <c r="D246" s="11">
        <v>243</v>
      </c>
      <c r="E246" s="3">
        <v>43817</v>
      </c>
      <c r="F246" s="7">
        <f t="shared" si="13"/>
        <v>-6.1807792224506479E-4</v>
      </c>
      <c r="G246" s="7">
        <f>SUM($F$4:F246)</f>
        <v>0.22507735201535589</v>
      </c>
      <c r="L246" s="11">
        <v>243</v>
      </c>
      <c r="M246" s="7">
        <f t="shared" ca="1" si="14"/>
        <v>3.5453319066429706E-2</v>
      </c>
      <c r="N246" s="7">
        <f ca="1">SUM($M$4:M246)</f>
        <v>0.20020697825748526</v>
      </c>
    </row>
    <row r="247" spans="1:14" x14ac:dyDescent="0.3">
      <c r="A247" s="3">
        <v>43817</v>
      </c>
      <c r="B247" s="4">
        <v>32.349997999999999</v>
      </c>
      <c r="D247" s="11">
        <v>244</v>
      </c>
      <c r="E247" s="3">
        <v>43818</v>
      </c>
      <c r="F247" s="7">
        <f t="shared" si="13"/>
        <v>1.2594238811700357E-2</v>
      </c>
      <c r="G247" s="7">
        <f>SUM($F$4:F247)</f>
        <v>0.23767159082705624</v>
      </c>
      <c r="L247" s="11">
        <v>244</v>
      </c>
      <c r="M247" s="7">
        <f t="shared" ca="1" si="14"/>
        <v>2.0854893568488065E-2</v>
      </c>
      <c r="N247" s="7">
        <f ca="1">SUM($M$4:M247)</f>
        <v>0.22106187182597334</v>
      </c>
    </row>
    <row r="248" spans="1:14" x14ac:dyDescent="0.3">
      <c r="A248" s="3">
        <v>43818</v>
      </c>
      <c r="B248" s="4">
        <v>32.759998000000003</v>
      </c>
      <c r="D248" s="11">
        <v>245</v>
      </c>
      <c r="E248" s="3">
        <v>43819</v>
      </c>
      <c r="F248" s="7">
        <f t="shared" si="13"/>
        <v>5.7830933627235053E-3</v>
      </c>
      <c r="G248" s="7">
        <f>SUM($F$4:F248)</f>
        <v>0.24345468418977975</v>
      </c>
      <c r="L248" s="11">
        <v>245</v>
      </c>
      <c r="M248" s="7">
        <f t="shared" ca="1" si="14"/>
        <v>4.5880765850673744E-2</v>
      </c>
      <c r="N248" s="7">
        <f ca="1">SUM($M$4:M248)</f>
        <v>0.26694263767664705</v>
      </c>
    </row>
    <row r="249" spans="1:14" x14ac:dyDescent="0.3">
      <c r="A249" s="3">
        <v>43819</v>
      </c>
      <c r="B249" s="4">
        <v>32.950001</v>
      </c>
      <c r="D249" s="11">
        <v>246</v>
      </c>
      <c r="E249" s="3">
        <v>43822</v>
      </c>
      <c r="F249" s="7">
        <f t="shared" si="13"/>
        <v>-1.5185727359314615E-3</v>
      </c>
      <c r="G249" s="7">
        <f>SUM($F$4:F249)</f>
        <v>0.2419361114538483</v>
      </c>
      <c r="L249" s="11">
        <v>246</v>
      </c>
      <c r="M249" s="7">
        <f t="shared" ca="1" si="14"/>
        <v>2.7111361639034482E-2</v>
      </c>
      <c r="N249" s="7">
        <f ca="1">SUM($M$4:M249)</f>
        <v>0.29405399931568155</v>
      </c>
    </row>
    <row r="250" spans="1:14" x14ac:dyDescent="0.3">
      <c r="A250" s="3">
        <v>43822</v>
      </c>
      <c r="B250" s="4">
        <v>32.900002000000001</v>
      </c>
      <c r="D250" s="11">
        <v>247</v>
      </c>
      <c r="E250" s="3">
        <v>43823</v>
      </c>
      <c r="F250" s="7">
        <f t="shared" si="13"/>
        <v>3.9434905655926613E-3</v>
      </c>
      <c r="G250" s="7">
        <f>SUM($F$4:F250)</f>
        <v>0.24587960201944095</v>
      </c>
      <c r="L250" s="11">
        <v>247</v>
      </c>
      <c r="M250" s="7">
        <f t="shared" ca="1" si="14"/>
        <v>-1.4598425497941644E-2</v>
      </c>
      <c r="N250" s="7">
        <f ca="1">SUM($M$4:M250)</f>
        <v>0.27945557381773989</v>
      </c>
    </row>
    <row r="251" spans="1:14" x14ac:dyDescent="0.3">
      <c r="A251" s="3">
        <v>43823</v>
      </c>
      <c r="B251" s="4">
        <v>33.029998999999997</v>
      </c>
      <c r="D251" s="11">
        <v>248</v>
      </c>
      <c r="E251" s="3">
        <v>43825</v>
      </c>
      <c r="F251" s="7">
        <f t="shared" si="13"/>
        <v>7.5403767777398262E-3</v>
      </c>
      <c r="G251" s="7">
        <f>SUM($F$4:F251)</f>
        <v>0.25341997879718076</v>
      </c>
      <c r="L251" s="11">
        <v>248</v>
      </c>
      <c r="M251" s="7">
        <f t="shared" ca="1" si="14"/>
        <v>-2.0854893568488065E-2</v>
      </c>
      <c r="N251" s="7">
        <f ca="1">SUM($M$4:M251)</f>
        <v>0.25860068024925181</v>
      </c>
    </row>
    <row r="252" spans="1:14" x14ac:dyDescent="0.3">
      <c r="A252" s="3">
        <v>43825</v>
      </c>
      <c r="B252" s="4">
        <v>33.279998999999997</v>
      </c>
      <c r="D252" s="11">
        <v>249</v>
      </c>
      <c r="E252" s="3">
        <v>43826</v>
      </c>
      <c r="F252" s="7">
        <f t="shared" si="13"/>
        <v>-4.5173394090031928E-3</v>
      </c>
      <c r="G252" s="7">
        <f>SUM($F$4:F252)</f>
        <v>0.24890263938817755</v>
      </c>
      <c r="L252" s="11">
        <v>249</v>
      </c>
      <c r="M252" s="7">
        <f t="shared" ca="1" si="14"/>
        <v>4.170978713697613E-2</v>
      </c>
      <c r="N252" s="7">
        <f ca="1">SUM($M$4:M252)</f>
        <v>0.30031046738622796</v>
      </c>
    </row>
    <row r="253" spans="1:14" x14ac:dyDescent="0.3">
      <c r="A253" s="3">
        <v>43826</v>
      </c>
      <c r="B253" s="4">
        <v>33.130001</v>
      </c>
      <c r="D253" s="11">
        <v>250</v>
      </c>
      <c r="E253" s="3">
        <v>43829</v>
      </c>
      <c r="F253" s="7">
        <f t="shared" si="13"/>
        <v>-1.1231048561121313E-2</v>
      </c>
      <c r="G253" s="7">
        <f>SUM($F$4:F253)</f>
        <v>0.23767159082705624</v>
      </c>
      <c r="L253" s="11">
        <v>250</v>
      </c>
      <c r="M253" s="7">
        <f t="shared" ca="1" si="14"/>
        <v>0</v>
      </c>
      <c r="N253" s="7">
        <f ca="1">SUM($M$4:M253)</f>
        <v>0.30031046738622796</v>
      </c>
    </row>
    <row r="254" spans="1:14" x14ac:dyDescent="0.3">
      <c r="A254" s="3">
        <v>43829</v>
      </c>
      <c r="B254" s="4">
        <v>32.759998000000003</v>
      </c>
      <c r="D254" s="11">
        <v>251</v>
      </c>
      <c r="E254" s="3">
        <v>43830</v>
      </c>
      <c r="F254" s="7">
        <f t="shared" si="13"/>
        <v>-6.1056490446404973E-4</v>
      </c>
      <c r="G254" s="7">
        <f>SUM($F$4:F254)</f>
        <v>0.23706102592259221</v>
      </c>
      <c r="L254" s="11">
        <v>251</v>
      </c>
      <c r="M254" s="7">
        <f t="shared" ca="1" si="14"/>
        <v>6.2564680705464198E-2</v>
      </c>
      <c r="N254" s="7">
        <f ca="1">SUM($M$4:M254)</f>
        <v>0.36287514809169219</v>
      </c>
    </row>
    <row r="255" spans="1:14" x14ac:dyDescent="0.3">
      <c r="A255" s="3">
        <v>43830</v>
      </c>
      <c r="B255" s="4">
        <v>32.740001999999997</v>
      </c>
      <c r="D255" s="11">
        <v>252</v>
      </c>
      <c r="E255" s="3">
        <v>43832</v>
      </c>
      <c r="F255" s="7">
        <f t="shared" si="13"/>
        <v>-1.6010224244890622E-2</v>
      </c>
      <c r="G255" s="7">
        <f>SUM($F$4:F255)</f>
        <v>0.22105080167770158</v>
      </c>
      <c r="L255" s="11">
        <v>252</v>
      </c>
      <c r="M255" s="7">
        <f t="shared" ca="1" si="14"/>
        <v>-8.3419574273952257E-3</v>
      </c>
      <c r="N255" s="7">
        <f ca="1">SUM($M$4:M255)</f>
        <v>0.35453319066429695</v>
      </c>
    </row>
    <row r="256" spans="1:14" x14ac:dyDescent="0.3">
      <c r="A256" s="3">
        <v>43832</v>
      </c>
      <c r="B256" s="4">
        <v>32.220001000000003</v>
      </c>
      <c r="D256" s="11">
        <v>253</v>
      </c>
      <c r="E256" s="3">
        <v>43833</v>
      </c>
      <c r="F256" s="7">
        <f t="shared" si="13"/>
        <v>-5.914476385115522E-3</v>
      </c>
      <c r="G256" s="7">
        <f>SUM($F$4:F256)</f>
        <v>0.21513632529258606</v>
      </c>
      <c r="L256" s="11">
        <v>253</v>
      </c>
      <c r="M256" s="7">
        <f t="shared" ca="1" si="14"/>
        <v>1.0427446784244032E-2</v>
      </c>
      <c r="N256" s="7">
        <f ca="1">SUM($M$4:M256)</f>
        <v>0.36496063744854096</v>
      </c>
    </row>
    <row r="257" spans="1:14" x14ac:dyDescent="0.3">
      <c r="A257" s="3">
        <v>43833</v>
      </c>
      <c r="B257" s="4">
        <v>32.029998999999997</v>
      </c>
      <c r="D257" s="11">
        <v>254</v>
      </c>
      <c r="E257" s="3">
        <v>43836</v>
      </c>
      <c r="F257" s="7">
        <f t="shared" si="13"/>
        <v>-2.1878427913735381E-3</v>
      </c>
      <c r="G257" s="7">
        <f>SUM($F$4:F257)</f>
        <v>0.21294848250121251</v>
      </c>
      <c r="L257" s="11">
        <v>254</v>
      </c>
      <c r="M257" s="7">
        <f t="shared" ca="1" si="14"/>
        <v>3.7538808423278516E-2</v>
      </c>
      <c r="N257" s="7">
        <f ca="1">SUM($M$4:M257)</f>
        <v>0.40249944587181946</v>
      </c>
    </row>
    <row r="258" spans="1:14" x14ac:dyDescent="0.3">
      <c r="A258" s="3">
        <v>43836</v>
      </c>
      <c r="B258" s="4">
        <v>31.959999</v>
      </c>
      <c r="D258" s="11">
        <v>255</v>
      </c>
      <c r="E258" s="3">
        <v>43837</v>
      </c>
      <c r="F258" s="7">
        <f t="shared" si="13"/>
        <v>3.4359240961015472E-3</v>
      </c>
      <c r="G258" s="7">
        <f>SUM($F$4:F258)</f>
        <v>0.21638440659731406</v>
      </c>
      <c r="L258" s="11">
        <v>255</v>
      </c>
      <c r="M258" s="7">
        <f t="shared" ca="1" si="14"/>
        <v>7.9248595560254639E-2</v>
      </c>
      <c r="N258" s="7">
        <f ca="1">SUM($M$4:M258)</f>
        <v>0.48174804143207411</v>
      </c>
    </row>
    <row r="259" spans="1:14" x14ac:dyDescent="0.3">
      <c r="A259" s="3">
        <v>43837</v>
      </c>
      <c r="B259" s="4">
        <v>32.07</v>
      </c>
      <c r="D259" s="11">
        <v>256</v>
      </c>
      <c r="E259" s="3">
        <v>43838</v>
      </c>
      <c r="F259" s="7">
        <f t="shared" si="13"/>
        <v>1.2465255393045067E-3</v>
      </c>
      <c r="G259" s="7">
        <f>SUM($F$4:F259)</f>
        <v>0.21763093213661858</v>
      </c>
      <c r="L259" s="11">
        <v>256</v>
      </c>
      <c r="M259" s="7">
        <f t="shared" ca="1" si="14"/>
        <v>-3.5453319066429706E-2</v>
      </c>
      <c r="N259" s="7">
        <f ca="1">SUM($M$4:M259)</f>
        <v>0.44629472236564438</v>
      </c>
    </row>
    <row r="260" spans="1:14" x14ac:dyDescent="0.3">
      <c r="A260" s="3">
        <v>43838</v>
      </c>
      <c r="B260" s="4">
        <v>32.110000999999997</v>
      </c>
      <c r="D260" s="11">
        <v>257</v>
      </c>
      <c r="E260" s="3">
        <v>43839</v>
      </c>
      <c r="F260" s="7">
        <f t="shared" ref="F260:F323" si="15">LN(B261/B260)</f>
        <v>4.3505039974134491E-3</v>
      </c>
      <c r="G260" s="7">
        <f>SUM($F$4:F260)</f>
        <v>0.22198143613403204</v>
      </c>
      <c r="L260" s="11">
        <v>257</v>
      </c>
      <c r="M260" s="7">
        <f t="shared" ca="1" si="14"/>
        <v>-1.0427446784244032E-2</v>
      </c>
      <c r="N260" s="7">
        <f ca="1">SUM($M$4:M260)</f>
        <v>0.43586727558140037</v>
      </c>
    </row>
    <row r="261" spans="1:14" x14ac:dyDescent="0.3">
      <c r="A261" s="3">
        <v>43839</v>
      </c>
      <c r="B261" s="4">
        <v>32.25</v>
      </c>
      <c r="D261" s="11">
        <v>258</v>
      </c>
      <c r="E261" s="3">
        <v>43840</v>
      </c>
      <c r="F261" s="7">
        <f t="shared" si="15"/>
        <v>-1.2480661223609144E-2</v>
      </c>
      <c r="G261" s="7">
        <f>SUM($F$4:F261)</f>
        <v>0.2095007749104229</v>
      </c>
      <c r="L261" s="11">
        <v>258</v>
      </c>
      <c r="M261" s="7">
        <f t="shared" ref="M261:M324" ca="1" si="16">(2*_xlfn.BINOM.INV($J$4,$J$12,RAND())-$J$4)*$J$11</f>
        <v>0</v>
      </c>
      <c r="N261" s="7">
        <f ca="1">SUM($M$4:M261)</f>
        <v>0.43586727558140037</v>
      </c>
    </row>
    <row r="262" spans="1:14" x14ac:dyDescent="0.3">
      <c r="A262" s="3">
        <v>43840</v>
      </c>
      <c r="B262" s="4">
        <v>31.85</v>
      </c>
      <c r="D262" s="11">
        <v>259</v>
      </c>
      <c r="E262" s="3">
        <v>43843</v>
      </c>
      <c r="F262" s="7">
        <f t="shared" si="15"/>
        <v>-1.8855756390286768E-3</v>
      </c>
      <c r="G262" s="7">
        <f>SUM($F$4:F262)</f>
        <v>0.20761519927139424</v>
      </c>
      <c r="L262" s="11">
        <v>259</v>
      </c>
      <c r="M262" s="7">
        <f t="shared" ca="1" si="16"/>
        <v>-8.3419574273952257E-3</v>
      </c>
      <c r="N262" s="7">
        <f ca="1">SUM($M$4:M262)</f>
        <v>0.42752531815400513</v>
      </c>
    </row>
    <row r="263" spans="1:14" x14ac:dyDescent="0.3">
      <c r="A263" s="3">
        <v>43843</v>
      </c>
      <c r="B263" s="4">
        <v>31.790001</v>
      </c>
      <c r="D263" s="11">
        <v>260</v>
      </c>
      <c r="E263" s="3">
        <v>43844</v>
      </c>
      <c r="F263" s="7">
        <f t="shared" si="15"/>
        <v>3.454203411655169E-3</v>
      </c>
      <c r="G263" s="7">
        <f>SUM($F$4:F263)</f>
        <v>0.21106940268304941</v>
      </c>
      <c r="L263" s="11">
        <v>260</v>
      </c>
      <c r="M263" s="7">
        <f t="shared" ca="1" si="16"/>
        <v>-2.7111361639034482E-2</v>
      </c>
      <c r="N263" s="7">
        <f ca="1">SUM($M$4:M263)</f>
        <v>0.40041395651497064</v>
      </c>
    </row>
    <row r="264" spans="1:14" x14ac:dyDescent="0.3">
      <c r="A264" s="3">
        <v>43844</v>
      </c>
      <c r="B264" s="4">
        <v>31.9</v>
      </c>
      <c r="D264" s="11">
        <v>261</v>
      </c>
      <c r="E264" s="3">
        <v>43845</v>
      </c>
      <c r="F264" s="7">
        <f t="shared" si="15"/>
        <v>1.0601969882366216E-2</v>
      </c>
      <c r="G264" s="7">
        <f>SUM($F$4:F264)</f>
        <v>0.22167137256541564</v>
      </c>
      <c r="L264" s="11">
        <v>261</v>
      </c>
      <c r="M264" s="7">
        <f t="shared" ca="1" si="16"/>
        <v>-8.3419574273952257E-3</v>
      </c>
      <c r="N264" s="7">
        <f ca="1">SUM($M$4:M264)</f>
        <v>0.3920719990875754</v>
      </c>
    </row>
    <row r="265" spans="1:14" x14ac:dyDescent="0.3">
      <c r="A265" s="3">
        <v>43845</v>
      </c>
      <c r="B265" s="4">
        <v>32.240001999999997</v>
      </c>
      <c r="D265" s="11">
        <v>262</v>
      </c>
      <c r="E265" s="3">
        <v>43846</v>
      </c>
      <c r="F265" s="7">
        <f t="shared" si="15"/>
        <v>1.6305483037558299E-2</v>
      </c>
      <c r="G265" s="7">
        <f>SUM($F$4:F265)</f>
        <v>0.23797685560297394</v>
      </c>
      <c r="L265" s="11">
        <v>262</v>
      </c>
      <c r="M265" s="7">
        <f t="shared" ca="1" si="16"/>
        <v>-2.2940382925336872E-2</v>
      </c>
      <c r="N265" s="7">
        <f ca="1">SUM($M$4:M265)</f>
        <v>0.36913161616223855</v>
      </c>
    </row>
    <row r="266" spans="1:14" x14ac:dyDescent="0.3">
      <c r="A266" s="3">
        <v>43846</v>
      </c>
      <c r="B266" s="4">
        <v>32.770000000000003</v>
      </c>
      <c r="D266" s="11">
        <v>263</v>
      </c>
      <c r="E266" s="3">
        <v>43847</v>
      </c>
      <c r="F266" s="7">
        <f t="shared" si="15"/>
        <v>-1.0429542391496767E-2</v>
      </c>
      <c r="G266" s="7">
        <f>SUM($F$4:F266)</f>
        <v>0.22754731321147717</v>
      </c>
      <c r="L266" s="11">
        <v>263</v>
      </c>
      <c r="M266" s="7">
        <f t="shared" ca="1" si="16"/>
        <v>9.1761531701347487E-2</v>
      </c>
      <c r="N266" s="7">
        <f ca="1">SUM($M$4:M266)</f>
        <v>0.46089314786358604</v>
      </c>
    </row>
    <row r="267" spans="1:14" x14ac:dyDescent="0.3">
      <c r="A267" s="3">
        <v>43847</v>
      </c>
      <c r="B267" s="4">
        <v>32.43</v>
      </c>
      <c r="D267" s="11">
        <v>264</v>
      </c>
      <c r="E267" s="3">
        <v>43851</v>
      </c>
      <c r="F267" s="7">
        <f t="shared" si="15"/>
        <v>-1.4285988526801316E-2</v>
      </c>
      <c r="G267" s="7">
        <f>SUM($F$4:F267)</f>
        <v>0.21326132468467585</v>
      </c>
      <c r="L267" s="11">
        <v>264</v>
      </c>
      <c r="M267" s="7">
        <f t="shared" ca="1" si="16"/>
        <v>-2.0854893568488064E-3</v>
      </c>
      <c r="N267" s="7">
        <f ca="1">SUM($M$4:M267)</f>
        <v>0.45880765850673721</v>
      </c>
    </row>
    <row r="268" spans="1:14" x14ac:dyDescent="0.3">
      <c r="A268" s="3">
        <v>43851</v>
      </c>
      <c r="B268" s="4">
        <v>31.969999000000001</v>
      </c>
      <c r="D268" s="11">
        <v>265</v>
      </c>
      <c r="E268" s="3">
        <v>43852</v>
      </c>
      <c r="F268" s="7">
        <f t="shared" si="15"/>
        <v>1.8750006079103205E-3</v>
      </c>
      <c r="G268" s="7">
        <f>SUM($F$4:F268)</f>
        <v>0.21513632529258617</v>
      </c>
      <c r="L268" s="11">
        <v>265</v>
      </c>
      <c r="M268" s="7">
        <f t="shared" ca="1" si="16"/>
        <v>-1.6683914854790451E-2</v>
      </c>
      <c r="N268" s="7">
        <f ca="1">SUM($M$4:M268)</f>
        <v>0.44212374365194679</v>
      </c>
    </row>
    <row r="269" spans="1:14" x14ac:dyDescent="0.3">
      <c r="A269" s="3">
        <v>43852</v>
      </c>
      <c r="B269" s="4">
        <v>32.029998999999997</v>
      </c>
      <c r="D269" s="11">
        <v>266</v>
      </c>
      <c r="E269" s="3">
        <v>43853</v>
      </c>
      <c r="F269" s="7">
        <f t="shared" si="15"/>
        <v>-5.0586905403707624E-2</v>
      </c>
      <c r="G269" s="7">
        <f>SUM($F$4:F269)</f>
        <v>0.16454941988887856</v>
      </c>
      <c r="L269" s="11">
        <v>266</v>
      </c>
      <c r="M269" s="7">
        <f t="shared" ca="1" si="16"/>
        <v>4.1709787136976128E-3</v>
      </c>
      <c r="N269" s="7">
        <f ca="1">SUM($M$4:M269)</f>
        <v>0.44629472236564438</v>
      </c>
    </row>
    <row r="270" spans="1:14" x14ac:dyDescent="0.3">
      <c r="A270" s="3">
        <v>43853</v>
      </c>
      <c r="B270" s="4">
        <v>30.450001</v>
      </c>
      <c r="D270" s="11">
        <v>267</v>
      </c>
      <c r="E270" s="3">
        <v>43854</v>
      </c>
      <c r="F270" s="7">
        <f t="shared" si="15"/>
        <v>-4.2784662224570448E-3</v>
      </c>
      <c r="G270" s="7">
        <f>SUM($F$4:F270)</f>
        <v>0.16027095366642152</v>
      </c>
      <c r="L270" s="11">
        <v>267</v>
      </c>
      <c r="M270" s="7">
        <f t="shared" ca="1" si="16"/>
        <v>1.0427446784244032E-2</v>
      </c>
      <c r="N270" s="7">
        <f ca="1">SUM($M$4:M270)</f>
        <v>0.45672216914988839</v>
      </c>
    </row>
    <row r="271" spans="1:14" x14ac:dyDescent="0.3">
      <c r="A271" s="3">
        <v>43854</v>
      </c>
      <c r="B271" s="4">
        <v>30.32</v>
      </c>
      <c r="D271" s="11">
        <v>268</v>
      </c>
      <c r="E271" s="3">
        <v>43857</v>
      </c>
      <c r="F271" s="7">
        <f t="shared" si="15"/>
        <v>-3.9656032807646683E-3</v>
      </c>
      <c r="G271" s="7">
        <f>SUM($F$4:F271)</f>
        <v>0.15630535038565685</v>
      </c>
      <c r="L271" s="11">
        <v>268</v>
      </c>
      <c r="M271" s="7">
        <f t="shared" ca="1" si="16"/>
        <v>-1.4598425497941644E-2</v>
      </c>
      <c r="N271" s="7">
        <f ca="1">SUM($M$4:M271)</f>
        <v>0.44212374365194673</v>
      </c>
    </row>
    <row r="272" spans="1:14" x14ac:dyDescent="0.3">
      <c r="A272" s="3">
        <v>43857</v>
      </c>
      <c r="B272" s="4">
        <v>30.200001</v>
      </c>
      <c r="D272" s="11">
        <v>269</v>
      </c>
      <c r="E272" s="3">
        <v>43858</v>
      </c>
      <c r="F272" s="7">
        <f t="shared" si="15"/>
        <v>1.0540248922849941E-2</v>
      </c>
      <c r="G272" s="7">
        <f>SUM($F$4:F272)</f>
        <v>0.16684559930850679</v>
      </c>
      <c r="L272" s="11">
        <v>269</v>
      </c>
      <c r="M272" s="7">
        <f t="shared" ca="1" si="16"/>
        <v>-1.6683914854790451E-2</v>
      </c>
      <c r="N272" s="7">
        <f ca="1">SUM($M$4:M272)</f>
        <v>0.42543982879715631</v>
      </c>
    </row>
    <row r="273" spans="1:14" x14ac:dyDescent="0.3">
      <c r="A273" s="3">
        <v>43858</v>
      </c>
      <c r="B273" s="4">
        <v>30.52</v>
      </c>
      <c r="D273" s="11">
        <v>270</v>
      </c>
      <c r="E273" s="3">
        <v>43859</v>
      </c>
      <c r="F273" s="7">
        <f t="shared" si="15"/>
        <v>-2.7235126937569163E-2</v>
      </c>
      <c r="G273" s="7">
        <f>SUM($F$4:F273)</f>
        <v>0.13961047237093763</v>
      </c>
      <c r="L273" s="11">
        <v>270</v>
      </c>
      <c r="M273" s="7">
        <f t="shared" ca="1" si="16"/>
        <v>8.3419574273952257E-3</v>
      </c>
      <c r="N273" s="7">
        <f ca="1">SUM($M$4:M273)</f>
        <v>0.43378178622455155</v>
      </c>
    </row>
    <row r="274" spans="1:14" x14ac:dyDescent="0.3">
      <c r="A274" s="3">
        <v>43859</v>
      </c>
      <c r="B274" s="4">
        <v>29.700001</v>
      </c>
      <c r="D274" s="11">
        <v>271</v>
      </c>
      <c r="E274" s="3">
        <v>43860</v>
      </c>
      <c r="F274" s="7">
        <f t="shared" si="15"/>
        <v>7.3800736275893963E-3</v>
      </c>
      <c r="G274" s="7">
        <f>SUM($F$4:F274)</f>
        <v>0.14699054599852701</v>
      </c>
      <c r="L274" s="11">
        <v>271</v>
      </c>
      <c r="M274" s="7">
        <f t="shared" ca="1" si="16"/>
        <v>-1.0427446784244032E-2</v>
      </c>
      <c r="N274" s="7">
        <f ca="1">SUM($M$4:M274)</f>
        <v>0.42335433944030754</v>
      </c>
    </row>
    <row r="275" spans="1:14" x14ac:dyDescent="0.3">
      <c r="A275" s="3">
        <v>43860</v>
      </c>
      <c r="B275" s="4">
        <v>29.92</v>
      </c>
      <c r="D275" s="11">
        <v>272</v>
      </c>
      <c r="E275" s="3">
        <v>43861</v>
      </c>
      <c r="F275" s="7">
        <f t="shared" si="15"/>
        <v>-2.2305757514298277E-2</v>
      </c>
      <c r="G275" s="7">
        <f>SUM($F$4:F275)</f>
        <v>0.12468478848422873</v>
      </c>
      <c r="L275" s="11">
        <v>272</v>
      </c>
      <c r="M275" s="7">
        <f t="shared" ca="1" si="16"/>
        <v>1.0427446784244032E-2</v>
      </c>
      <c r="N275" s="7">
        <f ca="1">SUM($M$4:M275)</f>
        <v>0.43378178622455155</v>
      </c>
    </row>
    <row r="276" spans="1:14" x14ac:dyDescent="0.3">
      <c r="A276" s="3">
        <v>43861</v>
      </c>
      <c r="B276" s="4">
        <v>29.26</v>
      </c>
      <c r="D276" s="11">
        <v>273</v>
      </c>
      <c r="E276" s="3">
        <v>43864</v>
      </c>
      <c r="F276" s="7">
        <f t="shared" si="15"/>
        <v>-3.7664827954770048E-3</v>
      </c>
      <c r="G276" s="7">
        <f>SUM($F$4:F276)</f>
        <v>0.12091830568875173</v>
      </c>
      <c r="L276" s="11">
        <v>273</v>
      </c>
      <c r="M276" s="7">
        <f t="shared" ca="1" si="16"/>
        <v>-6.2564680705464198E-2</v>
      </c>
      <c r="N276" s="7">
        <f ca="1">SUM($M$4:M276)</f>
        <v>0.37121710551908738</v>
      </c>
    </row>
    <row r="277" spans="1:14" x14ac:dyDescent="0.3">
      <c r="A277" s="3">
        <v>43864</v>
      </c>
      <c r="B277" s="4">
        <v>29.15</v>
      </c>
      <c r="D277" s="11">
        <v>274</v>
      </c>
      <c r="E277" s="3">
        <v>43865</v>
      </c>
      <c r="F277" s="7">
        <f t="shared" si="15"/>
        <v>2.0038028235507606E-2</v>
      </c>
      <c r="G277" s="7">
        <f>SUM($F$4:F277)</f>
        <v>0.14095633392425932</v>
      </c>
      <c r="L277" s="11">
        <v>274</v>
      </c>
      <c r="M277" s="7">
        <f t="shared" ca="1" si="16"/>
        <v>-4.1709787136976128E-3</v>
      </c>
      <c r="N277" s="7">
        <f ca="1">SUM($M$4:M277)</f>
        <v>0.36704612680538978</v>
      </c>
    </row>
    <row r="278" spans="1:14" x14ac:dyDescent="0.3">
      <c r="A278" s="3">
        <v>43865</v>
      </c>
      <c r="B278" s="4">
        <v>29.74</v>
      </c>
      <c r="D278" s="11">
        <v>275</v>
      </c>
      <c r="E278" s="3">
        <v>43866</v>
      </c>
      <c r="F278" s="7">
        <f t="shared" si="15"/>
        <v>2.9486947164943555E-2</v>
      </c>
      <c r="G278" s="7">
        <f>SUM($F$4:F278)</f>
        <v>0.17044328108920287</v>
      </c>
      <c r="L278" s="11">
        <v>275</v>
      </c>
      <c r="M278" s="7">
        <f t="shared" ca="1" si="16"/>
        <v>-3.5453319066429706E-2</v>
      </c>
      <c r="N278" s="7">
        <f ca="1">SUM($M$4:M278)</f>
        <v>0.33159280773896005</v>
      </c>
    </row>
    <row r="279" spans="1:14" x14ac:dyDescent="0.3">
      <c r="A279" s="3">
        <v>43866</v>
      </c>
      <c r="B279" s="4">
        <v>30.629999000000002</v>
      </c>
      <c r="D279" s="11">
        <v>276</v>
      </c>
      <c r="E279" s="3">
        <v>43867</v>
      </c>
      <c r="F279" s="7">
        <f t="shared" si="15"/>
        <v>-1.9117260493606621E-2</v>
      </c>
      <c r="G279" s="7">
        <f>SUM($F$4:F279)</f>
        <v>0.15132602059559624</v>
      </c>
      <c r="L279" s="11">
        <v>276</v>
      </c>
      <c r="M279" s="7">
        <f t="shared" ca="1" si="16"/>
        <v>-1.2512936141092838E-2</v>
      </c>
      <c r="N279" s="7">
        <f ca="1">SUM($M$4:M279)</f>
        <v>0.31907987159786722</v>
      </c>
    </row>
    <row r="280" spans="1:14" x14ac:dyDescent="0.3">
      <c r="A280" s="3">
        <v>43867</v>
      </c>
      <c r="B280" s="4">
        <v>30.049999</v>
      </c>
      <c r="D280" s="11">
        <v>277</v>
      </c>
      <c r="E280" s="3">
        <v>43868</v>
      </c>
      <c r="F280" s="7">
        <f t="shared" si="15"/>
        <v>-8.6898274098439268E-3</v>
      </c>
      <c r="G280" s="7">
        <f>SUM($F$4:F280)</f>
        <v>0.14263619318575232</v>
      </c>
      <c r="L280" s="11">
        <v>277</v>
      </c>
      <c r="M280" s="7">
        <f t="shared" ca="1" si="16"/>
        <v>4.3795276493824933E-2</v>
      </c>
      <c r="N280" s="7">
        <f ca="1">SUM($M$4:M280)</f>
        <v>0.36287514809169213</v>
      </c>
    </row>
    <row r="281" spans="1:14" x14ac:dyDescent="0.3">
      <c r="A281" s="3">
        <v>43868</v>
      </c>
      <c r="B281" s="4">
        <v>29.790001</v>
      </c>
      <c r="D281" s="11">
        <v>278</v>
      </c>
      <c r="E281" s="3">
        <v>43871</v>
      </c>
      <c r="F281" s="7">
        <f t="shared" si="15"/>
        <v>1.3417982331551147E-3</v>
      </c>
      <c r="G281" s="7">
        <f>SUM($F$4:F281)</f>
        <v>0.14397799141890744</v>
      </c>
      <c r="L281" s="11">
        <v>278</v>
      </c>
      <c r="M281" s="7">
        <f t="shared" ca="1" si="16"/>
        <v>5.8393701991766578E-2</v>
      </c>
      <c r="N281" s="7">
        <f ca="1">SUM($M$4:M281)</f>
        <v>0.42126885008345871</v>
      </c>
    </row>
    <row r="282" spans="1:14" x14ac:dyDescent="0.3">
      <c r="A282" s="3">
        <v>43871</v>
      </c>
      <c r="B282" s="4">
        <v>29.83</v>
      </c>
      <c r="D282" s="11">
        <v>279</v>
      </c>
      <c r="E282" s="3">
        <v>43872</v>
      </c>
      <c r="F282" s="7">
        <f t="shared" si="15"/>
        <v>1.2658363770301048E-2</v>
      </c>
      <c r="G282" s="7">
        <f>SUM($F$4:F282)</f>
        <v>0.15663635518920849</v>
      </c>
      <c r="L282" s="11">
        <v>279</v>
      </c>
      <c r="M282" s="7">
        <f t="shared" ca="1" si="16"/>
        <v>-3.1282340352732099E-2</v>
      </c>
      <c r="N282" s="7">
        <f ca="1">SUM($M$4:M282)</f>
        <v>0.38998650973072663</v>
      </c>
    </row>
    <row r="283" spans="1:14" x14ac:dyDescent="0.3">
      <c r="A283" s="3">
        <v>43872</v>
      </c>
      <c r="B283" s="4">
        <v>30.209999</v>
      </c>
      <c r="D283" s="11">
        <v>280</v>
      </c>
      <c r="E283" s="3">
        <v>43873</v>
      </c>
      <c r="F283" s="7">
        <f t="shared" si="15"/>
        <v>4.623555208549195E-3</v>
      </c>
      <c r="G283" s="7">
        <f>SUM($F$4:F283)</f>
        <v>0.16125991039775769</v>
      </c>
      <c r="L283" s="11">
        <v>280</v>
      </c>
      <c r="M283" s="7">
        <f t="shared" ca="1" si="16"/>
        <v>8.3419574273952257E-3</v>
      </c>
      <c r="N283" s="7">
        <f ca="1">SUM($M$4:M283)</f>
        <v>0.39832846715812187</v>
      </c>
    </row>
    <row r="284" spans="1:14" x14ac:dyDescent="0.3">
      <c r="A284" s="3">
        <v>43873</v>
      </c>
      <c r="B284" s="4">
        <v>30.35</v>
      </c>
      <c r="D284" s="11">
        <v>281</v>
      </c>
      <c r="E284" s="3">
        <v>43874</v>
      </c>
      <c r="F284" s="7">
        <f t="shared" si="15"/>
        <v>-6.5919580501767373E-4</v>
      </c>
      <c r="G284" s="7">
        <f>SUM($F$4:F284)</f>
        <v>0.16060071459274003</v>
      </c>
      <c r="L284" s="11">
        <v>281</v>
      </c>
      <c r="M284" s="7">
        <f t="shared" ca="1" si="16"/>
        <v>-3.5453319066429706E-2</v>
      </c>
      <c r="N284" s="7">
        <f ca="1">SUM($M$4:M284)</f>
        <v>0.36287514809169219</v>
      </c>
    </row>
    <row r="285" spans="1:14" x14ac:dyDescent="0.3">
      <c r="A285" s="3">
        <v>43874</v>
      </c>
      <c r="B285" s="4">
        <v>30.33</v>
      </c>
      <c r="D285" s="11">
        <v>282</v>
      </c>
      <c r="E285" s="3">
        <v>43875</v>
      </c>
      <c r="F285" s="7">
        <f t="shared" si="15"/>
        <v>-3.9643594035316159E-3</v>
      </c>
      <c r="G285" s="7">
        <f>SUM($F$4:F285)</f>
        <v>0.1566363551892084</v>
      </c>
      <c r="L285" s="11">
        <v>282</v>
      </c>
      <c r="M285" s="7">
        <f t="shared" ca="1" si="16"/>
        <v>1.8769404211639258E-2</v>
      </c>
      <c r="N285" s="7">
        <f ca="1">SUM($M$4:M285)</f>
        <v>0.38164455230333144</v>
      </c>
    </row>
    <row r="286" spans="1:14" x14ac:dyDescent="0.3">
      <c r="A286" s="3">
        <v>43875</v>
      </c>
      <c r="B286" s="4">
        <v>30.209999</v>
      </c>
      <c r="D286" s="11">
        <v>283</v>
      </c>
      <c r="E286" s="3">
        <v>43879</v>
      </c>
      <c r="F286" s="7">
        <f t="shared" si="15"/>
        <v>2.9747172150644107E-3</v>
      </c>
      <c r="G286" s="7">
        <f>SUM($F$4:F286)</f>
        <v>0.1596110724042728</v>
      </c>
      <c r="L286" s="11">
        <v>283</v>
      </c>
      <c r="M286" s="7">
        <f t="shared" ca="1" si="16"/>
        <v>3.5453319066429706E-2</v>
      </c>
      <c r="N286" s="7">
        <f ca="1">SUM($M$4:M286)</f>
        <v>0.41709787136976118</v>
      </c>
    </row>
    <row r="287" spans="1:14" x14ac:dyDescent="0.3">
      <c r="A287" s="3">
        <v>43879</v>
      </c>
      <c r="B287" s="4">
        <v>30.299999</v>
      </c>
      <c r="D287" s="11">
        <v>284</v>
      </c>
      <c r="E287" s="3">
        <v>43880</v>
      </c>
      <c r="F287" s="7">
        <f t="shared" si="15"/>
        <v>5.9230513064229048E-3</v>
      </c>
      <c r="G287" s="7">
        <f>SUM($F$4:F287)</f>
        <v>0.1655341237106957</v>
      </c>
      <c r="L287" s="11">
        <v>284</v>
      </c>
      <c r="M287" s="7">
        <f t="shared" ca="1" si="16"/>
        <v>-4.170978713697613E-2</v>
      </c>
      <c r="N287" s="7">
        <f ca="1">SUM($M$4:M287)</f>
        <v>0.37538808423278502</v>
      </c>
    </row>
    <row r="288" spans="1:14" x14ac:dyDescent="0.3">
      <c r="A288" s="3">
        <v>43880</v>
      </c>
      <c r="B288" s="4">
        <v>30.48</v>
      </c>
      <c r="D288" s="11">
        <v>285</v>
      </c>
      <c r="E288" s="3">
        <v>43881</v>
      </c>
      <c r="F288" s="7">
        <f t="shared" si="15"/>
        <v>-1.6540238143993923E-2</v>
      </c>
      <c r="G288" s="7">
        <f>SUM($F$4:F288)</f>
        <v>0.14899388556670179</v>
      </c>
      <c r="L288" s="11">
        <v>285</v>
      </c>
      <c r="M288" s="7">
        <f t="shared" ca="1" si="16"/>
        <v>1.2512936141092838E-2</v>
      </c>
      <c r="N288" s="7">
        <f ca="1">SUM($M$4:M288)</f>
        <v>0.38790102037387786</v>
      </c>
    </row>
    <row r="289" spans="1:14" x14ac:dyDescent="0.3">
      <c r="A289" s="3">
        <v>43881</v>
      </c>
      <c r="B289" s="4">
        <v>29.98</v>
      </c>
      <c r="D289" s="11">
        <v>286</v>
      </c>
      <c r="E289" s="3">
        <v>43882</v>
      </c>
      <c r="F289" s="7">
        <f t="shared" si="15"/>
        <v>-2.601941050965368E-2</v>
      </c>
      <c r="G289" s="7">
        <f>SUM($F$4:F289)</f>
        <v>0.12297447505704812</v>
      </c>
      <c r="L289" s="11">
        <v>286</v>
      </c>
      <c r="M289" s="7">
        <f t="shared" ca="1" si="16"/>
        <v>1.2512936141092838E-2</v>
      </c>
      <c r="N289" s="7">
        <f ca="1">SUM($M$4:M289)</f>
        <v>0.40041395651497069</v>
      </c>
    </row>
    <row r="290" spans="1:14" x14ac:dyDescent="0.3">
      <c r="A290" s="3">
        <v>43882</v>
      </c>
      <c r="B290" s="4">
        <v>29.209999</v>
      </c>
      <c r="D290" s="11">
        <v>287</v>
      </c>
      <c r="E290" s="3">
        <v>43885</v>
      </c>
      <c r="F290" s="7">
        <f t="shared" si="15"/>
        <v>-3.1296018364197646E-2</v>
      </c>
      <c r="G290" s="7">
        <f>SUM($F$4:F290)</f>
        <v>9.1678456692850463E-2</v>
      </c>
      <c r="L290" s="11">
        <v>287</v>
      </c>
      <c r="M290" s="7">
        <f t="shared" ca="1" si="16"/>
        <v>-4.170978713697613E-2</v>
      </c>
      <c r="N290" s="7">
        <f ca="1">SUM($M$4:M290)</f>
        <v>0.35870416937799454</v>
      </c>
    </row>
    <row r="291" spans="1:14" x14ac:dyDescent="0.3">
      <c r="A291" s="3">
        <v>43885</v>
      </c>
      <c r="B291" s="4">
        <v>28.309999000000001</v>
      </c>
      <c r="D291" s="11">
        <v>288</v>
      </c>
      <c r="E291" s="3">
        <v>43886</v>
      </c>
      <c r="F291" s="7">
        <f t="shared" si="15"/>
        <v>-3.1942389666431925E-2</v>
      </c>
      <c r="G291" s="7">
        <f>SUM($F$4:F291)</f>
        <v>5.9736067026418538E-2</v>
      </c>
      <c r="L291" s="11">
        <v>288</v>
      </c>
      <c r="M291" s="7">
        <f t="shared" ca="1" si="16"/>
        <v>1.8769404211639258E-2</v>
      </c>
      <c r="N291" s="7">
        <f ca="1">SUM($M$4:M291)</f>
        <v>0.37747357358963379</v>
      </c>
    </row>
    <row r="292" spans="1:14" x14ac:dyDescent="0.3">
      <c r="A292" s="3">
        <v>43886</v>
      </c>
      <c r="B292" s="4">
        <v>27.42</v>
      </c>
      <c r="D292" s="11">
        <v>289</v>
      </c>
      <c r="E292" s="3">
        <v>43887</v>
      </c>
      <c r="F292" s="7">
        <f t="shared" si="15"/>
        <v>-3.5260695673776446E-2</v>
      </c>
      <c r="G292" s="7">
        <f>SUM($F$4:F292)</f>
        <v>2.4475371352642092E-2</v>
      </c>
      <c r="L292" s="11">
        <v>289</v>
      </c>
      <c r="M292" s="7">
        <f t="shared" ca="1" si="16"/>
        <v>2.0854893568488065E-2</v>
      </c>
      <c r="N292" s="7">
        <f ca="1">SUM($M$4:M292)</f>
        <v>0.39832846715812187</v>
      </c>
    </row>
    <row r="293" spans="1:14" x14ac:dyDescent="0.3">
      <c r="A293" s="3">
        <v>43887</v>
      </c>
      <c r="B293" s="4">
        <v>26.469999000000001</v>
      </c>
      <c r="D293" s="11">
        <v>290</v>
      </c>
      <c r="E293" s="3">
        <v>43888</v>
      </c>
      <c r="F293" s="7">
        <f t="shared" si="15"/>
        <v>-7.042404791912657E-2</v>
      </c>
      <c r="G293" s="7">
        <f>SUM($F$4:F293)</f>
        <v>-4.5948676566484478E-2</v>
      </c>
      <c r="L293" s="11">
        <v>290</v>
      </c>
      <c r="M293" s="7">
        <f t="shared" ca="1" si="16"/>
        <v>-5.6308212634917774E-2</v>
      </c>
      <c r="N293" s="7">
        <f ca="1">SUM($M$4:M293)</f>
        <v>0.34202025452320411</v>
      </c>
    </row>
    <row r="294" spans="1:14" x14ac:dyDescent="0.3">
      <c r="A294" s="3">
        <v>43888</v>
      </c>
      <c r="B294" s="4">
        <v>24.67</v>
      </c>
      <c r="D294" s="11">
        <v>291</v>
      </c>
      <c r="E294" s="3">
        <v>43889</v>
      </c>
      <c r="F294" s="7">
        <f t="shared" si="15"/>
        <v>4.0903100270413856E-2</v>
      </c>
      <c r="G294" s="7">
        <f>SUM($F$4:F294)</f>
        <v>-5.0455762960706224E-3</v>
      </c>
      <c r="L294" s="11">
        <v>291</v>
      </c>
      <c r="M294" s="7">
        <f t="shared" ca="1" si="16"/>
        <v>1.4598425497941644E-2</v>
      </c>
      <c r="N294" s="7">
        <f ca="1">SUM($M$4:M294)</f>
        <v>0.35661868002114577</v>
      </c>
    </row>
    <row r="295" spans="1:14" x14ac:dyDescent="0.3">
      <c r="A295" s="3">
        <v>43889</v>
      </c>
      <c r="B295" s="4">
        <v>25.700001</v>
      </c>
      <c r="D295" s="11">
        <v>292</v>
      </c>
      <c r="E295" s="3">
        <v>43892</v>
      </c>
      <c r="F295" s="7">
        <f t="shared" si="15"/>
        <v>2.6872979340591203E-2</v>
      </c>
      <c r="G295" s="7">
        <f>SUM($F$4:F295)</f>
        <v>2.182740304452058E-2</v>
      </c>
      <c r="L295" s="11">
        <v>292</v>
      </c>
      <c r="M295" s="7">
        <f t="shared" ca="1" si="16"/>
        <v>2.7111361639034482E-2</v>
      </c>
      <c r="N295" s="7">
        <f ca="1">SUM($M$4:M295)</f>
        <v>0.38373004166018027</v>
      </c>
    </row>
    <row r="296" spans="1:14" x14ac:dyDescent="0.3">
      <c r="A296" s="3">
        <v>43892</v>
      </c>
      <c r="B296" s="4">
        <v>26.4</v>
      </c>
      <c r="D296" s="11">
        <v>293</v>
      </c>
      <c r="E296" s="3">
        <v>43893</v>
      </c>
      <c r="F296" s="7">
        <f t="shared" si="15"/>
        <v>-6.0790460763822263E-3</v>
      </c>
      <c r="G296" s="7">
        <f>SUM($F$4:F296)</f>
        <v>1.5748356968138352E-2</v>
      </c>
      <c r="L296" s="11">
        <v>293</v>
      </c>
      <c r="M296" s="7">
        <f t="shared" ca="1" si="16"/>
        <v>-8.3419574273952257E-3</v>
      </c>
      <c r="N296" s="7">
        <f ca="1">SUM($M$4:M296)</f>
        <v>0.37538808423278502</v>
      </c>
    </row>
    <row r="297" spans="1:14" x14ac:dyDescent="0.3">
      <c r="A297" s="3">
        <v>43893</v>
      </c>
      <c r="B297" s="4">
        <v>26.24</v>
      </c>
      <c r="D297" s="11">
        <v>294</v>
      </c>
      <c r="E297" s="3">
        <v>43894</v>
      </c>
      <c r="F297" s="7">
        <f t="shared" si="15"/>
        <v>1.0237056225046066E-2</v>
      </c>
      <c r="G297" s="7">
        <f>SUM($F$4:F297)</f>
        <v>2.5985413193184419E-2</v>
      </c>
      <c r="L297" s="11">
        <v>294</v>
      </c>
      <c r="M297" s="7">
        <f t="shared" ca="1" si="16"/>
        <v>-9.8017999771893904E-2</v>
      </c>
      <c r="N297" s="7">
        <f ca="1">SUM($M$4:M297)</f>
        <v>0.27737008446089112</v>
      </c>
    </row>
    <row r="298" spans="1:14" x14ac:dyDescent="0.3">
      <c r="A298" s="3">
        <v>43894</v>
      </c>
      <c r="B298" s="4">
        <v>26.51</v>
      </c>
      <c r="D298" s="11">
        <v>295</v>
      </c>
      <c r="E298" s="3">
        <v>43895</v>
      </c>
      <c r="F298" s="7">
        <f t="shared" si="15"/>
        <v>-4.9488257647967812E-2</v>
      </c>
      <c r="G298" s="7">
        <f>SUM($F$4:F298)</f>
        <v>-2.3502844454783393E-2</v>
      </c>
      <c r="L298" s="11">
        <v>295</v>
      </c>
      <c r="M298" s="7">
        <f t="shared" ca="1" si="16"/>
        <v>1.0427446784244032E-2</v>
      </c>
      <c r="N298" s="7">
        <f ca="1">SUM($M$4:M298)</f>
        <v>0.28779753124513513</v>
      </c>
    </row>
    <row r="299" spans="1:14" x14ac:dyDescent="0.3">
      <c r="A299" s="3">
        <v>43895</v>
      </c>
      <c r="B299" s="4">
        <v>25.23</v>
      </c>
      <c r="D299" s="11">
        <v>296</v>
      </c>
      <c r="E299" s="3">
        <v>43896</v>
      </c>
      <c r="F299" s="7">
        <f t="shared" si="15"/>
        <v>8.2890151271302268E-3</v>
      </c>
      <c r="G299" s="7">
        <f>SUM($F$4:F299)</f>
        <v>-1.5213829327653167E-2</v>
      </c>
      <c r="L299" s="11">
        <v>296</v>
      </c>
      <c r="M299" s="7">
        <f t="shared" ca="1" si="16"/>
        <v>1.0427446784244032E-2</v>
      </c>
      <c r="N299" s="7">
        <f ca="1">SUM($M$4:M299)</f>
        <v>0.29822497802937914</v>
      </c>
    </row>
    <row r="300" spans="1:14" x14ac:dyDescent="0.3">
      <c r="A300" s="3">
        <v>43896</v>
      </c>
      <c r="B300" s="4">
        <v>25.440000999999999</v>
      </c>
      <c r="D300" s="11">
        <v>297</v>
      </c>
      <c r="E300" s="3">
        <v>43899</v>
      </c>
      <c r="F300" s="7">
        <f t="shared" si="15"/>
        <v>-7.2959662842154813E-2</v>
      </c>
      <c r="G300" s="7">
        <f>SUM($F$4:F300)</f>
        <v>-8.8173492169807979E-2</v>
      </c>
      <c r="L300" s="11">
        <v>297</v>
      </c>
      <c r="M300" s="7">
        <f t="shared" ca="1" si="16"/>
        <v>-5.2137233921220161E-2</v>
      </c>
      <c r="N300" s="7">
        <f ca="1">SUM($M$4:M300)</f>
        <v>0.24608774410815898</v>
      </c>
    </row>
    <row r="301" spans="1:14" x14ac:dyDescent="0.3">
      <c r="A301" s="3">
        <v>43899</v>
      </c>
      <c r="B301" s="4">
        <v>23.65</v>
      </c>
      <c r="D301" s="11">
        <v>298</v>
      </c>
      <c r="E301" s="3">
        <v>43900</v>
      </c>
      <c r="F301" s="7">
        <f t="shared" si="15"/>
        <v>5.8707600826777909E-2</v>
      </c>
      <c r="G301" s="7">
        <f>SUM($F$4:F301)</f>
        <v>-2.9465891343030071E-2</v>
      </c>
      <c r="L301" s="11">
        <v>298</v>
      </c>
      <c r="M301" s="7">
        <f t="shared" ca="1" si="16"/>
        <v>-4.5880765850673744E-2</v>
      </c>
      <c r="N301" s="7">
        <f ca="1">SUM($M$4:M301)</f>
        <v>0.20020697825748524</v>
      </c>
    </row>
    <row r="302" spans="1:14" x14ac:dyDescent="0.3">
      <c r="A302" s="3">
        <v>43900</v>
      </c>
      <c r="B302" s="4">
        <v>25.08</v>
      </c>
      <c r="D302" s="11">
        <v>299</v>
      </c>
      <c r="E302" s="3">
        <v>43901</v>
      </c>
      <c r="F302" s="7">
        <f t="shared" si="15"/>
        <v>-4.1520046780947659E-2</v>
      </c>
      <c r="G302" s="7">
        <f>SUM($F$4:F302)</f>
        <v>-7.0985938123977729E-2</v>
      </c>
      <c r="L302" s="11">
        <v>299</v>
      </c>
      <c r="M302" s="7">
        <f t="shared" ca="1" si="16"/>
        <v>6.2564680705464188E-3</v>
      </c>
      <c r="N302" s="7">
        <f ca="1">SUM($M$4:M302)</f>
        <v>0.20646344632803165</v>
      </c>
    </row>
    <row r="303" spans="1:14" x14ac:dyDescent="0.3">
      <c r="A303" s="3">
        <v>43901</v>
      </c>
      <c r="B303" s="4">
        <v>24.059999000000001</v>
      </c>
      <c r="D303" s="11">
        <v>300</v>
      </c>
      <c r="E303" s="3">
        <v>43902</v>
      </c>
      <c r="F303" s="7">
        <f t="shared" si="15"/>
        <v>-7.6861209041386658E-2</v>
      </c>
      <c r="G303" s="7">
        <f>SUM($F$4:F303)</f>
        <v>-0.1478471471653644</v>
      </c>
      <c r="L303" s="11">
        <v>300</v>
      </c>
      <c r="M303" s="7">
        <f t="shared" ca="1" si="16"/>
        <v>-1.0427446784244032E-2</v>
      </c>
      <c r="N303" s="7">
        <f ca="1">SUM($M$4:M303)</f>
        <v>0.19603599954378761</v>
      </c>
    </row>
    <row r="304" spans="1:14" x14ac:dyDescent="0.3">
      <c r="A304" s="3">
        <v>43902</v>
      </c>
      <c r="B304" s="4">
        <v>22.280000999999999</v>
      </c>
      <c r="D304" s="11">
        <v>301</v>
      </c>
      <c r="E304" s="3">
        <v>43903</v>
      </c>
      <c r="F304" s="7">
        <f t="shared" si="15"/>
        <v>2.7010630334889096E-2</v>
      </c>
      <c r="G304" s="7">
        <f>SUM($F$4:F304)</f>
        <v>-0.1208365168304753</v>
      </c>
      <c r="L304" s="11">
        <v>301</v>
      </c>
      <c r="M304" s="7">
        <f t="shared" ca="1" si="16"/>
        <v>6.2564680705464188E-3</v>
      </c>
      <c r="N304" s="7">
        <f ca="1">SUM($M$4:M304)</f>
        <v>0.20229246761433403</v>
      </c>
    </row>
    <row r="305" spans="1:14" x14ac:dyDescent="0.3">
      <c r="A305" s="3">
        <v>43903</v>
      </c>
      <c r="B305" s="4">
        <v>22.889999</v>
      </c>
      <c r="D305" s="11">
        <v>302</v>
      </c>
      <c r="E305" s="3">
        <v>43906</v>
      </c>
      <c r="F305" s="7">
        <f t="shared" si="15"/>
        <v>-0.10395381166721282</v>
      </c>
      <c r="G305" s="7">
        <f>SUM($F$4:F305)</f>
        <v>-0.22479032849768812</v>
      </c>
      <c r="L305" s="11">
        <v>302</v>
      </c>
      <c r="M305" s="7">
        <f t="shared" ca="1" si="16"/>
        <v>2.5025872282185675E-2</v>
      </c>
      <c r="N305" s="7">
        <f ca="1">SUM($M$4:M305)</f>
        <v>0.2273183398965197</v>
      </c>
    </row>
    <row r="306" spans="1:14" x14ac:dyDescent="0.3">
      <c r="A306" s="3">
        <v>43906</v>
      </c>
      <c r="B306" s="4">
        <v>20.629999000000002</v>
      </c>
      <c r="D306" s="11">
        <v>303</v>
      </c>
      <c r="E306" s="3">
        <v>43907</v>
      </c>
      <c r="F306" s="7">
        <f t="shared" si="15"/>
        <v>4.1771664669576727E-2</v>
      </c>
      <c r="G306" s="7">
        <f>SUM($F$4:F306)</f>
        <v>-0.18301866382811138</v>
      </c>
      <c r="L306" s="11">
        <v>303</v>
      </c>
      <c r="M306" s="7">
        <f t="shared" ca="1" si="16"/>
        <v>3.5453319066429706E-2</v>
      </c>
      <c r="N306" s="7">
        <f ca="1">SUM($M$4:M306)</f>
        <v>0.26277165896294941</v>
      </c>
    </row>
    <row r="307" spans="1:14" x14ac:dyDescent="0.3">
      <c r="A307" s="3">
        <v>43907</v>
      </c>
      <c r="B307" s="4">
        <v>21.51</v>
      </c>
      <c r="D307" s="11">
        <v>304</v>
      </c>
      <c r="E307" s="3">
        <v>43908</v>
      </c>
      <c r="F307" s="7">
        <f t="shared" si="15"/>
        <v>-7.8803792353022803E-2</v>
      </c>
      <c r="G307" s="7">
        <f>SUM($F$4:F307)</f>
        <v>-0.2618224561811342</v>
      </c>
      <c r="L307" s="11">
        <v>304</v>
      </c>
      <c r="M307" s="7">
        <f t="shared" ca="1" si="16"/>
        <v>0</v>
      </c>
      <c r="N307" s="7">
        <f ca="1">SUM($M$4:M307)</f>
        <v>0.26277165896294941</v>
      </c>
    </row>
    <row r="308" spans="1:14" x14ac:dyDescent="0.3">
      <c r="A308" s="3">
        <v>43908</v>
      </c>
      <c r="B308" s="4">
        <v>19.879999000000002</v>
      </c>
      <c r="D308" s="11">
        <v>305</v>
      </c>
      <c r="E308" s="3">
        <v>43909</v>
      </c>
      <c r="F308" s="7">
        <f t="shared" si="15"/>
        <v>6.5229935133866671E-2</v>
      </c>
      <c r="G308" s="7">
        <f>SUM($F$4:F308)</f>
        <v>-0.19659252104726754</v>
      </c>
      <c r="L308" s="11">
        <v>305</v>
      </c>
      <c r="M308" s="7">
        <f t="shared" ca="1" si="16"/>
        <v>2.7111361639034482E-2</v>
      </c>
      <c r="N308" s="7">
        <f ca="1">SUM($M$4:M308)</f>
        <v>0.2898830206019839</v>
      </c>
    </row>
    <row r="309" spans="1:14" x14ac:dyDescent="0.3">
      <c r="A309" s="3">
        <v>43909</v>
      </c>
      <c r="B309" s="4">
        <v>21.219999000000001</v>
      </c>
      <c r="D309" s="11">
        <v>306</v>
      </c>
      <c r="E309" s="3">
        <v>43910</v>
      </c>
      <c r="F309" s="7">
        <f t="shared" si="15"/>
        <v>-0.12321714248240388</v>
      </c>
      <c r="G309" s="7">
        <f>SUM($F$4:F309)</f>
        <v>-0.31980966352967144</v>
      </c>
      <c r="L309" s="11">
        <v>306</v>
      </c>
      <c r="M309" s="7">
        <f t="shared" ca="1" si="16"/>
        <v>-4.1709787136976128E-3</v>
      </c>
      <c r="N309" s="7">
        <f ca="1">SUM($M$4:M309)</f>
        <v>0.28571204188828631</v>
      </c>
    </row>
    <row r="310" spans="1:14" x14ac:dyDescent="0.3">
      <c r="A310" s="3">
        <v>43910</v>
      </c>
      <c r="B310" s="4">
        <v>18.760000000000002</v>
      </c>
      <c r="D310" s="11">
        <v>307</v>
      </c>
      <c r="E310" s="3">
        <v>43913</v>
      </c>
      <c r="F310" s="7">
        <f t="shared" si="15"/>
        <v>-1.4496898179045252E-2</v>
      </c>
      <c r="G310" s="7">
        <f>SUM($F$4:F310)</f>
        <v>-0.3343065617087167</v>
      </c>
      <c r="L310" s="11">
        <v>307</v>
      </c>
      <c r="M310" s="7">
        <f t="shared" ca="1" si="16"/>
        <v>-6.2564680705464188E-3</v>
      </c>
      <c r="N310" s="7">
        <f ca="1">SUM($M$4:M310)</f>
        <v>0.27945557381773989</v>
      </c>
    </row>
    <row r="311" spans="1:14" x14ac:dyDescent="0.3">
      <c r="A311" s="3">
        <v>43913</v>
      </c>
      <c r="B311" s="4">
        <v>18.489999999999998</v>
      </c>
      <c r="D311" s="11">
        <v>308</v>
      </c>
      <c r="E311" s="3">
        <v>43914</v>
      </c>
      <c r="F311" s="7">
        <f t="shared" si="15"/>
        <v>8.000115420380452E-2</v>
      </c>
      <c r="G311" s="7">
        <f>SUM($F$4:F311)</f>
        <v>-0.25430540750491215</v>
      </c>
      <c r="L311" s="11">
        <v>308</v>
      </c>
      <c r="M311" s="7">
        <f t="shared" ca="1" si="16"/>
        <v>-2.0854893568488064E-3</v>
      </c>
      <c r="N311" s="7">
        <f ca="1">SUM($M$4:M311)</f>
        <v>0.27737008446089106</v>
      </c>
    </row>
    <row r="312" spans="1:14" x14ac:dyDescent="0.3">
      <c r="A312" s="3">
        <v>43914</v>
      </c>
      <c r="B312" s="4">
        <v>20.030000999999999</v>
      </c>
      <c r="D312" s="11">
        <v>309</v>
      </c>
      <c r="E312" s="3">
        <v>43915</v>
      </c>
      <c r="F312" s="7">
        <f t="shared" si="15"/>
        <v>5.0144259619609721E-2</v>
      </c>
      <c r="G312" s="7">
        <f>SUM($F$4:F312)</f>
        <v>-0.20416114788530243</v>
      </c>
      <c r="L312" s="11">
        <v>309</v>
      </c>
      <c r="M312" s="7">
        <f t="shared" ca="1" si="16"/>
        <v>1.4598425497941644E-2</v>
      </c>
      <c r="N312" s="7">
        <f ca="1">SUM($M$4:M312)</f>
        <v>0.29196850995883272</v>
      </c>
    </row>
    <row r="313" spans="1:14" x14ac:dyDescent="0.3">
      <c r="A313" s="3">
        <v>43915</v>
      </c>
      <c r="B313" s="4">
        <v>21.059999000000001</v>
      </c>
      <c r="D313" s="11">
        <v>310</v>
      </c>
      <c r="E313" s="3">
        <v>43916</v>
      </c>
      <c r="F313" s="7">
        <f t="shared" si="15"/>
        <v>-6.1919227645392443E-3</v>
      </c>
      <c r="G313" s="7">
        <f>SUM($F$4:F313)</f>
        <v>-0.21035307064984168</v>
      </c>
      <c r="L313" s="11">
        <v>310</v>
      </c>
      <c r="M313" s="7">
        <f t="shared" ca="1" si="16"/>
        <v>-6.0479191348615388E-2</v>
      </c>
      <c r="N313" s="7">
        <f ca="1">SUM($M$4:M313)</f>
        <v>0.23148931861021732</v>
      </c>
    </row>
    <row r="314" spans="1:14" x14ac:dyDescent="0.3">
      <c r="A314" s="3">
        <v>43916</v>
      </c>
      <c r="B314" s="4">
        <v>20.93</v>
      </c>
      <c r="D314" s="11">
        <v>311</v>
      </c>
      <c r="E314" s="3">
        <v>43917</v>
      </c>
      <c r="F314" s="7">
        <f t="shared" si="15"/>
        <v>-9.5166802601244202E-2</v>
      </c>
      <c r="G314" s="7">
        <f>SUM($F$4:F314)</f>
        <v>-0.30551987325108587</v>
      </c>
      <c r="L314" s="11">
        <v>311</v>
      </c>
      <c r="M314" s="7">
        <f t="shared" ca="1" si="16"/>
        <v>0.10427446784244032</v>
      </c>
      <c r="N314" s="7">
        <f ca="1">SUM($M$4:M314)</f>
        <v>0.33576378645265764</v>
      </c>
    </row>
    <row r="315" spans="1:14" x14ac:dyDescent="0.3">
      <c r="A315" s="3">
        <v>43917</v>
      </c>
      <c r="B315" s="4">
        <v>19.030000999999999</v>
      </c>
      <c r="D315" s="11">
        <v>312</v>
      </c>
      <c r="E315" s="3">
        <v>43920</v>
      </c>
      <c r="F315" s="7">
        <f t="shared" si="15"/>
        <v>5.0215414738977907E-2</v>
      </c>
      <c r="G315" s="7">
        <f>SUM($F$4:F315)</f>
        <v>-0.25530445851210798</v>
      </c>
      <c r="L315" s="11">
        <v>312</v>
      </c>
      <c r="M315" s="7">
        <f t="shared" ca="1" si="16"/>
        <v>-8.3419574273952257E-3</v>
      </c>
      <c r="N315" s="7">
        <f ca="1">SUM($M$4:M315)</f>
        <v>0.3274218290252624</v>
      </c>
    </row>
    <row r="316" spans="1:14" x14ac:dyDescent="0.3">
      <c r="A316" s="3">
        <v>43920</v>
      </c>
      <c r="B316" s="4">
        <v>20.010000000000002</v>
      </c>
      <c r="D316" s="11">
        <v>313</v>
      </c>
      <c r="E316" s="3">
        <v>43921</v>
      </c>
      <c r="F316" s="7">
        <f t="shared" si="15"/>
        <v>-2.8899298123021302E-2</v>
      </c>
      <c r="G316" s="7">
        <f>SUM($F$4:F316)</f>
        <v>-0.28420375663512926</v>
      </c>
      <c r="L316" s="11">
        <v>313</v>
      </c>
      <c r="M316" s="7">
        <f t="shared" ca="1" si="16"/>
        <v>4.5880765850673744E-2</v>
      </c>
      <c r="N316" s="7">
        <f ca="1">SUM($M$4:M316)</f>
        <v>0.37330259487593614</v>
      </c>
    </row>
    <row r="317" spans="1:14" x14ac:dyDescent="0.3">
      <c r="A317" s="3">
        <v>43921</v>
      </c>
      <c r="B317" s="4">
        <v>19.440000999999999</v>
      </c>
      <c r="D317" s="11">
        <v>314</v>
      </c>
      <c r="E317" s="3">
        <v>43922</v>
      </c>
      <c r="F317" s="7">
        <f t="shared" si="15"/>
        <v>5.1427100571487059E-4</v>
      </c>
      <c r="G317" s="7">
        <f>SUM($F$4:F317)</f>
        <v>-0.28368948562941437</v>
      </c>
      <c r="L317" s="11">
        <v>314</v>
      </c>
      <c r="M317" s="7">
        <f t="shared" ca="1" si="16"/>
        <v>-1.2512936141092838E-2</v>
      </c>
      <c r="N317" s="7">
        <f ca="1">SUM($M$4:M317)</f>
        <v>0.36078965873484331</v>
      </c>
    </row>
    <row r="318" spans="1:14" x14ac:dyDescent="0.3">
      <c r="A318" s="3">
        <v>43922</v>
      </c>
      <c r="B318" s="4">
        <v>19.450001</v>
      </c>
      <c r="D318" s="11">
        <v>315</v>
      </c>
      <c r="E318" s="3">
        <v>43923</v>
      </c>
      <c r="F318" s="7">
        <f t="shared" si="15"/>
        <v>-4.0393688677639213E-2</v>
      </c>
      <c r="G318" s="7">
        <f>SUM($F$4:F318)</f>
        <v>-0.32408317430705358</v>
      </c>
      <c r="L318" s="11">
        <v>315</v>
      </c>
      <c r="M318" s="7">
        <f t="shared" ca="1" si="16"/>
        <v>-2.5025872282185675E-2</v>
      </c>
      <c r="N318" s="7">
        <f ca="1">SUM($M$4:M318)</f>
        <v>0.33576378645265764</v>
      </c>
    </row>
    <row r="319" spans="1:14" x14ac:dyDescent="0.3">
      <c r="A319" s="3">
        <v>43923</v>
      </c>
      <c r="B319" s="4">
        <v>18.68</v>
      </c>
      <c r="D319" s="11">
        <v>316</v>
      </c>
      <c r="E319" s="3">
        <v>43924</v>
      </c>
      <c r="F319" s="7">
        <f t="shared" si="15"/>
        <v>-1.7278993142122639E-2</v>
      </c>
      <c r="G319" s="7">
        <f>SUM($F$4:F319)</f>
        <v>-0.34136216744917625</v>
      </c>
      <c r="L319" s="11">
        <v>316</v>
      </c>
      <c r="M319" s="7">
        <f t="shared" ca="1" si="16"/>
        <v>-3.7538808423278516E-2</v>
      </c>
      <c r="N319" s="7">
        <f ca="1">SUM($M$4:M319)</f>
        <v>0.29822497802937914</v>
      </c>
    </row>
    <row r="320" spans="1:14" x14ac:dyDescent="0.3">
      <c r="A320" s="3">
        <v>43924</v>
      </c>
      <c r="B320" s="4">
        <v>18.360001</v>
      </c>
      <c r="D320" s="11">
        <v>317</v>
      </c>
      <c r="E320" s="3">
        <v>43927</v>
      </c>
      <c r="F320" s="7">
        <f t="shared" si="15"/>
        <v>6.7902898656696367E-2</v>
      </c>
      <c r="G320" s="7">
        <f>SUM($F$4:F320)</f>
        <v>-0.27345926879247989</v>
      </c>
      <c r="L320" s="11">
        <v>317</v>
      </c>
      <c r="M320" s="7">
        <f t="shared" ca="1" si="16"/>
        <v>2.5025872282185675E-2</v>
      </c>
      <c r="N320" s="7">
        <f ca="1">SUM($M$4:M320)</f>
        <v>0.32325085031156481</v>
      </c>
    </row>
    <row r="321" spans="1:14" x14ac:dyDescent="0.3">
      <c r="A321" s="3">
        <v>43927</v>
      </c>
      <c r="B321" s="4">
        <v>19.649999999999999</v>
      </c>
      <c r="D321" s="11">
        <v>318</v>
      </c>
      <c r="E321" s="3">
        <v>43928</v>
      </c>
      <c r="F321" s="7">
        <f t="shared" si="15"/>
        <v>5.0606035378406779E-2</v>
      </c>
      <c r="G321" s="7">
        <f>SUM($F$4:F321)</f>
        <v>-0.22285323341407312</v>
      </c>
      <c r="L321" s="11">
        <v>318</v>
      </c>
      <c r="M321" s="7">
        <f t="shared" ca="1" si="16"/>
        <v>-3.5453319066429706E-2</v>
      </c>
      <c r="N321" s="7">
        <f ca="1">SUM($M$4:M321)</f>
        <v>0.28779753124513507</v>
      </c>
    </row>
    <row r="322" spans="1:14" x14ac:dyDescent="0.3">
      <c r="A322" s="3">
        <v>43928</v>
      </c>
      <c r="B322" s="4">
        <v>20.67</v>
      </c>
      <c r="D322" s="11">
        <v>319</v>
      </c>
      <c r="E322" s="3">
        <v>43929</v>
      </c>
      <c r="F322" s="7">
        <f t="shared" si="15"/>
        <v>4.3083586136311483E-2</v>
      </c>
      <c r="G322" s="7">
        <f>SUM($F$4:F322)</f>
        <v>-0.17976964727776162</v>
      </c>
      <c r="L322" s="11">
        <v>319</v>
      </c>
      <c r="M322" s="7">
        <f t="shared" ca="1" si="16"/>
        <v>8.3419574273952257E-3</v>
      </c>
      <c r="N322" s="7">
        <f ca="1">SUM($M$4:M322)</f>
        <v>0.29613948867253032</v>
      </c>
    </row>
    <row r="323" spans="1:14" x14ac:dyDescent="0.3">
      <c r="A323" s="3">
        <v>43929</v>
      </c>
      <c r="B323" s="4">
        <v>21.58</v>
      </c>
      <c r="D323" s="11">
        <v>320</v>
      </c>
      <c r="E323" s="3">
        <v>43930</v>
      </c>
      <c r="F323" s="7">
        <f t="shared" si="15"/>
        <v>3.3716177683121705E-2</v>
      </c>
      <c r="G323" s="7">
        <f>SUM($F$4:F323)</f>
        <v>-0.14605346959463991</v>
      </c>
      <c r="L323" s="11">
        <v>320</v>
      </c>
      <c r="M323" s="7">
        <f t="shared" ca="1" si="16"/>
        <v>5.005174456437135E-2</v>
      </c>
      <c r="N323" s="7">
        <f ca="1">SUM($M$4:M323)</f>
        <v>0.34619123323690165</v>
      </c>
    </row>
    <row r="324" spans="1:14" x14ac:dyDescent="0.3">
      <c r="A324" s="3">
        <v>43930</v>
      </c>
      <c r="B324" s="4">
        <v>22.32</v>
      </c>
      <c r="D324" s="11">
        <v>321</v>
      </c>
      <c r="E324" s="3">
        <v>43934</v>
      </c>
      <c r="F324" s="7">
        <f t="shared" ref="F324:F387" si="17">LN(B325/B324)</f>
        <v>-1.4895332946440472E-2</v>
      </c>
      <c r="G324" s="7">
        <f>SUM($F$4:F324)</f>
        <v>-0.16094880254108038</v>
      </c>
      <c r="L324" s="11">
        <v>321</v>
      </c>
      <c r="M324" s="7">
        <f t="shared" ca="1" si="16"/>
        <v>7.5077616846557033E-2</v>
      </c>
      <c r="N324" s="7">
        <f ca="1">SUM($M$4:M324)</f>
        <v>0.42126885008345871</v>
      </c>
    </row>
    <row r="325" spans="1:14" x14ac:dyDescent="0.3">
      <c r="A325" s="3">
        <v>43934</v>
      </c>
      <c r="B325" s="4">
        <v>21.99</v>
      </c>
      <c r="D325" s="11">
        <v>322</v>
      </c>
      <c r="E325" s="3">
        <v>43935</v>
      </c>
      <c r="F325" s="7">
        <f t="shared" si="17"/>
        <v>1.3998829056352906E-2</v>
      </c>
      <c r="G325" s="7">
        <f>SUM($F$4:F325)</f>
        <v>-0.14694997348472746</v>
      </c>
      <c r="L325" s="11">
        <v>322</v>
      </c>
      <c r="M325" s="7">
        <f t="shared" ref="M325:M388" ca="1" si="18">(2*_xlfn.BINOM.INV($J$4,$J$12,RAND())-$J$4)*$J$11</f>
        <v>-2.2940382925336872E-2</v>
      </c>
      <c r="N325" s="7">
        <f ca="1">SUM($M$4:M325)</f>
        <v>0.39832846715812187</v>
      </c>
    </row>
    <row r="326" spans="1:14" x14ac:dyDescent="0.3">
      <c r="A326" s="3">
        <v>43935</v>
      </c>
      <c r="B326" s="4">
        <v>22.299999</v>
      </c>
      <c r="D326" s="11">
        <v>323</v>
      </c>
      <c r="E326" s="3">
        <v>43936</v>
      </c>
      <c r="F326" s="7">
        <f t="shared" si="17"/>
        <v>-4.353489394838915E-2</v>
      </c>
      <c r="G326" s="7">
        <f>SUM($F$4:F326)</f>
        <v>-0.1904848674331166</v>
      </c>
      <c r="L326" s="11">
        <v>323</v>
      </c>
      <c r="M326" s="7">
        <f t="shared" ca="1" si="18"/>
        <v>-6.2564680705464198E-2</v>
      </c>
      <c r="N326" s="7">
        <f ca="1">SUM($M$4:M326)</f>
        <v>0.3357637864526577</v>
      </c>
    </row>
    <row r="327" spans="1:14" x14ac:dyDescent="0.3">
      <c r="A327" s="3">
        <v>43936</v>
      </c>
      <c r="B327" s="4">
        <v>21.35</v>
      </c>
      <c r="D327" s="11">
        <v>324</v>
      </c>
      <c r="E327" s="3">
        <v>43937</v>
      </c>
      <c r="F327" s="7">
        <f t="shared" si="17"/>
        <v>5.6048256394365583E-3</v>
      </c>
      <c r="G327" s="7">
        <f>SUM($F$4:F327)</f>
        <v>-0.18488004179368003</v>
      </c>
      <c r="L327" s="11">
        <v>324</v>
      </c>
      <c r="M327" s="7">
        <f t="shared" ca="1" si="18"/>
        <v>-8.3419574273952257E-3</v>
      </c>
      <c r="N327" s="7">
        <f ca="1">SUM($M$4:M327)</f>
        <v>0.32742182902526246</v>
      </c>
    </row>
    <row r="328" spans="1:14" x14ac:dyDescent="0.3">
      <c r="A328" s="3">
        <v>43937</v>
      </c>
      <c r="B328" s="4">
        <v>21.469999000000001</v>
      </c>
      <c r="D328" s="11">
        <v>325</v>
      </c>
      <c r="E328" s="3">
        <v>43938</v>
      </c>
      <c r="F328" s="7">
        <f t="shared" si="17"/>
        <v>3.0729316799301278E-2</v>
      </c>
      <c r="G328" s="7">
        <f>SUM($F$4:F328)</f>
        <v>-0.15415072499437876</v>
      </c>
      <c r="L328" s="11">
        <v>325</v>
      </c>
      <c r="M328" s="7">
        <f t="shared" ca="1" si="18"/>
        <v>3.1282340352732099E-2</v>
      </c>
      <c r="N328" s="7">
        <f ca="1">SUM($M$4:M328)</f>
        <v>0.35870416937799454</v>
      </c>
    </row>
    <row r="329" spans="1:14" x14ac:dyDescent="0.3">
      <c r="A329" s="3">
        <v>43938</v>
      </c>
      <c r="B329" s="4">
        <v>22.139999</v>
      </c>
      <c r="D329" s="11">
        <v>326</v>
      </c>
      <c r="E329" s="3">
        <v>43941</v>
      </c>
      <c r="F329" s="7">
        <f t="shared" si="17"/>
        <v>-2.007357548400936E-2</v>
      </c>
      <c r="G329" s="7">
        <f>SUM($F$4:F329)</f>
        <v>-0.17422430047838813</v>
      </c>
      <c r="L329" s="11">
        <v>326</v>
      </c>
      <c r="M329" s="7">
        <f t="shared" ca="1" si="18"/>
        <v>6.2564680705464188E-3</v>
      </c>
      <c r="N329" s="7">
        <f ca="1">SUM($M$4:M329)</f>
        <v>0.36496063744854096</v>
      </c>
    </row>
    <row r="330" spans="1:14" x14ac:dyDescent="0.3">
      <c r="A330" s="3">
        <v>43941</v>
      </c>
      <c r="B330" s="4">
        <v>21.700001</v>
      </c>
      <c r="D330" s="11">
        <v>327</v>
      </c>
      <c r="E330" s="3">
        <v>43942</v>
      </c>
      <c r="F330" s="7">
        <f t="shared" si="17"/>
        <v>-4.332127283508664E-2</v>
      </c>
      <c r="G330" s="7">
        <f>SUM($F$4:F330)</f>
        <v>-0.21754557331347477</v>
      </c>
      <c r="L330" s="11">
        <v>327</v>
      </c>
      <c r="M330" s="7">
        <f t="shared" ca="1" si="18"/>
        <v>-1.0427446784244032E-2</v>
      </c>
      <c r="N330" s="7">
        <f ca="1">SUM($M$4:M330)</f>
        <v>0.35453319066429695</v>
      </c>
    </row>
    <row r="331" spans="1:14" x14ac:dyDescent="0.3">
      <c r="A331" s="3">
        <v>43942</v>
      </c>
      <c r="B331" s="4">
        <v>20.780000999999999</v>
      </c>
      <c r="D331" s="11">
        <v>328</v>
      </c>
      <c r="E331" s="3">
        <v>43943</v>
      </c>
      <c r="F331" s="7">
        <f t="shared" si="17"/>
        <v>-1.9927754463760623E-2</v>
      </c>
      <c r="G331" s="7">
        <f>SUM($F$4:F331)</f>
        <v>-0.2374733277772354</v>
      </c>
      <c r="L331" s="11">
        <v>328</v>
      </c>
      <c r="M331" s="7">
        <f t="shared" ca="1" si="18"/>
        <v>-4.1709787136976128E-3</v>
      </c>
      <c r="N331" s="7">
        <f ca="1">SUM($M$4:M331)</f>
        <v>0.35036221195059936</v>
      </c>
    </row>
    <row r="332" spans="1:14" x14ac:dyDescent="0.3">
      <c r="A332" s="3">
        <v>43943</v>
      </c>
      <c r="B332" s="4">
        <v>20.370000999999998</v>
      </c>
      <c r="D332" s="11">
        <v>329</v>
      </c>
      <c r="E332" s="3">
        <v>43944</v>
      </c>
      <c r="F332" s="7">
        <f t="shared" si="17"/>
        <v>9.8125621219898192E-4</v>
      </c>
      <c r="G332" s="7">
        <f>SUM($F$4:F332)</f>
        <v>-0.2364920715650364</v>
      </c>
      <c r="L332" s="11">
        <v>329</v>
      </c>
      <c r="M332" s="7">
        <f t="shared" ca="1" si="18"/>
        <v>6.2564680705464188E-3</v>
      </c>
      <c r="N332" s="7">
        <f ca="1">SUM($M$4:M332)</f>
        <v>0.35661868002114577</v>
      </c>
    </row>
    <row r="333" spans="1:14" x14ac:dyDescent="0.3">
      <c r="A333" s="3">
        <v>43944</v>
      </c>
      <c r="B333" s="4">
        <v>20.389999</v>
      </c>
      <c r="D333" s="11">
        <v>330</v>
      </c>
      <c r="E333" s="3">
        <v>43945</v>
      </c>
      <c r="F333" s="7">
        <f t="shared" si="17"/>
        <v>3.0429829906091364E-2</v>
      </c>
      <c r="G333" s="7">
        <f>SUM($F$4:F333)</f>
        <v>-0.20606224165894504</v>
      </c>
      <c r="L333" s="11">
        <v>330</v>
      </c>
      <c r="M333" s="7">
        <f t="shared" ca="1" si="18"/>
        <v>4.1709787136976128E-3</v>
      </c>
      <c r="N333" s="7">
        <f ca="1">SUM($M$4:M333)</f>
        <v>0.36078965873484337</v>
      </c>
    </row>
    <row r="334" spans="1:14" x14ac:dyDescent="0.3">
      <c r="A334" s="3">
        <v>43945</v>
      </c>
      <c r="B334" s="4">
        <v>21.02</v>
      </c>
      <c r="D334" s="11">
        <v>331</v>
      </c>
      <c r="E334" s="3">
        <v>43948</v>
      </c>
      <c r="F334" s="7">
        <f t="shared" si="17"/>
        <v>7.9090779948154277E-2</v>
      </c>
      <c r="G334" s="7">
        <f>SUM($F$4:F334)</f>
        <v>-0.12697146171079077</v>
      </c>
      <c r="L334" s="11">
        <v>331</v>
      </c>
      <c r="M334" s="7">
        <f t="shared" ca="1" si="18"/>
        <v>-1.6683914854790451E-2</v>
      </c>
      <c r="N334" s="7">
        <f ca="1">SUM($M$4:M334)</f>
        <v>0.34410574388005294</v>
      </c>
    </row>
    <row r="335" spans="1:14" x14ac:dyDescent="0.3">
      <c r="A335" s="3">
        <v>43948</v>
      </c>
      <c r="B335" s="4">
        <v>22.75</v>
      </c>
      <c r="D335" s="11">
        <v>332</v>
      </c>
      <c r="E335" s="3">
        <v>43949</v>
      </c>
      <c r="F335" s="7">
        <f t="shared" si="17"/>
        <v>2.9025212772611889E-2</v>
      </c>
      <c r="G335" s="7">
        <f>SUM($F$4:F335)</f>
        <v>-9.7946248938178881E-2</v>
      </c>
      <c r="L335" s="11">
        <v>332</v>
      </c>
      <c r="M335" s="7">
        <f t="shared" ca="1" si="18"/>
        <v>-3.1282340352732099E-2</v>
      </c>
      <c r="N335" s="7">
        <f ca="1">SUM($M$4:M335)</f>
        <v>0.31282340352732085</v>
      </c>
    </row>
    <row r="336" spans="1:14" x14ac:dyDescent="0.3">
      <c r="A336" s="3">
        <v>43949</v>
      </c>
      <c r="B336" s="4">
        <v>23.42</v>
      </c>
      <c r="D336" s="11">
        <v>333</v>
      </c>
      <c r="E336" s="3">
        <v>43950</v>
      </c>
      <c r="F336" s="7">
        <f t="shared" si="17"/>
        <v>5.4426723363753454E-2</v>
      </c>
      <c r="G336" s="7">
        <f>SUM($F$4:F336)</f>
        <v>-4.3519525574425427E-2</v>
      </c>
      <c r="L336" s="11">
        <v>333</v>
      </c>
      <c r="M336" s="7">
        <f t="shared" ca="1" si="18"/>
        <v>-2.2940382925336872E-2</v>
      </c>
      <c r="N336" s="7">
        <f ca="1">SUM($M$4:M336)</f>
        <v>0.28988302060198401</v>
      </c>
    </row>
    <row r="337" spans="1:14" x14ac:dyDescent="0.3">
      <c r="A337" s="3">
        <v>43950</v>
      </c>
      <c r="B337" s="4">
        <v>24.73</v>
      </c>
      <c r="D337" s="11">
        <v>334</v>
      </c>
      <c r="E337" s="3">
        <v>43951</v>
      </c>
      <c r="F337" s="7">
        <f t="shared" si="17"/>
        <v>-9.8063663889310967E-2</v>
      </c>
      <c r="G337" s="7">
        <f>SUM($F$4:F337)</f>
        <v>-0.14158318946373638</v>
      </c>
      <c r="L337" s="11">
        <v>334</v>
      </c>
      <c r="M337" s="7">
        <f t="shared" ca="1" si="18"/>
        <v>-5.2137233921220161E-2</v>
      </c>
      <c r="N337" s="7">
        <f ca="1">SUM($M$4:M337)</f>
        <v>0.23774578668076385</v>
      </c>
    </row>
    <row r="338" spans="1:14" x14ac:dyDescent="0.3">
      <c r="A338" s="3">
        <v>43951</v>
      </c>
      <c r="B338" s="4">
        <v>22.42</v>
      </c>
      <c r="D338" s="11">
        <v>335</v>
      </c>
      <c r="E338" s="3">
        <v>43952</v>
      </c>
      <c r="F338" s="7">
        <f t="shared" si="17"/>
        <v>-3.4024602095746113E-2</v>
      </c>
      <c r="G338" s="7">
        <f>SUM($F$4:F338)</f>
        <v>-0.1756077915594825</v>
      </c>
      <c r="L338" s="11">
        <v>335</v>
      </c>
      <c r="M338" s="7">
        <f t="shared" ca="1" si="18"/>
        <v>2.0854893568488064E-3</v>
      </c>
      <c r="N338" s="7">
        <f ca="1">SUM($M$4:M338)</f>
        <v>0.23983127603761265</v>
      </c>
    </row>
    <row r="339" spans="1:14" x14ac:dyDescent="0.3">
      <c r="A339" s="3">
        <v>43952</v>
      </c>
      <c r="B339" s="4">
        <v>21.67</v>
      </c>
      <c r="D339" s="11">
        <v>336</v>
      </c>
      <c r="E339" s="3">
        <v>43955</v>
      </c>
      <c r="F339" s="7">
        <f t="shared" si="17"/>
        <v>9.1870648651445862E-3</v>
      </c>
      <c r="G339" s="7">
        <f>SUM($F$4:F339)</f>
        <v>-0.16642072669433791</v>
      </c>
      <c r="L339" s="11">
        <v>336</v>
      </c>
      <c r="M339" s="7">
        <f t="shared" ca="1" si="18"/>
        <v>-0.10218897848559151</v>
      </c>
      <c r="N339" s="7">
        <f ca="1">SUM($M$4:M339)</f>
        <v>0.13764229755202112</v>
      </c>
    </row>
    <row r="340" spans="1:14" x14ac:dyDescent="0.3">
      <c r="A340" s="3">
        <v>43955</v>
      </c>
      <c r="B340" s="4">
        <v>21.870000999999998</v>
      </c>
      <c r="D340" s="11">
        <v>337</v>
      </c>
      <c r="E340" s="3">
        <v>43956</v>
      </c>
      <c r="F340" s="7">
        <f t="shared" si="17"/>
        <v>-2.875898504298657E-2</v>
      </c>
      <c r="G340" s="7">
        <f>SUM($F$4:F340)</f>
        <v>-0.19517971173732448</v>
      </c>
      <c r="L340" s="11">
        <v>337</v>
      </c>
      <c r="M340" s="7">
        <f t="shared" ca="1" si="18"/>
        <v>-1.8769404211639258E-2</v>
      </c>
      <c r="N340" s="7">
        <f ca="1">SUM($M$4:M340)</f>
        <v>0.11887289334038187</v>
      </c>
    </row>
    <row r="341" spans="1:14" x14ac:dyDescent="0.3">
      <c r="A341" s="3">
        <v>43956</v>
      </c>
      <c r="B341" s="4">
        <v>21.25</v>
      </c>
      <c r="D341" s="11">
        <v>338</v>
      </c>
      <c r="E341" s="3">
        <v>43957</v>
      </c>
      <c r="F341" s="7">
        <f t="shared" si="17"/>
        <v>-1.9002947125615358E-2</v>
      </c>
      <c r="G341" s="7">
        <f>SUM($F$4:F341)</f>
        <v>-0.21418265886293986</v>
      </c>
      <c r="L341" s="11">
        <v>338</v>
      </c>
      <c r="M341" s="7">
        <f t="shared" ca="1" si="18"/>
        <v>-5.4222723278068964E-2</v>
      </c>
      <c r="N341" s="7">
        <f ca="1">SUM($M$4:M341)</f>
        <v>6.4650170062312912E-2</v>
      </c>
    </row>
    <row r="342" spans="1:14" x14ac:dyDescent="0.3">
      <c r="A342" s="3">
        <v>43957</v>
      </c>
      <c r="B342" s="4">
        <v>20.85</v>
      </c>
      <c r="D342" s="11">
        <v>339</v>
      </c>
      <c r="E342" s="3">
        <v>43958</v>
      </c>
      <c r="F342" s="7">
        <f t="shared" si="17"/>
        <v>-1.5466668504763532E-2</v>
      </c>
      <c r="G342" s="7">
        <f>SUM($F$4:F342)</f>
        <v>-0.22964932736770338</v>
      </c>
      <c r="L342" s="11">
        <v>339</v>
      </c>
      <c r="M342" s="7">
        <f t="shared" ca="1" si="18"/>
        <v>-3.1282340352732099E-2</v>
      </c>
      <c r="N342" s="7">
        <f ca="1">SUM($M$4:M342)</f>
        <v>3.3367829709580812E-2</v>
      </c>
    </row>
    <row r="343" spans="1:14" x14ac:dyDescent="0.3">
      <c r="A343" s="3">
        <v>43958</v>
      </c>
      <c r="B343" s="4">
        <v>20.530000999999999</v>
      </c>
      <c r="D343" s="11">
        <v>340</v>
      </c>
      <c r="E343" s="3">
        <v>43959</v>
      </c>
      <c r="F343" s="7">
        <f t="shared" si="17"/>
        <v>2.6911714750636195E-2</v>
      </c>
      <c r="G343" s="7">
        <f>SUM($F$4:F343)</f>
        <v>-0.20273761261706719</v>
      </c>
      <c r="L343" s="11">
        <v>340</v>
      </c>
      <c r="M343" s="7">
        <f t="shared" ca="1" si="18"/>
        <v>-1.4598425497941644E-2</v>
      </c>
      <c r="N343" s="7">
        <f ca="1">SUM($M$4:M343)</f>
        <v>1.8769404211639168E-2</v>
      </c>
    </row>
    <row r="344" spans="1:14" x14ac:dyDescent="0.3">
      <c r="A344" s="3">
        <v>43959</v>
      </c>
      <c r="B344" s="4">
        <v>21.09</v>
      </c>
      <c r="D344" s="11">
        <v>341</v>
      </c>
      <c r="E344" s="3">
        <v>43962</v>
      </c>
      <c r="F344" s="7">
        <f t="shared" si="17"/>
        <v>-3.670136685042804E-2</v>
      </c>
      <c r="G344" s="7">
        <f>SUM($F$4:F344)</f>
        <v>-0.23943897946749523</v>
      </c>
      <c r="L344" s="11">
        <v>341</v>
      </c>
      <c r="M344" s="7">
        <f t="shared" ca="1" si="18"/>
        <v>5.2137233921220161E-2</v>
      </c>
      <c r="N344" s="7">
        <f ca="1">SUM($M$4:M344)</f>
        <v>7.0906638132859329E-2</v>
      </c>
    </row>
    <row r="345" spans="1:14" x14ac:dyDescent="0.3">
      <c r="A345" s="3">
        <v>43962</v>
      </c>
      <c r="B345" s="4">
        <v>20.329999999999998</v>
      </c>
      <c r="D345" s="11">
        <v>342</v>
      </c>
      <c r="E345" s="3">
        <v>43963</v>
      </c>
      <c r="F345" s="7">
        <f t="shared" si="17"/>
        <v>-2.7426250889573185E-2</v>
      </c>
      <c r="G345" s="7">
        <f>SUM($F$4:F345)</f>
        <v>-0.26686523035706844</v>
      </c>
      <c r="L345" s="11">
        <v>342</v>
      </c>
      <c r="M345" s="7">
        <f t="shared" ca="1" si="18"/>
        <v>-3.7538808423278516E-2</v>
      </c>
      <c r="N345" s="7">
        <f ca="1">SUM($M$4:M345)</f>
        <v>3.3367829709580812E-2</v>
      </c>
    </row>
    <row r="346" spans="1:14" x14ac:dyDescent="0.3">
      <c r="A346" s="3">
        <v>43963</v>
      </c>
      <c r="B346" s="4">
        <v>19.780000999999999</v>
      </c>
      <c r="D346" s="11">
        <v>343</v>
      </c>
      <c r="E346" s="3">
        <v>43964</v>
      </c>
      <c r="F346" s="7">
        <f t="shared" si="17"/>
        <v>-3.341364557243711E-2</v>
      </c>
      <c r="G346" s="7">
        <f>SUM($F$4:F346)</f>
        <v>-0.30027887592950553</v>
      </c>
      <c r="L346" s="11">
        <v>343</v>
      </c>
      <c r="M346" s="7">
        <f t="shared" ca="1" si="18"/>
        <v>6.0479191348615388E-2</v>
      </c>
      <c r="N346" s="7">
        <f ca="1">SUM($M$4:M346)</f>
        <v>9.3847021058196201E-2</v>
      </c>
    </row>
    <row r="347" spans="1:14" x14ac:dyDescent="0.3">
      <c r="A347" s="3">
        <v>43964</v>
      </c>
      <c r="B347" s="4">
        <v>19.129999000000002</v>
      </c>
      <c r="D347" s="11">
        <v>344</v>
      </c>
      <c r="E347" s="3">
        <v>43965</v>
      </c>
      <c r="F347" s="7">
        <f t="shared" si="17"/>
        <v>7.1116522007657737E-2</v>
      </c>
      <c r="G347" s="7">
        <f>SUM($F$4:F347)</f>
        <v>-0.22916235392184781</v>
      </c>
      <c r="L347" s="11">
        <v>344</v>
      </c>
      <c r="M347" s="7">
        <f t="shared" ca="1" si="18"/>
        <v>2.0854893568488064E-3</v>
      </c>
      <c r="N347" s="7">
        <f ca="1">SUM($M$4:M347)</f>
        <v>9.5932510415045011E-2</v>
      </c>
    </row>
    <row r="348" spans="1:14" x14ac:dyDescent="0.3">
      <c r="A348" s="3">
        <v>43965</v>
      </c>
      <c r="B348" s="4">
        <v>20.540001</v>
      </c>
      <c r="D348" s="11">
        <v>345</v>
      </c>
      <c r="E348" s="3">
        <v>43966</v>
      </c>
      <c r="F348" s="7">
        <f t="shared" si="17"/>
        <v>-3.4139023646842233E-3</v>
      </c>
      <c r="G348" s="7">
        <f>SUM($F$4:F348)</f>
        <v>-0.23257625628653203</v>
      </c>
      <c r="L348" s="11">
        <v>345</v>
      </c>
      <c r="M348" s="7">
        <f t="shared" ca="1" si="18"/>
        <v>4.170978713697613E-2</v>
      </c>
      <c r="N348" s="7">
        <f ca="1">SUM($M$4:M348)</f>
        <v>0.13764229755202115</v>
      </c>
    </row>
    <row r="349" spans="1:14" x14ac:dyDescent="0.3">
      <c r="A349" s="3">
        <v>43966</v>
      </c>
      <c r="B349" s="4">
        <v>20.469999000000001</v>
      </c>
      <c r="D349" s="11">
        <v>346</v>
      </c>
      <c r="E349" s="3">
        <v>43969</v>
      </c>
      <c r="F349" s="7">
        <f t="shared" si="17"/>
        <v>3.880736064470508E-2</v>
      </c>
      <c r="G349" s="7">
        <f>SUM($F$4:F349)</f>
        <v>-0.19376889564182695</v>
      </c>
      <c r="L349" s="11">
        <v>346</v>
      </c>
      <c r="M349" s="7">
        <f t="shared" ca="1" si="18"/>
        <v>4.7966255207522547E-2</v>
      </c>
      <c r="N349" s="7">
        <f ca="1">SUM($M$4:M349)</f>
        <v>0.18560855275954369</v>
      </c>
    </row>
    <row r="350" spans="1:14" x14ac:dyDescent="0.3">
      <c r="A350" s="3">
        <v>43969</v>
      </c>
      <c r="B350" s="4">
        <v>21.280000999999999</v>
      </c>
      <c r="D350" s="11">
        <v>347</v>
      </c>
      <c r="E350" s="3">
        <v>43970</v>
      </c>
      <c r="F350" s="7">
        <f t="shared" si="17"/>
        <v>-1.0867198843472594E-2</v>
      </c>
      <c r="G350" s="7">
        <f>SUM($F$4:F350)</f>
        <v>-0.20463609448529954</v>
      </c>
      <c r="L350" s="11">
        <v>347</v>
      </c>
      <c r="M350" s="7">
        <f t="shared" ca="1" si="18"/>
        <v>6.8821148776010616E-2</v>
      </c>
      <c r="N350" s="7">
        <f ca="1">SUM($M$4:M350)</f>
        <v>0.25442970153555433</v>
      </c>
    </row>
    <row r="351" spans="1:14" x14ac:dyDescent="0.3">
      <c r="A351" s="3">
        <v>43970</v>
      </c>
      <c r="B351" s="4">
        <v>21.049999</v>
      </c>
      <c r="D351" s="11">
        <v>348</v>
      </c>
      <c r="E351" s="3">
        <v>43971</v>
      </c>
      <c r="F351" s="7">
        <f t="shared" si="17"/>
        <v>5.6845725243227802E-3</v>
      </c>
      <c r="G351" s="7">
        <f>SUM($F$4:F351)</f>
        <v>-0.19895152196097676</v>
      </c>
      <c r="L351" s="11">
        <v>348</v>
      </c>
      <c r="M351" s="7">
        <f t="shared" ca="1" si="18"/>
        <v>-5.005174456437135E-2</v>
      </c>
      <c r="N351" s="7">
        <f ca="1">SUM($M$4:M351)</f>
        <v>0.20437795697118299</v>
      </c>
    </row>
    <row r="352" spans="1:14" x14ac:dyDescent="0.3">
      <c r="A352" s="3">
        <v>43971</v>
      </c>
      <c r="B352" s="4">
        <v>21.17</v>
      </c>
      <c r="D352" s="11">
        <v>349</v>
      </c>
      <c r="E352" s="3">
        <v>43972</v>
      </c>
      <c r="F352" s="7">
        <f t="shared" si="17"/>
        <v>-2.3901711453096868E-2</v>
      </c>
      <c r="G352" s="7">
        <f>SUM($F$4:F352)</f>
        <v>-0.22285323341407362</v>
      </c>
      <c r="L352" s="11">
        <v>349</v>
      </c>
      <c r="M352" s="7">
        <f t="shared" ca="1" si="18"/>
        <v>-3.3367829709580903E-2</v>
      </c>
      <c r="N352" s="7">
        <f ca="1">SUM($M$4:M352)</f>
        <v>0.17101012726160209</v>
      </c>
    </row>
    <row r="353" spans="1:14" x14ac:dyDescent="0.3">
      <c r="A353" s="3">
        <v>43972</v>
      </c>
      <c r="B353" s="4">
        <v>20.67</v>
      </c>
      <c r="D353" s="11">
        <v>350</v>
      </c>
      <c r="E353" s="3">
        <v>43973</v>
      </c>
      <c r="F353" s="7">
        <f t="shared" si="17"/>
        <v>-1.8062536907020279E-2</v>
      </c>
      <c r="G353" s="7">
        <f>SUM($F$4:F353)</f>
        <v>-0.2409157703210939</v>
      </c>
      <c r="L353" s="11">
        <v>350</v>
      </c>
      <c r="M353" s="7">
        <f t="shared" ca="1" si="18"/>
        <v>3.5453319066429706E-2</v>
      </c>
      <c r="N353" s="7">
        <f ca="1">SUM($M$4:M353)</f>
        <v>0.20646344632803179</v>
      </c>
    </row>
    <row r="354" spans="1:14" x14ac:dyDescent="0.3">
      <c r="A354" s="3">
        <v>43973</v>
      </c>
      <c r="B354" s="4">
        <v>20.299999</v>
      </c>
      <c r="D354" s="11">
        <v>351</v>
      </c>
      <c r="E354" s="3">
        <v>43977</v>
      </c>
      <c r="F354" s="7">
        <f t="shared" si="17"/>
        <v>7.6778625293158195E-2</v>
      </c>
      <c r="G354" s="7">
        <f>SUM($F$4:F354)</f>
        <v>-0.16413714502793569</v>
      </c>
      <c r="L354" s="11">
        <v>351</v>
      </c>
      <c r="M354" s="7">
        <f t="shared" ca="1" si="18"/>
        <v>5.005174456437135E-2</v>
      </c>
      <c r="N354" s="7">
        <f ca="1">SUM($M$4:M354)</f>
        <v>0.25651519089240316</v>
      </c>
    </row>
    <row r="355" spans="1:14" x14ac:dyDescent="0.3">
      <c r="A355" s="3">
        <v>43977</v>
      </c>
      <c r="B355" s="4">
        <v>21.92</v>
      </c>
      <c r="D355" s="11">
        <v>352</v>
      </c>
      <c r="E355" s="3">
        <v>43978</v>
      </c>
      <c r="F355" s="7">
        <f t="shared" si="17"/>
        <v>3.1435052816823315E-2</v>
      </c>
      <c r="G355" s="7">
        <f>SUM($F$4:F355)</f>
        <v>-0.13270209221111237</v>
      </c>
      <c r="L355" s="11">
        <v>352</v>
      </c>
      <c r="M355" s="7">
        <f t="shared" ca="1" si="18"/>
        <v>3.1282340352732099E-2</v>
      </c>
      <c r="N355" s="7">
        <f ca="1">SUM($M$4:M355)</f>
        <v>0.28779753124513524</v>
      </c>
    </row>
    <row r="356" spans="1:14" x14ac:dyDescent="0.3">
      <c r="A356" s="3">
        <v>43978</v>
      </c>
      <c r="B356" s="4">
        <v>22.620000999999998</v>
      </c>
      <c r="D356" s="11">
        <v>353</v>
      </c>
      <c r="E356" s="3">
        <v>43979</v>
      </c>
      <c r="F356" s="7">
        <f t="shared" si="17"/>
        <v>-2.9156674016733952E-2</v>
      </c>
      <c r="G356" s="7">
        <f>SUM($F$4:F356)</f>
        <v>-0.16185876622784631</v>
      </c>
      <c r="L356" s="11">
        <v>353</v>
      </c>
      <c r="M356" s="7">
        <f t="shared" ca="1" si="18"/>
        <v>2.0854893568488064E-3</v>
      </c>
      <c r="N356" s="7">
        <f ca="1">SUM($M$4:M356)</f>
        <v>0.28988302060198406</v>
      </c>
    </row>
    <row r="357" spans="1:14" x14ac:dyDescent="0.3">
      <c r="A357" s="3">
        <v>43979</v>
      </c>
      <c r="B357" s="4">
        <v>21.969999000000001</v>
      </c>
      <c r="D357" s="11">
        <v>354</v>
      </c>
      <c r="E357" s="3">
        <v>43980</v>
      </c>
      <c r="F357" s="7">
        <f t="shared" si="17"/>
        <v>-1.0064083345211203E-2</v>
      </c>
      <c r="G357" s="7">
        <f>SUM($F$4:F357)</f>
        <v>-0.17192284957305751</v>
      </c>
      <c r="L357" s="11">
        <v>354</v>
      </c>
      <c r="M357" s="7">
        <f t="shared" ca="1" si="18"/>
        <v>3.3367829709580903E-2</v>
      </c>
      <c r="N357" s="7">
        <f ca="1">SUM($M$4:M357)</f>
        <v>0.32325085031156497</v>
      </c>
    </row>
    <row r="358" spans="1:14" x14ac:dyDescent="0.3">
      <c r="A358" s="3">
        <v>43980</v>
      </c>
      <c r="B358" s="4">
        <v>21.75</v>
      </c>
      <c r="D358" s="11">
        <v>355</v>
      </c>
      <c r="E358" s="3">
        <v>43983</v>
      </c>
      <c r="F358" s="7">
        <f t="shared" si="17"/>
        <v>9.1534275445727606E-3</v>
      </c>
      <c r="G358" s="7">
        <f>SUM($F$4:F358)</f>
        <v>-0.16276942202848474</v>
      </c>
      <c r="L358" s="11">
        <v>355</v>
      </c>
      <c r="M358" s="7">
        <f t="shared" ca="1" si="18"/>
        <v>4.170978713697613E-2</v>
      </c>
      <c r="N358" s="7">
        <f ca="1">SUM($M$4:M358)</f>
        <v>0.36496063744854113</v>
      </c>
    </row>
    <row r="359" spans="1:14" x14ac:dyDescent="0.3">
      <c r="A359" s="3">
        <v>43983</v>
      </c>
      <c r="B359" s="4">
        <v>21.950001</v>
      </c>
      <c r="D359" s="11">
        <v>356</v>
      </c>
      <c r="E359" s="3">
        <v>43984</v>
      </c>
      <c r="F359" s="7">
        <f t="shared" si="17"/>
        <v>-5.4820145174134527E-3</v>
      </c>
      <c r="G359" s="7">
        <f>SUM($F$4:F359)</f>
        <v>-0.16825143654589819</v>
      </c>
      <c r="L359" s="11">
        <v>356</v>
      </c>
      <c r="M359" s="7">
        <f t="shared" ca="1" si="18"/>
        <v>-4.3795276493824933E-2</v>
      </c>
      <c r="N359" s="7">
        <f ca="1">SUM($M$4:M359)</f>
        <v>0.32116536095471621</v>
      </c>
    </row>
    <row r="360" spans="1:14" x14ac:dyDescent="0.3">
      <c r="A360" s="3">
        <v>43984</v>
      </c>
      <c r="B360" s="4">
        <v>21.83</v>
      </c>
      <c r="D360" s="11">
        <v>357</v>
      </c>
      <c r="E360" s="3">
        <v>43985</v>
      </c>
      <c r="F360" s="7">
        <f t="shared" si="17"/>
        <v>1.9955310707423714E-2</v>
      </c>
      <c r="G360" s="7">
        <f>SUM($F$4:F360)</f>
        <v>-0.14829612583847449</v>
      </c>
      <c r="L360" s="11">
        <v>357</v>
      </c>
      <c r="M360" s="7">
        <f t="shared" ca="1" si="18"/>
        <v>-5.8393701991766578E-2</v>
      </c>
      <c r="N360" s="7">
        <f ca="1">SUM($M$4:M360)</f>
        <v>0.26277165896294963</v>
      </c>
    </row>
    <row r="361" spans="1:14" x14ac:dyDescent="0.3">
      <c r="A361" s="3">
        <v>43985</v>
      </c>
      <c r="B361" s="4">
        <v>22.27</v>
      </c>
      <c r="D361" s="11">
        <v>358</v>
      </c>
      <c r="E361" s="3">
        <v>43986</v>
      </c>
      <c r="F361" s="7">
        <f t="shared" si="17"/>
        <v>3.6159142097127679E-2</v>
      </c>
      <c r="G361" s="7">
        <f>SUM($F$4:F361)</f>
        <v>-0.11213698374134681</v>
      </c>
      <c r="L361" s="11">
        <v>358</v>
      </c>
      <c r="M361" s="7">
        <f t="shared" ca="1" si="18"/>
        <v>4.170978713697613E-2</v>
      </c>
      <c r="N361" s="7">
        <f ca="1">SUM($M$4:M361)</f>
        <v>0.30448144609992578</v>
      </c>
    </row>
    <row r="362" spans="1:14" x14ac:dyDescent="0.3">
      <c r="A362" s="3">
        <v>43986</v>
      </c>
      <c r="B362" s="4">
        <v>23.09</v>
      </c>
      <c r="D362" s="11">
        <v>359</v>
      </c>
      <c r="E362" s="3">
        <v>43987</v>
      </c>
      <c r="F362" s="7">
        <f t="shared" si="17"/>
        <v>7.0637293189716704E-2</v>
      </c>
      <c r="G362" s="7">
        <f>SUM($F$4:F362)</f>
        <v>-4.1499690551630108E-2</v>
      </c>
      <c r="L362" s="11">
        <v>359</v>
      </c>
      <c r="M362" s="7">
        <f t="shared" ca="1" si="18"/>
        <v>1.2512936141092838E-2</v>
      </c>
      <c r="N362" s="7">
        <f ca="1">SUM($M$4:M362)</f>
        <v>0.31699438224101861</v>
      </c>
    </row>
    <row r="363" spans="1:14" x14ac:dyDescent="0.3">
      <c r="A363" s="3">
        <v>43987</v>
      </c>
      <c r="B363" s="4">
        <v>24.780000999999999</v>
      </c>
      <c r="D363" s="11">
        <v>360</v>
      </c>
      <c r="E363" s="3">
        <v>43990</v>
      </c>
      <c r="F363" s="7">
        <f t="shared" si="17"/>
        <v>5.3812273954811238E-2</v>
      </c>
      <c r="G363" s="7">
        <f>SUM($F$4:F363)</f>
        <v>1.2312583403181129E-2</v>
      </c>
      <c r="L363" s="11">
        <v>360</v>
      </c>
      <c r="M363" s="7">
        <f t="shared" ca="1" si="18"/>
        <v>2.9196850995883289E-2</v>
      </c>
      <c r="N363" s="7">
        <f ca="1">SUM($M$4:M363)</f>
        <v>0.34619123323690193</v>
      </c>
    </row>
    <row r="364" spans="1:14" x14ac:dyDescent="0.3">
      <c r="A364" s="3">
        <v>43990</v>
      </c>
      <c r="B364" s="4">
        <v>26.15</v>
      </c>
      <c r="D364" s="11">
        <v>361</v>
      </c>
      <c r="E364" s="3">
        <v>43991</v>
      </c>
      <c r="F364" s="7">
        <f t="shared" si="17"/>
        <v>-9.0807943862578261E-2</v>
      </c>
      <c r="G364" s="7">
        <f>SUM($F$4:F364)</f>
        <v>-7.8495360459397132E-2</v>
      </c>
      <c r="L364" s="11">
        <v>361</v>
      </c>
      <c r="M364" s="7">
        <f t="shared" ca="1" si="18"/>
        <v>-1.6683914854790451E-2</v>
      </c>
      <c r="N364" s="7">
        <f ca="1">SUM($M$4:M364)</f>
        <v>0.3295073183821115</v>
      </c>
    </row>
    <row r="365" spans="1:14" x14ac:dyDescent="0.3">
      <c r="A365" s="3">
        <v>43991</v>
      </c>
      <c r="B365" s="4">
        <v>23.879999000000002</v>
      </c>
      <c r="D365" s="11">
        <v>362</v>
      </c>
      <c r="E365" s="3">
        <v>43992</v>
      </c>
      <c r="F365" s="7">
        <f t="shared" si="17"/>
        <v>-3.018290820406869E-2</v>
      </c>
      <c r="G365" s="7">
        <f>SUM($F$4:F365)</f>
        <v>-0.10867826866346582</v>
      </c>
      <c r="L365" s="11">
        <v>362</v>
      </c>
      <c r="M365" s="7">
        <f t="shared" ca="1" si="18"/>
        <v>-3.1282340352732099E-2</v>
      </c>
      <c r="N365" s="7">
        <f ca="1">SUM($M$4:M365)</f>
        <v>0.29822497802937942</v>
      </c>
    </row>
    <row r="366" spans="1:14" x14ac:dyDescent="0.3">
      <c r="A366" s="3">
        <v>43992</v>
      </c>
      <c r="B366" s="4">
        <v>23.17</v>
      </c>
      <c r="D366" s="11">
        <v>363</v>
      </c>
      <c r="E366" s="3">
        <v>43993</v>
      </c>
      <c r="F366" s="7">
        <f t="shared" si="17"/>
        <v>-3.6479544803230277E-2</v>
      </c>
      <c r="G366" s="7">
        <f>SUM($F$4:F366)</f>
        <v>-0.1451578134666961</v>
      </c>
      <c r="L366" s="11">
        <v>363</v>
      </c>
      <c r="M366" s="7">
        <f t="shared" ca="1" si="18"/>
        <v>-5.8393701991766578E-2</v>
      </c>
      <c r="N366" s="7">
        <f ca="1">SUM($M$4:M366)</f>
        <v>0.23983127603761284</v>
      </c>
    </row>
    <row r="367" spans="1:14" x14ac:dyDescent="0.3">
      <c r="A367" s="3">
        <v>43993</v>
      </c>
      <c r="B367" s="4">
        <v>22.34</v>
      </c>
      <c r="D367" s="11">
        <v>364</v>
      </c>
      <c r="E367" s="3">
        <v>43994</v>
      </c>
      <c r="F367" s="7">
        <f t="shared" si="17"/>
        <v>-1.2159573372409655E-2</v>
      </c>
      <c r="G367" s="7">
        <f>SUM($F$4:F367)</f>
        <v>-0.15731738683910576</v>
      </c>
      <c r="L367" s="11">
        <v>364</v>
      </c>
      <c r="M367" s="7">
        <f t="shared" ca="1" si="18"/>
        <v>2.0854893568488065E-2</v>
      </c>
      <c r="N367" s="7">
        <f ca="1">SUM($M$4:M367)</f>
        <v>0.26068616960610091</v>
      </c>
    </row>
    <row r="368" spans="1:14" x14ac:dyDescent="0.3">
      <c r="A368" s="3">
        <v>43994</v>
      </c>
      <c r="B368" s="4">
        <v>22.07</v>
      </c>
      <c r="D368" s="11">
        <v>365</v>
      </c>
      <c r="E368" s="3">
        <v>43997</v>
      </c>
      <c r="F368" s="7">
        <f t="shared" si="17"/>
        <v>3.0345925128314279E-2</v>
      </c>
      <c r="G368" s="7">
        <f>SUM($F$4:F368)</f>
        <v>-0.12697146171079149</v>
      </c>
      <c r="L368" s="11">
        <v>365</v>
      </c>
      <c r="M368" s="7">
        <f t="shared" ca="1" si="18"/>
        <v>4.170978713697613E-2</v>
      </c>
      <c r="N368" s="7">
        <f ca="1">SUM($M$4:M368)</f>
        <v>0.30239595674307707</v>
      </c>
    </row>
    <row r="369" spans="1:14" x14ac:dyDescent="0.3">
      <c r="A369" s="3">
        <v>43997</v>
      </c>
      <c r="B369" s="4">
        <v>22.75</v>
      </c>
      <c r="D369" s="11">
        <v>366</v>
      </c>
      <c r="E369" s="3">
        <v>43998</v>
      </c>
      <c r="F369" s="7">
        <f t="shared" si="17"/>
        <v>-2.1773799549560619E-2</v>
      </c>
      <c r="G369" s="7">
        <f>SUM($F$4:F369)</f>
        <v>-0.14874526126035212</v>
      </c>
      <c r="L369" s="11">
        <v>366</v>
      </c>
      <c r="M369" s="7">
        <f t="shared" ca="1" si="18"/>
        <v>1.2512936141092838E-2</v>
      </c>
      <c r="N369" s="7">
        <f ca="1">SUM($M$4:M369)</f>
        <v>0.3149088928841699</v>
      </c>
    </row>
    <row r="370" spans="1:14" x14ac:dyDescent="0.3">
      <c r="A370" s="3">
        <v>43998</v>
      </c>
      <c r="B370" s="4">
        <v>22.26</v>
      </c>
      <c r="D370" s="11">
        <v>367</v>
      </c>
      <c r="E370" s="3">
        <v>43999</v>
      </c>
      <c r="F370" s="7">
        <f t="shared" si="17"/>
        <v>-4.0513222191786895E-3</v>
      </c>
      <c r="G370" s="7">
        <f>SUM($F$4:F370)</f>
        <v>-0.15279658347953082</v>
      </c>
      <c r="L370" s="11">
        <v>367</v>
      </c>
      <c r="M370" s="7">
        <f t="shared" ca="1" si="18"/>
        <v>-1.2512936141092838E-2</v>
      </c>
      <c r="N370" s="7">
        <f ca="1">SUM($M$4:M370)</f>
        <v>0.30239595674307707</v>
      </c>
    </row>
    <row r="371" spans="1:14" x14ac:dyDescent="0.3">
      <c r="A371" s="3">
        <v>43999</v>
      </c>
      <c r="B371" s="4">
        <v>22.17</v>
      </c>
      <c r="D371" s="11">
        <v>368</v>
      </c>
      <c r="E371" s="3">
        <v>44000</v>
      </c>
      <c r="F371" s="7">
        <f t="shared" si="17"/>
        <v>1.5663779643269485E-2</v>
      </c>
      <c r="G371" s="7">
        <f>SUM($F$4:F371)</f>
        <v>-0.13713280383626134</v>
      </c>
      <c r="L371" s="11">
        <v>368</v>
      </c>
      <c r="M371" s="7">
        <f t="shared" ca="1" si="18"/>
        <v>5.8393701991766578E-2</v>
      </c>
      <c r="N371" s="7">
        <f ca="1">SUM($M$4:M371)</f>
        <v>0.36078965873484364</v>
      </c>
    </row>
    <row r="372" spans="1:14" x14ac:dyDescent="0.3">
      <c r="A372" s="3">
        <v>44000</v>
      </c>
      <c r="B372" s="4">
        <v>22.52</v>
      </c>
      <c r="D372" s="11">
        <v>369</v>
      </c>
      <c r="E372" s="3">
        <v>44001</v>
      </c>
      <c r="F372" s="7">
        <f t="shared" si="17"/>
        <v>-1.6566306780344993E-2</v>
      </c>
      <c r="G372" s="7">
        <f>SUM($F$4:F372)</f>
        <v>-0.15369911061660632</v>
      </c>
      <c r="L372" s="11">
        <v>369</v>
      </c>
      <c r="M372" s="7">
        <f t="shared" ca="1" si="18"/>
        <v>6.2564680705464188E-3</v>
      </c>
      <c r="N372" s="7">
        <f ca="1">SUM($M$4:M372)</f>
        <v>0.36704612680539006</v>
      </c>
    </row>
    <row r="373" spans="1:14" x14ac:dyDescent="0.3">
      <c r="A373" s="3">
        <v>44001</v>
      </c>
      <c r="B373" s="4">
        <v>22.15</v>
      </c>
      <c r="D373" s="11">
        <v>370</v>
      </c>
      <c r="E373" s="3">
        <v>44004</v>
      </c>
      <c r="F373" s="7">
        <f t="shared" si="17"/>
        <v>-1.4094345614440344E-2</v>
      </c>
      <c r="G373" s="7">
        <f>SUM($F$4:F373)</f>
        <v>-0.16779345623104666</v>
      </c>
      <c r="L373" s="11">
        <v>370</v>
      </c>
      <c r="M373" s="7">
        <f t="shared" ca="1" si="18"/>
        <v>3.3367829709580903E-2</v>
      </c>
      <c r="N373" s="7">
        <f ca="1">SUM($M$4:M373)</f>
        <v>0.40041395651497097</v>
      </c>
    </row>
    <row r="374" spans="1:14" x14ac:dyDescent="0.3">
      <c r="A374" s="3">
        <v>44004</v>
      </c>
      <c r="B374" s="4">
        <v>21.84</v>
      </c>
      <c r="D374" s="11">
        <v>371</v>
      </c>
      <c r="E374" s="3">
        <v>44005</v>
      </c>
      <c r="F374" s="7">
        <f t="shared" si="17"/>
        <v>1.4545711002378716E-2</v>
      </c>
      <c r="G374" s="7">
        <f>SUM($F$4:F374)</f>
        <v>-0.15324774522866794</v>
      </c>
      <c r="L374" s="11">
        <v>371</v>
      </c>
      <c r="M374" s="7">
        <f t="shared" ca="1" si="18"/>
        <v>-2.0854893568488065E-2</v>
      </c>
      <c r="N374" s="7">
        <f ca="1">SUM($M$4:M374)</f>
        <v>0.37955906294648289</v>
      </c>
    </row>
    <row r="375" spans="1:14" x14ac:dyDescent="0.3">
      <c r="A375" s="3">
        <v>44005</v>
      </c>
      <c r="B375" s="4">
        <v>22.16</v>
      </c>
      <c r="D375" s="11">
        <v>372</v>
      </c>
      <c r="E375" s="3">
        <v>44006</v>
      </c>
      <c r="F375" s="7">
        <f t="shared" si="17"/>
        <v>-2.0055412853865008E-2</v>
      </c>
      <c r="G375" s="7">
        <f>SUM($F$4:F375)</f>
        <v>-0.17330315808253294</v>
      </c>
      <c r="L375" s="11">
        <v>372</v>
      </c>
      <c r="M375" s="7">
        <f t="shared" ca="1" si="18"/>
        <v>-4.1709787136976128E-3</v>
      </c>
      <c r="N375" s="7">
        <f ca="1">SUM($M$4:M375)</f>
        <v>0.3753880842327853</v>
      </c>
    </row>
    <row r="376" spans="1:14" x14ac:dyDescent="0.3">
      <c r="A376" s="3">
        <v>44006</v>
      </c>
      <c r="B376" s="4">
        <v>21.719999000000001</v>
      </c>
      <c r="D376" s="11">
        <v>373</v>
      </c>
      <c r="E376" s="3">
        <v>44007</v>
      </c>
      <c r="F376" s="7">
        <f t="shared" si="17"/>
        <v>-2.1406076111416081E-2</v>
      </c>
      <c r="G376" s="7">
        <f>SUM($F$4:F376)</f>
        <v>-0.19470923419394903</v>
      </c>
      <c r="L376" s="11">
        <v>373</v>
      </c>
      <c r="M376" s="7">
        <f t="shared" ca="1" si="18"/>
        <v>1.2512936141092838E-2</v>
      </c>
      <c r="N376" s="7">
        <f ca="1">SUM($M$4:M376)</f>
        <v>0.38790102037387814</v>
      </c>
    </row>
    <row r="377" spans="1:14" x14ac:dyDescent="0.3">
      <c r="A377" s="3">
        <v>44007</v>
      </c>
      <c r="B377" s="4">
        <v>21.26</v>
      </c>
      <c r="D377" s="11">
        <v>374</v>
      </c>
      <c r="E377" s="3">
        <v>44008</v>
      </c>
      <c r="F377" s="7">
        <f t="shared" si="17"/>
        <v>-4.8178874093264601E-2</v>
      </c>
      <c r="G377" s="7">
        <f>SUM($F$4:F377)</f>
        <v>-0.24288810828721363</v>
      </c>
      <c r="L377" s="11">
        <v>374</v>
      </c>
      <c r="M377" s="7">
        <f t="shared" ca="1" si="18"/>
        <v>-3.7538808423278516E-2</v>
      </c>
      <c r="N377" s="7">
        <f ca="1">SUM($M$4:M377)</f>
        <v>0.35036221195059963</v>
      </c>
    </row>
    <row r="378" spans="1:14" x14ac:dyDescent="0.3">
      <c r="A378" s="3">
        <v>44008</v>
      </c>
      <c r="B378" s="4">
        <v>20.260000000000002</v>
      </c>
      <c r="D378" s="11">
        <v>375</v>
      </c>
      <c r="E378" s="3">
        <v>44011</v>
      </c>
      <c r="F378" s="7">
        <f t="shared" si="17"/>
        <v>4.6766776894627417E-2</v>
      </c>
      <c r="G378" s="7">
        <f>SUM($F$4:F378)</f>
        <v>-0.19612133139258622</v>
      </c>
      <c r="L378" s="11">
        <v>375</v>
      </c>
      <c r="M378" s="7">
        <f t="shared" ca="1" si="18"/>
        <v>-2.5025872282185675E-2</v>
      </c>
      <c r="N378" s="7">
        <f ca="1">SUM($M$4:M378)</f>
        <v>0.32533633966841397</v>
      </c>
    </row>
    <row r="379" spans="1:14" x14ac:dyDescent="0.3">
      <c r="A379" s="3">
        <v>44011</v>
      </c>
      <c r="B379" s="4">
        <v>21.23</v>
      </c>
      <c r="D379" s="11">
        <v>376</v>
      </c>
      <c r="E379" s="3">
        <v>44012</v>
      </c>
      <c r="F379" s="7">
        <f t="shared" si="17"/>
        <v>-6.1422352331438768E-3</v>
      </c>
      <c r="G379" s="7">
        <f>SUM($F$4:F379)</f>
        <v>-0.20226356662573011</v>
      </c>
      <c r="L379" s="11">
        <v>376</v>
      </c>
      <c r="M379" s="7">
        <f t="shared" ca="1" si="18"/>
        <v>-4.1709787136976128E-3</v>
      </c>
      <c r="N379" s="7">
        <f ca="1">SUM($M$4:M379)</f>
        <v>0.32116536095471637</v>
      </c>
    </row>
    <row r="380" spans="1:14" x14ac:dyDescent="0.3">
      <c r="A380" s="3">
        <v>44012</v>
      </c>
      <c r="B380" s="4">
        <v>21.1</v>
      </c>
      <c r="D380" s="11">
        <v>377</v>
      </c>
      <c r="E380" s="3">
        <v>44013</v>
      </c>
      <c r="F380" s="7">
        <f t="shared" si="17"/>
        <v>-1.4228126659232164E-3</v>
      </c>
      <c r="G380" s="7">
        <f>SUM($F$4:F380)</f>
        <v>-0.20368637929165334</v>
      </c>
      <c r="L380" s="11">
        <v>377</v>
      </c>
      <c r="M380" s="7">
        <f t="shared" ca="1" si="18"/>
        <v>-1.6683914854790451E-2</v>
      </c>
      <c r="N380" s="7">
        <f ca="1">SUM($M$4:M380)</f>
        <v>0.30448144609992595</v>
      </c>
    </row>
    <row r="381" spans="1:14" x14ac:dyDescent="0.3">
      <c r="A381" s="3">
        <v>44013</v>
      </c>
      <c r="B381" s="4">
        <v>21.07</v>
      </c>
      <c r="D381" s="11">
        <v>378</v>
      </c>
      <c r="E381" s="3">
        <v>44014</v>
      </c>
      <c r="F381" s="7">
        <f t="shared" si="17"/>
        <v>-1.3378077846129136E-2</v>
      </c>
      <c r="G381" s="7">
        <f>SUM($F$4:F381)</f>
        <v>-0.21706445713778247</v>
      </c>
      <c r="L381" s="11">
        <v>378</v>
      </c>
      <c r="M381" s="7">
        <f t="shared" ca="1" si="18"/>
        <v>-3.1282340352732099E-2</v>
      </c>
      <c r="N381" s="7">
        <f ca="1">SUM($M$4:M381)</f>
        <v>0.27319910574719386</v>
      </c>
    </row>
    <row r="382" spans="1:14" x14ac:dyDescent="0.3">
      <c r="A382" s="3">
        <v>44014</v>
      </c>
      <c r="B382" s="4">
        <v>20.790001</v>
      </c>
      <c r="D382" s="11">
        <v>379</v>
      </c>
      <c r="E382" s="3">
        <v>44018</v>
      </c>
      <c r="F382" s="7">
        <f t="shared" si="17"/>
        <v>2.1414046403769486E-2</v>
      </c>
      <c r="G382" s="7">
        <f>SUM($F$4:F382)</f>
        <v>-0.19565041073401299</v>
      </c>
      <c r="L382" s="11">
        <v>379</v>
      </c>
      <c r="M382" s="7">
        <f t="shared" ca="1" si="18"/>
        <v>6.2564680705464188E-3</v>
      </c>
      <c r="N382" s="7">
        <f ca="1">SUM($M$4:M382)</f>
        <v>0.27945557381774028</v>
      </c>
    </row>
    <row r="383" spans="1:14" x14ac:dyDescent="0.3">
      <c r="A383" s="3">
        <v>44018</v>
      </c>
      <c r="B383" s="4">
        <v>21.24</v>
      </c>
      <c r="D383" s="11">
        <v>380</v>
      </c>
      <c r="E383" s="3">
        <v>44019</v>
      </c>
      <c r="F383" s="7">
        <f t="shared" si="17"/>
        <v>-4.2313955575503673E-2</v>
      </c>
      <c r="G383" s="7">
        <f>SUM($F$4:F383)</f>
        <v>-0.23796436630951667</v>
      </c>
      <c r="L383" s="11">
        <v>380</v>
      </c>
      <c r="M383" s="7">
        <f t="shared" ca="1" si="18"/>
        <v>1.4598425497941644E-2</v>
      </c>
      <c r="N383" s="7">
        <f ca="1">SUM($M$4:M383)</f>
        <v>0.29405399931568194</v>
      </c>
    </row>
    <row r="384" spans="1:14" x14ac:dyDescent="0.3">
      <c r="A384" s="3">
        <v>44019</v>
      </c>
      <c r="B384" s="4">
        <v>20.360001</v>
      </c>
      <c r="D384" s="11">
        <v>381</v>
      </c>
      <c r="E384" s="3">
        <v>44020</v>
      </c>
      <c r="F384" s="7">
        <f t="shared" si="17"/>
        <v>-6.9000766618943776E-3</v>
      </c>
      <c r="G384" s="7">
        <f>SUM($F$4:F384)</f>
        <v>-0.24486444297141105</v>
      </c>
      <c r="L384" s="11">
        <v>381</v>
      </c>
      <c r="M384" s="7">
        <f t="shared" ca="1" si="18"/>
        <v>-1.4598425497941644E-2</v>
      </c>
      <c r="N384" s="7">
        <f ca="1">SUM($M$4:M384)</f>
        <v>0.27945557381774028</v>
      </c>
    </row>
    <row r="385" spans="1:14" x14ac:dyDescent="0.3">
      <c r="A385" s="3">
        <v>44020</v>
      </c>
      <c r="B385" s="4">
        <v>20.219999000000001</v>
      </c>
      <c r="D385" s="11">
        <v>382</v>
      </c>
      <c r="E385" s="3">
        <v>44021</v>
      </c>
      <c r="F385" s="7">
        <f t="shared" si="17"/>
        <v>-4.9161103402546764E-2</v>
      </c>
      <c r="G385" s="7">
        <f>SUM($F$4:F385)</f>
        <v>-0.29402554637395784</v>
      </c>
      <c r="L385" s="11">
        <v>382</v>
      </c>
      <c r="M385" s="7">
        <f t="shared" ca="1" si="18"/>
        <v>-2.9196850995883289E-2</v>
      </c>
      <c r="N385" s="7">
        <f ca="1">SUM($M$4:M385)</f>
        <v>0.25025872282185702</v>
      </c>
    </row>
    <row r="386" spans="1:14" x14ac:dyDescent="0.3">
      <c r="A386" s="3">
        <v>44021</v>
      </c>
      <c r="B386" s="4">
        <v>19.25</v>
      </c>
      <c r="D386" s="11">
        <v>383</v>
      </c>
      <c r="E386" s="3">
        <v>44022</v>
      </c>
      <c r="F386" s="7">
        <f t="shared" si="17"/>
        <v>4.9655590445860966E-2</v>
      </c>
      <c r="G386" s="7">
        <f>SUM($F$4:F386)</f>
        <v>-0.24436995592809688</v>
      </c>
      <c r="L386" s="11">
        <v>383</v>
      </c>
      <c r="M386" s="7">
        <f t="shared" ca="1" si="18"/>
        <v>3.5453319066429706E-2</v>
      </c>
      <c r="N386" s="7">
        <f ca="1">SUM($M$4:M386)</f>
        <v>0.28571204188828669</v>
      </c>
    </row>
    <row r="387" spans="1:14" x14ac:dyDescent="0.3">
      <c r="A387" s="3">
        <v>44022</v>
      </c>
      <c r="B387" s="4">
        <v>20.23</v>
      </c>
      <c r="D387" s="11">
        <v>384</v>
      </c>
      <c r="E387" s="3">
        <v>44025</v>
      </c>
      <c r="F387" s="7">
        <f t="shared" si="17"/>
        <v>1.423336912291456E-2</v>
      </c>
      <c r="G387" s="7">
        <f>SUM($F$4:F387)</f>
        <v>-0.23013658680518231</v>
      </c>
      <c r="L387" s="11">
        <v>384</v>
      </c>
      <c r="M387" s="7">
        <f t="shared" ca="1" si="18"/>
        <v>3.3367829709580903E-2</v>
      </c>
      <c r="N387" s="7">
        <f ca="1">SUM($M$4:M387)</f>
        <v>0.3190798715978676</v>
      </c>
    </row>
    <row r="388" spans="1:14" x14ac:dyDescent="0.3">
      <c r="A388" s="3">
        <v>44025</v>
      </c>
      <c r="B388" s="4">
        <v>20.52</v>
      </c>
      <c r="D388" s="11">
        <v>385</v>
      </c>
      <c r="E388" s="3">
        <v>44026</v>
      </c>
      <c r="F388" s="7">
        <f t="shared" ref="F388:F451" si="19">LN(B389/B388)</f>
        <v>6.3152991044729354E-3</v>
      </c>
      <c r="G388" s="7">
        <f>SUM($F$4:F388)</f>
        <v>-0.22382128770070939</v>
      </c>
      <c r="L388" s="11">
        <v>385</v>
      </c>
      <c r="M388" s="7">
        <f t="shared" ca="1" si="18"/>
        <v>-4.1709787136976128E-3</v>
      </c>
      <c r="N388" s="7">
        <f ca="1">SUM($M$4:M388)</f>
        <v>0.31490889288417001</v>
      </c>
    </row>
    <row r="389" spans="1:14" x14ac:dyDescent="0.3">
      <c r="A389" s="3">
        <v>44026</v>
      </c>
      <c r="B389" s="4">
        <v>20.65</v>
      </c>
      <c r="D389" s="11">
        <v>386</v>
      </c>
      <c r="E389" s="3">
        <v>44027</v>
      </c>
      <c r="F389" s="7">
        <f t="shared" si="19"/>
        <v>5.3276844011453946E-2</v>
      </c>
      <c r="G389" s="7">
        <f>SUM($F$4:F389)</f>
        <v>-0.17054444368925545</v>
      </c>
      <c r="L389" s="11">
        <v>386</v>
      </c>
      <c r="M389" s="7">
        <f t="shared" ref="M389:M452" ca="1" si="20">(2*_xlfn.BINOM.INV($J$4,$J$12,RAND())-$J$4)*$J$11</f>
        <v>-5.8393701991766578E-2</v>
      </c>
      <c r="N389" s="7">
        <f ca="1">SUM($M$4:M389)</f>
        <v>0.25651519089240343</v>
      </c>
    </row>
    <row r="390" spans="1:14" x14ac:dyDescent="0.3">
      <c r="A390" s="3">
        <v>44027</v>
      </c>
      <c r="B390" s="4">
        <v>21.780000999999999</v>
      </c>
      <c r="D390" s="11">
        <v>387</v>
      </c>
      <c r="E390" s="3">
        <v>44028</v>
      </c>
      <c r="F390" s="7">
        <f t="shared" si="19"/>
        <v>1.0958967876038268E-2</v>
      </c>
      <c r="G390" s="7">
        <f>SUM($F$4:F390)</f>
        <v>-0.15958547581321719</v>
      </c>
      <c r="L390" s="11">
        <v>387</v>
      </c>
      <c r="M390" s="7">
        <f t="shared" ca="1" si="20"/>
        <v>-1.8769404211639258E-2</v>
      </c>
      <c r="N390" s="7">
        <f ca="1">SUM($M$4:M390)</f>
        <v>0.23774578668076418</v>
      </c>
    </row>
    <row r="391" spans="1:14" x14ac:dyDescent="0.3">
      <c r="A391" s="3">
        <v>44028</v>
      </c>
      <c r="B391" s="4">
        <v>22.02</v>
      </c>
      <c r="D391" s="11">
        <v>388</v>
      </c>
      <c r="E391" s="3">
        <v>44029</v>
      </c>
      <c r="F391" s="7">
        <f t="shared" si="19"/>
        <v>-2.7626066274931152E-2</v>
      </c>
      <c r="G391" s="7">
        <f>SUM($F$4:F391)</f>
        <v>-0.18721154208814833</v>
      </c>
      <c r="L391" s="11">
        <v>388</v>
      </c>
      <c r="M391" s="7">
        <f t="shared" ca="1" si="20"/>
        <v>4.5880765850673744E-2</v>
      </c>
      <c r="N391" s="7">
        <f ca="1">SUM($M$4:M391)</f>
        <v>0.28362655253143793</v>
      </c>
    </row>
    <row r="392" spans="1:14" x14ac:dyDescent="0.3">
      <c r="A392" s="3">
        <v>44029</v>
      </c>
      <c r="B392" s="4">
        <v>21.42</v>
      </c>
      <c r="D392" s="11">
        <v>389</v>
      </c>
      <c r="E392" s="3">
        <v>44032</v>
      </c>
      <c r="F392" s="7">
        <f t="shared" si="19"/>
        <v>-3.0815427131581891E-2</v>
      </c>
      <c r="G392" s="7">
        <f>SUM($F$4:F392)</f>
        <v>-0.21802696921973022</v>
      </c>
      <c r="L392" s="11">
        <v>389</v>
      </c>
      <c r="M392" s="7">
        <f t="shared" ca="1" si="20"/>
        <v>6.2564680705464188E-3</v>
      </c>
      <c r="N392" s="7">
        <f ca="1">SUM($M$4:M392)</f>
        <v>0.28988302060198434</v>
      </c>
    </row>
    <row r="393" spans="1:14" x14ac:dyDescent="0.3">
      <c r="A393" s="3">
        <v>44032</v>
      </c>
      <c r="B393" s="4">
        <v>20.77</v>
      </c>
      <c r="D393" s="11">
        <v>390</v>
      </c>
      <c r="E393" s="3">
        <v>44033</v>
      </c>
      <c r="F393" s="7">
        <f t="shared" si="19"/>
        <v>1.0059965080130229E-2</v>
      </c>
      <c r="G393" s="7">
        <f>SUM($F$4:F393)</f>
        <v>-0.20796700413959998</v>
      </c>
      <c r="L393" s="11">
        <v>390</v>
      </c>
      <c r="M393" s="7">
        <f t="shared" ca="1" si="20"/>
        <v>8.3419574273952257E-3</v>
      </c>
      <c r="N393" s="7">
        <f ca="1">SUM($M$4:M393)</f>
        <v>0.29822497802937958</v>
      </c>
    </row>
    <row r="394" spans="1:14" x14ac:dyDescent="0.3">
      <c r="A394" s="3">
        <v>44033</v>
      </c>
      <c r="B394" s="4">
        <v>20.98</v>
      </c>
      <c r="D394" s="11">
        <v>391</v>
      </c>
      <c r="E394" s="3">
        <v>44034</v>
      </c>
      <c r="F394" s="7">
        <f t="shared" si="19"/>
        <v>6.177306262991328E-3</v>
      </c>
      <c r="G394" s="7">
        <f>SUM($F$4:F394)</f>
        <v>-0.20178969787660866</v>
      </c>
      <c r="L394" s="11">
        <v>391</v>
      </c>
      <c r="M394" s="7">
        <f t="shared" ca="1" si="20"/>
        <v>0</v>
      </c>
      <c r="N394" s="7">
        <f ca="1">SUM($M$4:M394)</f>
        <v>0.29822497802937958</v>
      </c>
    </row>
    <row r="395" spans="1:14" x14ac:dyDescent="0.3">
      <c r="A395" s="3">
        <v>44034</v>
      </c>
      <c r="B395" s="4">
        <v>21.110001</v>
      </c>
      <c r="D395" s="11">
        <v>392</v>
      </c>
      <c r="E395" s="3">
        <v>44035</v>
      </c>
      <c r="F395" s="7">
        <f t="shared" si="19"/>
        <v>1.1304830443491136E-2</v>
      </c>
      <c r="G395" s="7">
        <f>SUM($F$4:F395)</f>
        <v>-0.19048486743311752</v>
      </c>
      <c r="L395" s="11">
        <v>392</v>
      </c>
      <c r="M395" s="7">
        <f t="shared" ca="1" si="20"/>
        <v>-1.6683914854790451E-2</v>
      </c>
      <c r="N395" s="7">
        <f ca="1">SUM($M$4:M395)</f>
        <v>0.28154106317458916</v>
      </c>
    </row>
    <row r="396" spans="1:14" x14ac:dyDescent="0.3">
      <c r="A396" s="3">
        <v>44035</v>
      </c>
      <c r="B396" s="4">
        <v>21.35</v>
      </c>
      <c r="D396" s="11">
        <v>393</v>
      </c>
      <c r="E396" s="3">
        <v>44036</v>
      </c>
      <c r="F396" s="7">
        <f t="shared" si="19"/>
        <v>-9.4118341823467063E-3</v>
      </c>
      <c r="G396" s="7">
        <f>SUM($F$4:F396)</f>
        <v>-0.19989670161546422</v>
      </c>
      <c r="L396" s="11">
        <v>393</v>
      </c>
      <c r="M396" s="7">
        <f t="shared" ca="1" si="20"/>
        <v>-1.6683914854790451E-2</v>
      </c>
      <c r="N396" s="7">
        <f ca="1">SUM($M$4:M396)</f>
        <v>0.26485714831979873</v>
      </c>
    </row>
    <row r="397" spans="1:14" x14ac:dyDescent="0.3">
      <c r="A397" s="3">
        <v>44036</v>
      </c>
      <c r="B397" s="4">
        <v>21.15</v>
      </c>
      <c r="D397" s="11">
        <v>394</v>
      </c>
      <c r="E397" s="3">
        <v>44039</v>
      </c>
      <c r="F397" s="7">
        <f t="shared" si="19"/>
        <v>-1.2848190370570344E-2</v>
      </c>
      <c r="G397" s="7">
        <f>SUM($F$4:F397)</f>
        <v>-0.21274489198603455</v>
      </c>
      <c r="L397" s="11">
        <v>394</v>
      </c>
      <c r="M397" s="7">
        <f t="shared" ca="1" si="20"/>
        <v>-1.4598425497941644E-2</v>
      </c>
      <c r="N397" s="7">
        <f ca="1">SUM($M$4:M397)</f>
        <v>0.25025872282185707</v>
      </c>
    </row>
    <row r="398" spans="1:14" x14ac:dyDescent="0.3">
      <c r="A398" s="3">
        <v>44039</v>
      </c>
      <c r="B398" s="4">
        <v>20.879999000000002</v>
      </c>
      <c r="D398" s="11">
        <v>395</v>
      </c>
      <c r="E398" s="3">
        <v>44040</v>
      </c>
      <c r="F398" s="7">
        <f t="shared" si="19"/>
        <v>-4.8006813274410936E-3</v>
      </c>
      <c r="G398" s="7">
        <f>SUM($F$4:F398)</f>
        <v>-0.21754557331347565</v>
      </c>
      <c r="L398" s="11">
        <v>395</v>
      </c>
      <c r="M398" s="7">
        <f t="shared" ca="1" si="20"/>
        <v>1.4598425497941644E-2</v>
      </c>
      <c r="N398" s="7">
        <f ca="1">SUM($M$4:M398)</f>
        <v>0.26485714831979873</v>
      </c>
    </row>
    <row r="399" spans="1:14" x14ac:dyDescent="0.3">
      <c r="A399" s="3">
        <v>44040</v>
      </c>
      <c r="B399" s="4">
        <v>20.780000999999999</v>
      </c>
      <c r="D399" s="11">
        <v>396</v>
      </c>
      <c r="E399" s="3">
        <v>44041</v>
      </c>
      <c r="F399" s="7">
        <f t="shared" si="19"/>
        <v>1.0531403929147448E-2</v>
      </c>
      <c r="G399" s="7">
        <f>SUM($F$4:F399)</f>
        <v>-0.20701416938432821</v>
      </c>
      <c r="L399" s="11">
        <v>396</v>
      </c>
      <c r="M399" s="7">
        <f t="shared" ca="1" si="20"/>
        <v>1.8769404211639258E-2</v>
      </c>
      <c r="N399" s="7">
        <f ca="1">SUM($M$4:M399)</f>
        <v>0.28362655253143798</v>
      </c>
    </row>
    <row r="400" spans="1:14" x14ac:dyDescent="0.3">
      <c r="A400" s="3">
        <v>44041</v>
      </c>
      <c r="B400" s="4">
        <v>21</v>
      </c>
      <c r="D400" s="11">
        <v>397</v>
      </c>
      <c r="E400" s="3">
        <v>44042</v>
      </c>
      <c r="F400" s="7">
        <f t="shared" si="19"/>
        <v>7.1174677688639549E-3</v>
      </c>
      <c r="G400" s="7">
        <f>SUM($F$4:F400)</f>
        <v>-0.19989670161546425</v>
      </c>
      <c r="L400" s="11">
        <v>397</v>
      </c>
      <c r="M400" s="7">
        <f t="shared" ca="1" si="20"/>
        <v>4.1709787136976128E-3</v>
      </c>
      <c r="N400" s="7">
        <f ca="1">SUM($M$4:M400)</f>
        <v>0.28779753124513557</v>
      </c>
    </row>
    <row r="401" spans="1:14" x14ac:dyDescent="0.3">
      <c r="A401" s="3">
        <v>44042</v>
      </c>
      <c r="B401" s="4">
        <v>21.15</v>
      </c>
      <c r="D401" s="11">
        <v>398</v>
      </c>
      <c r="E401" s="3">
        <v>44043</v>
      </c>
      <c r="F401" s="7">
        <f t="shared" si="19"/>
        <v>-2.3668650102660568E-3</v>
      </c>
      <c r="G401" s="7">
        <f>SUM($F$4:F401)</f>
        <v>-0.20226356662573031</v>
      </c>
      <c r="L401" s="11">
        <v>398</v>
      </c>
      <c r="M401" s="7">
        <f t="shared" ca="1" si="20"/>
        <v>-1.6683914854790451E-2</v>
      </c>
      <c r="N401" s="7">
        <f ca="1">SUM($M$4:M401)</f>
        <v>0.27111361639034515</v>
      </c>
    </row>
    <row r="402" spans="1:14" x14ac:dyDescent="0.3">
      <c r="A402" s="3">
        <v>44043</v>
      </c>
      <c r="B402" s="4">
        <v>21.1</v>
      </c>
      <c r="D402" s="11">
        <v>399</v>
      </c>
      <c r="E402" s="3">
        <v>44046</v>
      </c>
      <c r="F402" s="7">
        <f t="shared" si="19"/>
        <v>1.1310205391586392E-2</v>
      </c>
      <c r="G402" s="7">
        <f>SUM($F$4:F402)</f>
        <v>-0.19095336123414391</v>
      </c>
      <c r="L402" s="11">
        <v>399</v>
      </c>
      <c r="M402" s="7">
        <f t="shared" ca="1" si="20"/>
        <v>-1.8769404211639258E-2</v>
      </c>
      <c r="N402" s="7">
        <f ca="1">SUM($M$4:M402)</f>
        <v>0.2523442121787059</v>
      </c>
    </row>
    <row r="403" spans="1:14" x14ac:dyDescent="0.3">
      <c r="A403" s="3">
        <v>44046</v>
      </c>
      <c r="B403" s="4">
        <v>21.34</v>
      </c>
      <c r="D403" s="11">
        <v>400</v>
      </c>
      <c r="E403" s="3">
        <v>44047</v>
      </c>
      <c r="F403" s="7">
        <f t="shared" si="19"/>
        <v>3.0913649664763041E-2</v>
      </c>
      <c r="G403" s="7">
        <f>SUM($F$4:F403)</f>
        <v>-0.16003971156938088</v>
      </c>
      <c r="L403" s="11">
        <v>400</v>
      </c>
      <c r="M403" s="7">
        <f t="shared" ca="1" si="20"/>
        <v>-3.3367829709580903E-2</v>
      </c>
      <c r="N403" s="7">
        <f ca="1">SUM($M$4:M403)</f>
        <v>0.21897638246912499</v>
      </c>
    </row>
    <row r="404" spans="1:14" x14ac:dyDescent="0.3">
      <c r="A404" s="3">
        <v>44047</v>
      </c>
      <c r="B404" s="4">
        <v>22.01</v>
      </c>
      <c r="D404" s="11">
        <v>401</v>
      </c>
      <c r="E404" s="3">
        <v>44048</v>
      </c>
      <c r="F404" s="7">
        <f t="shared" si="19"/>
        <v>-4.1276389351825989E-2</v>
      </c>
      <c r="G404" s="7">
        <f>SUM($F$4:F404)</f>
        <v>-0.20131610092120686</v>
      </c>
      <c r="L404" s="11">
        <v>401</v>
      </c>
      <c r="M404" s="7">
        <f t="shared" ca="1" si="20"/>
        <v>-5.6308212634917774E-2</v>
      </c>
      <c r="N404" s="7">
        <f ca="1">SUM($M$4:M404)</f>
        <v>0.1626681698342072</v>
      </c>
    </row>
    <row r="405" spans="1:14" x14ac:dyDescent="0.3">
      <c r="A405" s="3">
        <v>44048</v>
      </c>
      <c r="B405" s="4">
        <v>21.120000999999998</v>
      </c>
      <c r="D405" s="11">
        <v>402</v>
      </c>
      <c r="E405" s="3">
        <v>44049</v>
      </c>
      <c r="F405" s="7">
        <f t="shared" si="19"/>
        <v>2.386068754633705E-2</v>
      </c>
      <c r="G405" s="7">
        <f>SUM($F$4:F405)</f>
        <v>-0.17745541337486981</v>
      </c>
      <c r="L405" s="11">
        <v>402</v>
      </c>
      <c r="M405" s="7">
        <f t="shared" ca="1" si="20"/>
        <v>1.2512936141092838E-2</v>
      </c>
      <c r="N405" s="7">
        <f ca="1">SUM($M$4:M405)</f>
        <v>0.17518110597530004</v>
      </c>
    </row>
    <row r="406" spans="1:14" x14ac:dyDescent="0.3">
      <c r="A406" s="3">
        <v>44049</v>
      </c>
      <c r="B406" s="4">
        <v>21.629999000000002</v>
      </c>
      <c r="D406" s="11">
        <v>403</v>
      </c>
      <c r="E406" s="3">
        <v>44050</v>
      </c>
      <c r="F406" s="7">
        <f t="shared" si="19"/>
        <v>-3.0511590764730232E-2</v>
      </c>
      <c r="G406" s="7">
        <f>SUM($F$4:F406)</f>
        <v>-0.20796700413960004</v>
      </c>
      <c r="L406" s="11">
        <v>403</v>
      </c>
      <c r="M406" s="7">
        <f t="shared" ca="1" si="20"/>
        <v>6.4650170062312995E-2</v>
      </c>
      <c r="N406" s="7">
        <f ca="1">SUM($M$4:M406)</f>
        <v>0.23983127603761303</v>
      </c>
    </row>
    <row r="407" spans="1:14" x14ac:dyDescent="0.3">
      <c r="A407" s="3">
        <v>44050</v>
      </c>
      <c r="B407" s="4">
        <v>20.98</v>
      </c>
      <c r="D407" s="11">
        <v>404</v>
      </c>
      <c r="E407" s="3">
        <v>44053</v>
      </c>
      <c r="F407" s="7">
        <f t="shared" si="19"/>
        <v>3.7422560450344332E-2</v>
      </c>
      <c r="G407" s="7">
        <f>SUM($F$4:F407)</f>
        <v>-0.1705444436892557</v>
      </c>
      <c r="L407" s="11">
        <v>404</v>
      </c>
      <c r="M407" s="7">
        <f t="shared" ca="1" si="20"/>
        <v>-7.0906638132859412E-2</v>
      </c>
      <c r="N407" s="7">
        <f ca="1">SUM($M$4:M407)</f>
        <v>0.16892463790475362</v>
      </c>
    </row>
    <row r="408" spans="1:14" x14ac:dyDescent="0.3">
      <c r="A408" s="3">
        <v>44053</v>
      </c>
      <c r="B408" s="4">
        <v>21.780000999999999</v>
      </c>
      <c r="D408" s="11">
        <v>405</v>
      </c>
      <c r="E408" s="3">
        <v>44054</v>
      </c>
      <c r="F408" s="7">
        <f t="shared" si="19"/>
        <v>3.1633861606994745E-2</v>
      </c>
      <c r="G408" s="7">
        <f>SUM($F$4:F408)</f>
        <v>-0.13891058208226095</v>
      </c>
      <c r="L408" s="11">
        <v>405</v>
      </c>
      <c r="M408" s="7">
        <f t="shared" ca="1" si="20"/>
        <v>-2.0854893568488064E-3</v>
      </c>
      <c r="N408" s="7">
        <f ca="1">SUM($M$4:M408)</f>
        <v>0.16683914854790483</v>
      </c>
    </row>
    <row r="409" spans="1:14" x14ac:dyDescent="0.3">
      <c r="A409" s="3">
        <v>44054</v>
      </c>
      <c r="B409" s="4">
        <v>22.48</v>
      </c>
      <c r="D409" s="11">
        <v>406</v>
      </c>
      <c r="E409" s="3">
        <v>44055</v>
      </c>
      <c r="F409" s="7">
        <f t="shared" si="19"/>
        <v>-2.979904462056561E-2</v>
      </c>
      <c r="G409" s="7">
        <f>SUM($F$4:F409)</f>
        <v>-0.16870962670282658</v>
      </c>
      <c r="L409" s="11">
        <v>406</v>
      </c>
      <c r="M409" s="7">
        <f t="shared" ca="1" si="20"/>
        <v>-3.3367829709580903E-2</v>
      </c>
      <c r="N409" s="7">
        <f ca="1">SUM($M$4:M409)</f>
        <v>0.13347131883832392</v>
      </c>
    </row>
    <row r="410" spans="1:14" x14ac:dyDescent="0.3">
      <c r="A410" s="3">
        <v>44055</v>
      </c>
      <c r="B410" s="4">
        <v>21.82</v>
      </c>
      <c r="D410" s="11">
        <v>407</v>
      </c>
      <c r="E410" s="3">
        <v>44056</v>
      </c>
      <c r="F410" s="7">
        <f t="shared" si="19"/>
        <v>6.8508604749794293E-3</v>
      </c>
      <c r="G410" s="7">
        <f>SUM($F$4:F410)</f>
        <v>-0.16185876622784715</v>
      </c>
      <c r="L410" s="11">
        <v>407</v>
      </c>
      <c r="M410" s="7">
        <f t="shared" ca="1" si="20"/>
        <v>-2.0854893568488064E-3</v>
      </c>
      <c r="N410" s="7">
        <f ca="1">SUM($M$4:M410)</f>
        <v>0.13138582948147512</v>
      </c>
    </row>
    <row r="411" spans="1:14" x14ac:dyDescent="0.3">
      <c r="A411" s="3">
        <v>44056</v>
      </c>
      <c r="B411" s="4">
        <v>21.969999000000001</v>
      </c>
      <c r="D411" s="11">
        <v>408</v>
      </c>
      <c r="E411" s="3">
        <v>44057</v>
      </c>
      <c r="F411" s="7">
        <f t="shared" si="19"/>
        <v>2.9156674016733941E-2</v>
      </c>
      <c r="G411" s="7">
        <f>SUM($F$4:F411)</f>
        <v>-0.1327020922111132</v>
      </c>
      <c r="L411" s="11">
        <v>408</v>
      </c>
      <c r="M411" s="7">
        <f t="shared" ca="1" si="20"/>
        <v>2.9196850995883289E-2</v>
      </c>
      <c r="N411" s="7">
        <f ca="1">SUM($M$4:M411)</f>
        <v>0.16058268047735841</v>
      </c>
    </row>
    <row r="412" spans="1:14" x14ac:dyDescent="0.3">
      <c r="A412" s="3">
        <v>44057</v>
      </c>
      <c r="B412" s="4">
        <v>22.620000999999998</v>
      </c>
      <c r="D412" s="11">
        <v>409</v>
      </c>
      <c r="E412" s="3">
        <v>44060</v>
      </c>
      <c r="F412" s="7">
        <f t="shared" si="19"/>
        <v>-2.3709497464612407E-2</v>
      </c>
      <c r="G412" s="7">
        <f>SUM($F$4:F412)</f>
        <v>-0.1564115896757256</v>
      </c>
      <c r="L412" s="11">
        <v>409</v>
      </c>
      <c r="M412" s="7">
        <f t="shared" ca="1" si="20"/>
        <v>-2.2940382925336872E-2</v>
      </c>
      <c r="N412" s="7">
        <f ca="1">SUM($M$4:M412)</f>
        <v>0.13764229755202154</v>
      </c>
    </row>
    <row r="413" spans="1:14" x14ac:dyDescent="0.3">
      <c r="A413" s="3">
        <v>44060</v>
      </c>
      <c r="B413" s="4">
        <v>22.09</v>
      </c>
      <c r="D413" s="11">
        <v>410</v>
      </c>
      <c r="E413" s="3">
        <v>44061</v>
      </c>
      <c r="F413" s="7">
        <f t="shared" si="19"/>
        <v>-1.3590489375860946E-3</v>
      </c>
      <c r="G413" s="7">
        <f>SUM($F$4:F413)</f>
        <v>-0.1577706386133117</v>
      </c>
      <c r="L413" s="11">
        <v>410</v>
      </c>
      <c r="M413" s="7">
        <f t="shared" ca="1" si="20"/>
        <v>-3.3367829709580903E-2</v>
      </c>
      <c r="N413" s="7">
        <f ca="1">SUM($M$4:M413)</f>
        <v>0.10427446784244063</v>
      </c>
    </row>
    <row r="414" spans="1:14" x14ac:dyDescent="0.3">
      <c r="A414" s="3">
        <v>44061</v>
      </c>
      <c r="B414" s="4">
        <v>22.059999000000001</v>
      </c>
      <c r="D414" s="11">
        <v>411</v>
      </c>
      <c r="E414" s="3">
        <v>44062</v>
      </c>
      <c r="F414" s="7">
        <f t="shared" si="19"/>
        <v>7.226770712542803E-3</v>
      </c>
      <c r="G414" s="7">
        <f>SUM($F$4:F414)</f>
        <v>-0.1505438679007689</v>
      </c>
      <c r="L414" s="11">
        <v>411</v>
      </c>
      <c r="M414" s="7">
        <f t="shared" ca="1" si="20"/>
        <v>1.0427446784244032E-2</v>
      </c>
      <c r="N414" s="7">
        <f ca="1">SUM($M$4:M414)</f>
        <v>0.11470191462668466</v>
      </c>
    </row>
    <row r="415" spans="1:14" x14ac:dyDescent="0.3">
      <c r="A415" s="3">
        <v>44062</v>
      </c>
      <c r="B415" s="4">
        <v>22.219999000000001</v>
      </c>
      <c r="D415" s="11">
        <v>412</v>
      </c>
      <c r="E415" s="3">
        <v>44063</v>
      </c>
      <c r="F415" s="7">
        <f t="shared" si="19"/>
        <v>-4.0586303315534753E-3</v>
      </c>
      <c r="G415" s="7">
        <f>SUM($F$4:F415)</f>
        <v>-0.15460249823232239</v>
      </c>
      <c r="L415" s="11">
        <v>412</v>
      </c>
      <c r="M415" s="7">
        <f t="shared" ca="1" si="20"/>
        <v>0</v>
      </c>
      <c r="N415" s="7">
        <f ca="1">SUM($M$4:M415)</f>
        <v>0.11470191462668466</v>
      </c>
    </row>
    <row r="416" spans="1:14" x14ac:dyDescent="0.3">
      <c r="A416" s="3">
        <v>44063</v>
      </c>
      <c r="B416" s="4">
        <v>22.129999000000002</v>
      </c>
      <c r="D416" s="11">
        <v>413</v>
      </c>
      <c r="E416" s="3">
        <v>44064</v>
      </c>
      <c r="F416" s="7">
        <f t="shared" si="19"/>
        <v>-6.3463043087593285E-3</v>
      </c>
      <c r="G416" s="7">
        <f>SUM($F$4:F416)</f>
        <v>-0.16094880254108171</v>
      </c>
      <c r="L416" s="11">
        <v>413</v>
      </c>
      <c r="M416" s="7">
        <f t="shared" ca="1" si="20"/>
        <v>-2.0854893568488064E-3</v>
      </c>
      <c r="N416" s="7">
        <f ca="1">SUM($M$4:M416)</f>
        <v>0.11261642526983585</v>
      </c>
    </row>
    <row r="417" spans="1:14" x14ac:dyDescent="0.3">
      <c r="A417" s="3">
        <v>44064</v>
      </c>
      <c r="B417" s="4">
        <v>21.99</v>
      </c>
      <c r="D417" s="11">
        <v>414</v>
      </c>
      <c r="E417" s="3">
        <v>44067</v>
      </c>
      <c r="F417" s="7">
        <f t="shared" si="19"/>
        <v>3.6611187889205171E-2</v>
      </c>
      <c r="G417" s="7">
        <f>SUM($F$4:F417)</f>
        <v>-0.12433761465187654</v>
      </c>
      <c r="L417" s="11">
        <v>414</v>
      </c>
      <c r="M417" s="7">
        <f t="shared" ca="1" si="20"/>
        <v>-1.0427446784244032E-2</v>
      </c>
      <c r="N417" s="7">
        <f ca="1">SUM($M$4:M417)</f>
        <v>0.10218897848559182</v>
      </c>
    </row>
    <row r="418" spans="1:14" x14ac:dyDescent="0.3">
      <c r="A418" s="3">
        <v>44067</v>
      </c>
      <c r="B418" s="4">
        <v>22.809999000000001</v>
      </c>
      <c r="D418" s="11">
        <v>415</v>
      </c>
      <c r="E418" s="3">
        <v>44068</v>
      </c>
      <c r="F418" s="7">
        <f t="shared" si="19"/>
        <v>2.1897096553207198E-3</v>
      </c>
      <c r="G418" s="7">
        <f>SUM($F$4:F418)</f>
        <v>-0.12214790499655581</v>
      </c>
      <c r="L418" s="11">
        <v>415</v>
      </c>
      <c r="M418" s="7">
        <f t="shared" ca="1" si="20"/>
        <v>1.4598425497941644E-2</v>
      </c>
      <c r="N418" s="7">
        <f ca="1">SUM($M$4:M418)</f>
        <v>0.11678740398353346</v>
      </c>
    </row>
    <row r="419" spans="1:14" x14ac:dyDescent="0.3">
      <c r="A419" s="3">
        <v>44068</v>
      </c>
      <c r="B419" s="4">
        <v>22.860001</v>
      </c>
      <c r="D419" s="11">
        <v>416</v>
      </c>
      <c r="E419" s="3">
        <v>44069</v>
      </c>
      <c r="F419" s="7">
        <f t="shared" si="19"/>
        <v>-3.9448220355473964E-3</v>
      </c>
      <c r="G419" s="7">
        <f>SUM($F$4:F419)</f>
        <v>-0.1260927270321032</v>
      </c>
      <c r="L419" s="11">
        <v>416</v>
      </c>
      <c r="M419" s="7">
        <f t="shared" ca="1" si="20"/>
        <v>1.8769404211639258E-2</v>
      </c>
      <c r="N419" s="7">
        <f ca="1">SUM($M$4:M419)</f>
        <v>0.13555680819517271</v>
      </c>
    </row>
    <row r="420" spans="1:14" x14ac:dyDescent="0.3">
      <c r="A420" s="3">
        <v>44069</v>
      </c>
      <c r="B420" s="4">
        <v>22.77</v>
      </c>
      <c r="D420" s="11">
        <v>417</v>
      </c>
      <c r="E420" s="3">
        <v>44070</v>
      </c>
      <c r="F420" s="7">
        <f t="shared" si="19"/>
        <v>3.9448220355473235E-3</v>
      </c>
      <c r="G420" s="7">
        <f>SUM($F$4:F420)</f>
        <v>-0.12214790499655587</v>
      </c>
      <c r="L420" s="11">
        <v>417</v>
      </c>
      <c r="M420" s="7">
        <f t="shared" ca="1" si="20"/>
        <v>-1.2512936141092838E-2</v>
      </c>
      <c r="N420" s="7">
        <f ca="1">SUM($M$4:M420)</f>
        <v>0.12304387205407988</v>
      </c>
    </row>
    <row r="421" spans="1:14" x14ac:dyDescent="0.3">
      <c r="A421" s="3">
        <v>44070</v>
      </c>
      <c r="B421" s="4">
        <v>22.860001</v>
      </c>
      <c r="D421" s="11">
        <v>418</v>
      </c>
      <c r="E421" s="3">
        <v>44071</v>
      </c>
      <c r="F421" s="7">
        <f t="shared" si="19"/>
        <v>8.7442069410705232E-4</v>
      </c>
      <c r="G421" s="7">
        <f>SUM($F$4:F421)</f>
        <v>-0.12127348430244882</v>
      </c>
      <c r="L421" s="11">
        <v>418</v>
      </c>
      <c r="M421" s="7">
        <f t="shared" ca="1" si="20"/>
        <v>-1.8769404211639258E-2</v>
      </c>
      <c r="N421" s="7">
        <f ca="1">SUM($M$4:M421)</f>
        <v>0.10427446784244063</v>
      </c>
    </row>
    <row r="422" spans="1:14" x14ac:dyDescent="0.3">
      <c r="A422" s="3">
        <v>44071</v>
      </c>
      <c r="B422" s="4">
        <v>22.879999000000002</v>
      </c>
      <c r="D422" s="11">
        <v>419</v>
      </c>
      <c r="E422" s="3">
        <v>44074</v>
      </c>
      <c r="F422" s="7">
        <f t="shared" si="19"/>
        <v>-3.6043902536657464E-2</v>
      </c>
      <c r="G422" s="7">
        <f>SUM($F$4:F422)</f>
        <v>-0.15731738683910629</v>
      </c>
      <c r="L422" s="11">
        <v>419</v>
      </c>
      <c r="M422" s="7">
        <f t="shared" ca="1" si="20"/>
        <v>4.7966255207522547E-2</v>
      </c>
      <c r="N422" s="7">
        <f ca="1">SUM($M$4:M422)</f>
        <v>0.15224072304996317</v>
      </c>
    </row>
    <row r="423" spans="1:14" x14ac:dyDescent="0.3">
      <c r="A423" s="3">
        <v>44074</v>
      </c>
      <c r="B423" s="4">
        <v>22.07</v>
      </c>
      <c r="D423" s="11">
        <v>420</v>
      </c>
      <c r="E423" s="3">
        <v>44075</v>
      </c>
      <c r="F423" s="7">
        <f t="shared" si="19"/>
        <v>-2.9894155249042233E-2</v>
      </c>
      <c r="G423" s="7">
        <f>SUM($F$4:F423)</f>
        <v>-0.18721154208814852</v>
      </c>
      <c r="L423" s="11">
        <v>420</v>
      </c>
      <c r="M423" s="7">
        <f t="shared" ca="1" si="20"/>
        <v>-1.4598425497941644E-2</v>
      </c>
      <c r="N423" s="7">
        <f ca="1">SUM($M$4:M423)</f>
        <v>0.13764229755202151</v>
      </c>
    </row>
    <row r="424" spans="1:14" x14ac:dyDescent="0.3">
      <c r="A424" s="3">
        <v>44075</v>
      </c>
      <c r="B424" s="4">
        <v>21.42</v>
      </c>
      <c r="D424" s="11">
        <v>421</v>
      </c>
      <c r="E424" s="3">
        <v>44076</v>
      </c>
      <c r="F424" s="7">
        <f t="shared" si="19"/>
        <v>1.8043469343406681E-2</v>
      </c>
      <c r="G424" s="7">
        <f>SUM($F$4:F424)</f>
        <v>-0.16916807274474185</v>
      </c>
      <c r="L424" s="11">
        <v>421</v>
      </c>
      <c r="M424" s="7">
        <f t="shared" ca="1" si="20"/>
        <v>1.8769404211639258E-2</v>
      </c>
      <c r="N424" s="7">
        <f ca="1">SUM($M$4:M424)</f>
        <v>0.15641170176366076</v>
      </c>
    </row>
    <row r="425" spans="1:14" x14ac:dyDescent="0.3">
      <c r="A425" s="3">
        <v>44076</v>
      </c>
      <c r="B425" s="4">
        <v>21.809999000000001</v>
      </c>
      <c r="D425" s="11">
        <v>422</v>
      </c>
      <c r="E425" s="3">
        <v>44077</v>
      </c>
      <c r="F425" s="7">
        <f t="shared" si="19"/>
        <v>-7.8251265954506679E-3</v>
      </c>
      <c r="G425" s="7">
        <f>SUM($F$4:F425)</f>
        <v>-0.17699319934019253</v>
      </c>
      <c r="L425" s="11">
        <v>422</v>
      </c>
      <c r="M425" s="7">
        <f t="shared" ca="1" si="20"/>
        <v>-1.6683914854790451E-2</v>
      </c>
      <c r="N425" s="7">
        <f ca="1">SUM($M$4:M425)</f>
        <v>0.13972778690887031</v>
      </c>
    </row>
    <row r="426" spans="1:14" x14ac:dyDescent="0.3">
      <c r="A426" s="3">
        <v>44077</v>
      </c>
      <c r="B426" s="4">
        <v>21.639999</v>
      </c>
      <c r="D426" s="11">
        <v>423</v>
      </c>
      <c r="E426" s="3">
        <v>44078</v>
      </c>
      <c r="F426" s="7">
        <f t="shared" si="19"/>
        <v>5.2655584688316028E-2</v>
      </c>
      <c r="G426" s="7">
        <f>SUM($F$4:F426)</f>
        <v>-0.12433761465187651</v>
      </c>
      <c r="L426" s="11">
        <v>423</v>
      </c>
      <c r="M426" s="7">
        <f t="shared" ca="1" si="20"/>
        <v>-2.7111361639034482E-2</v>
      </c>
      <c r="N426" s="7">
        <f ca="1">SUM($M$4:M426)</f>
        <v>0.11261642526983583</v>
      </c>
    </row>
    <row r="427" spans="1:14" x14ac:dyDescent="0.3">
      <c r="A427" s="3">
        <v>44078</v>
      </c>
      <c r="B427" s="4">
        <v>22.809999000000001</v>
      </c>
      <c r="D427" s="11">
        <v>424</v>
      </c>
      <c r="E427" s="3">
        <v>44082</v>
      </c>
      <c r="F427" s="7">
        <f t="shared" si="19"/>
        <v>-1.3683683245500488E-2</v>
      </c>
      <c r="G427" s="7">
        <f>SUM($F$4:F427)</f>
        <v>-0.13802129789737699</v>
      </c>
      <c r="L427" s="11">
        <v>424</v>
      </c>
      <c r="M427" s="7">
        <f t="shared" ca="1" si="20"/>
        <v>-5.005174456437135E-2</v>
      </c>
      <c r="N427" s="7">
        <f ca="1">SUM($M$4:M427)</f>
        <v>6.2564680705464476E-2</v>
      </c>
    </row>
    <row r="428" spans="1:14" x14ac:dyDescent="0.3">
      <c r="A428" s="3">
        <v>44082</v>
      </c>
      <c r="B428" s="4">
        <v>22.5</v>
      </c>
      <c r="D428" s="11">
        <v>425</v>
      </c>
      <c r="E428" s="3">
        <v>44083</v>
      </c>
      <c r="F428" s="7">
        <f t="shared" si="19"/>
        <v>2.4584162265403095E-2</v>
      </c>
      <c r="G428" s="7">
        <f>SUM($F$4:F428)</f>
        <v>-0.1134371356319739</v>
      </c>
      <c r="L428" s="11">
        <v>425</v>
      </c>
      <c r="M428" s="7">
        <f t="shared" ca="1" si="20"/>
        <v>2.0854893568488064E-3</v>
      </c>
      <c r="N428" s="7">
        <f ca="1">SUM($M$4:M428)</f>
        <v>6.4650170062313286E-2</v>
      </c>
    </row>
    <row r="429" spans="1:14" x14ac:dyDescent="0.3">
      <c r="A429" s="3">
        <v>44083</v>
      </c>
      <c r="B429" s="4">
        <v>23.059999000000001</v>
      </c>
      <c r="D429" s="11">
        <v>426</v>
      </c>
      <c r="E429" s="3">
        <v>44084</v>
      </c>
      <c r="F429" s="7">
        <f t="shared" si="19"/>
        <v>1.6771066060433E-2</v>
      </c>
      <c r="G429" s="7">
        <f>SUM($F$4:F429)</f>
        <v>-9.6666069571540891E-2</v>
      </c>
      <c r="L429" s="11">
        <v>426</v>
      </c>
      <c r="M429" s="7">
        <f t="shared" ca="1" si="20"/>
        <v>6.4650170062312995E-2</v>
      </c>
      <c r="N429" s="7">
        <f ca="1">SUM($M$4:M429)</f>
        <v>0.12930034012462627</v>
      </c>
    </row>
    <row r="430" spans="1:14" x14ac:dyDescent="0.3">
      <c r="A430" s="3">
        <v>44084</v>
      </c>
      <c r="B430" s="4">
        <v>23.450001</v>
      </c>
      <c r="D430" s="11">
        <v>427</v>
      </c>
      <c r="E430" s="3">
        <v>44085</v>
      </c>
      <c r="F430" s="7">
        <f t="shared" si="19"/>
        <v>-2.6795076994506686E-2</v>
      </c>
      <c r="G430" s="7">
        <f>SUM($F$4:F430)</f>
        <v>-0.12346114656604758</v>
      </c>
      <c r="L430" s="11">
        <v>427</v>
      </c>
      <c r="M430" s="7">
        <f t="shared" ca="1" si="20"/>
        <v>5.8393701991766578E-2</v>
      </c>
      <c r="N430" s="7">
        <f ca="1">SUM($M$4:M430)</f>
        <v>0.18769404211639285</v>
      </c>
    </row>
    <row r="431" spans="1:14" x14ac:dyDescent="0.3">
      <c r="A431" s="3">
        <v>44085</v>
      </c>
      <c r="B431" s="4">
        <v>22.83</v>
      </c>
      <c r="D431" s="11">
        <v>428</v>
      </c>
      <c r="E431" s="3">
        <v>44088</v>
      </c>
      <c r="F431" s="7">
        <f t="shared" si="19"/>
        <v>4.0348820830398403E-2</v>
      </c>
      <c r="G431" s="7">
        <f>SUM($F$4:F431)</f>
        <v>-8.3112325735649167E-2</v>
      </c>
      <c r="L431" s="11">
        <v>428</v>
      </c>
      <c r="M431" s="7">
        <f t="shared" ca="1" si="20"/>
        <v>1.0427446784244032E-2</v>
      </c>
      <c r="N431" s="7">
        <f ca="1">SUM($M$4:M431)</f>
        <v>0.19812148890063688</v>
      </c>
    </row>
    <row r="432" spans="1:14" x14ac:dyDescent="0.3">
      <c r="A432" s="3">
        <v>44088</v>
      </c>
      <c r="B432" s="4">
        <v>23.77</v>
      </c>
      <c r="D432" s="11">
        <v>429</v>
      </c>
      <c r="E432" s="3">
        <v>44089</v>
      </c>
      <c r="F432" s="7">
        <f t="shared" si="19"/>
        <v>2.101282555051525E-3</v>
      </c>
      <c r="G432" s="7">
        <f>SUM($F$4:F432)</f>
        <v>-8.1011043180597639E-2</v>
      </c>
      <c r="L432" s="11">
        <v>429</v>
      </c>
      <c r="M432" s="7">
        <f t="shared" ca="1" si="20"/>
        <v>4.1709787136976128E-3</v>
      </c>
      <c r="N432" s="7">
        <f ca="1">SUM($M$4:M432)</f>
        <v>0.2022924676143345</v>
      </c>
    </row>
    <row r="433" spans="1:14" x14ac:dyDescent="0.3">
      <c r="A433" s="3">
        <v>44089</v>
      </c>
      <c r="B433" s="4">
        <v>23.82</v>
      </c>
      <c r="D433" s="11">
        <v>430</v>
      </c>
      <c r="E433" s="3">
        <v>44090</v>
      </c>
      <c r="F433" s="7">
        <f t="shared" si="19"/>
        <v>1.8715455811356002E-2</v>
      </c>
      <c r="G433" s="7">
        <f>SUM($F$4:F433)</f>
        <v>-6.2295587369241637E-2</v>
      </c>
      <c r="L433" s="11">
        <v>430</v>
      </c>
      <c r="M433" s="7">
        <f t="shared" ca="1" si="20"/>
        <v>2.0854893568488064E-3</v>
      </c>
      <c r="N433" s="7">
        <f ca="1">SUM($M$4:M433)</f>
        <v>0.2043779569711833</v>
      </c>
    </row>
    <row r="434" spans="1:14" x14ac:dyDescent="0.3">
      <c r="A434" s="3">
        <v>44090</v>
      </c>
      <c r="B434" s="4">
        <v>24.27</v>
      </c>
      <c r="D434" s="11">
        <v>431</v>
      </c>
      <c r="E434" s="3">
        <v>44091</v>
      </c>
      <c r="F434" s="7">
        <f t="shared" si="19"/>
        <v>-2.8883452535561171E-3</v>
      </c>
      <c r="G434" s="7">
        <f>SUM($F$4:F434)</f>
        <v>-6.5183932622797758E-2</v>
      </c>
      <c r="L434" s="11">
        <v>431</v>
      </c>
      <c r="M434" s="7">
        <f t="shared" ca="1" si="20"/>
        <v>-5.005174456437135E-2</v>
      </c>
      <c r="N434" s="7">
        <f ca="1">SUM($M$4:M434)</f>
        <v>0.15432621240681194</v>
      </c>
    </row>
    <row r="435" spans="1:14" x14ac:dyDescent="0.3">
      <c r="A435" s="3">
        <v>44091</v>
      </c>
      <c r="B435" s="4">
        <v>24.200001</v>
      </c>
      <c r="D435" s="11">
        <v>432</v>
      </c>
      <c r="E435" s="3">
        <v>44092</v>
      </c>
      <c r="F435" s="7">
        <f t="shared" si="19"/>
        <v>-1.3311427836600345E-2</v>
      </c>
      <c r="G435" s="7">
        <f>SUM($F$4:F435)</f>
        <v>-7.8495360459398103E-2</v>
      </c>
      <c r="L435" s="11">
        <v>432</v>
      </c>
      <c r="M435" s="7">
        <f t="shared" ca="1" si="20"/>
        <v>-1.0427446784244032E-2</v>
      </c>
      <c r="N435" s="7">
        <f ca="1">SUM($M$4:M435)</f>
        <v>0.1438987656225679</v>
      </c>
    </row>
    <row r="436" spans="1:14" x14ac:dyDescent="0.3">
      <c r="A436" s="3">
        <v>44092</v>
      </c>
      <c r="B436" s="4">
        <v>23.879999000000002</v>
      </c>
      <c r="D436" s="11">
        <v>433</v>
      </c>
      <c r="E436" s="3">
        <v>44095</v>
      </c>
      <c r="F436" s="7">
        <f t="shared" si="19"/>
        <v>-6.3087829004339638E-2</v>
      </c>
      <c r="G436" s="7">
        <f>SUM($F$4:F436)</f>
        <v>-0.14158318946373774</v>
      </c>
      <c r="L436" s="11">
        <v>433</v>
      </c>
      <c r="M436" s="7">
        <f t="shared" ca="1" si="20"/>
        <v>6.2564680705464188E-3</v>
      </c>
      <c r="N436" s="7">
        <f ca="1">SUM($M$4:M436)</f>
        <v>0.15015523369311432</v>
      </c>
    </row>
    <row r="437" spans="1:14" x14ac:dyDescent="0.3">
      <c r="A437" s="3">
        <v>44095</v>
      </c>
      <c r="B437" s="4">
        <v>22.42</v>
      </c>
      <c r="D437" s="11">
        <v>434</v>
      </c>
      <c r="E437" s="3">
        <v>44096</v>
      </c>
      <c r="F437" s="7">
        <f t="shared" si="19"/>
        <v>-4.022351791947462E-3</v>
      </c>
      <c r="G437" s="7">
        <f>SUM($F$4:F437)</f>
        <v>-0.1456055412556852</v>
      </c>
      <c r="L437" s="11">
        <v>434</v>
      </c>
      <c r="M437" s="7">
        <f t="shared" ca="1" si="20"/>
        <v>1.2512936141092838E-2</v>
      </c>
      <c r="N437" s="7">
        <f ca="1">SUM($M$4:M437)</f>
        <v>0.16266816983420715</v>
      </c>
    </row>
    <row r="438" spans="1:14" x14ac:dyDescent="0.3">
      <c r="A438" s="3">
        <v>44096</v>
      </c>
      <c r="B438" s="4">
        <v>22.33</v>
      </c>
      <c r="D438" s="11">
        <v>435</v>
      </c>
      <c r="E438" s="3">
        <v>44097</v>
      </c>
      <c r="F438" s="7">
        <f t="shared" si="19"/>
        <v>-5.571055966552204E-2</v>
      </c>
      <c r="G438" s="7">
        <f>SUM($F$4:F438)</f>
        <v>-0.20131610092120725</v>
      </c>
      <c r="L438" s="11">
        <v>435</v>
      </c>
      <c r="M438" s="7">
        <f t="shared" ca="1" si="20"/>
        <v>-3.7538808423278516E-2</v>
      </c>
      <c r="N438" s="7">
        <f ca="1">SUM($M$4:M438)</f>
        <v>0.12512936141092862</v>
      </c>
    </row>
    <row r="439" spans="1:14" x14ac:dyDescent="0.3">
      <c r="A439" s="3">
        <v>44097</v>
      </c>
      <c r="B439" s="4">
        <v>21.120000999999998</v>
      </c>
      <c r="D439" s="11">
        <v>436</v>
      </c>
      <c r="E439" s="3">
        <v>44098</v>
      </c>
      <c r="F439" s="7">
        <f t="shared" si="19"/>
        <v>9.4250931110995244E-3</v>
      </c>
      <c r="G439" s="7">
        <f>SUM($F$4:F439)</f>
        <v>-0.19189100781010773</v>
      </c>
      <c r="L439" s="11">
        <v>436</v>
      </c>
      <c r="M439" s="7">
        <f t="shared" ca="1" si="20"/>
        <v>-2.0854893568488064E-3</v>
      </c>
      <c r="N439" s="7">
        <f ca="1">SUM($M$4:M439)</f>
        <v>0.12304387205407981</v>
      </c>
    </row>
    <row r="440" spans="1:14" x14ac:dyDescent="0.3">
      <c r="A440" s="3">
        <v>44098</v>
      </c>
      <c r="B440" s="4">
        <v>21.32</v>
      </c>
      <c r="D440" s="11">
        <v>437</v>
      </c>
      <c r="E440" s="3">
        <v>44099</v>
      </c>
      <c r="F440" s="7">
        <f t="shared" si="19"/>
        <v>4.6893318561525639E-4</v>
      </c>
      <c r="G440" s="7">
        <f>SUM($F$4:F440)</f>
        <v>-0.19142207462449248</v>
      </c>
      <c r="L440" s="11">
        <v>437</v>
      </c>
      <c r="M440" s="7">
        <f t="shared" ca="1" si="20"/>
        <v>2.7111361639034482E-2</v>
      </c>
      <c r="N440" s="7">
        <f ca="1">SUM($M$4:M440)</f>
        <v>0.15015523369311429</v>
      </c>
    </row>
    <row r="441" spans="1:14" x14ac:dyDescent="0.3">
      <c r="A441" s="3">
        <v>44099</v>
      </c>
      <c r="B441" s="4">
        <v>21.33</v>
      </c>
      <c r="D441" s="11">
        <v>438</v>
      </c>
      <c r="E441" s="3">
        <v>44102</v>
      </c>
      <c r="F441" s="7">
        <f t="shared" si="19"/>
        <v>2.8652652596006734E-2</v>
      </c>
      <c r="G441" s="7">
        <f>SUM($F$4:F441)</f>
        <v>-0.16276942202848574</v>
      </c>
      <c r="L441" s="11">
        <v>438</v>
      </c>
      <c r="M441" s="7">
        <f t="shared" ca="1" si="20"/>
        <v>0.10218897848559151</v>
      </c>
      <c r="N441" s="7">
        <f ca="1">SUM($M$4:M441)</f>
        <v>0.25234421217870578</v>
      </c>
    </row>
    <row r="442" spans="1:14" x14ac:dyDescent="0.3">
      <c r="A442" s="3">
        <v>44102</v>
      </c>
      <c r="B442" s="4">
        <v>21.950001</v>
      </c>
      <c r="D442" s="11">
        <v>439</v>
      </c>
      <c r="E442" s="3">
        <v>44103</v>
      </c>
      <c r="F442" s="7">
        <f t="shared" si="19"/>
        <v>-9.1534275445728074E-3</v>
      </c>
      <c r="G442" s="7">
        <f>SUM($F$4:F442)</f>
        <v>-0.17192284957305853</v>
      </c>
      <c r="L442" s="11">
        <v>439</v>
      </c>
      <c r="M442" s="7">
        <f t="shared" ca="1" si="20"/>
        <v>-5.005174456437135E-2</v>
      </c>
      <c r="N442" s="7">
        <f ca="1">SUM($M$4:M442)</f>
        <v>0.20229246761433445</v>
      </c>
    </row>
    <row r="443" spans="1:14" x14ac:dyDescent="0.3">
      <c r="A443" s="3">
        <v>44103</v>
      </c>
      <c r="B443" s="4">
        <v>21.75</v>
      </c>
      <c r="D443" s="11">
        <v>440</v>
      </c>
      <c r="E443" s="3">
        <v>44104</v>
      </c>
      <c r="F443" s="7">
        <f t="shared" si="19"/>
        <v>9.1911771176285504E-4</v>
      </c>
      <c r="G443" s="7">
        <f>SUM($F$4:F443)</f>
        <v>-0.17100373186129567</v>
      </c>
      <c r="L443" s="11">
        <v>440</v>
      </c>
      <c r="M443" s="7">
        <f t="shared" ca="1" si="20"/>
        <v>-4.5880765850673744E-2</v>
      </c>
      <c r="N443" s="7">
        <f ca="1">SUM($M$4:M443)</f>
        <v>0.1564117017636607</v>
      </c>
    </row>
    <row r="444" spans="1:14" x14ac:dyDescent="0.3">
      <c r="A444" s="3">
        <v>44104</v>
      </c>
      <c r="B444" s="4">
        <v>21.77</v>
      </c>
      <c r="D444" s="11">
        <v>441</v>
      </c>
      <c r="E444" s="3">
        <v>44105</v>
      </c>
      <c r="F444" s="7">
        <f t="shared" si="19"/>
        <v>-1.2014931966817285E-2</v>
      </c>
      <c r="G444" s="7">
        <f>SUM($F$4:F444)</f>
        <v>-0.18301866382811294</v>
      </c>
      <c r="L444" s="11">
        <v>441</v>
      </c>
      <c r="M444" s="7">
        <f t="shared" ca="1" si="20"/>
        <v>2.0854893568488064E-3</v>
      </c>
      <c r="N444" s="7">
        <f ca="1">SUM($M$4:M444)</f>
        <v>0.1584971911205095</v>
      </c>
    </row>
    <row r="445" spans="1:14" x14ac:dyDescent="0.3">
      <c r="A445" s="3">
        <v>44105</v>
      </c>
      <c r="B445" s="4">
        <v>21.51</v>
      </c>
      <c r="D445" s="11">
        <v>442</v>
      </c>
      <c r="E445" s="3">
        <v>44106</v>
      </c>
      <c r="F445" s="7">
        <f t="shared" si="19"/>
        <v>-4.6500814602158739E-4</v>
      </c>
      <c r="G445" s="7">
        <f>SUM($F$4:F445)</f>
        <v>-0.18348367197413454</v>
      </c>
      <c r="L445" s="11">
        <v>442</v>
      </c>
      <c r="M445" s="7">
        <f t="shared" ca="1" si="20"/>
        <v>4.170978713697613E-2</v>
      </c>
      <c r="N445" s="7">
        <f ca="1">SUM($M$4:M445)</f>
        <v>0.20020697825748562</v>
      </c>
    </row>
    <row r="446" spans="1:14" x14ac:dyDescent="0.3">
      <c r="A446" s="3">
        <v>44106</v>
      </c>
      <c r="B446" s="4">
        <v>21.5</v>
      </c>
      <c r="D446" s="11">
        <v>443</v>
      </c>
      <c r="E446" s="3">
        <v>44109</v>
      </c>
      <c r="F446" s="7">
        <f t="shared" si="19"/>
        <v>1.8890218473758082E-2</v>
      </c>
      <c r="G446" s="7">
        <f>SUM($F$4:F446)</f>
        <v>-0.16459345350037646</v>
      </c>
      <c r="L446" s="11">
        <v>443</v>
      </c>
      <c r="M446" s="7">
        <f t="shared" ca="1" si="20"/>
        <v>8.7590552987649867E-2</v>
      </c>
      <c r="N446" s="7">
        <f ca="1">SUM($M$4:M446)</f>
        <v>0.28779753124513552</v>
      </c>
    </row>
    <row r="447" spans="1:14" x14ac:dyDescent="0.3">
      <c r="A447" s="3">
        <v>44109</v>
      </c>
      <c r="B447" s="4">
        <v>21.91</v>
      </c>
      <c r="D447" s="11">
        <v>444</v>
      </c>
      <c r="E447" s="3">
        <v>44110</v>
      </c>
      <c r="F447" s="7">
        <f t="shared" si="19"/>
        <v>-1.7960418313791561E-2</v>
      </c>
      <c r="G447" s="7">
        <f>SUM($F$4:F447)</f>
        <v>-0.18255387181416802</v>
      </c>
      <c r="L447" s="11">
        <v>444</v>
      </c>
      <c r="M447" s="7">
        <f t="shared" ca="1" si="20"/>
        <v>1.6683914854790451E-2</v>
      </c>
      <c r="N447" s="7">
        <f ca="1">SUM($M$4:M447)</f>
        <v>0.30448144609992595</v>
      </c>
    </row>
    <row r="448" spans="1:14" x14ac:dyDescent="0.3">
      <c r="A448" s="3">
        <v>44110</v>
      </c>
      <c r="B448" s="4">
        <v>21.52</v>
      </c>
      <c r="D448" s="11">
        <v>445</v>
      </c>
      <c r="E448" s="3">
        <v>44111</v>
      </c>
      <c r="F448" s="7">
        <f t="shared" si="19"/>
        <v>3.0659046716262541E-2</v>
      </c>
      <c r="G448" s="7">
        <f>SUM($F$4:F448)</f>
        <v>-0.15189482509790547</v>
      </c>
      <c r="L448" s="11">
        <v>445</v>
      </c>
      <c r="M448" s="7">
        <f t="shared" ca="1" si="20"/>
        <v>4.1709787136976128E-3</v>
      </c>
      <c r="N448" s="7">
        <f ca="1">SUM($M$4:M448)</f>
        <v>0.30865242481362354</v>
      </c>
    </row>
    <row r="449" spans="1:14" x14ac:dyDescent="0.3">
      <c r="A449" s="3">
        <v>44111</v>
      </c>
      <c r="B449" s="4">
        <v>22.190000999999999</v>
      </c>
      <c r="D449" s="11">
        <v>446</v>
      </c>
      <c r="E449" s="3">
        <v>44112</v>
      </c>
      <c r="F449" s="7">
        <f t="shared" si="19"/>
        <v>2.5802098065801984E-2</v>
      </c>
      <c r="G449" s="7">
        <f>SUM($F$4:F449)</f>
        <v>-0.1260927270321035</v>
      </c>
      <c r="L449" s="11">
        <v>446</v>
      </c>
      <c r="M449" s="7">
        <f t="shared" ca="1" si="20"/>
        <v>-2.5025872282185675E-2</v>
      </c>
      <c r="N449" s="7">
        <f ca="1">SUM($M$4:M449)</f>
        <v>0.28362655253143787</v>
      </c>
    </row>
    <row r="450" spans="1:14" x14ac:dyDescent="0.3">
      <c r="A450" s="3">
        <v>44112</v>
      </c>
      <c r="B450" s="4">
        <v>22.77</v>
      </c>
      <c r="D450" s="11">
        <v>447</v>
      </c>
      <c r="E450" s="3">
        <v>44113</v>
      </c>
      <c r="F450" s="7">
        <f t="shared" si="19"/>
        <v>-2.3551410693266689E-2</v>
      </c>
      <c r="G450" s="7">
        <f>SUM($F$4:F450)</f>
        <v>-0.14964413772537019</v>
      </c>
      <c r="L450" s="11">
        <v>447</v>
      </c>
      <c r="M450" s="7">
        <f t="shared" ca="1" si="20"/>
        <v>-5.2137233921220161E-2</v>
      </c>
      <c r="N450" s="7">
        <f ca="1">SUM($M$4:M450)</f>
        <v>0.23148931861021771</v>
      </c>
    </row>
    <row r="451" spans="1:14" x14ac:dyDescent="0.3">
      <c r="A451" s="3">
        <v>44113</v>
      </c>
      <c r="B451" s="4">
        <v>22.24</v>
      </c>
      <c r="D451" s="11">
        <v>448</v>
      </c>
      <c r="E451" s="3">
        <v>44116</v>
      </c>
      <c r="F451" s="7">
        <f t="shared" si="19"/>
        <v>4.4863242586731062E-3</v>
      </c>
      <c r="G451" s="7">
        <f>SUM($F$4:F451)</f>
        <v>-0.14515781346669709</v>
      </c>
      <c r="L451" s="11">
        <v>448</v>
      </c>
      <c r="M451" s="7">
        <f t="shared" ca="1" si="20"/>
        <v>-4.3795276493824933E-2</v>
      </c>
      <c r="N451" s="7">
        <f ca="1">SUM($M$4:M451)</f>
        <v>0.18769404211639279</v>
      </c>
    </row>
    <row r="452" spans="1:14" x14ac:dyDescent="0.3">
      <c r="A452" s="3">
        <v>44116</v>
      </c>
      <c r="B452" s="4">
        <v>22.34</v>
      </c>
      <c r="D452" s="11">
        <v>449</v>
      </c>
      <c r="E452" s="3">
        <v>44117</v>
      </c>
      <c r="F452" s="7">
        <f t="shared" ref="F452:F515" si="21">LN(B453/B452)</f>
        <v>-3.5075333239989633E-2</v>
      </c>
      <c r="G452" s="7">
        <f>SUM($F$4:F452)</f>
        <v>-0.18023314670668672</v>
      </c>
      <c r="L452" s="11">
        <v>449</v>
      </c>
      <c r="M452" s="7">
        <f t="shared" ca="1" si="20"/>
        <v>-3.3367829709580903E-2</v>
      </c>
      <c r="N452" s="7">
        <f ca="1">SUM($M$4:M452)</f>
        <v>0.15432621240681188</v>
      </c>
    </row>
    <row r="453" spans="1:14" x14ac:dyDescent="0.3">
      <c r="A453" s="3">
        <v>44117</v>
      </c>
      <c r="B453" s="4">
        <v>21.57</v>
      </c>
      <c r="D453" s="11">
        <v>450</v>
      </c>
      <c r="E453" s="3">
        <v>44118</v>
      </c>
      <c r="F453" s="7">
        <f t="shared" si="21"/>
        <v>-3.0119923943156719E-2</v>
      </c>
      <c r="G453" s="7">
        <f>SUM($F$4:F453)</f>
        <v>-0.21035307064984343</v>
      </c>
      <c r="L453" s="11">
        <v>450</v>
      </c>
      <c r="M453" s="7">
        <f t="shared" ref="M453:M516" ca="1" si="22">(2*_xlfn.BINOM.INV($J$4,$J$12,RAND())-$J$4)*$J$11</f>
        <v>-1.2512936141092838E-2</v>
      </c>
      <c r="N453" s="7">
        <f ca="1">SUM($M$4:M453)</f>
        <v>0.14181327626571905</v>
      </c>
    </row>
    <row r="454" spans="1:14" x14ac:dyDescent="0.3">
      <c r="A454" s="3">
        <v>44118</v>
      </c>
      <c r="B454" s="4">
        <v>20.93</v>
      </c>
      <c r="D454" s="11">
        <v>451</v>
      </c>
      <c r="E454" s="3">
        <v>44119</v>
      </c>
      <c r="F454" s="7">
        <f t="shared" si="21"/>
        <v>1.9092607687470906E-3</v>
      </c>
      <c r="G454" s="7">
        <f>SUM($F$4:F454)</f>
        <v>-0.20844380988109634</v>
      </c>
      <c r="L454" s="11">
        <v>451</v>
      </c>
      <c r="M454" s="7">
        <f t="shared" ca="1" si="22"/>
        <v>-1.4598425497941644E-2</v>
      </c>
      <c r="N454" s="7">
        <f ca="1">SUM($M$4:M454)</f>
        <v>0.12721485076777739</v>
      </c>
    </row>
    <row r="455" spans="1:14" x14ac:dyDescent="0.3">
      <c r="A455" s="3">
        <v>44119</v>
      </c>
      <c r="B455" s="4">
        <v>20.969999000000001</v>
      </c>
      <c r="D455" s="11">
        <v>452</v>
      </c>
      <c r="E455" s="3">
        <v>44120</v>
      </c>
      <c r="F455" s="7">
        <f t="shared" si="21"/>
        <v>-4.769854837388101E-4</v>
      </c>
      <c r="G455" s="7">
        <f>SUM($F$4:F455)</f>
        <v>-0.20892079536483515</v>
      </c>
      <c r="L455" s="11">
        <v>452</v>
      </c>
      <c r="M455" s="7">
        <f t="shared" ca="1" si="22"/>
        <v>1.6683914854790451E-2</v>
      </c>
      <c r="N455" s="7">
        <f ca="1">SUM($M$4:M455)</f>
        <v>0.14389876562256784</v>
      </c>
    </row>
    <row r="456" spans="1:14" x14ac:dyDescent="0.3">
      <c r="A456" s="3">
        <v>44120</v>
      </c>
      <c r="B456" s="4">
        <v>20.959999</v>
      </c>
      <c r="D456" s="11">
        <v>453</v>
      </c>
      <c r="E456" s="3">
        <v>44123</v>
      </c>
      <c r="F456" s="7">
        <f t="shared" si="21"/>
        <v>-3.6933157830808229E-2</v>
      </c>
      <c r="G456" s="7">
        <f>SUM($F$4:F456)</f>
        <v>-0.24585395319564338</v>
      </c>
      <c r="L456" s="11">
        <v>453</v>
      </c>
      <c r="M456" s="7">
        <f t="shared" ca="1" si="22"/>
        <v>1.4598425497941644E-2</v>
      </c>
      <c r="N456" s="7">
        <f ca="1">SUM($M$4:M456)</f>
        <v>0.15849719112050947</v>
      </c>
    </row>
    <row r="457" spans="1:14" x14ac:dyDescent="0.3">
      <c r="A457" s="3">
        <v>44123</v>
      </c>
      <c r="B457" s="4">
        <v>20.200001</v>
      </c>
      <c r="D457" s="11">
        <v>454</v>
      </c>
      <c r="E457" s="3">
        <v>44124</v>
      </c>
      <c r="F457" s="7">
        <f t="shared" si="21"/>
        <v>2.4721396404398369E-3</v>
      </c>
      <c r="G457" s="7">
        <f>SUM($F$4:F457)</f>
        <v>-0.24338181355520355</v>
      </c>
      <c r="L457" s="11">
        <v>454</v>
      </c>
      <c r="M457" s="7">
        <f t="shared" ca="1" si="22"/>
        <v>-2.0854893568488065E-2</v>
      </c>
      <c r="N457" s="7">
        <f ca="1">SUM($M$4:M457)</f>
        <v>0.1376422975520214</v>
      </c>
    </row>
    <row r="458" spans="1:14" x14ac:dyDescent="0.3">
      <c r="A458" s="3">
        <v>44124</v>
      </c>
      <c r="B458" s="4">
        <v>20.25</v>
      </c>
      <c r="D458" s="11">
        <v>455</v>
      </c>
      <c r="E458" s="3">
        <v>44125</v>
      </c>
      <c r="F458" s="7">
        <f t="shared" si="21"/>
        <v>2.294457557618482E-2</v>
      </c>
      <c r="G458" s="7">
        <f>SUM($F$4:F458)</f>
        <v>-0.22043723797901874</v>
      </c>
      <c r="L458" s="11">
        <v>455</v>
      </c>
      <c r="M458" s="7">
        <f t="shared" ca="1" si="22"/>
        <v>-3.1282340352732099E-2</v>
      </c>
      <c r="N458" s="7">
        <f ca="1">SUM($M$4:M458)</f>
        <v>0.1063599571992893</v>
      </c>
    </row>
    <row r="459" spans="1:14" x14ac:dyDescent="0.3">
      <c r="A459" s="3">
        <v>44125</v>
      </c>
      <c r="B459" s="4">
        <v>20.719999000000001</v>
      </c>
      <c r="D459" s="11">
        <v>456</v>
      </c>
      <c r="E459" s="3">
        <v>44126</v>
      </c>
      <c r="F459" s="7">
        <f t="shared" si="21"/>
        <v>2.1957971044527475E-2</v>
      </c>
      <c r="G459" s="7">
        <f>SUM($F$4:F459)</f>
        <v>-0.19847926693449125</v>
      </c>
      <c r="L459" s="11">
        <v>456</v>
      </c>
      <c r="M459" s="7">
        <f t="shared" ca="1" si="22"/>
        <v>2.7111361639034482E-2</v>
      </c>
      <c r="N459" s="7">
        <f ca="1">SUM($M$4:M459)</f>
        <v>0.13347131883832378</v>
      </c>
    </row>
    <row r="460" spans="1:14" x14ac:dyDescent="0.3">
      <c r="A460" s="3">
        <v>44126</v>
      </c>
      <c r="B460" s="4">
        <v>21.18</v>
      </c>
      <c r="D460" s="11">
        <v>457</v>
      </c>
      <c r="E460" s="3">
        <v>44127</v>
      </c>
      <c r="F460" s="7">
        <f t="shared" si="21"/>
        <v>-3.7842996912395067E-3</v>
      </c>
      <c r="G460" s="7">
        <f>SUM($F$4:F460)</f>
        <v>-0.20226356662573075</v>
      </c>
      <c r="L460" s="11">
        <v>457</v>
      </c>
      <c r="M460" s="7">
        <f t="shared" ca="1" si="22"/>
        <v>-2.5025872282185675E-2</v>
      </c>
      <c r="N460" s="7">
        <f ca="1">SUM($M$4:M460)</f>
        <v>0.10844544655613811</v>
      </c>
    </row>
    <row r="461" spans="1:14" x14ac:dyDescent="0.3">
      <c r="A461" s="3">
        <v>44127</v>
      </c>
      <c r="B461" s="4">
        <v>21.1</v>
      </c>
      <c r="D461" s="11">
        <v>458</v>
      </c>
      <c r="E461" s="3">
        <v>44130</v>
      </c>
      <c r="F461" s="7">
        <f t="shared" si="21"/>
        <v>-2.787302017945209E-2</v>
      </c>
      <c r="G461" s="7">
        <f>SUM($F$4:F461)</f>
        <v>-0.23013658680518284</v>
      </c>
      <c r="L461" s="11">
        <v>458</v>
      </c>
      <c r="M461" s="7">
        <f t="shared" ca="1" si="22"/>
        <v>2.7111361639034482E-2</v>
      </c>
      <c r="N461" s="7">
        <f ca="1">SUM($M$4:M461)</f>
        <v>0.1355568081951726</v>
      </c>
    </row>
    <row r="462" spans="1:14" x14ac:dyDescent="0.3">
      <c r="A462" s="3">
        <v>44130</v>
      </c>
      <c r="B462" s="4">
        <v>20.52</v>
      </c>
      <c r="D462" s="11">
        <v>459</v>
      </c>
      <c r="E462" s="3">
        <v>44131</v>
      </c>
      <c r="F462" s="7">
        <f t="shared" si="21"/>
        <v>-2.0680205237538631E-2</v>
      </c>
      <c r="G462" s="7">
        <f>SUM($F$4:F462)</f>
        <v>-0.25081679204272145</v>
      </c>
      <c r="L462" s="11">
        <v>459</v>
      </c>
      <c r="M462" s="7">
        <f t="shared" ca="1" si="22"/>
        <v>2.0854893568488064E-3</v>
      </c>
      <c r="N462" s="7">
        <f ca="1">SUM($M$4:M462)</f>
        <v>0.1376422975520214</v>
      </c>
    </row>
    <row r="463" spans="1:14" x14ac:dyDescent="0.3">
      <c r="A463" s="3">
        <v>44131</v>
      </c>
      <c r="B463" s="4">
        <v>20.100000000000001</v>
      </c>
      <c r="D463" s="11">
        <v>460</v>
      </c>
      <c r="E463" s="3">
        <v>44132</v>
      </c>
      <c r="F463" s="7">
        <f t="shared" si="21"/>
        <v>-4.2170332638755158E-2</v>
      </c>
      <c r="G463" s="7">
        <f>SUM($F$4:F463)</f>
        <v>-0.29298712468147659</v>
      </c>
      <c r="L463" s="11">
        <v>460</v>
      </c>
      <c r="M463" s="7">
        <f t="shared" ca="1" si="22"/>
        <v>4.1709787136976128E-3</v>
      </c>
      <c r="N463" s="7">
        <f ca="1">SUM($M$4:M463)</f>
        <v>0.14181327626571902</v>
      </c>
    </row>
    <row r="464" spans="1:14" x14ac:dyDescent="0.3">
      <c r="A464" s="3">
        <v>44132</v>
      </c>
      <c r="B464" s="4">
        <v>19.27</v>
      </c>
      <c r="D464" s="11">
        <v>461</v>
      </c>
      <c r="E464" s="3">
        <v>44133</v>
      </c>
      <c r="F464" s="7">
        <f t="shared" si="21"/>
        <v>2.4097551579060524E-2</v>
      </c>
      <c r="G464" s="7">
        <f>SUM($F$4:F464)</f>
        <v>-0.26888957310241607</v>
      </c>
      <c r="L464" s="11">
        <v>461</v>
      </c>
      <c r="M464" s="7">
        <f t="shared" ca="1" si="22"/>
        <v>2.9196850995883289E-2</v>
      </c>
      <c r="N464" s="7">
        <f ca="1">SUM($M$4:M464)</f>
        <v>0.17101012726160231</v>
      </c>
    </row>
    <row r="465" spans="1:14" x14ac:dyDescent="0.3">
      <c r="A465" s="3">
        <v>44133</v>
      </c>
      <c r="B465" s="4">
        <v>19.739999999999998</v>
      </c>
      <c r="D465" s="11">
        <v>462</v>
      </c>
      <c r="E465" s="3">
        <v>44134</v>
      </c>
      <c r="F465" s="7">
        <f t="shared" si="21"/>
        <v>2.5013810413929229E-2</v>
      </c>
      <c r="G465" s="7">
        <f>SUM($F$4:F465)</f>
        <v>-0.24387576268848685</v>
      </c>
      <c r="L465" s="11">
        <v>462</v>
      </c>
      <c r="M465" s="7">
        <f t="shared" ca="1" si="22"/>
        <v>2.0854893568488065E-2</v>
      </c>
      <c r="N465" s="7">
        <f ca="1">SUM($M$4:M465)</f>
        <v>0.19186502083009038</v>
      </c>
    </row>
    <row r="466" spans="1:14" x14ac:dyDescent="0.3">
      <c r="A466" s="3">
        <v>44134</v>
      </c>
      <c r="B466" s="4">
        <v>20.239999999999998</v>
      </c>
      <c r="D466" s="11">
        <v>463</v>
      </c>
      <c r="E466" s="3">
        <v>44137</v>
      </c>
      <c r="F466" s="7">
        <f t="shared" si="21"/>
        <v>4.2559661767279627E-2</v>
      </c>
      <c r="G466" s="7">
        <f>SUM($F$4:F466)</f>
        <v>-0.20131610092120722</v>
      </c>
      <c r="L466" s="11">
        <v>463</v>
      </c>
      <c r="M466" s="7">
        <f t="shared" ca="1" si="22"/>
        <v>-1.4598425497941644E-2</v>
      </c>
      <c r="N466" s="7">
        <f ca="1">SUM($M$4:M466)</f>
        <v>0.17726659533214872</v>
      </c>
    </row>
    <row r="467" spans="1:14" x14ac:dyDescent="0.3">
      <c r="A467" s="3">
        <v>44137</v>
      </c>
      <c r="B467" s="4">
        <v>21.120000999999998</v>
      </c>
      <c r="D467" s="11">
        <v>464</v>
      </c>
      <c r="E467" s="3">
        <v>44138</v>
      </c>
      <c r="F467" s="7">
        <f t="shared" si="21"/>
        <v>0</v>
      </c>
      <c r="G467" s="7">
        <f>SUM($F$4:F467)</f>
        <v>-0.20131610092120722</v>
      </c>
      <c r="L467" s="11">
        <v>464</v>
      </c>
      <c r="M467" s="7">
        <f t="shared" ca="1" si="22"/>
        <v>-2.7111361639034482E-2</v>
      </c>
      <c r="N467" s="7">
        <f ca="1">SUM($M$4:M467)</f>
        <v>0.15015523369311423</v>
      </c>
    </row>
    <row r="468" spans="1:14" x14ac:dyDescent="0.3">
      <c r="A468" s="3">
        <v>44138</v>
      </c>
      <c r="B468" s="4">
        <v>21.120000999999998</v>
      </c>
      <c r="D468" s="11">
        <v>465</v>
      </c>
      <c r="E468" s="3">
        <v>44139</v>
      </c>
      <c r="F468" s="7">
        <f t="shared" si="21"/>
        <v>-2.8333226446497359E-2</v>
      </c>
      <c r="G468" s="7">
        <f>SUM($F$4:F468)</f>
        <v>-0.22964932736770458</v>
      </c>
      <c r="L468" s="11">
        <v>465</v>
      </c>
      <c r="M468" s="7">
        <f t="shared" ca="1" si="22"/>
        <v>3.1282340352732099E-2</v>
      </c>
      <c r="N468" s="7">
        <f ca="1">SUM($M$4:M468)</f>
        <v>0.18143757404584632</v>
      </c>
    </row>
    <row r="469" spans="1:14" x14ac:dyDescent="0.3">
      <c r="A469" s="3">
        <v>44139</v>
      </c>
      <c r="B469" s="4">
        <v>20.530000999999999</v>
      </c>
      <c r="D469" s="11">
        <v>466</v>
      </c>
      <c r="E469" s="3">
        <v>44140</v>
      </c>
      <c r="F469" s="7">
        <f t="shared" si="21"/>
        <v>4.2904529745438728E-2</v>
      </c>
      <c r="G469" s="7">
        <f>SUM($F$4:F469)</f>
        <v>-0.18674479762226584</v>
      </c>
      <c r="L469" s="11">
        <v>466</v>
      </c>
      <c r="M469" s="7">
        <f t="shared" ca="1" si="22"/>
        <v>-3.5453319066429706E-2</v>
      </c>
      <c r="N469" s="7">
        <f ca="1">SUM($M$4:M469)</f>
        <v>0.14598425497941661</v>
      </c>
    </row>
    <row r="470" spans="1:14" x14ac:dyDescent="0.3">
      <c r="A470" s="3">
        <v>44140</v>
      </c>
      <c r="B470" s="4">
        <v>21.43</v>
      </c>
      <c r="D470" s="11">
        <v>467</v>
      </c>
      <c r="E470" s="3">
        <v>44141</v>
      </c>
      <c r="F470" s="7">
        <f t="shared" si="21"/>
        <v>-2.3608273027577276E-2</v>
      </c>
      <c r="G470" s="7">
        <f>SUM($F$4:F470)</f>
        <v>-0.21035307064984313</v>
      </c>
      <c r="L470" s="11">
        <v>467</v>
      </c>
      <c r="M470" s="7">
        <f t="shared" ca="1" si="22"/>
        <v>-1.6683914854790451E-2</v>
      </c>
      <c r="N470" s="7">
        <f ca="1">SUM($M$4:M470)</f>
        <v>0.12930034012462616</v>
      </c>
    </row>
    <row r="471" spans="1:14" x14ac:dyDescent="0.3">
      <c r="A471" s="3">
        <v>44141</v>
      </c>
      <c r="B471" s="4">
        <v>20.93</v>
      </c>
      <c r="D471" s="11">
        <v>468</v>
      </c>
      <c r="E471" s="3">
        <v>44144</v>
      </c>
      <c r="F471" s="7">
        <f t="shared" si="21"/>
        <v>5.5298685404181223E-2</v>
      </c>
      <c r="G471" s="7">
        <f>SUM($F$4:F471)</f>
        <v>-0.1550543852456619</v>
      </c>
      <c r="L471" s="11">
        <v>468</v>
      </c>
      <c r="M471" s="7">
        <f t="shared" ca="1" si="22"/>
        <v>-2.7111361639034482E-2</v>
      </c>
      <c r="N471" s="7">
        <f ca="1">SUM($M$4:M471)</f>
        <v>0.10218897848559168</v>
      </c>
    </row>
    <row r="472" spans="1:14" x14ac:dyDescent="0.3">
      <c r="A472" s="3">
        <v>44144</v>
      </c>
      <c r="B472" s="4">
        <v>22.120000999999998</v>
      </c>
      <c r="D472" s="11">
        <v>469</v>
      </c>
      <c r="E472" s="3">
        <v>44145</v>
      </c>
      <c r="F472" s="7">
        <f t="shared" si="21"/>
        <v>3.5527669984449339E-2</v>
      </c>
      <c r="G472" s="7">
        <f>SUM($F$4:F472)</f>
        <v>-0.11952671526121256</v>
      </c>
      <c r="L472" s="11">
        <v>469</v>
      </c>
      <c r="M472" s="7">
        <f t="shared" ca="1" si="22"/>
        <v>1.8769404211639258E-2</v>
      </c>
      <c r="N472" s="7">
        <f ca="1">SUM($M$4:M472)</f>
        <v>0.12095838269723094</v>
      </c>
    </row>
    <row r="473" spans="1:14" x14ac:dyDescent="0.3">
      <c r="A473" s="3">
        <v>44145</v>
      </c>
      <c r="B473" s="4">
        <v>22.92</v>
      </c>
      <c r="D473" s="11">
        <v>470</v>
      </c>
      <c r="E473" s="3">
        <v>44146</v>
      </c>
      <c r="F473" s="7">
        <f t="shared" si="21"/>
        <v>-2.1164766628764483E-2</v>
      </c>
      <c r="G473" s="7">
        <f>SUM($F$4:F473)</f>
        <v>-0.14069148188997704</v>
      </c>
      <c r="L473" s="11">
        <v>470</v>
      </c>
      <c r="M473" s="7">
        <f t="shared" ca="1" si="22"/>
        <v>-3.1282340352732099E-2</v>
      </c>
      <c r="N473" s="7">
        <f ca="1">SUM($M$4:M473)</f>
        <v>8.9676042344498844E-2</v>
      </c>
    </row>
    <row r="474" spans="1:14" x14ac:dyDescent="0.3">
      <c r="A474" s="3">
        <v>44146</v>
      </c>
      <c r="B474" s="4">
        <v>22.440000999999999</v>
      </c>
      <c r="D474" s="11">
        <v>471</v>
      </c>
      <c r="E474" s="3">
        <v>44147</v>
      </c>
      <c r="F474" s="7">
        <f t="shared" si="21"/>
        <v>-2.8935201294291706E-2</v>
      </c>
      <c r="G474" s="7">
        <f>SUM($F$4:F474)</f>
        <v>-0.16962668318426874</v>
      </c>
      <c r="L474" s="11">
        <v>471</v>
      </c>
      <c r="M474" s="7">
        <f t="shared" ca="1" si="22"/>
        <v>5.005174456437135E-2</v>
      </c>
      <c r="N474" s="7">
        <f ca="1">SUM($M$4:M474)</f>
        <v>0.13972778690887019</v>
      </c>
    </row>
    <row r="475" spans="1:14" x14ac:dyDescent="0.3">
      <c r="A475" s="3">
        <v>44147</v>
      </c>
      <c r="B475" s="4">
        <v>21.799999</v>
      </c>
      <c r="D475" s="11">
        <v>472</v>
      </c>
      <c r="E475" s="3">
        <v>44148</v>
      </c>
      <c r="F475" s="7">
        <f t="shared" si="21"/>
        <v>5.878816313328819E-2</v>
      </c>
      <c r="G475" s="7">
        <f>SUM($F$4:F475)</f>
        <v>-0.11083852005098055</v>
      </c>
      <c r="L475" s="11">
        <v>472</v>
      </c>
      <c r="M475" s="7">
        <f t="shared" ca="1" si="22"/>
        <v>1.6683914854790451E-2</v>
      </c>
      <c r="N475" s="7">
        <f ca="1">SUM($M$4:M475)</f>
        <v>0.15641170176366065</v>
      </c>
    </row>
    <row r="476" spans="1:14" x14ac:dyDescent="0.3">
      <c r="A476" s="3">
        <v>44148</v>
      </c>
      <c r="B476" s="4">
        <v>23.120000999999998</v>
      </c>
      <c r="D476" s="11">
        <v>473</v>
      </c>
      <c r="E476" s="3">
        <v>44151</v>
      </c>
      <c r="F476" s="7">
        <f t="shared" si="21"/>
        <v>4.0268164738209621E-2</v>
      </c>
      <c r="G476" s="7">
        <f>SUM($F$4:F476)</f>
        <v>-7.0570355312770922E-2</v>
      </c>
      <c r="L476" s="11">
        <v>473</v>
      </c>
      <c r="M476" s="7">
        <f t="shared" ca="1" si="22"/>
        <v>8.3419574273952257E-3</v>
      </c>
      <c r="N476" s="7">
        <f ca="1">SUM($M$4:M476)</f>
        <v>0.16475365919105586</v>
      </c>
    </row>
    <row r="477" spans="1:14" x14ac:dyDescent="0.3">
      <c r="A477" s="3">
        <v>44151</v>
      </c>
      <c r="B477" s="4">
        <v>24.07</v>
      </c>
      <c r="D477" s="11">
        <v>474</v>
      </c>
      <c r="E477" s="3">
        <v>44152</v>
      </c>
      <c r="F477" s="7">
        <f t="shared" si="21"/>
        <v>9.5100573992580369E-3</v>
      </c>
      <c r="G477" s="7">
        <f>SUM($F$4:F477)</f>
        <v>-6.1060297913512883E-2</v>
      </c>
      <c r="L477" s="11">
        <v>474</v>
      </c>
      <c r="M477" s="7">
        <f t="shared" ca="1" si="22"/>
        <v>0</v>
      </c>
      <c r="N477" s="7">
        <f ca="1">SUM($M$4:M477)</f>
        <v>0.16475365919105586</v>
      </c>
    </row>
    <row r="478" spans="1:14" x14ac:dyDescent="0.3">
      <c r="A478" s="3">
        <v>44152</v>
      </c>
      <c r="B478" s="4">
        <v>24.299999</v>
      </c>
      <c r="D478" s="11">
        <v>475</v>
      </c>
      <c r="E478" s="3">
        <v>44153</v>
      </c>
      <c r="F478" s="7">
        <f t="shared" si="21"/>
        <v>8.1968083564427571E-3</v>
      </c>
      <c r="G478" s="7">
        <f>SUM($F$4:F478)</f>
        <v>-5.2863489557070126E-2</v>
      </c>
      <c r="L478" s="11">
        <v>475</v>
      </c>
      <c r="M478" s="7">
        <f t="shared" ca="1" si="22"/>
        <v>2.2940382925336872E-2</v>
      </c>
      <c r="N478" s="7">
        <f ca="1">SUM($M$4:M478)</f>
        <v>0.18769404211639273</v>
      </c>
    </row>
    <row r="479" spans="1:14" x14ac:dyDescent="0.3">
      <c r="A479" s="3">
        <v>44153</v>
      </c>
      <c r="B479" s="4">
        <v>24.5</v>
      </c>
      <c r="D479" s="11">
        <v>476</v>
      </c>
      <c r="E479" s="3">
        <v>44154</v>
      </c>
      <c r="F479" s="7">
        <f t="shared" si="21"/>
        <v>2.1402027845058326E-2</v>
      </c>
      <c r="G479" s="7">
        <f>SUM($F$4:F479)</f>
        <v>-3.14614617120118E-2</v>
      </c>
      <c r="L479" s="11">
        <v>476</v>
      </c>
      <c r="M479" s="7">
        <f t="shared" ca="1" si="22"/>
        <v>3.5453319066429706E-2</v>
      </c>
      <c r="N479" s="7">
        <f ca="1">SUM($M$4:M479)</f>
        <v>0.22314736118282244</v>
      </c>
    </row>
    <row r="480" spans="1:14" x14ac:dyDescent="0.3">
      <c r="A480" s="3">
        <v>44154</v>
      </c>
      <c r="B480" s="4">
        <v>25.030000999999999</v>
      </c>
      <c r="D480" s="11">
        <v>477</v>
      </c>
      <c r="E480" s="3">
        <v>44155</v>
      </c>
      <c r="F480" s="7">
        <f t="shared" si="21"/>
        <v>1.8211072992284551E-2</v>
      </c>
      <c r="G480" s="7">
        <f>SUM($F$4:F480)</f>
        <v>-1.3250388719727248E-2</v>
      </c>
      <c r="L480" s="11">
        <v>477</v>
      </c>
      <c r="M480" s="7">
        <f t="shared" ca="1" si="22"/>
        <v>-1.4598425497941644E-2</v>
      </c>
      <c r="N480" s="7">
        <f ca="1">SUM($M$4:M480)</f>
        <v>0.20854893568488081</v>
      </c>
    </row>
    <row r="481" spans="1:14" x14ac:dyDescent="0.3">
      <c r="A481" s="3">
        <v>44155</v>
      </c>
      <c r="B481" s="4">
        <v>25.49</v>
      </c>
      <c r="D481" s="11">
        <v>478</v>
      </c>
      <c r="E481" s="3">
        <v>44158</v>
      </c>
      <c r="F481" s="7">
        <f t="shared" si="21"/>
        <v>3.8858514604152454E-2</v>
      </c>
      <c r="G481" s="7">
        <f>SUM($F$4:F481)</f>
        <v>2.5608125884425206E-2</v>
      </c>
      <c r="L481" s="11">
        <v>478</v>
      </c>
      <c r="M481" s="7">
        <f t="shared" ca="1" si="22"/>
        <v>-1.0427446784244032E-2</v>
      </c>
      <c r="N481" s="7">
        <f ca="1">SUM($M$4:M481)</f>
        <v>0.19812148890063677</v>
      </c>
    </row>
    <row r="482" spans="1:14" x14ac:dyDescent="0.3">
      <c r="A482" s="3">
        <v>44158</v>
      </c>
      <c r="B482" s="4">
        <v>26.5</v>
      </c>
      <c r="D482" s="11">
        <v>479</v>
      </c>
      <c r="E482" s="3">
        <v>44159</v>
      </c>
      <c r="F482" s="7">
        <f t="shared" si="21"/>
        <v>2.6072277074480364E-2</v>
      </c>
      <c r="G482" s="7">
        <f>SUM($F$4:F482)</f>
        <v>5.1680402958905566E-2</v>
      </c>
      <c r="L482" s="11">
        <v>479</v>
      </c>
      <c r="M482" s="7">
        <f t="shared" ca="1" si="22"/>
        <v>3.1282340352732099E-2</v>
      </c>
      <c r="N482" s="7">
        <f ca="1">SUM($M$4:M482)</f>
        <v>0.22940382925336888</v>
      </c>
    </row>
    <row r="483" spans="1:14" x14ac:dyDescent="0.3">
      <c r="A483" s="3">
        <v>44159</v>
      </c>
      <c r="B483" s="4">
        <v>27.200001</v>
      </c>
      <c r="D483" s="11">
        <v>480</v>
      </c>
      <c r="E483" s="3">
        <v>44160</v>
      </c>
      <c r="F483" s="7">
        <f t="shared" si="21"/>
        <v>3.66965549421998E-3</v>
      </c>
      <c r="G483" s="7">
        <f>SUM($F$4:F483)</f>
        <v>5.5350058453125545E-2</v>
      </c>
      <c r="L483" s="11">
        <v>480</v>
      </c>
      <c r="M483" s="7">
        <f t="shared" ca="1" si="22"/>
        <v>-2.2940382925336872E-2</v>
      </c>
      <c r="N483" s="7">
        <f ca="1">SUM($M$4:M483)</f>
        <v>0.20646344632803201</v>
      </c>
    </row>
    <row r="484" spans="1:14" x14ac:dyDescent="0.3">
      <c r="A484" s="3">
        <v>44160</v>
      </c>
      <c r="B484" s="4">
        <v>27.299999</v>
      </c>
      <c r="D484" s="11">
        <v>481</v>
      </c>
      <c r="E484" s="3">
        <v>44162</v>
      </c>
      <c r="F484" s="7">
        <f t="shared" si="21"/>
        <v>6.5718017932718123E-3</v>
      </c>
      <c r="G484" s="7">
        <f>SUM($F$4:F484)</f>
        <v>6.1921860246397356E-2</v>
      </c>
      <c r="L484" s="11">
        <v>481</v>
      </c>
      <c r="M484" s="7">
        <f t="shared" ca="1" si="22"/>
        <v>-1.0427446784244032E-2</v>
      </c>
      <c r="N484" s="7">
        <f ca="1">SUM($M$4:M484)</f>
        <v>0.19603599954378798</v>
      </c>
    </row>
    <row r="485" spans="1:14" x14ac:dyDescent="0.3">
      <c r="A485" s="3">
        <v>44162</v>
      </c>
      <c r="B485" s="4">
        <v>27.48</v>
      </c>
      <c r="D485" s="11">
        <v>482</v>
      </c>
      <c r="E485" s="3">
        <v>44165</v>
      </c>
      <c r="F485" s="7">
        <f t="shared" si="21"/>
        <v>-2.0960502615334112E-2</v>
      </c>
      <c r="G485" s="7">
        <f>SUM($F$4:F485)</f>
        <v>4.0961357631063247E-2</v>
      </c>
      <c r="L485" s="11">
        <v>482</v>
      </c>
      <c r="M485" s="7">
        <f t="shared" ca="1" si="22"/>
        <v>-2.2940382925336872E-2</v>
      </c>
      <c r="N485" s="7">
        <f ca="1">SUM($M$4:M485)</f>
        <v>0.1730956166184511</v>
      </c>
    </row>
    <row r="486" spans="1:14" x14ac:dyDescent="0.3">
      <c r="A486" s="3">
        <v>44165</v>
      </c>
      <c r="B486" s="4">
        <v>26.91</v>
      </c>
      <c r="D486" s="11">
        <v>483</v>
      </c>
      <c r="E486" s="3">
        <v>44166</v>
      </c>
      <c r="F486" s="7">
        <f t="shared" si="21"/>
        <v>2.8212166010654332E-2</v>
      </c>
      <c r="G486" s="7">
        <f>SUM($F$4:F486)</f>
        <v>6.9173523641717582E-2</v>
      </c>
      <c r="L486" s="11">
        <v>483</v>
      </c>
      <c r="M486" s="7">
        <f t="shared" ca="1" si="22"/>
        <v>-5.4222723278068964E-2</v>
      </c>
      <c r="N486" s="7">
        <f ca="1">SUM($M$4:M486)</f>
        <v>0.11887289334038215</v>
      </c>
    </row>
    <row r="487" spans="1:14" x14ac:dyDescent="0.3">
      <c r="A487" s="3">
        <v>44166</v>
      </c>
      <c r="B487" s="4">
        <v>27.68</v>
      </c>
      <c r="D487" s="11">
        <v>484</v>
      </c>
      <c r="E487" s="3">
        <v>44167</v>
      </c>
      <c r="F487" s="7">
        <f t="shared" si="21"/>
        <v>2.4622153319792544E-2</v>
      </c>
      <c r="G487" s="7">
        <f>SUM($F$4:F487)</f>
        <v>9.379567696151013E-2</v>
      </c>
      <c r="L487" s="11">
        <v>484</v>
      </c>
      <c r="M487" s="7">
        <f t="shared" ca="1" si="22"/>
        <v>-4.5880765850673744E-2</v>
      </c>
      <c r="N487" s="7">
        <f ca="1">SUM($M$4:M487)</f>
        <v>7.2992127489708403E-2</v>
      </c>
    </row>
    <row r="488" spans="1:14" x14ac:dyDescent="0.3">
      <c r="A488" s="3">
        <v>44167</v>
      </c>
      <c r="B488" s="4">
        <v>28.370000999999998</v>
      </c>
      <c r="D488" s="11">
        <v>485</v>
      </c>
      <c r="E488" s="3">
        <v>44168</v>
      </c>
      <c r="F488" s="7">
        <f t="shared" si="21"/>
        <v>-4.592871444219937E-3</v>
      </c>
      <c r="G488" s="7">
        <f>SUM($F$4:F488)</f>
        <v>8.9202805517290193E-2</v>
      </c>
      <c r="L488" s="11">
        <v>485</v>
      </c>
      <c r="M488" s="7">
        <f t="shared" ca="1" si="22"/>
        <v>-8.3419574273952257E-3</v>
      </c>
      <c r="N488" s="7">
        <f ca="1">SUM($M$4:M488)</f>
        <v>6.4650170062313175E-2</v>
      </c>
    </row>
    <row r="489" spans="1:14" x14ac:dyDescent="0.3">
      <c r="A489" s="3">
        <v>44168</v>
      </c>
      <c r="B489" s="4">
        <v>28.24</v>
      </c>
      <c r="D489" s="11">
        <v>486</v>
      </c>
      <c r="E489" s="3">
        <v>44169</v>
      </c>
      <c r="F489" s="7">
        <f t="shared" si="21"/>
        <v>8.4626739187337284E-3</v>
      </c>
      <c r="G489" s="7">
        <f>SUM($F$4:F489)</f>
        <v>9.7665479436023925E-2</v>
      </c>
      <c r="L489" s="11">
        <v>486</v>
      </c>
      <c r="M489" s="7">
        <f t="shared" ca="1" si="22"/>
        <v>-2.0854893568488065E-2</v>
      </c>
      <c r="N489" s="7">
        <f ca="1">SUM($M$4:M489)</f>
        <v>4.3795276493825114E-2</v>
      </c>
    </row>
    <row r="490" spans="1:14" x14ac:dyDescent="0.3">
      <c r="A490" s="3">
        <v>44169</v>
      </c>
      <c r="B490" s="4">
        <v>28.48</v>
      </c>
      <c r="D490" s="11">
        <v>487</v>
      </c>
      <c r="E490" s="3">
        <v>44172</v>
      </c>
      <c r="F490" s="7">
        <f t="shared" si="21"/>
        <v>1.1173265875902297E-2</v>
      </c>
      <c r="G490" s="7">
        <f>SUM($F$4:F490)</f>
        <v>0.10883874531192622</v>
      </c>
      <c r="L490" s="11">
        <v>487</v>
      </c>
      <c r="M490" s="7">
        <f t="shared" ca="1" si="22"/>
        <v>4.1709787136976128E-3</v>
      </c>
      <c r="N490" s="7">
        <f ca="1">SUM($M$4:M490)</f>
        <v>4.7966255207522727E-2</v>
      </c>
    </row>
    <row r="491" spans="1:14" x14ac:dyDescent="0.3">
      <c r="A491" s="3">
        <v>44172</v>
      </c>
      <c r="B491" s="4">
        <v>28.799999</v>
      </c>
      <c r="D491" s="11">
        <v>488</v>
      </c>
      <c r="E491" s="3">
        <v>44173</v>
      </c>
      <c r="F491" s="7">
        <f t="shared" si="21"/>
        <v>-2.4961711303525098E-2</v>
      </c>
      <c r="G491" s="7">
        <f>SUM($F$4:F491)</f>
        <v>8.387703400840113E-2</v>
      </c>
      <c r="L491" s="11">
        <v>488</v>
      </c>
      <c r="M491" s="7">
        <f t="shared" ca="1" si="22"/>
        <v>-1.2512936141092838E-2</v>
      </c>
      <c r="N491" s="7">
        <f ca="1">SUM($M$4:M491)</f>
        <v>3.5453319066429886E-2</v>
      </c>
    </row>
    <row r="492" spans="1:14" x14ac:dyDescent="0.3">
      <c r="A492" s="3">
        <v>44173</v>
      </c>
      <c r="B492" s="4">
        <v>28.09</v>
      </c>
      <c r="D492" s="11">
        <v>489</v>
      </c>
      <c r="E492" s="3">
        <v>44174</v>
      </c>
      <c r="F492" s="7">
        <f t="shared" si="21"/>
        <v>1.4490446158452571E-2</v>
      </c>
      <c r="G492" s="7">
        <f>SUM($F$4:F492)</f>
        <v>9.8367480166853705E-2</v>
      </c>
      <c r="L492" s="11">
        <v>489</v>
      </c>
      <c r="M492" s="7">
        <f t="shared" ca="1" si="22"/>
        <v>2.5025872282185675E-2</v>
      </c>
      <c r="N492" s="7">
        <f ca="1">SUM($M$4:M492)</f>
        <v>6.0479191348615562E-2</v>
      </c>
    </row>
    <row r="493" spans="1:14" x14ac:dyDescent="0.3">
      <c r="A493" s="3">
        <v>44174</v>
      </c>
      <c r="B493" s="4">
        <v>28.5</v>
      </c>
      <c r="D493" s="11">
        <v>490</v>
      </c>
      <c r="E493" s="3">
        <v>44175</v>
      </c>
      <c r="F493" s="7">
        <f t="shared" si="21"/>
        <v>1.0124052083761836E-2</v>
      </c>
      <c r="G493" s="7">
        <f>SUM($F$4:F493)</f>
        <v>0.10849153225061554</v>
      </c>
      <c r="L493" s="11">
        <v>490</v>
      </c>
      <c r="M493" s="7">
        <f t="shared" ca="1" si="22"/>
        <v>0</v>
      </c>
      <c r="N493" s="7">
        <f ca="1">SUM($M$4:M493)</f>
        <v>6.0479191348615562E-2</v>
      </c>
    </row>
    <row r="494" spans="1:14" x14ac:dyDescent="0.3">
      <c r="A494" s="3">
        <v>44175</v>
      </c>
      <c r="B494" s="4">
        <v>28.790001</v>
      </c>
      <c r="D494" s="11">
        <v>491</v>
      </c>
      <c r="E494" s="3">
        <v>44176</v>
      </c>
      <c r="F494" s="7">
        <f t="shared" si="21"/>
        <v>4.8509796296771039E-3</v>
      </c>
      <c r="G494" s="7">
        <f>SUM($F$4:F494)</f>
        <v>0.11334251188029265</v>
      </c>
      <c r="L494" s="11">
        <v>491</v>
      </c>
      <c r="M494" s="7">
        <f t="shared" ca="1" si="22"/>
        <v>8.3419574273952257E-3</v>
      </c>
      <c r="N494" s="7">
        <f ca="1">SUM($M$4:M494)</f>
        <v>6.8821148776010782E-2</v>
      </c>
    </row>
    <row r="495" spans="1:14" x14ac:dyDescent="0.3">
      <c r="A495" s="3">
        <v>44176</v>
      </c>
      <c r="B495" s="4">
        <v>28.93</v>
      </c>
      <c r="D495" s="11">
        <v>492</v>
      </c>
      <c r="E495" s="3">
        <v>44179</v>
      </c>
      <c r="F495" s="7">
        <f t="shared" si="21"/>
        <v>-9.7256758272951677E-3</v>
      </c>
      <c r="G495" s="7">
        <f>SUM($F$4:F495)</f>
        <v>0.10361683605299749</v>
      </c>
      <c r="L495" s="11">
        <v>492</v>
      </c>
      <c r="M495" s="7">
        <f t="shared" ca="1" si="22"/>
        <v>-1.0427446784244032E-2</v>
      </c>
      <c r="N495" s="7">
        <f ca="1">SUM($M$4:M495)</f>
        <v>5.8393701991766751E-2</v>
      </c>
    </row>
    <row r="496" spans="1:14" x14ac:dyDescent="0.3">
      <c r="A496" s="3">
        <v>44179</v>
      </c>
      <c r="B496" s="4">
        <v>28.65</v>
      </c>
      <c r="D496" s="11">
        <v>493</v>
      </c>
      <c r="E496" s="3">
        <v>44180</v>
      </c>
      <c r="F496" s="7">
        <f t="shared" si="21"/>
        <v>2.4402662003329217E-3</v>
      </c>
      <c r="G496" s="7">
        <f>SUM($F$4:F496)</f>
        <v>0.10605710225333041</v>
      </c>
      <c r="L496" s="11">
        <v>493</v>
      </c>
      <c r="M496" s="7">
        <f t="shared" ca="1" si="22"/>
        <v>-9.8017999771893904E-2</v>
      </c>
      <c r="N496" s="7">
        <f ca="1">SUM($M$4:M496)</f>
        <v>-3.9624297780127153E-2</v>
      </c>
    </row>
    <row r="497" spans="1:14" x14ac:dyDescent="0.3">
      <c r="A497" s="3">
        <v>44180</v>
      </c>
      <c r="B497" s="4">
        <v>28.719999000000001</v>
      </c>
      <c r="D497" s="11">
        <v>494</v>
      </c>
      <c r="E497" s="3">
        <v>44181</v>
      </c>
      <c r="F497" s="7">
        <f t="shared" si="21"/>
        <v>2.434429997285307E-3</v>
      </c>
      <c r="G497" s="7">
        <f>SUM($F$4:F497)</f>
        <v>0.10849153225061572</v>
      </c>
      <c r="L497" s="11">
        <v>494</v>
      </c>
      <c r="M497" s="7">
        <f t="shared" ca="1" si="22"/>
        <v>2.0854893568488065E-2</v>
      </c>
      <c r="N497" s="7">
        <f ca="1">SUM($M$4:M497)</f>
        <v>-1.8769404211639088E-2</v>
      </c>
    </row>
    <row r="498" spans="1:14" x14ac:dyDescent="0.3">
      <c r="A498" s="3">
        <v>44181</v>
      </c>
      <c r="B498" s="4">
        <v>28.790001</v>
      </c>
      <c r="D498" s="11">
        <v>495</v>
      </c>
      <c r="E498" s="3">
        <v>44182</v>
      </c>
      <c r="F498" s="7">
        <f t="shared" si="21"/>
        <v>-1.7382587074877781E-3</v>
      </c>
      <c r="G498" s="7">
        <f>SUM($F$4:F498)</f>
        <v>0.10675327354312794</v>
      </c>
      <c r="L498" s="11">
        <v>495</v>
      </c>
      <c r="M498" s="7">
        <f t="shared" ca="1" si="22"/>
        <v>4.1709787136976128E-3</v>
      </c>
      <c r="N498" s="7">
        <f ca="1">SUM($M$4:M498)</f>
        <v>-1.4598425497941474E-2</v>
      </c>
    </row>
    <row r="499" spans="1:14" x14ac:dyDescent="0.3">
      <c r="A499" s="3">
        <v>44182</v>
      </c>
      <c r="B499" s="4">
        <v>28.74</v>
      </c>
      <c r="D499" s="11">
        <v>496</v>
      </c>
      <c r="E499" s="3">
        <v>44183</v>
      </c>
      <c r="F499" s="7">
        <f t="shared" si="21"/>
        <v>-3.3253895925511055E-2</v>
      </c>
      <c r="G499" s="7">
        <f>SUM($F$4:F499)</f>
        <v>7.3499377617616879E-2</v>
      </c>
      <c r="L499" s="11">
        <v>496</v>
      </c>
      <c r="M499" s="7">
        <f t="shared" ca="1" si="22"/>
        <v>1.6683914854790451E-2</v>
      </c>
      <c r="N499" s="7">
        <f ca="1">SUM($M$4:M499)</f>
        <v>2.0854893568489768E-3</v>
      </c>
    </row>
    <row r="500" spans="1:14" x14ac:dyDescent="0.3">
      <c r="A500" s="3">
        <v>44183</v>
      </c>
      <c r="B500" s="4">
        <v>27.799999</v>
      </c>
      <c r="D500" s="11">
        <v>497</v>
      </c>
      <c r="E500" s="3">
        <v>44186</v>
      </c>
      <c r="F500" s="7">
        <f t="shared" si="21"/>
        <v>-1.5588425136427077E-2</v>
      </c>
      <c r="G500" s="7">
        <f>SUM($F$4:F500)</f>
        <v>5.7910952481189798E-2</v>
      </c>
      <c r="L500" s="11">
        <v>497</v>
      </c>
      <c r="M500" s="7">
        <f t="shared" ca="1" si="22"/>
        <v>-2.5025872282185675E-2</v>
      </c>
      <c r="N500" s="7">
        <f ca="1">SUM($M$4:M500)</f>
        <v>-2.2940382925336698E-2</v>
      </c>
    </row>
    <row r="501" spans="1:14" x14ac:dyDescent="0.3">
      <c r="A501" s="3">
        <v>44186</v>
      </c>
      <c r="B501" s="4">
        <v>27.370000999999998</v>
      </c>
      <c r="D501" s="11">
        <v>498</v>
      </c>
      <c r="E501" s="3">
        <v>44187</v>
      </c>
      <c r="F501" s="7">
        <f t="shared" si="21"/>
        <v>-5.8630435449807897E-3</v>
      </c>
      <c r="G501" s="7">
        <f>SUM($F$4:F501)</f>
        <v>5.204790893620901E-2</v>
      </c>
      <c r="L501" s="11">
        <v>498</v>
      </c>
      <c r="M501" s="7">
        <f t="shared" ca="1" si="22"/>
        <v>-2.5025872282185675E-2</v>
      </c>
      <c r="N501" s="7">
        <f ca="1">SUM($M$4:M501)</f>
        <v>-4.7966255207522374E-2</v>
      </c>
    </row>
    <row r="502" spans="1:14" x14ac:dyDescent="0.3">
      <c r="A502" s="3">
        <v>44187</v>
      </c>
      <c r="B502" s="4">
        <v>27.209999</v>
      </c>
      <c r="D502" s="11">
        <v>499</v>
      </c>
      <c r="E502" s="3">
        <v>44188</v>
      </c>
      <c r="F502" s="7">
        <f t="shared" si="21"/>
        <v>3.7862861212421668E-2</v>
      </c>
      <c r="G502" s="7">
        <f>SUM($F$4:F502)</f>
        <v>8.9910770148630678E-2</v>
      </c>
      <c r="L502" s="11">
        <v>499</v>
      </c>
      <c r="M502" s="7">
        <f t="shared" ca="1" si="22"/>
        <v>-5.8393701991766578E-2</v>
      </c>
      <c r="N502" s="7">
        <f ca="1">SUM($M$4:M502)</f>
        <v>-0.10635995719928895</v>
      </c>
    </row>
    <row r="503" spans="1:14" x14ac:dyDescent="0.3">
      <c r="A503" s="3">
        <v>44188</v>
      </c>
      <c r="B503" s="4">
        <v>28.26</v>
      </c>
      <c r="D503" s="11">
        <v>500</v>
      </c>
      <c r="E503" s="3">
        <v>44189</v>
      </c>
      <c r="F503" s="7">
        <f t="shared" si="21"/>
        <v>1.0909838986300357E-2</v>
      </c>
      <c r="G503" s="7">
        <f>SUM($F$4:F503)</f>
        <v>0.10082060913493103</v>
      </c>
      <c r="L503" s="11">
        <v>500</v>
      </c>
      <c r="M503" s="7">
        <f t="shared" ca="1" si="22"/>
        <v>3.5453319066429706E-2</v>
      </c>
      <c r="N503" s="7">
        <f ca="1">SUM($M$4:M503)</f>
        <v>-7.0906638132859245E-2</v>
      </c>
    </row>
    <row r="504" spans="1:14" x14ac:dyDescent="0.3">
      <c r="A504" s="3">
        <v>44189</v>
      </c>
      <c r="B504" s="4">
        <v>28.57</v>
      </c>
      <c r="D504" s="11">
        <v>501</v>
      </c>
      <c r="E504" s="3">
        <v>44193</v>
      </c>
      <c r="F504" s="7">
        <f t="shared" si="21"/>
        <v>3.0336727810770906E-2</v>
      </c>
      <c r="G504" s="7">
        <f>SUM($F$4:F504)</f>
        <v>0.13115733694570195</v>
      </c>
      <c r="L504" s="11">
        <v>501</v>
      </c>
      <c r="M504" s="7">
        <f t="shared" ca="1" si="22"/>
        <v>8.3419574273952257E-3</v>
      </c>
      <c r="N504" s="7">
        <f ca="1">SUM($M$4:M504)</f>
        <v>-6.2564680705464018E-2</v>
      </c>
    </row>
    <row r="505" spans="1:14" x14ac:dyDescent="0.3">
      <c r="A505" s="3">
        <v>44193</v>
      </c>
      <c r="B505" s="4">
        <v>29.450001</v>
      </c>
      <c r="D505" s="11">
        <v>502</v>
      </c>
      <c r="E505" s="3">
        <v>44194</v>
      </c>
      <c r="F505" s="7">
        <f t="shared" si="21"/>
        <v>8.116378403589428E-3</v>
      </c>
      <c r="G505" s="7">
        <f>SUM($F$4:F505)</f>
        <v>0.13927371534929137</v>
      </c>
      <c r="L505" s="11">
        <v>502</v>
      </c>
      <c r="M505" s="7">
        <f t="shared" ca="1" si="22"/>
        <v>8.341957427395226E-2</v>
      </c>
      <c r="N505" s="7">
        <f ca="1">SUM($M$4:M505)</f>
        <v>2.0854893568488242E-2</v>
      </c>
    </row>
    <row r="506" spans="1:14" x14ac:dyDescent="0.3">
      <c r="A506" s="3">
        <v>44194</v>
      </c>
      <c r="B506" s="4">
        <v>29.690000999999999</v>
      </c>
      <c r="D506" s="11">
        <v>503</v>
      </c>
      <c r="E506" s="3">
        <v>44195</v>
      </c>
      <c r="F506" s="7">
        <f t="shared" si="21"/>
        <v>4.0335516871475114E-3</v>
      </c>
      <c r="G506" s="7">
        <f>SUM($F$4:F506)</f>
        <v>0.14330726703643887</v>
      </c>
      <c r="L506" s="11">
        <v>503</v>
      </c>
      <c r="M506" s="7">
        <f t="shared" ca="1" si="22"/>
        <v>-4.1709787136976128E-3</v>
      </c>
      <c r="N506" s="7">
        <f ca="1">SUM($M$4:M506)</f>
        <v>1.6683914854790628E-2</v>
      </c>
    </row>
    <row r="507" spans="1:14" x14ac:dyDescent="0.3">
      <c r="A507" s="3">
        <v>44195</v>
      </c>
      <c r="B507" s="4">
        <v>29.809999000000001</v>
      </c>
      <c r="D507" s="11">
        <v>504</v>
      </c>
      <c r="E507" s="3">
        <v>44196</v>
      </c>
      <c r="F507" s="7">
        <f t="shared" si="21"/>
        <v>9.3490164977643973E-3</v>
      </c>
      <c r="G507" s="7">
        <f>SUM($F$4:F507)</f>
        <v>0.15265628353420327</v>
      </c>
      <c r="L507" s="11">
        <v>504</v>
      </c>
      <c r="M507" s="7">
        <f t="shared" ca="1" si="22"/>
        <v>-3.7538808423278516E-2</v>
      </c>
      <c r="N507" s="7">
        <f ca="1">SUM($M$4:M507)</f>
        <v>-2.0854893568487888E-2</v>
      </c>
    </row>
    <row r="508" spans="1:14" x14ac:dyDescent="0.3">
      <c r="A508" s="3">
        <v>44196</v>
      </c>
      <c r="B508" s="4">
        <v>30.09</v>
      </c>
      <c r="D508" s="11">
        <v>505</v>
      </c>
      <c r="E508" s="3">
        <v>44200</v>
      </c>
      <c r="F508" s="7">
        <f t="shared" si="21"/>
        <v>1.778699755499849E-2</v>
      </c>
      <c r="G508" s="7">
        <f>SUM($F$4:F508)</f>
        <v>0.17044328108920176</v>
      </c>
      <c r="L508" s="11">
        <v>505</v>
      </c>
      <c r="M508" s="7">
        <f t="shared" ca="1" si="22"/>
        <v>-8.3419574273952257E-3</v>
      </c>
      <c r="N508" s="7">
        <f ca="1">SUM($M$4:M508)</f>
        <v>-2.9196850995883115E-2</v>
      </c>
    </row>
    <row r="509" spans="1:14" x14ac:dyDescent="0.3">
      <c r="A509" s="3">
        <v>44200</v>
      </c>
      <c r="B509" s="4">
        <v>30.629999000000002</v>
      </c>
      <c r="D509" s="11">
        <v>506</v>
      </c>
      <c r="E509" s="3">
        <v>44201</v>
      </c>
      <c r="F509" s="7">
        <f t="shared" si="21"/>
        <v>2.8642376792725934E-2</v>
      </c>
      <c r="G509" s="7">
        <f>SUM($F$4:F509)</f>
        <v>0.1990856578819277</v>
      </c>
      <c r="L509" s="11">
        <v>506</v>
      </c>
      <c r="M509" s="7">
        <f t="shared" ca="1" si="22"/>
        <v>1.6683914854790451E-2</v>
      </c>
      <c r="N509" s="7">
        <f ca="1">SUM($M$4:M509)</f>
        <v>-1.2512936141092664E-2</v>
      </c>
    </row>
    <row r="510" spans="1:14" x14ac:dyDescent="0.3">
      <c r="A510" s="3">
        <v>44201</v>
      </c>
      <c r="B510" s="4">
        <v>31.52</v>
      </c>
      <c r="D510" s="11">
        <v>507</v>
      </c>
      <c r="E510" s="3">
        <v>44202</v>
      </c>
      <c r="F510" s="7">
        <f t="shared" si="21"/>
        <v>8.3064299718555862E-2</v>
      </c>
      <c r="G510" s="7">
        <f>SUM($F$4:F510)</f>
        <v>0.28214995760048356</v>
      </c>
      <c r="L510" s="11">
        <v>507</v>
      </c>
      <c r="M510" s="7">
        <f t="shared" ca="1" si="22"/>
        <v>0</v>
      </c>
      <c r="N510" s="7">
        <f ca="1">SUM($M$4:M510)</f>
        <v>-1.2512936141092664E-2</v>
      </c>
    </row>
    <row r="511" spans="1:14" x14ac:dyDescent="0.3">
      <c r="A511" s="3">
        <v>44202</v>
      </c>
      <c r="B511" s="4">
        <v>34.25</v>
      </c>
      <c r="D511" s="11">
        <v>508</v>
      </c>
      <c r="E511" s="3">
        <v>44203</v>
      </c>
      <c r="F511" s="7">
        <f t="shared" si="21"/>
        <v>4.3700578106516154E-3</v>
      </c>
      <c r="G511" s="7">
        <f>SUM($F$4:F511)</f>
        <v>0.2865200154111352</v>
      </c>
      <c r="L511" s="11">
        <v>508</v>
      </c>
      <c r="M511" s="7">
        <f t="shared" ca="1" si="22"/>
        <v>-4.170978713697613E-2</v>
      </c>
      <c r="N511" s="7">
        <f ca="1">SUM($M$4:M511)</f>
        <v>-5.4222723278068791E-2</v>
      </c>
    </row>
    <row r="512" spans="1:14" x14ac:dyDescent="0.3">
      <c r="A512" s="3">
        <v>44203</v>
      </c>
      <c r="B512" s="4">
        <v>34.400002000000001</v>
      </c>
      <c r="D512" s="11">
        <v>509</v>
      </c>
      <c r="E512" s="3">
        <v>44204</v>
      </c>
      <c r="F512" s="7">
        <f t="shared" si="21"/>
        <v>6.6637647721407055E-3</v>
      </c>
      <c r="G512" s="7">
        <f>SUM($F$4:F512)</f>
        <v>0.2931837801832759</v>
      </c>
      <c r="L512" s="11">
        <v>509</v>
      </c>
      <c r="M512" s="7">
        <f t="shared" ca="1" si="22"/>
        <v>2.2940382925336872E-2</v>
      </c>
      <c r="N512" s="7">
        <f ca="1">SUM($M$4:M512)</f>
        <v>-3.1282340352731919E-2</v>
      </c>
    </row>
    <row r="513" spans="1:14" x14ac:dyDescent="0.3">
      <c r="A513" s="3">
        <v>44204</v>
      </c>
      <c r="B513" s="4">
        <v>34.630001</v>
      </c>
      <c r="D513" s="11">
        <v>510</v>
      </c>
      <c r="E513" s="3">
        <v>44207</v>
      </c>
      <c r="F513" s="7">
        <f t="shared" si="21"/>
        <v>1.433510745240749E-2</v>
      </c>
      <c r="G513" s="7">
        <f>SUM($F$4:F513)</f>
        <v>0.30751888763568341</v>
      </c>
      <c r="L513" s="11">
        <v>510</v>
      </c>
      <c r="M513" s="7">
        <f t="shared" ca="1" si="22"/>
        <v>0</v>
      </c>
      <c r="N513" s="7">
        <f ca="1">SUM($M$4:M513)</f>
        <v>-3.1282340352731919E-2</v>
      </c>
    </row>
    <row r="514" spans="1:14" x14ac:dyDescent="0.3">
      <c r="A514" s="3">
        <v>44207</v>
      </c>
      <c r="B514" s="4">
        <v>35.130001</v>
      </c>
      <c r="D514" s="11">
        <v>511</v>
      </c>
      <c r="E514" s="3">
        <v>44208</v>
      </c>
      <c r="F514" s="7">
        <f t="shared" si="21"/>
        <v>4.8274408672047513E-3</v>
      </c>
      <c r="G514" s="7">
        <f>SUM($F$4:F514)</f>
        <v>0.31234632850288818</v>
      </c>
      <c r="L514" s="11">
        <v>511</v>
      </c>
      <c r="M514" s="7">
        <f t="shared" ca="1" si="22"/>
        <v>4.1709787136976128E-3</v>
      </c>
      <c r="N514" s="7">
        <f ca="1">SUM($M$4:M514)</f>
        <v>-2.7111361639034305E-2</v>
      </c>
    </row>
    <row r="515" spans="1:14" x14ac:dyDescent="0.3">
      <c r="A515" s="3">
        <v>44208</v>
      </c>
      <c r="B515" s="4">
        <v>35.299999</v>
      </c>
      <c r="D515" s="11">
        <v>512</v>
      </c>
      <c r="E515" s="3">
        <v>44209</v>
      </c>
      <c r="F515" s="7">
        <f t="shared" si="21"/>
        <v>3.8621275501168666E-2</v>
      </c>
      <c r="G515" s="7">
        <f>SUM($F$4:F515)</f>
        <v>0.35096760400405685</v>
      </c>
      <c r="L515" s="11">
        <v>512</v>
      </c>
      <c r="M515" s="7">
        <f t="shared" ca="1" si="22"/>
        <v>-1.8769404211639258E-2</v>
      </c>
      <c r="N515" s="7">
        <f ca="1">SUM($M$4:M515)</f>
        <v>-4.5880765850673563E-2</v>
      </c>
    </row>
    <row r="516" spans="1:14" x14ac:dyDescent="0.3">
      <c r="A516" s="3">
        <v>44209</v>
      </c>
      <c r="B516" s="4">
        <v>36.689999</v>
      </c>
      <c r="D516" s="11">
        <v>513</v>
      </c>
      <c r="E516" s="3">
        <v>44210</v>
      </c>
      <c r="F516" s="7">
        <f t="shared" ref="F516:F579" si="23">LN(B517/B516)</f>
        <v>1.5147733713761104E-2</v>
      </c>
      <c r="G516" s="7">
        <f>SUM($F$4:F516)</f>
        <v>0.36611533771781796</v>
      </c>
      <c r="L516" s="11">
        <v>513</v>
      </c>
      <c r="M516" s="7">
        <f t="shared" ca="1" si="22"/>
        <v>8.3419574273952257E-3</v>
      </c>
      <c r="N516" s="7">
        <f ca="1">SUM($M$4:M516)</f>
        <v>-3.7538808423278336E-2</v>
      </c>
    </row>
    <row r="517" spans="1:14" x14ac:dyDescent="0.3">
      <c r="A517" s="3">
        <v>44210</v>
      </c>
      <c r="B517" s="4">
        <v>37.25</v>
      </c>
      <c r="D517" s="11">
        <v>514</v>
      </c>
      <c r="E517" s="3">
        <v>44211</v>
      </c>
      <c r="F517" s="7">
        <f t="shared" si="23"/>
        <v>-1.324170174504768E-2</v>
      </c>
      <c r="G517" s="7">
        <f>SUM($F$4:F517)</f>
        <v>0.35287363597277027</v>
      </c>
      <c r="L517" s="11">
        <v>514</v>
      </c>
      <c r="M517" s="7">
        <f t="shared" ref="M517:M580" ca="1" si="24">(2*_xlfn.BINOM.INV($J$4,$J$12,RAND())-$J$4)*$J$11</f>
        <v>-1.8769404211639258E-2</v>
      </c>
      <c r="N517" s="7">
        <f ca="1">SUM($M$4:M517)</f>
        <v>-5.6308212634917594E-2</v>
      </c>
    </row>
    <row r="518" spans="1:14" x14ac:dyDescent="0.3">
      <c r="A518" s="3">
        <v>44211</v>
      </c>
      <c r="B518" s="4">
        <v>36.759998000000003</v>
      </c>
      <c r="D518" s="11">
        <v>515</v>
      </c>
      <c r="E518" s="3">
        <v>44215</v>
      </c>
      <c r="F518" s="7">
        <f t="shared" si="23"/>
        <v>-1.6733239150714025E-2</v>
      </c>
      <c r="G518" s="7">
        <f>SUM($F$4:F518)</f>
        <v>0.33614039682205626</v>
      </c>
      <c r="L518" s="11">
        <v>515</v>
      </c>
      <c r="M518" s="7">
        <f t="shared" ca="1" si="24"/>
        <v>3.5453319066429706E-2</v>
      </c>
      <c r="N518" s="7">
        <f ca="1">SUM($M$4:M518)</f>
        <v>-2.0854893568487888E-2</v>
      </c>
    </row>
    <row r="519" spans="1:14" x14ac:dyDescent="0.3">
      <c r="A519" s="3">
        <v>44215</v>
      </c>
      <c r="B519" s="4">
        <v>36.150002000000001</v>
      </c>
      <c r="D519" s="11">
        <v>516</v>
      </c>
      <c r="E519" s="3">
        <v>44216</v>
      </c>
      <c r="F519" s="7">
        <f t="shared" si="23"/>
        <v>7.9900410195794646E-3</v>
      </c>
      <c r="G519" s="7">
        <f>SUM($F$4:F519)</f>
        <v>0.34413043784163572</v>
      </c>
      <c r="L519" s="11">
        <v>516</v>
      </c>
      <c r="M519" s="7">
        <f t="shared" ca="1" si="24"/>
        <v>3.7538808423278516E-2</v>
      </c>
      <c r="N519" s="7">
        <f ca="1">SUM($M$4:M519)</f>
        <v>1.6683914854790628E-2</v>
      </c>
    </row>
    <row r="520" spans="1:14" x14ac:dyDescent="0.3">
      <c r="A520" s="3">
        <v>44216</v>
      </c>
      <c r="B520" s="4">
        <v>36.439999</v>
      </c>
      <c r="D520" s="11">
        <v>517</v>
      </c>
      <c r="E520" s="3">
        <v>44217</v>
      </c>
      <c r="F520" s="7">
        <f t="shared" si="23"/>
        <v>1.2002380853973963E-2</v>
      </c>
      <c r="G520" s="7">
        <f>SUM($F$4:F520)</f>
        <v>0.3561328186956097</v>
      </c>
      <c r="L520" s="11">
        <v>517</v>
      </c>
      <c r="M520" s="7">
        <f t="shared" ca="1" si="24"/>
        <v>-2.0854893568488065E-2</v>
      </c>
      <c r="N520" s="7">
        <f ca="1">SUM($M$4:M520)</f>
        <v>-4.1709787136974368E-3</v>
      </c>
    </row>
    <row r="521" spans="1:14" x14ac:dyDescent="0.3">
      <c r="A521" s="3">
        <v>44217</v>
      </c>
      <c r="B521" s="4">
        <v>36.880001</v>
      </c>
      <c r="D521" s="11">
        <v>518</v>
      </c>
      <c r="E521" s="3">
        <v>44218</v>
      </c>
      <c r="F521" s="7">
        <f t="shared" si="23"/>
        <v>1.640485829201838E-2</v>
      </c>
      <c r="G521" s="7">
        <f>SUM($F$4:F521)</f>
        <v>0.37253767698762807</v>
      </c>
      <c r="L521" s="11">
        <v>518</v>
      </c>
      <c r="M521" s="7">
        <f t="shared" ca="1" si="24"/>
        <v>1.2512936141092838E-2</v>
      </c>
      <c r="N521" s="7">
        <f ca="1">SUM($M$4:M521)</f>
        <v>8.3419574273954009E-3</v>
      </c>
    </row>
    <row r="522" spans="1:14" x14ac:dyDescent="0.3">
      <c r="A522" s="3">
        <v>44218</v>
      </c>
      <c r="B522" s="4">
        <v>37.490001999999997</v>
      </c>
      <c r="D522" s="11">
        <v>519</v>
      </c>
      <c r="E522" s="3">
        <v>44221</v>
      </c>
      <c r="F522" s="7">
        <f t="shared" si="23"/>
        <v>3.9487362034268003E-2</v>
      </c>
      <c r="G522" s="7">
        <f>SUM($F$4:F522)</f>
        <v>0.41202503902189608</v>
      </c>
      <c r="L522" s="11">
        <v>519</v>
      </c>
      <c r="M522" s="7">
        <f t="shared" ca="1" si="24"/>
        <v>-3.3367829709580903E-2</v>
      </c>
      <c r="N522" s="7">
        <f ca="1">SUM($M$4:M522)</f>
        <v>-2.5025872282185502E-2</v>
      </c>
    </row>
    <row r="523" spans="1:14" x14ac:dyDescent="0.3">
      <c r="A523" s="3">
        <v>44221</v>
      </c>
      <c r="B523" s="4">
        <v>39</v>
      </c>
      <c r="D523" s="11">
        <v>520</v>
      </c>
      <c r="E523" s="3">
        <v>44222</v>
      </c>
      <c r="F523" s="7">
        <f t="shared" si="23"/>
        <v>4.3157750670577429E-2</v>
      </c>
      <c r="G523" s="7">
        <f>SUM($F$4:F523)</f>
        <v>0.4551827896924735</v>
      </c>
      <c r="L523" s="11">
        <v>520</v>
      </c>
      <c r="M523" s="7">
        <f t="shared" ca="1" si="24"/>
        <v>3.1282340352732099E-2</v>
      </c>
      <c r="N523" s="7">
        <f ca="1">SUM($M$4:M523)</f>
        <v>6.2564680705465975E-3</v>
      </c>
    </row>
    <row r="524" spans="1:14" x14ac:dyDescent="0.3">
      <c r="A524" s="3">
        <v>44222</v>
      </c>
      <c r="B524" s="4">
        <v>40.720001000000003</v>
      </c>
      <c r="D524" s="11">
        <v>521</v>
      </c>
      <c r="E524" s="3">
        <v>44223</v>
      </c>
      <c r="F524" s="7">
        <f t="shared" si="23"/>
        <v>7.4511295583277945E-2</v>
      </c>
      <c r="G524" s="7">
        <f>SUM($F$4:F524)</f>
        <v>0.52969408527575146</v>
      </c>
      <c r="L524" s="11">
        <v>521</v>
      </c>
      <c r="M524" s="7">
        <f t="shared" ca="1" si="24"/>
        <v>-1.8769404211639258E-2</v>
      </c>
      <c r="N524" s="7">
        <f ca="1">SUM($M$4:M524)</f>
        <v>-1.2512936141092661E-2</v>
      </c>
    </row>
    <row r="525" spans="1:14" x14ac:dyDescent="0.3">
      <c r="A525" s="3">
        <v>44223</v>
      </c>
      <c r="B525" s="4">
        <v>43.869999</v>
      </c>
      <c r="D525" s="11">
        <v>522</v>
      </c>
      <c r="E525" s="3">
        <v>44224</v>
      </c>
      <c r="F525" s="7">
        <f t="shared" si="23"/>
        <v>-6.7170939739267271E-2</v>
      </c>
      <c r="G525" s="7">
        <f>SUM($F$4:F525)</f>
        <v>0.46252314553648421</v>
      </c>
      <c r="L525" s="11">
        <v>522</v>
      </c>
      <c r="M525" s="7">
        <f t="shared" ca="1" si="24"/>
        <v>-1.4598425497941644E-2</v>
      </c>
      <c r="N525" s="7">
        <f ca="1">SUM($M$4:M525)</f>
        <v>-2.7111361639034305E-2</v>
      </c>
    </row>
    <row r="526" spans="1:14" x14ac:dyDescent="0.3">
      <c r="A526" s="3">
        <v>44224</v>
      </c>
      <c r="B526" s="4">
        <v>41.02</v>
      </c>
      <c r="D526" s="11">
        <v>523</v>
      </c>
      <c r="E526" s="3">
        <v>44225</v>
      </c>
      <c r="F526" s="7">
        <f t="shared" si="23"/>
        <v>9.704055037350133E-3</v>
      </c>
      <c r="G526" s="7">
        <f>SUM($F$4:F526)</f>
        <v>0.47222720057383433</v>
      </c>
      <c r="L526" s="11">
        <v>523</v>
      </c>
      <c r="M526" s="7">
        <f t="shared" ca="1" si="24"/>
        <v>5.2137233921220161E-2</v>
      </c>
      <c r="N526" s="7">
        <f ca="1">SUM($M$4:M526)</f>
        <v>2.5025872282185856E-2</v>
      </c>
    </row>
    <row r="527" spans="1:14" x14ac:dyDescent="0.3">
      <c r="A527" s="3">
        <v>44225</v>
      </c>
      <c r="B527" s="4">
        <v>41.419998</v>
      </c>
      <c r="D527" s="11">
        <v>524</v>
      </c>
      <c r="E527" s="3">
        <v>44228</v>
      </c>
      <c r="F527" s="7">
        <f t="shared" si="23"/>
        <v>1.6758855842499362E-2</v>
      </c>
      <c r="G527" s="7">
        <f>SUM($F$4:F527)</f>
        <v>0.48898605641633369</v>
      </c>
      <c r="L527" s="11">
        <v>524</v>
      </c>
      <c r="M527" s="7">
        <f t="shared" ca="1" si="24"/>
        <v>1.2512936141092838E-2</v>
      </c>
      <c r="N527" s="7">
        <f ca="1">SUM($M$4:M527)</f>
        <v>3.7538808423278697E-2</v>
      </c>
    </row>
    <row r="528" spans="1:14" x14ac:dyDescent="0.3">
      <c r="A528" s="3">
        <v>44228</v>
      </c>
      <c r="B528" s="4">
        <v>42.119999</v>
      </c>
      <c r="D528" s="11">
        <v>525</v>
      </c>
      <c r="E528" s="3">
        <v>44229</v>
      </c>
      <c r="F528" s="7">
        <f t="shared" si="23"/>
        <v>-4.9645156847276342E-2</v>
      </c>
      <c r="G528" s="7">
        <f>SUM($F$4:F528)</f>
        <v>0.43934089956905736</v>
      </c>
      <c r="L528" s="11">
        <v>525</v>
      </c>
      <c r="M528" s="7">
        <f t="shared" ca="1" si="24"/>
        <v>-3.5453319066429706E-2</v>
      </c>
      <c r="N528" s="7">
        <f ca="1">SUM($M$4:M528)</f>
        <v>2.0854893568489907E-3</v>
      </c>
    </row>
    <row r="529" spans="1:14" x14ac:dyDescent="0.3">
      <c r="A529" s="3">
        <v>44229</v>
      </c>
      <c r="B529" s="4">
        <v>40.080002</v>
      </c>
      <c r="D529" s="11">
        <v>526</v>
      </c>
      <c r="E529" s="3">
        <v>44230</v>
      </c>
      <c r="F529" s="7">
        <f t="shared" si="23"/>
        <v>1.8049667244704356E-2</v>
      </c>
      <c r="G529" s="7">
        <f>SUM($F$4:F529)</f>
        <v>0.45739056681376172</v>
      </c>
      <c r="L529" s="11">
        <v>526</v>
      </c>
      <c r="M529" s="7">
        <f t="shared" ca="1" si="24"/>
        <v>6.2564680705464188E-3</v>
      </c>
      <c r="N529" s="7">
        <f ca="1">SUM($M$4:M529)</f>
        <v>8.3419574273954095E-3</v>
      </c>
    </row>
    <row r="530" spans="1:14" x14ac:dyDescent="0.3">
      <c r="A530" s="3">
        <v>44230</v>
      </c>
      <c r="B530" s="4">
        <v>40.810001</v>
      </c>
      <c r="D530" s="11">
        <v>527</v>
      </c>
      <c r="E530" s="3">
        <v>44231</v>
      </c>
      <c r="F530" s="7">
        <f t="shared" si="23"/>
        <v>7.3242513132563388E-3</v>
      </c>
      <c r="G530" s="7">
        <f>SUM($F$4:F530)</f>
        <v>0.46471481812701804</v>
      </c>
      <c r="L530" s="11">
        <v>527</v>
      </c>
      <c r="M530" s="7">
        <f t="shared" ca="1" si="24"/>
        <v>1.6683914854790451E-2</v>
      </c>
      <c r="N530" s="7">
        <f ca="1">SUM($M$4:M530)</f>
        <v>2.5025872282185863E-2</v>
      </c>
    </row>
    <row r="531" spans="1:14" x14ac:dyDescent="0.3">
      <c r="A531" s="3">
        <v>44231</v>
      </c>
      <c r="B531" s="4">
        <v>41.110000999999997</v>
      </c>
      <c r="D531" s="11">
        <v>528</v>
      </c>
      <c r="E531" s="3">
        <v>44232</v>
      </c>
      <c r="F531" s="7">
        <f t="shared" si="23"/>
        <v>3.7244625093800846E-2</v>
      </c>
      <c r="G531" s="7">
        <f>SUM($F$4:F531)</f>
        <v>0.50195944322081887</v>
      </c>
      <c r="L531" s="11">
        <v>528</v>
      </c>
      <c r="M531" s="7">
        <f t="shared" ca="1" si="24"/>
        <v>4.170978713697613E-2</v>
      </c>
      <c r="N531" s="7">
        <f ca="1">SUM($M$4:M531)</f>
        <v>6.6735659419161986E-2</v>
      </c>
    </row>
    <row r="532" spans="1:14" x14ac:dyDescent="0.3">
      <c r="A532" s="3">
        <v>44232</v>
      </c>
      <c r="B532" s="4">
        <v>42.669998</v>
      </c>
      <c r="D532" s="11">
        <v>529</v>
      </c>
      <c r="E532" s="3">
        <v>44235</v>
      </c>
      <c r="F532" s="7">
        <f t="shared" si="23"/>
        <v>1.3501183049319005E-2</v>
      </c>
      <c r="G532" s="7">
        <f>SUM($F$4:F532)</f>
        <v>0.51546062627013789</v>
      </c>
      <c r="L532" s="11">
        <v>529</v>
      </c>
      <c r="M532" s="7">
        <f t="shared" ca="1" si="24"/>
        <v>-2.0854893568488065E-2</v>
      </c>
      <c r="N532" s="7">
        <f ca="1">SUM($M$4:M532)</f>
        <v>4.5880765850673924E-2</v>
      </c>
    </row>
    <row r="533" spans="1:14" x14ac:dyDescent="0.3">
      <c r="A533" s="3">
        <v>44235</v>
      </c>
      <c r="B533" s="4">
        <v>43.25</v>
      </c>
      <c r="D533" s="11">
        <v>530</v>
      </c>
      <c r="E533" s="3">
        <v>44236</v>
      </c>
      <c r="F533" s="7">
        <f t="shared" si="23"/>
        <v>5.7637047167501338E-3</v>
      </c>
      <c r="G533" s="7">
        <f>SUM($F$4:F533)</f>
        <v>0.52122433098688803</v>
      </c>
      <c r="L533" s="11">
        <v>530</v>
      </c>
      <c r="M533" s="7">
        <f t="shared" ca="1" si="24"/>
        <v>-2.5025872282185675E-2</v>
      </c>
      <c r="N533" s="7">
        <f ca="1">SUM($M$4:M533)</f>
        <v>2.0854893568488249E-2</v>
      </c>
    </row>
    <row r="534" spans="1:14" x14ac:dyDescent="0.3">
      <c r="A534" s="3">
        <v>44236</v>
      </c>
      <c r="B534" s="4">
        <v>43.5</v>
      </c>
      <c r="D534" s="11">
        <v>531</v>
      </c>
      <c r="E534" s="3">
        <v>44237</v>
      </c>
      <c r="F534" s="7">
        <f t="shared" si="23"/>
        <v>3.5455898607918472E-2</v>
      </c>
      <c r="G534" s="7">
        <f>SUM($F$4:F534)</f>
        <v>0.55668022959480645</v>
      </c>
      <c r="L534" s="11">
        <v>531</v>
      </c>
      <c r="M534" s="7">
        <f t="shared" ca="1" si="24"/>
        <v>0</v>
      </c>
      <c r="N534" s="7">
        <f ca="1">SUM($M$4:M534)</f>
        <v>2.0854893568488249E-2</v>
      </c>
    </row>
    <row r="535" spans="1:14" x14ac:dyDescent="0.3">
      <c r="A535" s="3">
        <v>44237</v>
      </c>
      <c r="B535" s="4">
        <v>45.07</v>
      </c>
      <c r="D535" s="11">
        <v>532</v>
      </c>
      <c r="E535" s="3">
        <v>44238</v>
      </c>
      <c r="F535" s="7">
        <f t="shared" si="23"/>
        <v>1.0593765049513338E-2</v>
      </c>
      <c r="G535" s="7">
        <f>SUM($F$4:F535)</f>
        <v>0.56727399464431982</v>
      </c>
      <c r="L535" s="11">
        <v>532</v>
      </c>
      <c r="M535" s="7">
        <f t="shared" ca="1" si="24"/>
        <v>-2.7111361639034482E-2</v>
      </c>
      <c r="N535" s="7">
        <f ca="1">SUM($M$4:M535)</f>
        <v>-6.2564680705462332E-3</v>
      </c>
    </row>
    <row r="536" spans="1:14" x14ac:dyDescent="0.3">
      <c r="A536" s="3">
        <v>44238</v>
      </c>
      <c r="B536" s="4">
        <v>45.549999</v>
      </c>
      <c r="D536" s="11">
        <v>533</v>
      </c>
      <c r="E536" s="3">
        <v>44239</v>
      </c>
      <c r="F536" s="7">
        <f t="shared" si="23"/>
        <v>4.8215016824837746E-2</v>
      </c>
      <c r="G536" s="7">
        <f>SUM($F$4:F536)</f>
        <v>0.61548901146915758</v>
      </c>
      <c r="L536" s="11">
        <v>533</v>
      </c>
      <c r="M536" s="7">
        <f t="shared" ca="1" si="24"/>
        <v>-3.962429778012732E-2</v>
      </c>
      <c r="N536" s="7">
        <f ca="1">SUM($M$4:M536)</f>
        <v>-4.5880765850673549E-2</v>
      </c>
    </row>
    <row r="537" spans="1:14" x14ac:dyDescent="0.3">
      <c r="A537" s="3">
        <v>44239</v>
      </c>
      <c r="B537" s="4">
        <v>47.799999</v>
      </c>
      <c r="D537" s="11">
        <v>534</v>
      </c>
      <c r="E537" s="3">
        <v>44243</v>
      </c>
      <c r="F537" s="7">
        <f t="shared" si="23"/>
        <v>-9.4588411834700282E-3</v>
      </c>
      <c r="G537" s="7">
        <f>SUM($F$4:F537)</f>
        <v>0.60603017028568751</v>
      </c>
      <c r="L537" s="11">
        <v>534</v>
      </c>
      <c r="M537" s="7">
        <f t="shared" ca="1" si="24"/>
        <v>1.2512936141092838E-2</v>
      </c>
      <c r="N537" s="7">
        <f ca="1">SUM($M$4:M537)</f>
        <v>-3.3367829709580715E-2</v>
      </c>
    </row>
    <row r="538" spans="1:14" x14ac:dyDescent="0.3">
      <c r="A538" s="3">
        <v>44243</v>
      </c>
      <c r="B538" s="4">
        <v>47.349997999999999</v>
      </c>
      <c r="D538" s="11">
        <v>535</v>
      </c>
      <c r="E538" s="3">
        <v>44244</v>
      </c>
      <c r="F538" s="7">
        <f t="shared" si="23"/>
        <v>4.1573622463013347E-2</v>
      </c>
      <c r="G538" s="7">
        <f>SUM($F$4:F538)</f>
        <v>0.64760379274870083</v>
      </c>
      <c r="L538" s="11">
        <v>535</v>
      </c>
      <c r="M538" s="7">
        <f t="shared" ca="1" si="24"/>
        <v>-2.7111361639034482E-2</v>
      </c>
      <c r="N538" s="7">
        <f ca="1">SUM($M$4:M538)</f>
        <v>-6.0479191348615194E-2</v>
      </c>
    </row>
    <row r="539" spans="1:14" x14ac:dyDescent="0.3">
      <c r="A539" s="3">
        <v>44244</v>
      </c>
      <c r="B539" s="4">
        <v>49.360000999999997</v>
      </c>
      <c r="D539" s="11">
        <v>536</v>
      </c>
      <c r="E539" s="3">
        <v>44245</v>
      </c>
      <c r="F539" s="7">
        <f t="shared" si="23"/>
        <v>7.0657001334529044E-3</v>
      </c>
      <c r="G539" s="7">
        <f>SUM($F$4:F539)</f>
        <v>0.6546694928821537</v>
      </c>
      <c r="L539" s="11">
        <v>536</v>
      </c>
      <c r="M539" s="7">
        <f t="shared" ca="1" si="24"/>
        <v>-3.962429778012732E-2</v>
      </c>
      <c r="N539" s="7">
        <f ca="1">SUM($M$4:M539)</f>
        <v>-0.10010348912874251</v>
      </c>
    </row>
    <row r="540" spans="1:14" x14ac:dyDescent="0.3">
      <c r="A540" s="3">
        <v>44245</v>
      </c>
      <c r="B540" s="4">
        <v>49.709999000000003</v>
      </c>
      <c r="D540" s="11">
        <v>537</v>
      </c>
      <c r="E540" s="3">
        <v>44246</v>
      </c>
      <c r="F540" s="7">
        <f t="shared" si="23"/>
        <v>2.1493404512164225E-2</v>
      </c>
      <c r="G540" s="7">
        <f>SUM($F$4:F540)</f>
        <v>0.6761628973943179</v>
      </c>
      <c r="L540" s="11">
        <v>537</v>
      </c>
      <c r="M540" s="7">
        <f t="shared" ca="1" si="24"/>
        <v>1.2512936141092838E-2</v>
      </c>
      <c r="N540" s="7">
        <f ca="1">SUM($M$4:M540)</f>
        <v>-8.7590552987649672E-2</v>
      </c>
    </row>
    <row r="541" spans="1:14" x14ac:dyDescent="0.3">
      <c r="A541" s="3">
        <v>44246</v>
      </c>
      <c r="B541" s="4">
        <v>50.790000999999997</v>
      </c>
      <c r="D541" s="11">
        <v>538</v>
      </c>
      <c r="E541" s="3">
        <v>44249</v>
      </c>
      <c r="F541" s="7">
        <f t="shared" si="23"/>
        <v>8.489257393422607E-2</v>
      </c>
      <c r="G541" s="7">
        <f>SUM($F$4:F541)</f>
        <v>0.76105547132854401</v>
      </c>
      <c r="L541" s="11">
        <v>538</v>
      </c>
      <c r="M541" s="7">
        <f t="shared" ca="1" si="24"/>
        <v>-2.7111361639034482E-2</v>
      </c>
      <c r="N541" s="7">
        <f ca="1">SUM($M$4:M541)</f>
        <v>-0.11470191462668415</v>
      </c>
    </row>
    <row r="542" spans="1:14" x14ac:dyDescent="0.3">
      <c r="A542" s="3">
        <v>44249</v>
      </c>
      <c r="B542" s="4">
        <v>55.290000999999997</v>
      </c>
      <c r="D542" s="11">
        <v>539</v>
      </c>
      <c r="E542" s="3">
        <v>44250</v>
      </c>
      <c r="F542" s="7">
        <f t="shared" si="23"/>
        <v>-4.3243987503138043E-2</v>
      </c>
      <c r="G542" s="7">
        <f>SUM($F$4:F542)</f>
        <v>0.71781148382540594</v>
      </c>
      <c r="L542" s="11">
        <v>539</v>
      </c>
      <c r="M542" s="7">
        <f t="shared" ca="1" si="24"/>
        <v>0</v>
      </c>
      <c r="N542" s="7">
        <f ca="1">SUM($M$4:M542)</f>
        <v>-0.11470191462668415</v>
      </c>
    </row>
    <row r="543" spans="1:14" x14ac:dyDescent="0.3">
      <c r="A543" s="3">
        <v>44250</v>
      </c>
      <c r="B543" s="4">
        <v>52.950001</v>
      </c>
      <c r="D543" s="11">
        <v>540</v>
      </c>
      <c r="E543" s="3">
        <v>44251</v>
      </c>
      <c r="F543" s="7">
        <f t="shared" si="23"/>
        <v>-2.0800291539954364E-2</v>
      </c>
      <c r="G543" s="7">
        <f>SUM($F$4:F543)</f>
        <v>0.69701119228545161</v>
      </c>
      <c r="L543" s="11">
        <v>540</v>
      </c>
      <c r="M543" s="7">
        <f t="shared" ca="1" si="24"/>
        <v>4.1709787136976128E-3</v>
      </c>
      <c r="N543" s="7">
        <f ca="1">SUM($M$4:M543)</f>
        <v>-0.11053093591298654</v>
      </c>
    </row>
    <row r="544" spans="1:14" x14ac:dyDescent="0.3">
      <c r="A544" s="3">
        <v>44251</v>
      </c>
      <c r="B544" s="4">
        <v>51.860000999999997</v>
      </c>
      <c r="D544" s="11">
        <v>541</v>
      </c>
      <c r="E544" s="3">
        <v>44252</v>
      </c>
      <c r="F544" s="7">
        <f t="shared" si="23"/>
        <v>-1.0467259645766561E-2</v>
      </c>
      <c r="G544" s="7">
        <f>SUM($F$4:F544)</f>
        <v>0.68654393263968505</v>
      </c>
      <c r="L544" s="11">
        <v>541</v>
      </c>
      <c r="M544" s="7">
        <f t="shared" ca="1" si="24"/>
        <v>6.4650170062312995E-2</v>
      </c>
      <c r="N544" s="7">
        <f ca="1">SUM($M$4:M544)</f>
        <v>-4.5880765850673549E-2</v>
      </c>
    </row>
    <row r="545" spans="1:14" x14ac:dyDescent="0.3">
      <c r="A545" s="3">
        <v>44252</v>
      </c>
      <c r="B545" s="4">
        <v>51.32</v>
      </c>
      <c r="D545" s="11">
        <v>542</v>
      </c>
      <c r="E545" s="3">
        <v>44253</v>
      </c>
      <c r="F545" s="7">
        <f t="shared" si="23"/>
        <v>3.277723254435199E-2</v>
      </c>
      <c r="G545" s="7">
        <f>SUM($F$4:F545)</f>
        <v>0.71932116518403699</v>
      </c>
      <c r="L545" s="11">
        <v>542</v>
      </c>
      <c r="M545" s="7">
        <f t="shared" ca="1" si="24"/>
        <v>-4.1709787136976128E-3</v>
      </c>
      <c r="N545" s="7">
        <f ca="1">SUM($M$4:M545)</f>
        <v>-5.0051744564371163E-2</v>
      </c>
    </row>
    <row r="546" spans="1:14" x14ac:dyDescent="0.3">
      <c r="A546" s="3">
        <v>44253</v>
      </c>
      <c r="B546" s="4">
        <v>53.029998999999997</v>
      </c>
      <c r="D546" s="11">
        <v>543</v>
      </c>
      <c r="E546" s="3">
        <v>44256</v>
      </c>
      <c r="F546" s="7">
        <f t="shared" si="23"/>
        <v>9.2683880775267818E-2</v>
      </c>
      <c r="G546" s="7">
        <f>SUM($F$4:F546)</f>
        <v>0.81200504595930478</v>
      </c>
      <c r="L546" s="11">
        <v>543</v>
      </c>
      <c r="M546" s="7">
        <f t="shared" ca="1" si="24"/>
        <v>-6.4650170062312995E-2</v>
      </c>
      <c r="N546" s="7">
        <f ca="1">SUM($M$4:M546)</f>
        <v>-0.11470191462668416</v>
      </c>
    </row>
    <row r="547" spans="1:14" x14ac:dyDescent="0.3">
      <c r="A547" s="3">
        <v>44256</v>
      </c>
      <c r="B547" s="4">
        <v>58.18</v>
      </c>
      <c r="D547" s="11">
        <v>544</v>
      </c>
      <c r="E547" s="3">
        <v>44257</v>
      </c>
      <c r="F547" s="7">
        <f t="shared" si="23"/>
        <v>1.805537009351425E-2</v>
      </c>
      <c r="G547" s="7">
        <f>SUM($F$4:F547)</f>
        <v>0.83006041605281899</v>
      </c>
      <c r="L547" s="11">
        <v>544</v>
      </c>
      <c r="M547" s="7">
        <f t="shared" ca="1" si="24"/>
        <v>-2.7111361639034482E-2</v>
      </c>
      <c r="N547" s="7">
        <f ca="1">SUM($M$4:M547)</f>
        <v>-0.14181327626571866</v>
      </c>
    </row>
    <row r="548" spans="1:14" x14ac:dyDescent="0.3">
      <c r="A548" s="3">
        <v>44257</v>
      </c>
      <c r="B548" s="4">
        <v>59.240001999999997</v>
      </c>
      <c r="D548" s="11">
        <v>545</v>
      </c>
      <c r="E548" s="3">
        <v>44258</v>
      </c>
      <c r="F548" s="7">
        <f t="shared" si="23"/>
        <v>3.6626829124867075E-2</v>
      </c>
      <c r="G548" s="7">
        <f>SUM($F$4:F548)</f>
        <v>0.86668724517768603</v>
      </c>
      <c r="L548" s="11">
        <v>545</v>
      </c>
      <c r="M548" s="7">
        <f t="shared" ca="1" si="24"/>
        <v>2.0854893568488065E-2</v>
      </c>
      <c r="N548" s="7">
        <f ca="1">SUM($M$4:M548)</f>
        <v>-0.1209583826972306</v>
      </c>
    </row>
    <row r="549" spans="1:14" x14ac:dyDescent="0.3">
      <c r="A549" s="3">
        <v>44258</v>
      </c>
      <c r="B549" s="4">
        <v>61.450001</v>
      </c>
      <c r="D549" s="11">
        <v>546</v>
      </c>
      <c r="E549" s="3">
        <v>44259</v>
      </c>
      <c r="F549" s="7">
        <f t="shared" si="23"/>
        <v>1.8541393871733914E-2</v>
      </c>
      <c r="G549" s="7">
        <f>SUM($F$4:F549)</f>
        <v>0.88522863904941995</v>
      </c>
      <c r="L549" s="11">
        <v>546</v>
      </c>
      <c r="M549" s="7">
        <f t="shared" ca="1" si="24"/>
        <v>2.0854893568488065E-2</v>
      </c>
      <c r="N549" s="7">
        <f ca="1">SUM($M$4:M549)</f>
        <v>-0.10010348912874253</v>
      </c>
    </row>
    <row r="550" spans="1:14" x14ac:dyDescent="0.3">
      <c r="A550" s="3">
        <v>44259</v>
      </c>
      <c r="B550" s="4">
        <v>62.599997999999999</v>
      </c>
      <c r="D550" s="11">
        <v>547</v>
      </c>
      <c r="E550" s="3">
        <v>44260</v>
      </c>
      <c r="F550" s="7">
        <f t="shared" si="23"/>
        <v>2.6016477618158593E-2</v>
      </c>
      <c r="G550" s="7">
        <f>SUM($F$4:F550)</f>
        <v>0.91124511666757857</v>
      </c>
      <c r="L550" s="11">
        <v>547</v>
      </c>
      <c r="M550" s="7">
        <f t="shared" ca="1" si="24"/>
        <v>2.0854893568488064E-3</v>
      </c>
      <c r="N550" s="7">
        <f ca="1">SUM($M$4:M550)</f>
        <v>-9.8017999771893724E-2</v>
      </c>
    </row>
    <row r="551" spans="1:14" x14ac:dyDescent="0.3">
      <c r="A551" s="3">
        <v>44260</v>
      </c>
      <c r="B551" s="4">
        <v>64.25</v>
      </c>
      <c r="D551" s="11">
        <v>548</v>
      </c>
      <c r="E551" s="3">
        <v>44263</v>
      </c>
      <c r="F551" s="7">
        <f t="shared" si="23"/>
        <v>4.563529470661936E-2</v>
      </c>
      <c r="G551" s="7">
        <f>SUM($F$4:F551)</f>
        <v>0.95688041137419788</v>
      </c>
      <c r="L551" s="11">
        <v>548</v>
      </c>
      <c r="M551" s="7">
        <f t="shared" ca="1" si="24"/>
        <v>-2.2940382925336872E-2</v>
      </c>
      <c r="N551" s="7">
        <f ca="1">SUM($M$4:M551)</f>
        <v>-0.1209583826972306</v>
      </c>
    </row>
    <row r="552" spans="1:14" x14ac:dyDescent="0.3">
      <c r="A552" s="3">
        <v>44263</v>
      </c>
      <c r="B552" s="4">
        <v>67.25</v>
      </c>
      <c r="D552" s="11">
        <v>549</v>
      </c>
      <c r="E552" s="3">
        <v>44264</v>
      </c>
      <c r="F552" s="7">
        <f t="shared" si="23"/>
        <v>-6.5123606268978285E-2</v>
      </c>
      <c r="G552" s="7">
        <f>SUM($F$4:F552)</f>
        <v>0.8917568051052196</v>
      </c>
      <c r="L552" s="11">
        <v>549</v>
      </c>
      <c r="M552" s="7">
        <f t="shared" ca="1" si="24"/>
        <v>-1.0427446784244032E-2</v>
      </c>
      <c r="N552" s="7">
        <f ca="1">SUM($M$4:M552)</f>
        <v>-0.13138582948147462</v>
      </c>
    </row>
    <row r="553" spans="1:14" x14ac:dyDescent="0.3">
      <c r="A553" s="3">
        <v>44264</v>
      </c>
      <c r="B553" s="4">
        <v>63.009998000000003</v>
      </c>
      <c r="D553" s="11">
        <v>550</v>
      </c>
      <c r="E553" s="3">
        <v>44265</v>
      </c>
      <c r="F553" s="7">
        <f t="shared" si="23"/>
        <v>4.363033130222356E-2</v>
      </c>
      <c r="G553" s="7">
        <f>SUM($F$4:F553)</f>
        <v>0.9353871364074432</v>
      </c>
      <c r="L553" s="11">
        <v>550</v>
      </c>
      <c r="M553" s="7">
        <f t="shared" ca="1" si="24"/>
        <v>-5.005174456437135E-2</v>
      </c>
      <c r="N553" s="7">
        <f ca="1">SUM($M$4:M553)</f>
        <v>-0.18143757404584598</v>
      </c>
    </row>
    <row r="554" spans="1:14" x14ac:dyDescent="0.3">
      <c r="A554" s="3">
        <v>44265</v>
      </c>
      <c r="B554" s="4">
        <v>65.819999999999993</v>
      </c>
      <c r="D554" s="11">
        <v>551</v>
      </c>
      <c r="E554" s="3">
        <v>44266</v>
      </c>
      <c r="F554" s="7">
        <f t="shared" si="23"/>
        <v>1.7321029338823925E-2</v>
      </c>
      <c r="G554" s="7">
        <f>SUM($F$4:F554)</f>
        <v>0.95270816574626715</v>
      </c>
      <c r="L554" s="11">
        <v>551</v>
      </c>
      <c r="M554" s="7">
        <f t="shared" ca="1" si="24"/>
        <v>8.3419574273952257E-3</v>
      </c>
      <c r="N554" s="7">
        <f ca="1">SUM($M$4:M554)</f>
        <v>-0.17309561661845077</v>
      </c>
    </row>
    <row r="555" spans="1:14" x14ac:dyDescent="0.3">
      <c r="A555" s="3">
        <v>44266</v>
      </c>
      <c r="B555" s="4">
        <v>66.970000999999996</v>
      </c>
      <c r="D555" s="11">
        <v>552</v>
      </c>
      <c r="E555" s="3">
        <v>44267</v>
      </c>
      <c r="F555" s="7">
        <f t="shared" si="23"/>
        <v>5.9842535825781792E-2</v>
      </c>
      <c r="G555" s="7">
        <f>SUM($F$4:F555)</f>
        <v>1.012550701572049</v>
      </c>
      <c r="L555" s="11">
        <v>552</v>
      </c>
      <c r="M555" s="7">
        <f t="shared" ca="1" si="24"/>
        <v>6.2564680705464198E-2</v>
      </c>
      <c r="N555" s="7">
        <f ca="1">SUM($M$4:M555)</f>
        <v>-0.11053093591298657</v>
      </c>
    </row>
    <row r="556" spans="1:14" x14ac:dyDescent="0.3">
      <c r="A556" s="3">
        <v>44267</v>
      </c>
      <c r="B556" s="4">
        <v>71.099997999999999</v>
      </c>
      <c r="D556" s="11">
        <v>553</v>
      </c>
      <c r="E556" s="3">
        <v>44270</v>
      </c>
      <c r="F556" s="7">
        <f t="shared" si="23"/>
        <v>3.5508324866829484E-2</v>
      </c>
      <c r="G556" s="7">
        <f>SUM($F$4:F556)</f>
        <v>1.0480590264388785</v>
      </c>
      <c r="L556" s="11">
        <v>553</v>
      </c>
      <c r="M556" s="7">
        <f t="shared" ca="1" si="24"/>
        <v>-1.0427446784244032E-2</v>
      </c>
      <c r="N556" s="7">
        <f ca="1">SUM($M$4:M556)</f>
        <v>-0.12095838269723061</v>
      </c>
    </row>
    <row r="557" spans="1:14" x14ac:dyDescent="0.3">
      <c r="A557" s="3">
        <v>44270</v>
      </c>
      <c r="B557" s="4">
        <v>73.669998000000007</v>
      </c>
      <c r="D557" s="11">
        <v>554</v>
      </c>
      <c r="E557" s="3">
        <v>44271</v>
      </c>
      <c r="F557" s="7">
        <f t="shared" si="23"/>
        <v>2.8634550139839145E-2</v>
      </c>
      <c r="G557" s="7">
        <f>SUM($F$4:F557)</f>
        <v>1.0766935765787176</v>
      </c>
      <c r="L557" s="11">
        <v>554</v>
      </c>
      <c r="M557" s="7">
        <f t="shared" ca="1" si="24"/>
        <v>3.5453319066429706E-2</v>
      </c>
      <c r="N557" s="7">
        <f ca="1">SUM($M$4:M557)</f>
        <v>-8.5505063630800904E-2</v>
      </c>
    </row>
    <row r="558" spans="1:14" x14ac:dyDescent="0.3">
      <c r="A558" s="3">
        <v>44271</v>
      </c>
      <c r="B558" s="4">
        <v>75.809997999999993</v>
      </c>
      <c r="D558" s="11">
        <v>555</v>
      </c>
      <c r="E558" s="3">
        <v>44272</v>
      </c>
      <c r="F558" s="7">
        <f t="shared" si="23"/>
        <v>-2.3219591661270571E-2</v>
      </c>
      <c r="G558" s="7">
        <f>SUM($F$4:F558)</f>
        <v>1.053473984917447</v>
      </c>
      <c r="L558" s="11">
        <v>555</v>
      </c>
      <c r="M558" s="7">
        <f t="shared" ca="1" si="24"/>
        <v>-4.1709787136976128E-3</v>
      </c>
      <c r="N558" s="7">
        <f ca="1">SUM($M$4:M558)</f>
        <v>-8.9676042344498511E-2</v>
      </c>
    </row>
    <row r="559" spans="1:14" x14ac:dyDescent="0.3">
      <c r="A559" s="3">
        <v>44272</v>
      </c>
      <c r="B559" s="4">
        <v>74.069999999999993</v>
      </c>
      <c r="D559" s="11">
        <v>556</v>
      </c>
      <c r="E559" s="3">
        <v>44273</v>
      </c>
      <c r="F559" s="7">
        <f t="shared" si="23"/>
        <v>2.5064597516912542E-2</v>
      </c>
      <c r="G559" s="7">
        <f>SUM($F$4:F559)</f>
        <v>1.0785385824343596</v>
      </c>
      <c r="L559" s="11">
        <v>556</v>
      </c>
      <c r="M559" s="7">
        <f t="shared" ca="1" si="24"/>
        <v>-0.11053093591298674</v>
      </c>
      <c r="N559" s="7">
        <f ca="1">SUM($M$4:M559)</f>
        <v>-0.20020697825748524</v>
      </c>
    </row>
    <row r="560" spans="1:14" x14ac:dyDescent="0.3">
      <c r="A560" s="3">
        <v>44273</v>
      </c>
      <c r="B560" s="4">
        <v>75.949996999999996</v>
      </c>
      <c r="D560" s="11">
        <v>557</v>
      </c>
      <c r="E560" s="3">
        <v>44274</v>
      </c>
      <c r="F560" s="7">
        <f t="shared" si="23"/>
        <v>1.7230553578481914E-2</v>
      </c>
      <c r="G560" s="7">
        <f>SUM($F$4:F560)</f>
        <v>1.0957691360128416</v>
      </c>
      <c r="L560" s="11">
        <v>557</v>
      </c>
      <c r="M560" s="7">
        <f t="shared" ca="1" si="24"/>
        <v>-3.7538808423278516E-2</v>
      </c>
      <c r="N560" s="7">
        <f ca="1">SUM($M$4:M560)</f>
        <v>-0.23774578668076374</v>
      </c>
    </row>
    <row r="561" spans="1:14" x14ac:dyDescent="0.3">
      <c r="A561" s="3">
        <v>44274</v>
      </c>
      <c r="B561" s="4">
        <v>77.269997000000004</v>
      </c>
      <c r="D561" s="11">
        <v>558</v>
      </c>
      <c r="E561" s="3">
        <v>44277</v>
      </c>
      <c r="F561" s="7">
        <f t="shared" si="23"/>
        <v>-3.4495192343698522E-2</v>
      </c>
      <c r="G561" s="7">
        <f>SUM($F$4:F561)</f>
        <v>1.0612739436691432</v>
      </c>
      <c r="L561" s="11">
        <v>558</v>
      </c>
      <c r="M561" s="7">
        <f t="shared" ca="1" si="24"/>
        <v>8.3419574273952257E-3</v>
      </c>
      <c r="N561" s="7">
        <f ca="1">SUM($M$4:M561)</f>
        <v>-0.22940382925336852</v>
      </c>
    </row>
    <row r="562" spans="1:14" x14ac:dyDescent="0.3">
      <c r="A562" s="3">
        <v>44277</v>
      </c>
      <c r="B562" s="4">
        <v>74.650002000000001</v>
      </c>
      <c r="D562" s="11">
        <v>559</v>
      </c>
      <c r="E562" s="3">
        <v>44278</v>
      </c>
      <c r="F562" s="7">
        <f t="shared" si="23"/>
        <v>-4.0598782110218508E-2</v>
      </c>
      <c r="G562" s="7">
        <f>SUM($F$4:F562)</f>
        <v>1.0206751615589247</v>
      </c>
      <c r="L562" s="11">
        <v>559</v>
      </c>
      <c r="M562" s="7">
        <f t="shared" ca="1" si="24"/>
        <v>4.170978713697613E-2</v>
      </c>
      <c r="N562" s="7">
        <f ca="1">SUM($M$4:M562)</f>
        <v>-0.1876940421163924</v>
      </c>
    </row>
    <row r="563" spans="1:14" x14ac:dyDescent="0.3">
      <c r="A563" s="3">
        <v>44278</v>
      </c>
      <c r="B563" s="4">
        <v>71.680000000000007</v>
      </c>
      <c r="D563" s="11">
        <v>560</v>
      </c>
      <c r="E563" s="3">
        <v>44279</v>
      </c>
      <c r="F563" s="7">
        <f t="shared" si="23"/>
        <v>-0.14604561026627466</v>
      </c>
      <c r="G563" s="7">
        <f>SUM($F$4:F563)</f>
        <v>0.87462955129265008</v>
      </c>
      <c r="L563" s="11">
        <v>560</v>
      </c>
      <c r="M563" s="7">
        <f t="shared" ca="1" si="24"/>
        <v>-3.7538808423278516E-2</v>
      </c>
      <c r="N563" s="7">
        <f ca="1">SUM($M$4:M563)</f>
        <v>-0.2252328505396709</v>
      </c>
    </row>
    <row r="564" spans="1:14" x14ac:dyDescent="0.3">
      <c r="A564" s="3">
        <v>44279</v>
      </c>
      <c r="B564" s="4">
        <v>61.939999</v>
      </c>
      <c r="D564" s="11">
        <v>561</v>
      </c>
      <c r="E564" s="3">
        <v>44280</v>
      </c>
      <c r="F564" s="7">
        <f t="shared" si="23"/>
        <v>-7.004280899849756E-2</v>
      </c>
      <c r="G564" s="7">
        <f>SUM($F$4:F564)</f>
        <v>0.8045867422941525</v>
      </c>
      <c r="L564" s="11">
        <v>561</v>
      </c>
      <c r="M564" s="7">
        <f t="shared" ca="1" si="24"/>
        <v>-2.9196850995883289E-2</v>
      </c>
      <c r="N564" s="7">
        <f ca="1">SUM($M$4:M564)</f>
        <v>-0.25442970153555422</v>
      </c>
    </row>
    <row r="565" spans="1:14" x14ac:dyDescent="0.3">
      <c r="A565" s="3">
        <v>44280</v>
      </c>
      <c r="B565" s="4">
        <v>57.75</v>
      </c>
      <c r="D565" s="11">
        <v>562</v>
      </c>
      <c r="E565" s="3">
        <v>44281</v>
      </c>
      <c r="F565" s="7">
        <f t="shared" si="23"/>
        <v>-0.32083747474111513</v>
      </c>
      <c r="G565" s="7">
        <f>SUM($F$4:F565)</f>
        <v>0.48374926755303738</v>
      </c>
      <c r="L565" s="11">
        <v>562</v>
      </c>
      <c r="M565" s="7">
        <f t="shared" ca="1" si="24"/>
        <v>-4.170978713697613E-2</v>
      </c>
      <c r="N565" s="7">
        <f ca="1">SUM($M$4:M565)</f>
        <v>-0.29613948867253037</v>
      </c>
    </row>
    <row r="566" spans="1:14" x14ac:dyDescent="0.3">
      <c r="A566" s="3">
        <v>44281</v>
      </c>
      <c r="B566" s="4">
        <v>41.900002000000001</v>
      </c>
      <c r="D566" s="11">
        <v>563</v>
      </c>
      <c r="E566" s="3">
        <v>44284</v>
      </c>
      <c r="F566" s="7">
        <f t="shared" si="23"/>
        <v>-1.6119727941979245E-2</v>
      </c>
      <c r="G566" s="7">
        <f>SUM($F$4:F566)</f>
        <v>0.46762953961105813</v>
      </c>
      <c r="L566" s="11">
        <v>563</v>
      </c>
      <c r="M566" s="7">
        <f t="shared" ca="1" si="24"/>
        <v>1.8769404211639258E-2</v>
      </c>
      <c r="N566" s="7">
        <f ca="1">SUM($M$4:M566)</f>
        <v>-0.27737008446089112</v>
      </c>
    </row>
    <row r="567" spans="1:14" x14ac:dyDescent="0.3">
      <c r="A567" s="3">
        <v>44284</v>
      </c>
      <c r="B567" s="4">
        <v>41.23</v>
      </c>
      <c r="D567" s="11">
        <v>564</v>
      </c>
      <c r="E567" s="3">
        <v>44285</v>
      </c>
      <c r="F567" s="7">
        <f t="shared" si="23"/>
        <v>5.2214505886613409E-2</v>
      </c>
      <c r="G567" s="7">
        <f>SUM($F$4:F567)</f>
        <v>0.51984404549767149</v>
      </c>
      <c r="L567" s="11">
        <v>564</v>
      </c>
      <c r="M567" s="7">
        <f t="shared" ca="1" si="24"/>
        <v>2.5025872282185675E-2</v>
      </c>
      <c r="N567" s="7">
        <f ca="1">SUM($M$4:M567)</f>
        <v>-0.25234421217870545</v>
      </c>
    </row>
    <row r="568" spans="1:14" x14ac:dyDescent="0.3">
      <c r="A568" s="3">
        <v>44285</v>
      </c>
      <c r="B568" s="4">
        <v>43.439999</v>
      </c>
      <c r="D568" s="11">
        <v>565</v>
      </c>
      <c r="E568" s="3">
        <v>44286</v>
      </c>
      <c r="F568" s="7">
        <f t="shared" si="23"/>
        <v>4.602992131973632E-4</v>
      </c>
      <c r="G568" s="7">
        <f>SUM($F$4:F568)</f>
        <v>0.52030434471086884</v>
      </c>
      <c r="L568" s="11">
        <v>565</v>
      </c>
      <c r="M568" s="7">
        <f t="shared" ca="1" si="24"/>
        <v>5.4222723278068964E-2</v>
      </c>
      <c r="N568" s="7">
        <f ca="1">SUM($M$4:M568)</f>
        <v>-0.19812148890063649</v>
      </c>
    </row>
    <row r="569" spans="1:14" x14ac:dyDescent="0.3">
      <c r="A569" s="3">
        <v>44286</v>
      </c>
      <c r="B569" s="4">
        <v>43.459999000000003</v>
      </c>
      <c r="D569" s="11">
        <v>566</v>
      </c>
      <c r="E569" s="3">
        <v>44287</v>
      </c>
      <c r="F569" s="7">
        <f t="shared" si="23"/>
        <v>-3.457373502728451E-3</v>
      </c>
      <c r="G569" s="7">
        <f>SUM($F$4:F569)</f>
        <v>0.51684697120814038</v>
      </c>
      <c r="L569" s="11">
        <v>566</v>
      </c>
      <c r="M569" s="7">
        <f t="shared" ca="1" si="24"/>
        <v>-4.170978713697613E-2</v>
      </c>
      <c r="N569" s="7">
        <f ca="1">SUM($M$4:M569)</f>
        <v>-0.23983127603761262</v>
      </c>
    </row>
    <row r="570" spans="1:14" x14ac:dyDescent="0.3">
      <c r="A570" s="3">
        <v>44287</v>
      </c>
      <c r="B570" s="4">
        <v>43.310001</v>
      </c>
      <c r="D570" s="11">
        <v>567</v>
      </c>
      <c r="E570" s="3">
        <v>44291</v>
      </c>
      <c r="F570" s="7">
        <f t="shared" si="23"/>
        <v>-3.9322358584492734E-2</v>
      </c>
      <c r="G570" s="7">
        <f>SUM($F$4:F570)</f>
        <v>0.47752461262364765</v>
      </c>
      <c r="L570" s="11">
        <v>567</v>
      </c>
      <c r="M570" s="7">
        <f t="shared" ca="1" si="24"/>
        <v>9.3847021058196284E-2</v>
      </c>
      <c r="N570" s="7">
        <f ca="1">SUM($M$4:M570)</f>
        <v>-0.14598425497941633</v>
      </c>
    </row>
    <row r="571" spans="1:14" x14ac:dyDescent="0.3">
      <c r="A571" s="3">
        <v>44291</v>
      </c>
      <c r="B571" s="4">
        <v>41.639999000000003</v>
      </c>
      <c r="D571" s="11">
        <v>568</v>
      </c>
      <c r="E571" s="3">
        <v>44292</v>
      </c>
      <c r="F571" s="7">
        <f t="shared" si="23"/>
        <v>4.0937308719427669E-2</v>
      </c>
      <c r="G571" s="7">
        <f>SUM($F$4:F571)</f>
        <v>0.51846192134307534</v>
      </c>
      <c r="L571" s="11">
        <v>568</v>
      </c>
      <c r="M571" s="7">
        <f t="shared" ca="1" si="24"/>
        <v>-2.0854893568488064E-3</v>
      </c>
      <c r="N571" s="7">
        <f ca="1">SUM($M$4:M571)</f>
        <v>-0.14806974433626513</v>
      </c>
    </row>
    <row r="572" spans="1:14" x14ac:dyDescent="0.3">
      <c r="A572" s="3">
        <v>44292</v>
      </c>
      <c r="B572" s="4">
        <v>43.380001</v>
      </c>
      <c r="D572" s="11">
        <v>569</v>
      </c>
      <c r="E572" s="3">
        <v>44293</v>
      </c>
      <c r="F572" s="7">
        <f t="shared" si="23"/>
        <v>2.3044831264827669E-4</v>
      </c>
      <c r="G572" s="7">
        <f>SUM($F$4:F572)</f>
        <v>0.51869236965572363</v>
      </c>
      <c r="L572" s="11">
        <v>569</v>
      </c>
      <c r="M572" s="7">
        <f t="shared" ca="1" si="24"/>
        <v>4.3795276493824933E-2</v>
      </c>
      <c r="N572" s="7">
        <f ca="1">SUM($M$4:M572)</f>
        <v>-0.1042744678424402</v>
      </c>
    </row>
    <row r="573" spans="1:14" x14ac:dyDescent="0.3">
      <c r="A573" s="3">
        <v>44293</v>
      </c>
      <c r="B573" s="4">
        <v>43.389999000000003</v>
      </c>
      <c r="D573" s="11">
        <v>570</v>
      </c>
      <c r="E573" s="3">
        <v>44294</v>
      </c>
      <c r="F573" s="7">
        <f t="shared" si="23"/>
        <v>-3.5420566883392388E-2</v>
      </c>
      <c r="G573" s="7">
        <f>SUM($F$4:F573)</f>
        <v>0.48327180277233123</v>
      </c>
      <c r="L573" s="11">
        <v>570</v>
      </c>
      <c r="M573" s="7">
        <f t="shared" ca="1" si="24"/>
        <v>-4.7966255207522547E-2</v>
      </c>
      <c r="N573" s="7">
        <f ca="1">SUM($M$4:M573)</f>
        <v>-0.15224072304996275</v>
      </c>
    </row>
    <row r="574" spans="1:14" x14ac:dyDescent="0.3">
      <c r="A574" s="3">
        <v>44294</v>
      </c>
      <c r="B574" s="4">
        <v>41.880001</v>
      </c>
      <c r="D574" s="11">
        <v>571</v>
      </c>
      <c r="E574" s="3">
        <v>44295</v>
      </c>
      <c r="F574" s="7">
        <f t="shared" si="23"/>
        <v>2.8612084032864659E-3</v>
      </c>
      <c r="G574" s="7">
        <f>SUM($F$4:F574)</f>
        <v>0.48613301117561769</v>
      </c>
      <c r="L574" s="11">
        <v>571</v>
      </c>
      <c r="M574" s="7">
        <f t="shared" ca="1" si="24"/>
        <v>-1.2512936141092838E-2</v>
      </c>
      <c r="N574" s="7">
        <f ca="1">SUM($M$4:M574)</f>
        <v>-0.16475365919105558</v>
      </c>
    </row>
    <row r="575" spans="1:14" x14ac:dyDescent="0.3">
      <c r="A575" s="3">
        <v>44295</v>
      </c>
      <c r="B575" s="4">
        <v>42</v>
      </c>
      <c r="D575" s="11">
        <v>572</v>
      </c>
      <c r="E575" s="3">
        <v>44298</v>
      </c>
      <c r="F575" s="7">
        <f t="shared" si="23"/>
        <v>-3.9334980633942189E-2</v>
      </c>
      <c r="G575" s="7">
        <f>SUM($F$4:F575)</f>
        <v>0.44679803054167549</v>
      </c>
      <c r="L575" s="11">
        <v>572</v>
      </c>
      <c r="M575" s="7">
        <f t="shared" ca="1" si="24"/>
        <v>2.7111361639034482E-2</v>
      </c>
      <c r="N575" s="7">
        <f ca="1">SUM($M$4:M575)</f>
        <v>-0.13764229755202109</v>
      </c>
    </row>
    <row r="576" spans="1:14" x14ac:dyDescent="0.3">
      <c r="A576" s="3">
        <v>44298</v>
      </c>
      <c r="B576" s="4">
        <v>40.380001</v>
      </c>
      <c r="D576" s="11">
        <v>573</v>
      </c>
      <c r="E576" s="3">
        <v>44299</v>
      </c>
      <c r="F576" s="7">
        <f t="shared" si="23"/>
        <v>0</v>
      </c>
      <c r="G576" s="7">
        <f>SUM($F$4:F576)</f>
        <v>0.44679803054167549</v>
      </c>
      <c r="L576" s="11">
        <v>573</v>
      </c>
      <c r="M576" s="7">
        <f t="shared" ca="1" si="24"/>
        <v>-2.2940382925336872E-2</v>
      </c>
      <c r="N576" s="7">
        <f ca="1">SUM($M$4:M576)</f>
        <v>-0.16058268047735796</v>
      </c>
    </row>
    <row r="577" spans="1:14" x14ac:dyDescent="0.3">
      <c r="A577" s="3">
        <v>44299</v>
      </c>
      <c r="B577" s="4">
        <v>40.380001</v>
      </c>
      <c r="D577" s="11">
        <v>574</v>
      </c>
      <c r="E577" s="3">
        <v>44300</v>
      </c>
      <c r="F577" s="7">
        <f t="shared" si="23"/>
        <v>-5.0798121014635586E-2</v>
      </c>
      <c r="G577" s="7">
        <f>SUM($F$4:F577)</f>
        <v>0.39599990952703989</v>
      </c>
      <c r="L577" s="11">
        <v>574</v>
      </c>
      <c r="M577" s="7">
        <f t="shared" ca="1" si="24"/>
        <v>-3.3367829709580903E-2</v>
      </c>
      <c r="N577" s="7">
        <f ca="1">SUM($M$4:M577)</f>
        <v>-0.19395051018693887</v>
      </c>
    </row>
    <row r="578" spans="1:14" x14ac:dyDescent="0.3">
      <c r="A578" s="3">
        <v>44300</v>
      </c>
      <c r="B578" s="4">
        <v>38.380001</v>
      </c>
      <c r="D578" s="11">
        <v>575</v>
      </c>
      <c r="E578" s="3">
        <v>44301</v>
      </c>
      <c r="F578" s="7">
        <f t="shared" si="23"/>
        <v>-1.4698453404479221E-2</v>
      </c>
      <c r="G578" s="7">
        <f>SUM($F$4:F578)</f>
        <v>0.38130145612256067</v>
      </c>
      <c r="L578" s="11">
        <v>575</v>
      </c>
      <c r="M578" s="7">
        <f t="shared" ca="1" si="24"/>
        <v>-2.0854893568488065E-2</v>
      </c>
      <c r="N578" s="7">
        <f ca="1">SUM($M$4:M578)</f>
        <v>-0.21480540375542695</v>
      </c>
    </row>
    <row r="579" spans="1:14" x14ac:dyDescent="0.3">
      <c r="A579" s="3">
        <v>44301</v>
      </c>
      <c r="B579" s="4">
        <v>37.82</v>
      </c>
      <c r="D579" s="11">
        <v>576</v>
      </c>
      <c r="E579" s="3">
        <v>44302</v>
      </c>
      <c r="F579" s="7">
        <f t="shared" si="23"/>
        <v>-1.2772925116734776E-2</v>
      </c>
      <c r="G579" s="7">
        <f>SUM($F$4:F579)</f>
        <v>0.36852853100582589</v>
      </c>
      <c r="L579" s="11">
        <v>576</v>
      </c>
      <c r="M579" s="7">
        <f t="shared" ca="1" si="24"/>
        <v>3.3367829709580903E-2</v>
      </c>
      <c r="N579" s="7">
        <f ca="1">SUM($M$4:M579)</f>
        <v>-0.18143757404584604</v>
      </c>
    </row>
    <row r="580" spans="1:14" x14ac:dyDescent="0.3">
      <c r="A580" s="3">
        <v>44302</v>
      </c>
      <c r="B580" s="4">
        <v>37.340000000000003</v>
      </c>
      <c r="D580" s="11">
        <v>577</v>
      </c>
      <c r="E580" s="3">
        <v>44305</v>
      </c>
      <c r="F580" s="7">
        <f t="shared" ref="F580:F643" si="25">LN(B581/B580)</f>
        <v>-2.6320906609867696E-2</v>
      </c>
      <c r="G580" s="7">
        <f>SUM($F$4:F580)</f>
        <v>0.3422076243959582</v>
      </c>
      <c r="L580" s="11">
        <v>577</v>
      </c>
      <c r="M580" s="7">
        <f t="shared" ca="1" si="24"/>
        <v>-1.8769404211639258E-2</v>
      </c>
      <c r="N580" s="7">
        <f ca="1">SUM($M$4:M580)</f>
        <v>-0.20020697825748529</v>
      </c>
    </row>
    <row r="581" spans="1:14" x14ac:dyDescent="0.3">
      <c r="A581" s="3">
        <v>44305</v>
      </c>
      <c r="B581" s="4">
        <v>36.369999</v>
      </c>
      <c r="D581" s="11">
        <v>578</v>
      </c>
      <c r="E581" s="3">
        <v>44306</v>
      </c>
      <c r="F581" s="7">
        <f t="shared" si="25"/>
        <v>-2.5056934525339747E-2</v>
      </c>
      <c r="G581" s="7">
        <f>SUM($F$4:F581)</f>
        <v>0.31715068987061845</v>
      </c>
      <c r="L581" s="11">
        <v>578</v>
      </c>
      <c r="M581" s="7">
        <f t="shared" ref="M581:M644" ca="1" si="26">(2*_xlfn.BINOM.INV($J$4,$J$12,RAND())-$J$4)*$J$11</f>
        <v>-3.3367829709580903E-2</v>
      </c>
      <c r="N581" s="7">
        <f ca="1">SUM($M$4:M581)</f>
        <v>-0.2335748079670662</v>
      </c>
    </row>
    <row r="582" spans="1:14" x14ac:dyDescent="0.3">
      <c r="A582" s="3">
        <v>44306</v>
      </c>
      <c r="B582" s="4">
        <v>35.470001000000003</v>
      </c>
      <c r="D582" s="11">
        <v>579</v>
      </c>
      <c r="E582" s="3">
        <v>44307</v>
      </c>
      <c r="F582" s="7">
        <f t="shared" si="25"/>
        <v>8.145132881913647E-2</v>
      </c>
      <c r="G582" s="7">
        <f>SUM($F$4:F582)</f>
        <v>0.39860201868975492</v>
      </c>
      <c r="L582" s="11">
        <v>579</v>
      </c>
      <c r="M582" s="7">
        <f t="shared" ca="1" si="26"/>
        <v>3.1282340352732099E-2</v>
      </c>
      <c r="N582" s="7">
        <f ca="1">SUM($M$4:M582)</f>
        <v>-0.20229246761433411</v>
      </c>
    </row>
    <row r="583" spans="1:14" x14ac:dyDescent="0.3">
      <c r="A583" s="3">
        <v>44307</v>
      </c>
      <c r="B583" s="4">
        <v>38.479999999999997</v>
      </c>
      <c r="D583" s="11">
        <v>580</v>
      </c>
      <c r="E583" s="3">
        <v>44308</v>
      </c>
      <c r="F583" s="7">
        <f t="shared" si="25"/>
        <v>-7.0413905098567278E-3</v>
      </c>
      <c r="G583" s="7">
        <f>SUM($F$4:F583)</f>
        <v>0.39156062817989817</v>
      </c>
      <c r="L583" s="11">
        <v>580</v>
      </c>
      <c r="M583" s="7">
        <f t="shared" ca="1" si="26"/>
        <v>-2.9196850995883289E-2</v>
      </c>
      <c r="N583" s="7">
        <f ca="1">SUM($M$4:M583)</f>
        <v>-0.2314893186102174</v>
      </c>
    </row>
    <row r="584" spans="1:14" x14ac:dyDescent="0.3">
      <c r="A584" s="3">
        <v>44308</v>
      </c>
      <c r="B584" s="4">
        <v>38.209999000000003</v>
      </c>
      <c r="D584" s="11">
        <v>581</v>
      </c>
      <c r="E584" s="3">
        <v>44309</v>
      </c>
      <c r="F584" s="7">
        <f t="shared" si="25"/>
        <v>4.9602763893641716E-3</v>
      </c>
      <c r="G584" s="7">
        <f>SUM($F$4:F584)</f>
        <v>0.39652090456926237</v>
      </c>
      <c r="L584" s="11">
        <v>581</v>
      </c>
      <c r="M584" s="7">
        <f t="shared" ca="1" si="26"/>
        <v>5.005174456437135E-2</v>
      </c>
      <c r="N584" s="7">
        <f ca="1">SUM($M$4:M584)</f>
        <v>-0.18143757404584604</v>
      </c>
    </row>
    <row r="585" spans="1:14" x14ac:dyDescent="0.3">
      <c r="A585" s="3">
        <v>44309</v>
      </c>
      <c r="B585" s="4">
        <v>38.400002000000001</v>
      </c>
      <c r="D585" s="11">
        <v>582</v>
      </c>
      <c r="E585" s="3">
        <v>44312</v>
      </c>
      <c r="F585" s="7">
        <f t="shared" si="25"/>
        <v>1.165051365659042E-2</v>
      </c>
      <c r="G585" s="7">
        <f>SUM($F$4:F585)</f>
        <v>0.40817141822585279</v>
      </c>
      <c r="L585" s="11">
        <v>582</v>
      </c>
      <c r="M585" s="7">
        <f t="shared" ca="1" si="26"/>
        <v>1.6683914854790451E-2</v>
      </c>
      <c r="N585" s="7">
        <f ca="1">SUM($M$4:M585)</f>
        <v>-0.16475365919105558</v>
      </c>
    </row>
    <row r="586" spans="1:14" x14ac:dyDescent="0.3">
      <c r="A586" s="3">
        <v>44312</v>
      </c>
      <c r="B586" s="4">
        <v>38.849997999999999</v>
      </c>
      <c r="D586" s="11">
        <v>583</v>
      </c>
      <c r="E586" s="3">
        <v>44313</v>
      </c>
      <c r="F586" s="7">
        <f t="shared" si="25"/>
        <v>4.1099469160548689E-3</v>
      </c>
      <c r="G586" s="7">
        <f>SUM($F$4:F586)</f>
        <v>0.41228136514190766</v>
      </c>
      <c r="L586" s="11">
        <v>583</v>
      </c>
      <c r="M586" s="7">
        <f t="shared" ca="1" si="26"/>
        <v>-1.6683914854790451E-2</v>
      </c>
      <c r="N586" s="7">
        <f ca="1">SUM($M$4:M586)</f>
        <v>-0.18143757404584604</v>
      </c>
    </row>
    <row r="587" spans="1:14" x14ac:dyDescent="0.3">
      <c r="A587" s="3">
        <v>44313</v>
      </c>
      <c r="B587" s="4">
        <v>39.009998000000003</v>
      </c>
      <c r="D587" s="11">
        <v>584</v>
      </c>
      <c r="E587" s="3">
        <v>44314</v>
      </c>
      <c r="F587" s="7">
        <f t="shared" si="25"/>
        <v>-3.9743688154279935E-2</v>
      </c>
      <c r="G587" s="7">
        <f>SUM($F$4:F587)</f>
        <v>0.37253767698762774</v>
      </c>
      <c r="L587" s="11">
        <v>584</v>
      </c>
      <c r="M587" s="7">
        <f t="shared" ca="1" si="26"/>
        <v>-4.170978713697613E-2</v>
      </c>
      <c r="N587" s="7">
        <f ca="1">SUM($M$4:M587)</f>
        <v>-0.22314736118282216</v>
      </c>
    </row>
    <row r="588" spans="1:14" x14ac:dyDescent="0.3">
      <c r="A588" s="3">
        <v>44314</v>
      </c>
      <c r="B588" s="4">
        <v>37.490001999999997</v>
      </c>
      <c r="D588" s="11">
        <v>585</v>
      </c>
      <c r="E588" s="3">
        <v>44315</v>
      </c>
      <c r="F588" s="7">
        <f t="shared" si="25"/>
        <v>1.21952460967212E-2</v>
      </c>
      <c r="G588" s="7">
        <f>SUM($F$4:F588)</f>
        <v>0.38473292308434892</v>
      </c>
      <c r="L588" s="11">
        <v>585</v>
      </c>
      <c r="M588" s="7">
        <f t="shared" ca="1" si="26"/>
        <v>-1.4598425497941644E-2</v>
      </c>
      <c r="N588" s="7">
        <f ca="1">SUM($M$4:M588)</f>
        <v>-0.23774578668076379</v>
      </c>
    </row>
    <row r="589" spans="1:14" x14ac:dyDescent="0.3">
      <c r="A589" s="3">
        <v>44315</v>
      </c>
      <c r="B589" s="4">
        <v>37.950001</v>
      </c>
      <c r="D589" s="11">
        <v>586</v>
      </c>
      <c r="E589" s="3">
        <v>44316</v>
      </c>
      <c r="F589" s="7">
        <f t="shared" si="25"/>
        <v>-7.6710069630934099E-3</v>
      </c>
      <c r="G589" s="7">
        <f>SUM($F$4:F589)</f>
        <v>0.3770619161212555</v>
      </c>
      <c r="L589" s="11">
        <v>586</v>
      </c>
      <c r="M589" s="7">
        <f t="shared" ca="1" si="26"/>
        <v>2.7111361639034482E-2</v>
      </c>
      <c r="N589" s="7">
        <f ca="1">SUM($M$4:M589)</f>
        <v>-0.2106344250417293</v>
      </c>
    </row>
    <row r="590" spans="1:14" x14ac:dyDescent="0.3">
      <c r="A590" s="3">
        <v>44316</v>
      </c>
      <c r="B590" s="4">
        <v>37.659999999999997</v>
      </c>
      <c r="D590" s="11">
        <v>587</v>
      </c>
      <c r="E590" s="3">
        <v>44319</v>
      </c>
      <c r="F590" s="7">
        <f t="shared" si="25"/>
        <v>-4.1751822365714772E-2</v>
      </c>
      <c r="G590" s="7">
        <f>SUM($F$4:F590)</f>
        <v>0.33531009375554072</v>
      </c>
      <c r="L590" s="11">
        <v>587</v>
      </c>
      <c r="M590" s="7">
        <f t="shared" ca="1" si="26"/>
        <v>4.1709787136976128E-3</v>
      </c>
      <c r="N590" s="7">
        <f ca="1">SUM($M$4:M590)</f>
        <v>-0.20646344632803168</v>
      </c>
    </row>
    <row r="591" spans="1:14" x14ac:dyDescent="0.3">
      <c r="A591" s="3">
        <v>44319</v>
      </c>
      <c r="B591" s="4">
        <v>36.119999</v>
      </c>
      <c r="D591" s="11">
        <v>588</v>
      </c>
      <c r="E591" s="3">
        <v>44320</v>
      </c>
      <c r="F591" s="7">
        <f t="shared" si="25"/>
        <v>1.1013354863476399E-2</v>
      </c>
      <c r="G591" s="7">
        <f>SUM($F$4:F591)</f>
        <v>0.34632344861901709</v>
      </c>
      <c r="L591" s="11">
        <v>588</v>
      </c>
      <c r="M591" s="7">
        <f t="shared" ca="1" si="26"/>
        <v>-2.0854893568488064E-3</v>
      </c>
      <c r="N591" s="7">
        <f ca="1">SUM($M$4:M591)</f>
        <v>-0.20854893568488048</v>
      </c>
    </row>
    <row r="592" spans="1:14" x14ac:dyDescent="0.3">
      <c r="A592" s="3">
        <v>44320</v>
      </c>
      <c r="B592" s="4">
        <v>36.520000000000003</v>
      </c>
      <c r="D592" s="11">
        <v>589</v>
      </c>
      <c r="E592" s="3">
        <v>44321</v>
      </c>
      <c r="F592" s="7">
        <f t="shared" si="25"/>
        <v>3.8261866847910234E-3</v>
      </c>
      <c r="G592" s="7">
        <f>SUM($F$4:F592)</f>
        <v>0.3501496353038081</v>
      </c>
      <c r="L592" s="11">
        <v>589</v>
      </c>
      <c r="M592" s="7">
        <f t="shared" ca="1" si="26"/>
        <v>3.962429778012732E-2</v>
      </c>
      <c r="N592" s="7">
        <f ca="1">SUM($M$4:M592)</f>
        <v>-0.16892463790475315</v>
      </c>
    </row>
    <row r="593" spans="1:14" x14ac:dyDescent="0.3">
      <c r="A593" s="3">
        <v>44321</v>
      </c>
      <c r="B593" s="4">
        <v>36.659999999999997</v>
      </c>
      <c r="D593" s="11">
        <v>590</v>
      </c>
      <c r="E593" s="3">
        <v>44322</v>
      </c>
      <c r="F593" s="7">
        <f t="shared" si="25"/>
        <v>-1.1246861110875047E-2</v>
      </c>
      <c r="G593" s="7">
        <f>SUM($F$4:F593)</f>
        <v>0.33890277419293308</v>
      </c>
      <c r="L593" s="11">
        <v>590</v>
      </c>
      <c r="M593" s="7">
        <f t="shared" ca="1" si="26"/>
        <v>7.7163106203405843E-2</v>
      </c>
      <c r="N593" s="7">
        <f ca="1">SUM($M$4:M593)</f>
        <v>-9.1761531701347307E-2</v>
      </c>
    </row>
    <row r="594" spans="1:14" x14ac:dyDescent="0.3">
      <c r="A594" s="3">
        <v>44322</v>
      </c>
      <c r="B594" s="4">
        <v>36.25</v>
      </c>
      <c r="D594" s="11">
        <v>591</v>
      </c>
      <c r="E594" s="3">
        <v>44323</v>
      </c>
      <c r="F594" s="7">
        <f t="shared" si="25"/>
        <v>3.550029966344611E-2</v>
      </c>
      <c r="G594" s="7">
        <f>SUM($F$4:F594)</f>
        <v>0.37440307385637916</v>
      </c>
      <c r="L594" s="11">
        <v>591</v>
      </c>
      <c r="M594" s="7">
        <f t="shared" ca="1" si="26"/>
        <v>2.9196850995883289E-2</v>
      </c>
      <c r="N594" s="7">
        <f ca="1">SUM($M$4:M594)</f>
        <v>-6.2564680705464018E-2</v>
      </c>
    </row>
    <row r="595" spans="1:14" x14ac:dyDescent="0.3">
      <c r="A595" s="3">
        <v>44323</v>
      </c>
      <c r="B595" s="4">
        <v>37.560001</v>
      </c>
      <c r="D595" s="11">
        <v>592</v>
      </c>
      <c r="E595" s="3">
        <v>44326</v>
      </c>
      <c r="F595" s="7">
        <f t="shared" si="25"/>
        <v>-8.0193694675542299E-3</v>
      </c>
      <c r="G595" s="7">
        <f>SUM($F$4:F595)</f>
        <v>0.36638370438882495</v>
      </c>
      <c r="L595" s="11">
        <v>592</v>
      </c>
      <c r="M595" s="7">
        <f t="shared" ca="1" si="26"/>
        <v>-1.6683914854790451E-2</v>
      </c>
      <c r="N595" s="7">
        <f ca="1">SUM($M$4:M595)</f>
        <v>-7.9248595560254473E-2</v>
      </c>
    </row>
    <row r="596" spans="1:14" x14ac:dyDescent="0.3">
      <c r="A596" s="3">
        <v>44326</v>
      </c>
      <c r="B596" s="4">
        <v>37.259998000000003</v>
      </c>
      <c r="D596" s="11">
        <v>593</v>
      </c>
      <c r="E596" s="3">
        <v>44327</v>
      </c>
      <c r="F596" s="7">
        <f t="shared" si="25"/>
        <v>-1.2966119509090721E-2</v>
      </c>
      <c r="G596" s="7">
        <f>SUM($F$4:F596)</f>
        <v>0.35341758487973424</v>
      </c>
      <c r="L596" s="11">
        <v>593</v>
      </c>
      <c r="M596" s="7">
        <f t="shared" ca="1" si="26"/>
        <v>1.0427446784244032E-2</v>
      </c>
      <c r="N596" s="7">
        <f ca="1">SUM($M$4:M596)</f>
        <v>-6.8821148776010435E-2</v>
      </c>
    </row>
    <row r="597" spans="1:14" x14ac:dyDescent="0.3">
      <c r="A597" s="3">
        <v>44327</v>
      </c>
      <c r="B597" s="4">
        <v>36.779998999999997</v>
      </c>
      <c r="D597" s="11">
        <v>594</v>
      </c>
      <c r="E597" s="3">
        <v>44328</v>
      </c>
      <c r="F597" s="7">
        <f t="shared" si="25"/>
        <v>-2.8124297610584804E-2</v>
      </c>
      <c r="G597" s="7">
        <f>SUM($F$4:F597)</f>
        <v>0.32529328726914941</v>
      </c>
      <c r="L597" s="11">
        <v>594</v>
      </c>
      <c r="M597" s="7">
        <f t="shared" ca="1" si="26"/>
        <v>-1.0427446784244032E-2</v>
      </c>
      <c r="N597" s="7">
        <f ca="1">SUM($M$4:M597)</f>
        <v>-7.9248595560254473E-2</v>
      </c>
    </row>
    <row r="598" spans="1:14" x14ac:dyDescent="0.3">
      <c r="A598" s="3">
        <v>44328</v>
      </c>
      <c r="B598" s="4">
        <v>35.759998000000003</v>
      </c>
      <c r="D598" s="11">
        <v>595</v>
      </c>
      <c r="E598" s="3">
        <v>44329</v>
      </c>
      <c r="F598" s="7">
        <f t="shared" si="25"/>
        <v>-1.4931902023754067E-2</v>
      </c>
      <c r="G598" s="7">
        <f>SUM($F$4:F598)</f>
        <v>0.31036138524539536</v>
      </c>
      <c r="L598" s="11">
        <v>595</v>
      </c>
      <c r="M598" s="7">
        <f t="shared" ca="1" si="26"/>
        <v>7.5077616846557033E-2</v>
      </c>
      <c r="N598" s="7">
        <f ca="1">SUM($M$4:M598)</f>
        <v>-4.1709787136974402E-3</v>
      </c>
    </row>
    <row r="599" spans="1:14" x14ac:dyDescent="0.3">
      <c r="A599" s="3">
        <v>44329</v>
      </c>
      <c r="B599" s="4">
        <v>35.229999999999997</v>
      </c>
      <c r="D599" s="11">
        <v>596</v>
      </c>
      <c r="E599" s="3">
        <v>44330</v>
      </c>
      <c r="F599" s="7">
        <f t="shared" si="25"/>
        <v>1.1851210608138946E-2</v>
      </c>
      <c r="G599" s="7">
        <f>SUM($F$4:F599)</f>
        <v>0.32221259585353429</v>
      </c>
      <c r="L599" s="11">
        <v>596</v>
      </c>
      <c r="M599" s="7">
        <f t="shared" ca="1" si="26"/>
        <v>-2.0854893568488064E-3</v>
      </c>
      <c r="N599" s="7">
        <f ca="1">SUM($M$4:M599)</f>
        <v>-6.2564680705462471E-3</v>
      </c>
    </row>
    <row r="600" spans="1:14" x14ac:dyDescent="0.3">
      <c r="A600" s="3">
        <v>44330</v>
      </c>
      <c r="B600" s="4">
        <v>35.650002000000001</v>
      </c>
      <c r="D600" s="11">
        <v>597</v>
      </c>
      <c r="E600" s="3">
        <v>44333</v>
      </c>
      <c r="F600" s="7">
        <f t="shared" si="25"/>
        <v>-5.181026268719794E-2</v>
      </c>
      <c r="G600" s="7">
        <f>SUM($F$4:F600)</f>
        <v>0.27040233316633633</v>
      </c>
      <c r="L600" s="11">
        <v>597</v>
      </c>
      <c r="M600" s="7">
        <f t="shared" ca="1" si="26"/>
        <v>-2.0854893568488064E-3</v>
      </c>
      <c r="N600" s="7">
        <f ca="1">SUM($M$4:M600)</f>
        <v>-8.3419574273950539E-3</v>
      </c>
    </row>
    <row r="601" spans="1:14" x14ac:dyDescent="0.3">
      <c r="A601" s="3">
        <v>44333</v>
      </c>
      <c r="B601" s="4">
        <v>33.849997999999999</v>
      </c>
      <c r="D601" s="11">
        <v>598</v>
      </c>
      <c r="E601" s="3">
        <v>44334</v>
      </c>
      <c r="F601" s="7">
        <f t="shared" si="25"/>
        <v>-1.6081258047484778E-2</v>
      </c>
      <c r="G601" s="7">
        <f>SUM($F$4:F601)</f>
        <v>0.25432107511885155</v>
      </c>
      <c r="L601" s="11">
        <v>598</v>
      </c>
      <c r="M601" s="7">
        <f t="shared" ca="1" si="26"/>
        <v>1.8769404211639258E-2</v>
      </c>
      <c r="N601" s="7">
        <f ca="1">SUM($M$4:M601)</f>
        <v>1.0427446784244204E-2</v>
      </c>
    </row>
    <row r="602" spans="1:14" x14ac:dyDescent="0.3">
      <c r="A602" s="3">
        <v>44334</v>
      </c>
      <c r="B602" s="4">
        <v>33.310001</v>
      </c>
      <c r="D602" s="11">
        <v>599</v>
      </c>
      <c r="E602" s="3">
        <v>44335</v>
      </c>
      <c r="F602" s="7">
        <f t="shared" si="25"/>
        <v>-6.022300465092373E-3</v>
      </c>
      <c r="G602" s="7">
        <f>SUM($F$4:F602)</f>
        <v>0.24829877465375919</v>
      </c>
      <c r="L602" s="11">
        <v>599</v>
      </c>
      <c r="M602" s="7">
        <f t="shared" ca="1" si="26"/>
        <v>-4.170978713697613E-2</v>
      </c>
      <c r="N602" s="7">
        <f ca="1">SUM($M$4:M602)</f>
        <v>-3.1282340352731926E-2</v>
      </c>
    </row>
    <row r="603" spans="1:14" x14ac:dyDescent="0.3">
      <c r="A603" s="3">
        <v>44335</v>
      </c>
      <c r="B603" s="4">
        <v>33.110000999999997</v>
      </c>
      <c r="D603" s="11">
        <v>600</v>
      </c>
      <c r="E603" s="3">
        <v>44336</v>
      </c>
      <c r="F603" s="7">
        <f t="shared" si="25"/>
        <v>-3.8797999743337759E-2</v>
      </c>
      <c r="G603" s="7">
        <f>SUM($F$4:F603)</f>
        <v>0.20950077491042143</v>
      </c>
      <c r="L603" s="11">
        <v>600</v>
      </c>
      <c r="M603" s="7">
        <f t="shared" ca="1" si="26"/>
        <v>-3.7538808423278516E-2</v>
      </c>
      <c r="N603" s="7">
        <f ca="1">SUM($M$4:M603)</f>
        <v>-6.8821148776010449E-2</v>
      </c>
    </row>
    <row r="604" spans="1:14" x14ac:dyDescent="0.3">
      <c r="A604" s="3">
        <v>44336</v>
      </c>
      <c r="B604" s="4">
        <v>31.85</v>
      </c>
      <c r="D604" s="11">
        <v>601</v>
      </c>
      <c r="E604" s="3">
        <v>44337</v>
      </c>
      <c r="F604" s="7">
        <f t="shared" si="25"/>
        <v>-1.2002702718152283E-2</v>
      </c>
      <c r="G604" s="7">
        <f>SUM($F$4:F604)</f>
        <v>0.19749807219226914</v>
      </c>
      <c r="L604" s="11">
        <v>601</v>
      </c>
      <c r="M604" s="7">
        <f t="shared" ca="1" si="26"/>
        <v>2.0854893568488064E-3</v>
      </c>
      <c r="N604" s="7">
        <f ca="1">SUM($M$4:M604)</f>
        <v>-6.6735659419161639E-2</v>
      </c>
    </row>
    <row r="605" spans="1:14" x14ac:dyDescent="0.3">
      <c r="A605" s="3">
        <v>44337</v>
      </c>
      <c r="B605" s="4">
        <v>31.469999000000001</v>
      </c>
      <c r="D605" s="11">
        <v>602</v>
      </c>
      <c r="E605" s="3">
        <v>44340</v>
      </c>
      <c r="F605" s="7">
        <f t="shared" si="25"/>
        <v>-6.0557316536008913E-3</v>
      </c>
      <c r="G605" s="7">
        <f>SUM($F$4:F605)</f>
        <v>0.19144234053866824</v>
      </c>
      <c r="L605" s="11">
        <v>602</v>
      </c>
      <c r="M605" s="7">
        <f t="shared" ca="1" si="26"/>
        <v>-1.6683914854790451E-2</v>
      </c>
      <c r="N605" s="7">
        <f ca="1">SUM($M$4:M605)</f>
        <v>-8.3419574273952093E-2</v>
      </c>
    </row>
    <row r="606" spans="1:14" x14ac:dyDescent="0.3">
      <c r="A606" s="3">
        <v>44340</v>
      </c>
      <c r="B606" s="4">
        <v>31.280000999999999</v>
      </c>
      <c r="D606" s="11">
        <v>603</v>
      </c>
      <c r="E606" s="3">
        <v>44341</v>
      </c>
      <c r="F606" s="7">
        <f t="shared" si="25"/>
        <v>-2.0020074202751207E-2</v>
      </c>
      <c r="G606" s="7">
        <f>SUM($F$4:F606)</f>
        <v>0.17142226633591703</v>
      </c>
      <c r="L606" s="11">
        <v>603</v>
      </c>
      <c r="M606" s="7">
        <f t="shared" ca="1" si="26"/>
        <v>1.4598425497941644E-2</v>
      </c>
      <c r="N606" s="7">
        <f ca="1">SUM($M$4:M606)</f>
        <v>-6.8821148776010449E-2</v>
      </c>
    </row>
    <row r="607" spans="1:14" x14ac:dyDescent="0.3">
      <c r="A607" s="3">
        <v>44341</v>
      </c>
      <c r="B607" s="4">
        <v>30.66</v>
      </c>
      <c r="D607" s="11">
        <v>604</v>
      </c>
      <c r="E607" s="3">
        <v>44342</v>
      </c>
      <c r="F607" s="7">
        <f t="shared" si="25"/>
        <v>3.7136149465972844E-2</v>
      </c>
      <c r="G607" s="7">
        <f>SUM($F$4:F607)</f>
        <v>0.20855841580188988</v>
      </c>
      <c r="L607" s="11">
        <v>604</v>
      </c>
      <c r="M607" s="7">
        <f t="shared" ca="1" si="26"/>
        <v>-1.0427446784244032E-2</v>
      </c>
      <c r="N607" s="7">
        <f ca="1">SUM($M$4:M607)</f>
        <v>-7.9248595560254487E-2</v>
      </c>
    </row>
    <row r="608" spans="1:14" x14ac:dyDescent="0.3">
      <c r="A608" s="3">
        <v>44342</v>
      </c>
      <c r="B608" s="4">
        <v>31.82</v>
      </c>
      <c r="D608" s="11">
        <v>605</v>
      </c>
      <c r="E608" s="3">
        <v>44343</v>
      </c>
      <c r="F608" s="7">
        <f t="shared" si="25"/>
        <v>2.1760261769969178E-2</v>
      </c>
      <c r="G608" s="7">
        <f>SUM($F$4:F608)</f>
        <v>0.23031867757185906</v>
      </c>
      <c r="L608" s="11">
        <v>605</v>
      </c>
      <c r="M608" s="7">
        <f t="shared" ca="1" si="26"/>
        <v>-1.8769404211639258E-2</v>
      </c>
      <c r="N608" s="7">
        <f ca="1">SUM($M$4:M608)</f>
        <v>-9.8017999771893738E-2</v>
      </c>
    </row>
    <row r="609" spans="1:14" x14ac:dyDescent="0.3">
      <c r="A609" s="3">
        <v>44343</v>
      </c>
      <c r="B609" s="4">
        <v>32.520000000000003</v>
      </c>
      <c r="D609" s="11">
        <v>606</v>
      </c>
      <c r="E609" s="3">
        <v>44344</v>
      </c>
      <c r="F609" s="7">
        <f t="shared" si="25"/>
        <v>-1.2687745435241841E-2</v>
      </c>
      <c r="G609" s="7">
        <f>SUM($F$4:F609)</f>
        <v>0.21763093213661722</v>
      </c>
      <c r="L609" s="11">
        <v>606</v>
      </c>
      <c r="M609" s="7">
        <f t="shared" ca="1" si="26"/>
        <v>2.0854893568488065E-2</v>
      </c>
      <c r="N609" s="7">
        <f ca="1">SUM($M$4:M609)</f>
        <v>-7.7163106203405676E-2</v>
      </c>
    </row>
    <row r="610" spans="1:14" x14ac:dyDescent="0.3">
      <c r="A610" s="3">
        <v>44344</v>
      </c>
      <c r="B610" s="4">
        <v>32.110000999999997</v>
      </c>
      <c r="D610" s="11">
        <v>607</v>
      </c>
      <c r="E610" s="3">
        <v>44348</v>
      </c>
      <c r="F610" s="7">
        <f t="shared" si="25"/>
        <v>-3.4316364446415767E-3</v>
      </c>
      <c r="G610" s="7">
        <f>SUM($F$4:F610)</f>
        <v>0.21419929569197563</v>
      </c>
      <c r="L610" s="11">
        <v>607</v>
      </c>
      <c r="M610" s="7">
        <f t="shared" ca="1" si="26"/>
        <v>8.133408491710345E-2</v>
      </c>
      <c r="N610" s="7">
        <f ca="1">SUM($M$4:M610)</f>
        <v>4.1709787136977733E-3</v>
      </c>
    </row>
    <row r="611" spans="1:14" x14ac:dyDescent="0.3">
      <c r="A611" s="3">
        <v>44348</v>
      </c>
      <c r="B611" s="4">
        <v>32</v>
      </c>
      <c r="D611" s="11">
        <v>608</v>
      </c>
      <c r="E611" s="3">
        <v>44349</v>
      </c>
      <c r="F611" s="7">
        <f t="shared" si="25"/>
        <v>4.6766100922980653E-3</v>
      </c>
      <c r="G611" s="7">
        <f>SUM($F$4:F611)</f>
        <v>0.21887590578427368</v>
      </c>
      <c r="L611" s="11">
        <v>608</v>
      </c>
      <c r="M611" s="7">
        <f t="shared" ca="1" si="26"/>
        <v>-3.962429778012732E-2</v>
      </c>
      <c r="N611" s="7">
        <f ca="1">SUM($M$4:M611)</f>
        <v>-3.5453319066429546E-2</v>
      </c>
    </row>
    <row r="612" spans="1:14" x14ac:dyDescent="0.3">
      <c r="A612" s="3">
        <v>44349</v>
      </c>
      <c r="B612" s="4">
        <v>32.150002000000001</v>
      </c>
      <c r="D612" s="11">
        <v>609</v>
      </c>
      <c r="E612" s="3">
        <v>44350</v>
      </c>
      <c r="F612" s="7">
        <f t="shared" si="25"/>
        <v>-1.6306507190022471E-2</v>
      </c>
      <c r="G612" s="7">
        <f>SUM($F$4:F612)</f>
        <v>0.20256939859425122</v>
      </c>
      <c r="L612" s="11">
        <v>609</v>
      </c>
      <c r="M612" s="7">
        <f t="shared" ca="1" si="26"/>
        <v>-2.0854893568488064E-3</v>
      </c>
      <c r="N612" s="7">
        <f ca="1">SUM($M$4:M612)</f>
        <v>-3.753880842327835E-2</v>
      </c>
    </row>
    <row r="613" spans="1:14" x14ac:dyDescent="0.3">
      <c r="A613" s="3">
        <v>44350</v>
      </c>
      <c r="B613" s="4">
        <v>31.629999000000002</v>
      </c>
      <c r="D613" s="11">
        <v>610</v>
      </c>
      <c r="E613" s="3">
        <v>44351</v>
      </c>
      <c r="F613" s="7">
        <f t="shared" si="25"/>
        <v>-2.5324484105016293E-3</v>
      </c>
      <c r="G613" s="7">
        <f>SUM($F$4:F613)</f>
        <v>0.20003695018374959</v>
      </c>
      <c r="L613" s="11">
        <v>610</v>
      </c>
      <c r="M613" s="7">
        <f t="shared" ca="1" si="26"/>
        <v>0</v>
      </c>
      <c r="N613" s="7">
        <f ca="1">SUM($M$4:M613)</f>
        <v>-3.753880842327835E-2</v>
      </c>
    </row>
    <row r="614" spans="1:14" x14ac:dyDescent="0.3">
      <c r="A614" s="3">
        <v>44351</v>
      </c>
      <c r="B614" s="4">
        <v>31.549999</v>
      </c>
      <c r="D614" s="11">
        <v>611</v>
      </c>
      <c r="E614" s="3">
        <v>44354</v>
      </c>
      <c r="F614" s="7">
        <f t="shared" si="25"/>
        <v>-9.8742323200153859E-3</v>
      </c>
      <c r="G614" s="7">
        <f>SUM($F$4:F614)</f>
        <v>0.1901627178637342</v>
      </c>
      <c r="L614" s="11">
        <v>611</v>
      </c>
      <c r="M614" s="7">
        <f t="shared" ca="1" si="26"/>
        <v>3.1282340352732099E-2</v>
      </c>
      <c r="N614" s="7">
        <f ca="1">SUM($M$4:M614)</f>
        <v>-6.2564680705462505E-3</v>
      </c>
    </row>
    <row r="615" spans="1:14" x14ac:dyDescent="0.3">
      <c r="A615" s="3">
        <v>44354</v>
      </c>
      <c r="B615" s="4">
        <v>31.24</v>
      </c>
      <c r="D615" s="11">
        <v>612</v>
      </c>
      <c r="E615" s="3">
        <v>44355</v>
      </c>
      <c r="F615" s="7">
        <f t="shared" si="25"/>
        <v>-3.9169464786603603E-2</v>
      </c>
      <c r="G615" s="7">
        <f>SUM($F$4:F615)</f>
        <v>0.1509932530771306</v>
      </c>
      <c r="L615" s="11">
        <v>612</v>
      </c>
      <c r="M615" s="7">
        <f t="shared" ca="1" si="26"/>
        <v>1.8769404211639258E-2</v>
      </c>
      <c r="N615" s="7">
        <f ca="1">SUM($M$4:M615)</f>
        <v>1.2512936141093008E-2</v>
      </c>
    </row>
    <row r="616" spans="1:14" x14ac:dyDescent="0.3">
      <c r="A616" s="3">
        <v>44355</v>
      </c>
      <c r="B616" s="4">
        <v>30.040001</v>
      </c>
      <c r="D616" s="11">
        <v>613</v>
      </c>
      <c r="E616" s="3">
        <v>44356</v>
      </c>
      <c r="F616" s="7">
        <f t="shared" si="25"/>
        <v>1.7162071390924679E-2</v>
      </c>
      <c r="G616" s="7">
        <f>SUM($F$4:F616)</f>
        <v>0.16815532446805528</v>
      </c>
      <c r="L616" s="11">
        <v>613</v>
      </c>
      <c r="M616" s="7">
        <f t="shared" ca="1" si="26"/>
        <v>5.2137233921220161E-2</v>
      </c>
      <c r="N616" s="7">
        <f ca="1">SUM($M$4:M616)</f>
        <v>6.4650170062313161E-2</v>
      </c>
    </row>
    <row r="617" spans="1:14" x14ac:dyDescent="0.3">
      <c r="A617" s="3">
        <v>44356</v>
      </c>
      <c r="B617" s="4">
        <v>30.559999000000001</v>
      </c>
      <c r="D617" s="11">
        <v>614</v>
      </c>
      <c r="E617" s="3">
        <v>44357</v>
      </c>
      <c r="F617" s="7">
        <f t="shared" si="25"/>
        <v>-1.3838771555957674E-2</v>
      </c>
      <c r="G617" s="7">
        <f>SUM($F$4:F617)</f>
        <v>0.15431655291209762</v>
      </c>
      <c r="L617" s="11">
        <v>614</v>
      </c>
      <c r="M617" s="7">
        <f t="shared" ca="1" si="26"/>
        <v>1.4598425497941644E-2</v>
      </c>
      <c r="N617" s="7">
        <f ca="1">SUM($M$4:M617)</f>
        <v>7.9248595560254806E-2</v>
      </c>
    </row>
    <row r="618" spans="1:14" x14ac:dyDescent="0.3">
      <c r="A618" s="3">
        <v>44357</v>
      </c>
      <c r="B618" s="4">
        <v>30.139999</v>
      </c>
      <c r="D618" s="11">
        <v>615</v>
      </c>
      <c r="E618" s="3">
        <v>44358</v>
      </c>
      <c r="F618" s="7">
        <f t="shared" si="25"/>
        <v>2.1336834394637249E-2</v>
      </c>
      <c r="G618" s="7">
        <f>SUM($F$4:F618)</f>
        <v>0.17565338730673485</v>
      </c>
      <c r="L618" s="11">
        <v>615</v>
      </c>
      <c r="M618" s="7">
        <f t="shared" ca="1" si="26"/>
        <v>-3.3367829709580903E-2</v>
      </c>
      <c r="N618" s="7">
        <f ca="1">SUM($M$4:M618)</f>
        <v>4.5880765850673903E-2</v>
      </c>
    </row>
    <row r="619" spans="1:14" x14ac:dyDescent="0.3">
      <c r="A619" s="3">
        <v>44358</v>
      </c>
      <c r="B619" s="4">
        <v>30.790001</v>
      </c>
      <c r="D619" s="11">
        <v>616</v>
      </c>
      <c r="E619" s="3">
        <v>44361</v>
      </c>
      <c r="F619" s="7">
        <f t="shared" si="25"/>
        <v>9.7383547748385133E-4</v>
      </c>
      <c r="G619" s="7">
        <f>SUM($F$4:F619)</f>
        <v>0.17662722278421872</v>
      </c>
      <c r="L619" s="11">
        <v>616</v>
      </c>
      <c r="M619" s="7">
        <f t="shared" ca="1" si="26"/>
        <v>2.7111361639034482E-2</v>
      </c>
      <c r="N619" s="7">
        <f ca="1">SUM($M$4:M619)</f>
        <v>7.2992127489708389E-2</v>
      </c>
    </row>
    <row r="620" spans="1:14" x14ac:dyDescent="0.3">
      <c r="A620" s="3">
        <v>44361</v>
      </c>
      <c r="B620" s="4">
        <v>30.82</v>
      </c>
      <c r="D620" s="11">
        <v>617</v>
      </c>
      <c r="E620" s="3">
        <v>44362</v>
      </c>
      <c r="F620" s="7">
        <f t="shared" si="25"/>
        <v>-2.4635832891531959E-2</v>
      </c>
      <c r="G620" s="7">
        <f>SUM($F$4:F620)</f>
        <v>0.15199138989268676</v>
      </c>
      <c r="L620" s="11">
        <v>617</v>
      </c>
      <c r="M620" s="7">
        <f t="shared" ca="1" si="26"/>
        <v>-1.4598425497941644E-2</v>
      </c>
      <c r="N620" s="7">
        <f ca="1">SUM($M$4:M620)</f>
        <v>5.8393701991766744E-2</v>
      </c>
    </row>
    <row r="621" spans="1:14" x14ac:dyDescent="0.3">
      <c r="A621" s="3">
        <v>44362</v>
      </c>
      <c r="B621" s="4">
        <v>30.07</v>
      </c>
      <c r="D621" s="11">
        <v>618</v>
      </c>
      <c r="E621" s="3">
        <v>44363</v>
      </c>
      <c r="F621" s="7">
        <f t="shared" si="25"/>
        <v>1.2886317636636517E-2</v>
      </c>
      <c r="G621" s="7">
        <f>SUM($F$4:F621)</f>
        <v>0.16487770752932329</v>
      </c>
      <c r="L621" s="11">
        <v>618</v>
      </c>
      <c r="M621" s="7">
        <f t="shared" ca="1" si="26"/>
        <v>-6.0479191348615388E-2</v>
      </c>
      <c r="N621" s="7">
        <f ca="1">SUM($M$4:M621)</f>
        <v>-2.0854893568486438E-3</v>
      </c>
    </row>
    <row r="622" spans="1:14" x14ac:dyDescent="0.3">
      <c r="A622" s="3">
        <v>44363</v>
      </c>
      <c r="B622" s="4">
        <v>30.459999</v>
      </c>
      <c r="D622" s="11">
        <v>619</v>
      </c>
      <c r="E622" s="3">
        <v>44364</v>
      </c>
      <c r="F622" s="7">
        <f t="shared" si="25"/>
        <v>-3.5079562071170661E-2</v>
      </c>
      <c r="G622" s="7">
        <f>SUM($F$4:F622)</f>
        <v>0.12979814545815263</v>
      </c>
      <c r="L622" s="11">
        <v>619</v>
      </c>
      <c r="M622" s="7">
        <f t="shared" ca="1" si="26"/>
        <v>2.9196850995883289E-2</v>
      </c>
      <c r="N622" s="7">
        <f ca="1">SUM($M$4:M622)</f>
        <v>2.7111361639034645E-2</v>
      </c>
    </row>
    <row r="623" spans="1:14" x14ac:dyDescent="0.3">
      <c r="A623" s="3">
        <v>44364</v>
      </c>
      <c r="B623" s="4">
        <v>29.41</v>
      </c>
      <c r="D623" s="11">
        <v>620</v>
      </c>
      <c r="E623" s="3">
        <v>44365</v>
      </c>
      <c r="F623" s="7">
        <f t="shared" si="25"/>
        <v>-1.128409990058506E-2</v>
      </c>
      <c r="G623" s="7">
        <f>SUM($F$4:F623)</f>
        <v>0.11851404555756757</v>
      </c>
      <c r="L623" s="11">
        <v>620</v>
      </c>
      <c r="M623" s="7">
        <f t="shared" ca="1" si="26"/>
        <v>-2.0854893568488065E-2</v>
      </c>
      <c r="N623" s="7">
        <f ca="1">SUM($M$4:M623)</f>
        <v>6.2564680705465801E-3</v>
      </c>
    </row>
    <row r="624" spans="1:14" x14ac:dyDescent="0.3">
      <c r="A624" s="3">
        <v>44365</v>
      </c>
      <c r="B624" s="4">
        <v>29.08</v>
      </c>
      <c r="D624" s="11">
        <v>621</v>
      </c>
      <c r="E624" s="3">
        <v>44368</v>
      </c>
      <c r="F624" s="7">
        <f t="shared" si="25"/>
        <v>2.0759669791723463E-2</v>
      </c>
      <c r="G624" s="7">
        <f>SUM($F$4:F624)</f>
        <v>0.13927371534929103</v>
      </c>
      <c r="L624" s="11">
        <v>621</v>
      </c>
      <c r="M624" s="7">
        <f t="shared" ca="1" si="26"/>
        <v>-2.9196850995883289E-2</v>
      </c>
      <c r="N624" s="7">
        <f ca="1">SUM($M$4:M624)</f>
        <v>-2.2940382925336709E-2</v>
      </c>
    </row>
    <row r="625" spans="1:14" x14ac:dyDescent="0.3">
      <c r="A625" s="3">
        <v>44368</v>
      </c>
      <c r="B625" s="4">
        <v>29.690000999999999</v>
      </c>
      <c r="D625" s="11">
        <v>622</v>
      </c>
      <c r="E625" s="3">
        <v>44369</v>
      </c>
      <c r="F625" s="7">
        <f t="shared" si="25"/>
        <v>-6.7590996298571996E-3</v>
      </c>
      <c r="G625" s="7">
        <f>SUM($F$4:F625)</f>
        <v>0.13251461571943382</v>
      </c>
      <c r="L625" s="11">
        <v>622</v>
      </c>
      <c r="M625" s="7">
        <f t="shared" ca="1" si="26"/>
        <v>2.7111361639034482E-2</v>
      </c>
      <c r="N625" s="7">
        <f ca="1">SUM($M$4:M625)</f>
        <v>4.1709787136977733E-3</v>
      </c>
    </row>
    <row r="626" spans="1:14" x14ac:dyDescent="0.3">
      <c r="A626" s="3">
        <v>44369</v>
      </c>
      <c r="B626" s="4">
        <v>29.49</v>
      </c>
      <c r="D626" s="11">
        <v>623</v>
      </c>
      <c r="E626" s="3">
        <v>44370</v>
      </c>
      <c r="F626" s="7">
        <f t="shared" si="25"/>
        <v>6.7796612766327536E-4</v>
      </c>
      <c r="G626" s="7">
        <f>SUM($F$4:F626)</f>
        <v>0.13319258184709709</v>
      </c>
      <c r="L626" s="11">
        <v>623</v>
      </c>
      <c r="M626" s="7">
        <f t="shared" ca="1" si="26"/>
        <v>2.2940382925336872E-2</v>
      </c>
      <c r="N626" s="7">
        <f ca="1">SUM($M$4:M626)</f>
        <v>2.7111361639034645E-2</v>
      </c>
    </row>
    <row r="627" spans="1:14" x14ac:dyDescent="0.3">
      <c r="A627" s="3">
        <v>44370</v>
      </c>
      <c r="B627" s="4">
        <v>29.51</v>
      </c>
      <c r="D627" s="11">
        <v>624</v>
      </c>
      <c r="E627" s="3">
        <v>44371</v>
      </c>
      <c r="F627" s="7">
        <f t="shared" si="25"/>
        <v>2.7078371819322756E-2</v>
      </c>
      <c r="G627" s="7">
        <f>SUM($F$4:F627)</f>
        <v>0.16027095366641986</v>
      </c>
      <c r="L627" s="11">
        <v>624</v>
      </c>
      <c r="M627" s="7">
        <f t="shared" ca="1" si="26"/>
        <v>-2.7111361639034482E-2</v>
      </c>
      <c r="N627" s="7">
        <f ca="1">SUM($M$4:M627)</f>
        <v>1.6306400674181987E-16</v>
      </c>
    </row>
    <row r="628" spans="1:14" x14ac:dyDescent="0.3">
      <c r="A628" s="3">
        <v>44371</v>
      </c>
      <c r="B628" s="4">
        <v>30.32</v>
      </c>
      <c r="D628" s="11">
        <v>625</v>
      </c>
      <c r="E628" s="3">
        <v>44372</v>
      </c>
      <c r="F628" s="7">
        <f t="shared" si="25"/>
        <v>1.7653318565250455E-2</v>
      </c>
      <c r="G628" s="7">
        <f>SUM($F$4:F628)</f>
        <v>0.17792427223167032</v>
      </c>
      <c r="L628" s="11">
        <v>625</v>
      </c>
      <c r="M628" s="7">
        <f t="shared" ca="1" si="26"/>
        <v>4.7966255207522547E-2</v>
      </c>
      <c r="N628" s="7">
        <f ca="1">SUM($M$4:M628)</f>
        <v>4.7966255207522707E-2</v>
      </c>
    </row>
    <row r="629" spans="1:14" x14ac:dyDescent="0.3">
      <c r="A629" s="3">
        <v>44372</v>
      </c>
      <c r="B629" s="4">
        <v>30.860001</v>
      </c>
      <c r="D629" s="11">
        <v>626</v>
      </c>
      <c r="E629" s="3">
        <v>44375</v>
      </c>
      <c r="F629" s="7">
        <f t="shared" si="25"/>
        <v>-9.4417434366781215E-3</v>
      </c>
      <c r="G629" s="7">
        <f>SUM($F$4:F629)</f>
        <v>0.1684825287949922</v>
      </c>
      <c r="L629" s="11">
        <v>626</v>
      </c>
      <c r="M629" s="7">
        <f t="shared" ca="1" si="26"/>
        <v>1.4598425497941644E-2</v>
      </c>
      <c r="N629" s="7">
        <f ca="1">SUM($M$4:M629)</f>
        <v>6.2564680705464351E-2</v>
      </c>
    </row>
    <row r="630" spans="1:14" x14ac:dyDescent="0.3">
      <c r="A630" s="3">
        <v>44375</v>
      </c>
      <c r="B630" s="4">
        <v>30.57</v>
      </c>
      <c r="D630" s="11">
        <v>627</v>
      </c>
      <c r="E630" s="3">
        <v>44376</v>
      </c>
      <c r="F630" s="7">
        <f t="shared" si="25"/>
        <v>-7.5521619823570117E-3</v>
      </c>
      <c r="G630" s="7">
        <f>SUM($F$4:F630)</f>
        <v>0.1609303668126352</v>
      </c>
      <c r="L630" s="11">
        <v>627</v>
      </c>
      <c r="M630" s="7">
        <f t="shared" ca="1" si="26"/>
        <v>3.5453319066429706E-2</v>
      </c>
      <c r="N630" s="7">
        <f ca="1">SUM($M$4:M630)</f>
        <v>9.8017999771894057E-2</v>
      </c>
    </row>
    <row r="631" spans="1:14" x14ac:dyDescent="0.3">
      <c r="A631" s="3">
        <v>44376</v>
      </c>
      <c r="B631" s="4">
        <v>30.34</v>
      </c>
      <c r="D631" s="11">
        <v>628</v>
      </c>
      <c r="E631" s="3">
        <v>44377</v>
      </c>
      <c r="F631" s="7">
        <f t="shared" si="25"/>
        <v>1.1144002578669205E-2</v>
      </c>
      <c r="G631" s="7">
        <f>SUM($F$4:F631)</f>
        <v>0.17207436939130441</v>
      </c>
      <c r="L631" s="11">
        <v>628</v>
      </c>
      <c r="M631" s="7">
        <f t="shared" ca="1" si="26"/>
        <v>-1.4598425497941644E-2</v>
      </c>
      <c r="N631" s="7">
        <f ca="1">SUM($M$4:M631)</f>
        <v>8.3419574273952413E-2</v>
      </c>
    </row>
    <row r="632" spans="1:14" x14ac:dyDescent="0.3">
      <c r="A632" s="3">
        <v>44377</v>
      </c>
      <c r="B632" s="4">
        <v>30.68</v>
      </c>
      <c r="D632" s="11">
        <v>629</v>
      </c>
      <c r="E632" s="3">
        <v>44378</v>
      </c>
      <c r="F632" s="7">
        <f t="shared" si="25"/>
        <v>1.6807150367662796E-2</v>
      </c>
      <c r="G632" s="7">
        <f>SUM($F$4:F632)</f>
        <v>0.18888151975896722</v>
      </c>
      <c r="L632" s="11">
        <v>629</v>
      </c>
      <c r="M632" s="7">
        <f t="shared" ca="1" si="26"/>
        <v>1.2512936141092838E-2</v>
      </c>
      <c r="N632" s="7">
        <f ca="1">SUM($M$4:M632)</f>
        <v>9.5932510415045247E-2</v>
      </c>
    </row>
    <row r="633" spans="1:14" x14ac:dyDescent="0.3">
      <c r="A633" s="3">
        <v>44378</v>
      </c>
      <c r="B633" s="4">
        <v>31.200001</v>
      </c>
      <c r="D633" s="11">
        <v>630</v>
      </c>
      <c r="E633" s="3">
        <v>44379</v>
      </c>
      <c r="F633" s="7">
        <f t="shared" si="25"/>
        <v>-1.9249925739043788E-3</v>
      </c>
      <c r="G633" s="7">
        <f>SUM($F$4:F633)</f>
        <v>0.18695652718506284</v>
      </c>
      <c r="L633" s="11">
        <v>630</v>
      </c>
      <c r="M633" s="7">
        <f t="shared" ca="1" si="26"/>
        <v>-1.6683914854790451E-2</v>
      </c>
      <c r="N633" s="7">
        <f ca="1">SUM($M$4:M633)</f>
        <v>7.9248595560254792E-2</v>
      </c>
    </row>
    <row r="634" spans="1:14" x14ac:dyDescent="0.3">
      <c r="A634" s="3">
        <v>44379</v>
      </c>
      <c r="B634" s="4">
        <v>31.139999</v>
      </c>
      <c r="D634" s="11">
        <v>631</v>
      </c>
      <c r="E634" s="3">
        <v>44383</v>
      </c>
      <c r="F634" s="7">
        <f t="shared" si="25"/>
        <v>-2.6026160372427623E-2</v>
      </c>
      <c r="G634" s="7">
        <f>SUM($F$4:F634)</f>
        <v>0.16093036681263523</v>
      </c>
      <c r="L634" s="11">
        <v>631</v>
      </c>
      <c r="M634" s="7">
        <f t="shared" ca="1" si="26"/>
        <v>-3.962429778012732E-2</v>
      </c>
      <c r="N634" s="7">
        <f ca="1">SUM($M$4:M634)</f>
        <v>3.9624297780127472E-2</v>
      </c>
    </row>
    <row r="635" spans="1:14" x14ac:dyDescent="0.3">
      <c r="A635" s="3">
        <v>44383</v>
      </c>
      <c r="B635" s="4">
        <v>30.34</v>
      </c>
      <c r="D635" s="11">
        <v>632</v>
      </c>
      <c r="E635" s="3">
        <v>44384</v>
      </c>
      <c r="F635" s="7">
        <f t="shared" si="25"/>
        <v>-2.6044911669884995E-2</v>
      </c>
      <c r="G635" s="7">
        <f>SUM($F$4:F635)</f>
        <v>0.13488545514275024</v>
      </c>
      <c r="L635" s="11">
        <v>632</v>
      </c>
      <c r="M635" s="7">
        <f t="shared" ca="1" si="26"/>
        <v>2.0854893568488064E-3</v>
      </c>
      <c r="N635" s="7">
        <f ca="1">SUM($M$4:M635)</f>
        <v>4.1709787136976276E-2</v>
      </c>
    </row>
    <row r="636" spans="1:14" x14ac:dyDescent="0.3">
      <c r="A636" s="3">
        <v>44384</v>
      </c>
      <c r="B636" s="4">
        <v>29.559999000000001</v>
      </c>
      <c r="D636" s="11">
        <v>633</v>
      </c>
      <c r="E636" s="3">
        <v>44385</v>
      </c>
      <c r="F636" s="7">
        <f t="shared" si="25"/>
        <v>-2.674132604492847E-2</v>
      </c>
      <c r="G636" s="7">
        <f>SUM($F$4:F636)</f>
        <v>0.10814412909782177</v>
      </c>
      <c r="L636" s="11">
        <v>633</v>
      </c>
      <c r="M636" s="7">
        <f t="shared" ca="1" si="26"/>
        <v>-1.2512936141092838E-2</v>
      </c>
      <c r="N636" s="7">
        <f ca="1">SUM($M$4:M636)</f>
        <v>2.9196850995883438E-2</v>
      </c>
    </row>
    <row r="637" spans="1:14" x14ac:dyDescent="0.3">
      <c r="A637" s="3">
        <v>44385</v>
      </c>
      <c r="B637" s="4">
        <v>28.780000999999999</v>
      </c>
      <c r="D637" s="11">
        <v>634</v>
      </c>
      <c r="E637" s="3">
        <v>44386</v>
      </c>
      <c r="F637" s="7">
        <f t="shared" si="25"/>
        <v>1.7906745687755351E-2</v>
      </c>
      <c r="G637" s="7">
        <f>SUM($F$4:F637)</f>
        <v>0.12605087478557711</v>
      </c>
      <c r="L637" s="11">
        <v>634</v>
      </c>
      <c r="M637" s="7">
        <f t="shared" ca="1" si="26"/>
        <v>5.6308212634917774E-2</v>
      </c>
      <c r="N637" s="7">
        <f ca="1">SUM($M$4:M637)</f>
        <v>8.5505063630801209E-2</v>
      </c>
    </row>
    <row r="638" spans="1:14" x14ac:dyDescent="0.3">
      <c r="A638" s="3">
        <v>44386</v>
      </c>
      <c r="B638" s="4">
        <v>29.299999</v>
      </c>
      <c r="D638" s="11">
        <v>635</v>
      </c>
      <c r="E638" s="3">
        <v>44389</v>
      </c>
      <c r="F638" s="7">
        <f t="shared" si="25"/>
        <v>1.1874643550406237E-2</v>
      </c>
      <c r="G638" s="7">
        <f>SUM($F$4:F638)</f>
        <v>0.13792551833598335</v>
      </c>
      <c r="L638" s="11">
        <v>635</v>
      </c>
      <c r="M638" s="7">
        <f t="shared" ca="1" si="26"/>
        <v>-4.7966255207522547E-2</v>
      </c>
      <c r="N638" s="7">
        <f ca="1">SUM($M$4:M638)</f>
        <v>3.7538808423278662E-2</v>
      </c>
    </row>
    <row r="639" spans="1:14" x14ac:dyDescent="0.3">
      <c r="A639" s="3">
        <v>44389</v>
      </c>
      <c r="B639" s="4">
        <v>29.65</v>
      </c>
      <c r="D639" s="11">
        <v>636</v>
      </c>
      <c r="E639" s="3">
        <v>44390</v>
      </c>
      <c r="F639" s="7">
        <f t="shared" si="25"/>
        <v>-1.8723951266287526E-2</v>
      </c>
      <c r="G639" s="7">
        <f>SUM($F$4:F639)</f>
        <v>0.11920156706969583</v>
      </c>
      <c r="L639" s="11">
        <v>636</v>
      </c>
      <c r="M639" s="7">
        <f t="shared" ca="1" si="26"/>
        <v>2.7111361639034482E-2</v>
      </c>
      <c r="N639" s="7">
        <f ca="1">SUM($M$4:M639)</f>
        <v>6.4650170062313148E-2</v>
      </c>
    </row>
    <row r="640" spans="1:14" x14ac:dyDescent="0.3">
      <c r="A640" s="3">
        <v>44390</v>
      </c>
      <c r="B640" s="4">
        <v>29.1</v>
      </c>
      <c r="D640" s="11">
        <v>637</v>
      </c>
      <c r="E640" s="3">
        <v>44391</v>
      </c>
      <c r="F640" s="7">
        <f t="shared" si="25"/>
        <v>-1.244829352656803E-2</v>
      </c>
      <c r="G640" s="7">
        <f>SUM($F$4:F640)</f>
        <v>0.1067532735431278</v>
      </c>
      <c r="L640" s="11">
        <v>637</v>
      </c>
      <c r="M640" s="7">
        <f t="shared" ca="1" si="26"/>
        <v>-3.5453319066429706E-2</v>
      </c>
      <c r="N640" s="7">
        <f ca="1">SUM($M$4:M640)</f>
        <v>2.9196850995883442E-2</v>
      </c>
    </row>
    <row r="641" spans="1:14" x14ac:dyDescent="0.3">
      <c r="A641" s="3">
        <v>44391</v>
      </c>
      <c r="B641" s="4">
        <v>28.74</v>
      </c>
      <c r="D641" s="11">
        <v>638</v>
      </c>
      <c r="E641" s="3">
        <v>44392</v>
      </c>
      <c r="F641" s="7">
        <f t="shared" si="25"/>
        <v>-9.7903231262075879E-3</v>
      </c>
      <c r="G641" s="7">
        <f>SUM($F$4:F641)</f>
        <v>9.6962950416920213E-2</v>
      </c>
      <c r="L641" s="11">
        <v>638</v>
      </c>
      <c r="M641" s="7">
        <f t="shared" ca="1" si="26"/>
        <v>3.7538808423278516E-2</v>
      </c>
      <c r="N641" s="7">
        <f ca="1">SUM($M$4:M641)</f>
        <v>6.6735659419161958E-2</v>
      </c>
    </row>
    <row r="642" spans="1:14" x14ac:dyDescent="0.3">
      <c r="A642" s="3">
        <v>44392</v>
      </c>
      <c r="B642" s="4">
        <v>28.459999</v>
      </c>
      <c r="D642" s="11">
        <v>639</v>
      </c>
      <c r="E642" s="3">
        <v>44393</v>
      </c>
      <c r="F642" s="7">
        <f t="shared" si="25"/>
        <v>-9.8870510541371331E-3</v>
      </c>
      <c r="G642" s="7">
        <f>SUM($F$4:F642)</f>
        <v>8.707589936278308E-2</v>
      </c>
      <c r="L642" s="11">
        <v>639</v>
      </c>
      <c r="M642" s="7">
        <f t="shared" ca="1" si="26"/>
        <v>3.1282340352732099E-2</v>
      </c>
      <c r="N642" s="7">
        <f ca="1">SUM($M$4:M642)</f>
        <v>9.8017999771894057E-2</v>
      </c>
    </row>
    <row r="643" spans="1:14" x14ac:dyDescent="0.3">
      <c r="A643" s="3">
        <v>44393</v>
      </c>
      <c r="B643" s="4">
        <v>28.18</v>
      </c>
      <c r="D643" s="11">
        <v>640</v>
      </c>
      <c r="E643" s="3">
        <v>44396</v>
      </c>
      <c r="F643" s="7">
        <f t="shared" si="25"/>
        <v>-1.2857319975237317E-2</v>
      </c>
      <c r="G643" s="7">
        <f>SUM($F$4:F643)</f>
        <v>7.4218579387545766E-2</v>
      </c>
      <c r="L643" s="11">
        <v>640</v>
      </c>
      <c r="M643" s="7">
        <f t="shared" ca="1" si="26"/>
        <v>-2.7111361639034482E-2</v>
      </c>
      <c r="N643" s="7">
        <f ca="1">SUM($M$4:M643)</f>
        <v>7.0906638132859579E-2</v>
      </c>
    </row>
    <row r="644" spans="1:14" x14ac:dyDescent="0.3">
      <c r="A644" s="3">
        <v>44396</v>
      </c>
      <c r="B644" s="4">
        <v>27.82</v>
      </c>
      <c r="D644" s="11">
        <v>641</v>
      </c>
      <c r="E644" s="3">
        <v>44397</v>
      </c>
      <c r="F644" s="7">
        <f t="shared" ref="F644:F707" si="27">LN(B645/B644)</f>
        <v>1.1081400457232325E-2</v>
      </c>
      <c r="G644" s="7">
        <f>SUM($F$4:F644)</f>
        <v>8.5299979844778093E-2</v>
      </c>
      <c r="L644" s="11">
        <v>641</v>
      </c>
      <c r="M644" s="7">
        <f t="shared" ca="1" si="26"/>
        <v>2.0854893568488064E-3</v>
      </c>
      <c r="N644" s="7">
        <f ca="1">SUM($M$4:M644)</f>
        <v>7.2992127489708389E-2</v>
      </c>
    </row>
    <row r="645" spans="1:14" x14ac:dyDescent="0.3">
      <c r="A645" s="3">
        <v>44397</v>
      </c>
      <c r="B645" s="4">
        <v>28.129999000000002</v>
      </c>
      <c r="D645" s="11">
        <v>642</v>
      </c>
      <c r="E645" s="3">
        <v>44398</v>
      </c>
      <c r="F645" s="7">
        <f t="shared" si="27"/>
        <v>2.3191552405837521E-2</v>
      </c>
      <c r="G645" s="7">
        <f>SUM($F$4:F645)</f>
        <v>0.10849153225061561</v>
      </c>
      <c r="L645" s="11">
        <v>642</v>
      </c>
      <c r="M645" s="7">
        <f t="shared" ref="M645:M708" ca="1" si="28">(2*_xlfn.BINOM.INV($J$4,$J$12,RAND())-$J$4)*$J$11</f>
        <v>-4.7966255207522547E-2</v>
      </c>
      <c r="N645" s="7">
        <f ca="1">SUM($M$4:M645)</f>
        <v>2.5025872282185842E-2</v>
      </c>
    </row>
    <row r="646" spans="1:14" x14ac:dyDescent="0.3">
      <c r="A646" s="3">
        <v>44398</v>
      </c>
      <c r="B646" s="4">
        <v>28.790001</v>
      </c>
      <c r="D646" s="11">
        <v>643</v>
      </c>
      <c r="E646" s="3">
        <v>44399</v>
      </c>
      <c r="F646" s="7">
        <f t="shared" si="27"/>
        <v>-1.0826052814591619E-2</v>
      </c>
      <c r="G646" s="7">
        <f>SUM($F$4:F646)</f>
        <v>9.7665479436023994E-2</v>
      </c>
      <c r="L646" s="11">
        <v>643</v>
      </c>
      <c r="M646" s="7">
        <f t="shared" ca="1" si="28"/>
        <v>-1.8769404211639258E-2</v>
      </c>
      <c r="N646" s="7">
        <f ca="1">SUM($M$4:M646)</f>
        <v>6.2564680705465836E-3</v>
      </c>
    </row>
    <row r="647" spans="1:14" x14ac:dyDescent="0.3">
      <c r="A647" s="3">
        <v>44399</v>
      </c>
      <c r="B647" s="4">
        <v>28.48</v>
      </c>
      <c r="D647" s="11">
        <v>644</v>
      </c>
      <c r="E647" s="3">
        <v>44400</v>
      </c>
      <c r="F647" s="7">
        <f t="shared" si="27"/>
        <v>-3.5122037852210956E-4</v>
      </c>
      <c r="G647" s="7">
        <f>SUM($F$4:F647)</f>
        <v>9.7314259057501878E-2</v>
      </c>
      <c r="L647" s="11">
        <v>644</v>
      </c>
      <c r="M647" s="7">
        <f t="shared" ca="1" si="28"/>
        <v>-1.2512936141092838E-2</v>
      </c>
      <c r="N647" s="7">
        <f ca="1">SUM($M$4:M647)</f>
        <v>-6.256468070546254E-3</v>
      </c>
    </row>
    <row r="648" spans="1:14" x14ac:dyDescent="0.3">
      <c r="A648" s="3">
        <v>44400</v>
      </c>
      <c r="B648" s="4">
        <v>28.469999000000001</v>
      </c>
      <c r="D648" s="11">
        <v>645</v>
      </c>
      <c r="E648" s="3">
        <v>44403</v>
      </c>
      <c r="F648" s="7">
        <f t="shared" si="27"/>
        <v>3.0100906549582796E-2</v>
      </c>
      <c r="G648" s="7">
        <f>SUM($F$4:F648)</f>
        <v>0.12741516560708468</v>
      </c>
      <c r="L648" s="11">
        <v>645</v>
      </c>
      <c r="M648" s="7">
        <f t="shared" ca="1" si="28"/>
        <v>1.8769404211639258E-2</v>
      </c>
      <c r="N648" s="7">
        <f ca="1">SUM($M$4:M648)</f>
        <v>1.2512936141093004E-2</v>
      </c>
    </row>
    <row r="649" spans="1:14" x14ac:dyDescent="0.3">
      <c r="A649" s="3">
        <v>44403</v>
      </c>
      <c r="B649" s="4">
        <v>29.34</v>
      </c>
      <c r="D649" s="11">
        <v>646</v>
      </c>
      <c r="E649" s="3">
        <v>44404</v>
      </c>
      <c r="F649" s="7">
        <f t="shared" si="27"/>
        <v>-1.753526106452493E-2</v>
      </c>
      <c r="G649" s="7">
        <f>SUM($F$4:F649)</f>
        <v>0.10987990454255975</v>
      </c>
      <c r="L649" s="11">
        <v>646</v>
      </c>
      <c r="M649" s="7">
        <f t="shared" ca="1" si="28"/>
        <v>-6.0479191348615388E-2</v>
      </c>
      <c r="N649" s="7">
        <f ca="1">SUM($M$4:M649)</f>
        <v>-4.7966255207522387E-2</v>
      </c>
    </row>
    <row r="650" spans="1:14" x14ac:dyDescent="0.3">
      <c r="A650" s="3">
        <v>44404</v>
      </c>
      <c r="B650" s="4">
        <v>28.83</v>
      </c>
      <c r="D650" s="11">
        <v>647</v>
      </c>
      <c r="E650" s="3">
        <v>44405</v>
      </c>
      <c r="F650" s="7">
        <f t="shared" si="27"/>
        <v>1.9237934755336056E-2</v>
      </c>
      <c r="G650" s="7">
        <f>SUM($F$4:F650)</f>
        <v>0.1291178392978958</v>
      </c>
      <c r="L650" s="11">
        <v>647</v>
      </c>
      <c r="M650" s="7">
        <f t="shared" ca="1" si="28"/>
        <v>2.2940382925336872E-2</v>
      </c>
      <c r="N650" s="7">
        <f ca="1">SUM($M$4:M650)</f>
        <v>-2.5025872282185516E-2</v>
      </c>
    </row>
    <row r="651" spans="1:14" x14ac:dyDescent="0.3">
      <c r="A651" s="3">
        <v>44405</v>
      </c>
      <c r="B651" s="4">
        <v>29.389999</v>
      </c>
      <c r="D651" s="11">
        <v>648</v>
      </c>
      <c r="E651" s="3">
        <v>44406</v>
      </c>
      <c r="F651" s="7">
        <f t="shared" si="27"/>
        <v>2.6525006934055972E-2</v>
      </c>
      <c r="G651" s="7">
        <f>SUM($F$4:F651)</f>
        <v>0.15564284623195176</v>
      </c>
      <c r="L651" s="11">
        <v>648</v>
      </c>
      <c r="M651" s="7">
        <f t="shared" ca="1" si="28"/>
        <v>3.7538808423278516E-2</v>
      </c>
      <c r="N651" s="7">
        <f ca="1">SUM($M$4:M651)</f>
        <v>1.2512936141093001E-2</v>
      </c>
    </row>
    <row r="652" spans="1:14" x14ac:dyDescent="0.3">
      <c r="A652" s="3">
        <v>44406</v>
      </c>
      <c r="B652" s="4">
        <v>30.18</v>
      </c>
      <c r="D652" s="11">
        <v>649</v>
      </c>
      <c r="E652" s="3">
        <v>44407</v>
      </c>
      <c r="F652" s="7">
        <f t="shared" si="27"/>
        <v>-3.9538855206390069E-2</v>
      </c>
      <c r="G652" s="7">
        <f>SUM($F$4:F652)</f>
        <v>0.1161039910255617</v>
      </c>
      <c r="L652" s="11">
        <v>649</v>
      </c>
      <c r="M652" s="7">
        <f t="shared" ca="1" si="28"/>
        <v>4.5880765850673744E-2</v>
      </c>
      <c r="N652" s="7">
        <f ca="1">SUM($M$4:M652)</f>
        <v>5.8393701991766744E-2</v>
      </c>
    </row>
    <row r="653" spans="1:14" x14ac:dyDescent="0.3">
      <c r="A653" s="3">
        <v>44407</v>
      </c>
      <c r="B653" s="4">
        <v>29.01</v>
      </c>
      <c r="D653" s="11">
        <v>650</v>
      </c>
      <c r="E653" s="3">
        <v>44410</v>
      </c>
      <c r="F653" s="7">
        <f t="shared" si="27"/>
        <v>2.7538743737974712E-3</v>
      </c>
      <c r="G653" s="7">
        <f>SUM($F$4:F653)</f>
        <v>0.11885786539935916</v>
      </c>
      <c r="L653" s="11">
        <v>650</v>
      </c>
      <c r="M653" s="7">
        <f t="shared" ca="1" si="28"/>
        <v>-8.3419574273952257E-3</v>
      </c>
      <c r="N653" s="7">
        <f ca="1">SUM($M$4:M653)</f>
        <v>5.0051744564371517E-2</v>
      </c>
    </row>
    <row r="654" spans="1:14" x14ac:dyDescent="0.3">
      <c r="A654" s="3">
        <v>44410</v>
      </c>
      <c r="B654" s="4">
        <v>29.09</v>
      </c>
      <c r="D654" s="11">
        <v>651</v>
      </c>
      <c r="E654" s="3">
        <v>44411</v>
      </c>
      <c r="F654" s="7">
        <f t="shared" si="27"/>
        <v>-4.2843595132378641E-2</v>
      </c>
      <c r="G654" s="7">
        <f>SUM($F$4:F654)</f>
        <v>7.6014270266980516E-2</v>
      </c>
      <c r="L654" s="11">
        <v>651</v>
      </c>
      <c r="M654" s="7">
        <f t="shared" ca="1" si="28"/>
        <v>1.6683914854790451E-2</v>
      </c>
      <c r="N654" s="7">
        <f ca="1">SUM($M$4:M654)</f>
        <v>6.6735659419161972E-2</v>
      </c>
    </row>
    <row r="655" spans="1:14" x14ac:dyDescent="0.3">
      <c r="A655" s="3">
        <v>44411</v>
      </c>
      <c r="B655" s="4">
        <v>27.870000999999998</v>
      </c>
      <c r="D655" s="11">
        <v>652</v>
      </c>
      <c r="E655" s="3">
        <v>44412</v>
      </c>
      <c r="F655" s="7">
        <f t="shared" si="27"/>
        <v>1.6723356887802732E-2</v>
      </c>
      <c r="G655" s="7">
        <f>SUM($F$4:F655)</f>
        <v>9.2737627154783245E-2</v>
      </c>
      <c r="L655" s="11">
        <v>652</v>
      </c>
      <c r="M655" s="7">
        <f t="shared" ca="1" si="28"/>
        <v>1.4598425497941644E-2</v>
      </c>
      <c r="N655" s="7">
        <f ca="1">SUM($M$4:M655)</f>
        <v>8.1334084917103616E-2</v>
      </c>
    </row>
    <row r="656" spans="1:14" x14ac:dyDescent="0.3">
      <c r="A656" s="3">
        <v>44412</v>
      </c>
      <c r="B656" s="4">
        <v>28.34</v>
      </c>
      <c r="D656" s="11">
        <v>653</v>
      </c>
      <c r="E656" s="3">
        <v>44413</v>
      </c>
      <c r="F656" s="7">
        <f t="shared" si="27"/>
        <v>2.9894509258276553E-2</v>
      </c>
      <c r="G656" s="7">
        <f>SUM($F$4:F656)</f>
        <v>0.1226321364130598</v>
      </c>
      <c r="L656" s="11">
        <v>653</v>
      </c>
      <c r="M656" s="7">
        <f t="shared" ca="1" si="28"/>
        <v>-2.7111361639034482E-2</v>
      </c>
      <c r="N656" s="7">
        <f ca="1">SUM($M$4:M656)</f>
        <v>5.4222723278069138E-2</v>
      </c>
    </row>
    <row r="657" spans="1:14" x14ac:dyDescent="0.3">
      <c r="A657" s="3">
        <v>44413</v>
      </c>
      <c r="B657" s="4">
        <v>29.200001</v>
      </c>
      <c r="D657" s="11">
        <v>654</v>
      </c>
      <c r="E657" s="3">
        <v>44414</v>
      </c>
      <c r="F657" s="7">
        <f t="shared" si="27"/>
        <v>-5.4945191289543548E-3</v>
      </c>
      <c r="G657" s="7">
        <f>SUM($F$4:F657)</f>
        <v>0.11713761728410545</v>
      </c>
      <c r="L657" s="11">
        <v>654</v>
      </c>
      <c r="M657" s="7">
        <f t="shared" ca="1" si="28"/>
        <v>-6.4650170062312995E-2</v>
      </c>
      <c r="N657" s="7">
        <f ca="1">SUM($M$4:M657)</f>
        <v>-1.0427446784243857E-2</v>
      </c>
    </row>
    <row r="658" spans="1:14" x14ac:dyDescent="0.3">
      <c r="A658" s="3">
        <v>44414</v>
      </c>
      <c r="B658" s="4">
        <v>29.040001</v>
      </c>
      <c r="D658" s="11">
        <v>655</v>
      </c>
      <c r="E658" s="3">
        <v>44417</v>
      </c>
      <c r="F658" s="7">
        <f t="shared" si="27"/>
        <v>6.5213547312980326E-3</v>
      </c>
      <c r="G658" s="7">
        <f>SUM($F$4:F658)</f>
        <v>0.12365897201540348</v>
      </c>
      <c r="L658" s="11">
        <v>655</v>
      </c>
      <c r="M658" s="7">
        <f t="shared" ca="1" si="28"/>
        <v>6.2564680705464188E-3</v>
      </c>
      <c r="N658" s="7">
        <f ca="1">SUM($M$4:M658)</f>
        <v>-4.1709787136974385E-3</v>
      </c>
    </row>
    <row r="659" spans="1:14" x14ac:dyDescent="0.3">
      <c r="A659" s="3">
        <v>44417</v>
      </c>
      <c r="B659" s="4">
        <v>29.23</v>
      </c>
      <c r="D659" s="11">
        <v>656</v>
      </c>
      <c r="E659" s="3">
        <v>44418</v>
      </c>
      <c r="F659" s="7">
        <f t="shared" si="27"/>
        <v>7.1587487049116598E-3</v>
      </c>
      <c r="G659" s="7">
        <f>SUM($F$4:F659)</f>
        <v>0.13081772072031514</v>
      </c>
      <c r="L659" s="11">
        <v>656</v>
      </c>
      <c r="M659" s="7">
        <f t="shared" ca="1" si="28"/>
        <v>4.1709787136976128E-3</v>
      </c>
      <c r="N659" s="7">
        <f ca="1">SUM($M$4:M659)</f>
        <v>1.7433970933566911E-16</v>
      </c>
    </row>
    <row r="660" spans="1:14" x14ac:dyDescent="0.3">
      <c r="A660" s="3">
        <v>44418</v>
      </c>
      <c r="B660" s="4">
        <v>29.440000999999999</v>
      </c>
      <c r="D660" s="11">
        <v>657</v>
      </c>
      <c r="E660" s="3">
        <v>44419</v>
      </c>
      <c r="F660" s="7">
        <f t="shared" si="27"/>
        <v>3.3961622538646253E-4</v>
      </c>
      <c r="G660" s="7">
        <f>SUM($F$4:F660)</f>
        <v>0.13115733694570161</v>
      </c>
      <c r="L660" s="11">
        <v>657</v>
      </c>
      <c r="M660" s="7">
        <f t="shared" ca="1" si="28"/>
        <v>2.2940382925336872E-2</v>
      </c>
      <c r="N660" s="7">
        <f ca="1">SUM($M$4:M660)</f>
        <v>2.2940382925337045E-2</v>
      </c>
    </row>
    <row r="661" spans="1:14" x14ac:dyDescent="0.3">
      <c r="A661" s="3">
        <v>44419</v>
      </c>
      <c r="B661" s="4">
        <v>29.450001</v>
      </c>
      <c r="D661" s="11">
        <v>658</v>
      </c>
      <c r="E661" s="3">
        <v>44420</v>
      </c>
      <c r="F661" s="7">
        <f t="shared" si="27"/>
        <v>-1.8852348935066054E-2</v>
      </c>
      <c r="G661" s="7">
        <f>SUM($F$4:F661)</f>
        <v>0.11230498801063556</v>
      </c>
      <c r="L661" s="11">
        <v>658</v>
      </c>
      <c r="M661" s="7">
        <f t="shared" ca="1" si="28"/>
        <v>2.0854893568488064E-3</v>
      </c>
      <c r="N661" s="7">
        <f ca="1">SUM($M$4:M661)</f>
        <v>2.5025872282185852E-2</v>
      </c>
    </row>
    <row r="662" spans="1:14" x14ac:dyDescent="0.3">
      <c r="A662" s="3">
        <v>44420</v>
      </c>
      <c r="B662" s="4">
        <v>28.9</v>
      </c>
      <c r="D662" s="11">
        <v>659</v>
      </c>
      <c r="E662" s="3">
        <v>44421</v>
      </c>
      <c r="F662" s="7">
        <f t="shared" si="27"/>
        <v>-1.6748472449431819E-2</v>
      </c>
      <c r="G662" s="7">
        <f>SUM($F$4:F662)</f>
        <v>9.5556515561203731E-2</v>
      </c>
      <c r="L662" s="11">
        <v>659</v>
      </c>
      <c r="M662" s="7">
        <f t="shared" ca="1" si="28"/>
        <v>2.9196850995883289E-2</v>
      </c>
      <c r="N662" s="7">
        <f ca="1">SUM($M$4:M662)</f>
        <v>5.4222723278069138E-2</v>
      </c>
    </row>
    <row r="663" spans="1:14" x14ac:dyDescent="0.3">
      <c r="A663" s="3">
        <v>44421</v>
      </c>
      <c r="B663" s="4">
        <v>28.42</v>
      </c>
      <c r="D663" s="11">
        <v>660</v>
      </c>
      <c r="E663" s="3">
        <v>44424</v>
      </c>
      <c r="F663" s="7">
        <f t="shared" si="27"/>
        <v>-2.8188884064202771E-3</v>
      </c>
      <c r="G663" s="7">
        <f>SUM($F$4:F663)</f>
        <v>9.2737627154783453E-2</v>
      </c>
      <c r="L663" s="11">
        <v>660</v>
      </c>
      <c r="M663" s="7">
        <f t="shared" ca="1" si="28"/>
        <v>-8.341957427395226E-2</v>
      </c>
      <c r="N663" s="7">
        <f ca="1">SUM($M$4:M663)</f>
        <v>-2.9196850995883122E-2</v>
      </c>
    </row>
    <row r="664" spans="1:14" x14ac:dyDescent="0.3">
      <c r="A664" s="3">
        <v>44424</v>
      </c>
      <c r="B664" s="4">
        <v>28.34</v>
      </c>
      <c r="D664" s="11">
        <v>661</v>
      </c>
      <c r="E664" s="3">
        <v>44425</v>
      </c>
      <c r="F664" s="7">
        <f t="shared" si="27"/>
        <v>9.4821077522975784E-3</v>
      </c>
      <c r="G664" s="7">
        <f>SUM($F$4:F664)</f>
        <v>0.10221973490708103</v>
      </c>
      <c r="L664" s="11">
        <v>661</v>
      </c>
      <c r="M664" s="7">
        <f t="shared" ca="1" si="28"/>
        <v>-3.3367829709580903E-2</v>
      </c>
      <c r="N664" s="7">
        <f ca="1">SUM($M$4:M664)</f>
        <v>-6.2564680705464032E-2</v>
      </c>
    </row>
    <row r="665" spans="1:14" x14ac:dyDescent="0.3">
      <c r="A665" s="3">
        <v>44425</v>
      </c>
      <c r="B665" s="4">
        <v>28.610001</v>
      </c>
      <c r="D665" s="11">
        <v>662</v>
      </c>
      <c r="E665" s="3">
        <v>44426</v>
      </c>
      <c r="F665" s="7">
        <f t="shared" si="27"/>
        <v>-5.6081462931078414E-3</v>
      </c>
      <c r="G665" s="7">
        <f>SUM($F$4:F665)</f>
        <v>9.661158861397319E-2</v>
      </c>
      <c r="L665" s="11">
        <v>662</v>
      </c>
      <c r="M665" s="7">
        <f t="shared" ca="1" si="28"/>
        <v>6.2564680705464188E-3</v>
      </c>
      <c r="N665" s="7">
        <f ca="1">SUM($M$4:M665)</f>
        <v>-5.6308212634917615E-2</v>
      </c>
    </row>
    <row r="666" spans="1:14" x14ac:dyDescent="0.3">
      <c r="A666" s="3">
        <v>44426</v>
      </c>
      <c r="B666" s="4">
        <v>28.450001</v>
      </c>
      <c r="D666" s="11">
        <v>663</v>
      </c>
      <c r="E666" s="3">
        <v>44427</v>
      </c>
      <c r="F666" s="7">
        <f t="shared" si="27"/>
        <v>-2.5272780835038762E-2</v>
      </c>
      <c r="G666" s="7">
        <f>SUM($F$4:F666)</f>
        <v>7.1338807778934421E-2</v>
      </c>
      <c r="L666" s="11">
        <v>663</v>
      </c>
      <c r="M666" s="7">
        <f t="shared" ca="1" si="28"/>
        <v>3.1282340352732099E-2</v>
      </c>
      <c r="N666" s="7">
        <f ca="1">SUM($M$4:M666)</f>
        <v>-2.5025872282185516E-2</v>
      </c>
    </row>
    <row r="667" spans="1:14" x14ac:dyDescent="0.3">
      <c r="A667" s="3">
        <v>44427</v>
      </c>
      <c r="B667" s="4">
        <v>27.74</v>
      </c>
      <c r="D667" s="11">
        <v>664</v>
      </c>
      <c r="E667" s="3">
        <v>44428</v>
      </c>
      <c r="F667" s="7">
        <f t="shared" si="27"/>
        <v>1.1825975487105674E-2</v>
      </c>
      <c r="G667" s="7">
        <f>SUM($F$4:F667)</f>
        <v>8.3164783266040099E-2</v>
      </c>
      <c r="L667" s="11">
        <v>664</v>
      </c>
      <c r="M667" s="7">
        <f t="shared" ca="1" si="28"/>
        <v>2.2940382925336872E-2</v>
      </c>
      <c r="N667" s="7">
        <f ca="1">SUM($M$4:M667)</f>
        <v>-2.0854893568486438E-3</v>
      </c>
    </row>
    <row r="668" spans="1:14" x14ac:dyDescent="0.3">
      <c r="A668" s="3">
        <v>44428</v>
      </c>
      <c r="B668" s="4">
        <v>28.07</v>
      </c>
      <c r="D668" s="11">
        <v>665</v>
      </c>
      <c r="E668" s="3">
        <v>44431</v>
      </c>
      <c r="F668" s="7">
        <f t="shared" si="27"/>
        <v>1.3095249722992322E-2</v>
      </c>
      <c r="G668" s="7">
        <f>SUM($F$4:F668)</f>
        <v>9.6260032989032421E-2</v>
      </c>
      <c r="L668" s="11">
        <v>665</v>
      </c>
      <c r="M668" s="7">
        <f t="shared" ca="1" si="28"/>
        <v>-8.3419574273952257E-3</v>
      </c>
      <c r="N668" s="7">
        <f ca="1">SUM($M$4:M668)</f>
        <v>-1.0427446784243869E-2</v>
      </c>
    </row>
    <row r="669" spans="1:14" x14ac:dyDescent="0.3">
      <c r="A669" s="3">
        <v>44431</v>
      </c>
      <c r="B669" s="4">
        <v>28.440000999999999</v>
      </c>
      <c r="D669" s="11">
        <v>666</v>
      </c>
      <c r="E669" s="3">
        <v>44432</v>
      </c>
      <c r="F669" s="7">
        <f t="shared" si="27"/>
        <v>9.1005175119968952E-3</v>
      </c>
      <c r="G669" s="7">
        <f>SUM($F$4:F669)</f>
        <v>0.10536055050102931</v>
      </c>
      <c r="L669" s="11">
        <v>666</v>
      </c>
      <c r="M669" s="7">
        <f t="shared" ca="1" si="28"/>
        <v>-4.1709787136976128E-3</v>
      </c>
      <c r="N669" s="7">
        <f ca="1">SUM($M$4:M669)</f>
        <v>-1.4598425497941481E-2</v>
      </c>
    </row>
    <row r="670" spans="1:14" x14ac:dyDescent="0.3">
      <c r="A670" s="3">
        <v>44432</v>
      </c>
      <c r="B670" s="4">
        <v>28.700001</v>
      </c>
      <c r="D670" s="11">
        <v>667</v>
      </c>
      <c r="E670" s="3">
        <v>44433</v>
      </c>
      <c r="F670" s="7">
        <f t="shared" si="27"/>
        <v>1.3927230420984612E-3</v>
      </c>
      <c r="G670" s="7">
        <f>SUM($F$4:F670)</f>
        <v>0.10675327354312777</v>
      </c>
      <c r="L670" s="11">
        <v>667</v>
      </c>
      <c r="M670" s="7">
        <f t="shared" ca="1" si="28"/>
        <v>-3.1282340352732099E-2</v>
      </c>
      <c r="N670" s="7">
        <f ca="1">SUM($M$4:M670)</f>
        <v>-4.5880765850673577E-2</v>
      </c>
    </row>
    <row r="671" spans="1:14" x14ac:dyDescent="0.3">
      <c r="A671" s="3">
        <v>44433</v>
      </c>
      <c r="B671" s="4">
        <v>28.74</v>
      </c>
      <c r="D671" s="11">
        <v>668</v>
      </c>
      <c r="E671" s="3">
        <v>44434</v>
      </c>
      <c r="F671" s="7">
        <f t="shared" si="27"/>
        <v>-3.0021714866627067E-2</v>
      </c>
      <c r="G671" s="7">
        <f>SUM($F$4:F671)</f>
        <v>7.6731558676500708E-2</v>
      </c>
      <c r="L671" s="11">
        <v>668</v>
      </c>
      <c r="M671" s="7">
        <f t="shared" ca="1" si="28"/>
        <v>-8.3419574273952257E-3</v>
      </c>
      <c r="N671" s="7">
        <f ca="1">SUM($M$4:M671)</f>
        <v>-5.4222723278068805E-2</v>
      </c>
    </row>
    <row r="672" spans="1:14" x14ac:dyDescent="0.3">
      <c r="A672" s="3">
        <v>44434</v>
      </c>
      <c r="B672" s="4">
        <v>27.889999</v>
      </c>
      <c r="D672" s="11">
        <v>669</v>
      </c>
      <c r="E672" s="3">
        <v>44435</v>
      </c>
      <c r="F672" s="7">
        <f t="shared" si="27"/>
        <v>1.3886710604798482E-2</v>
      </c>
      <c r="G672" s="7">
        <f>SUM($F$4:F672)</f>
        <v>9.0618269281299194E-2</v>
      </c>
      <c r="L672" s="11">
        <v>669</v>
      </c>
      <c r="M672" s="7">
        <f t="shared" ca="1" si="28"/>
        <v>-1.0427446784244032E-2</v>
      </c>
      <c r="N672" s="7">
        <f ca="1">SUM($M$4:M672)</f>
        <v>-6.4650170062312842E-2</v>
      </c>
    </row>
    <row r="673" spans="1:14" x14ac:dyDescent="0.3">
      <c r="A673" s="3">
        <v>44435</v>
      </c>
      <c r="B673" s="4">
        <v>28.280000999999999</v>
      </c>
      <c r="D673" s="11">
        <v>670</v>
      </c>
      <c r="E673" s="3">
        <v>44438</v>
      </c>
      <c r="F673" s="7">
        <f t="shared" si="27"/>
        <v>-1.5321910015757204E-2</v>
      </c>
      <c r="G673" s="7">
        <f>SUM($F$4:F673)</f>
        <v>7.5296359265541984E-2</v>
      </c>
      <c r="L673" s="11">
        <v>670</v>
      </c>
      <c r="M673" s="7">
        <f t="shared" ca="1" si="28"/>
        <v>-2.2940382925336872E-2</v>
      </c>
      <c r="N673" s="7">
        <f ca="1">SUM($M$4:M673)</f>
        <v>-8.7590552987649714E-2</v>
      </c>
    </row>
    <row r="674" spans="1:14" x14ac:dyDescent="0.3">
      <c r="A674" s="3">
        <v>44438</v>
      </c>
      <c r="B674" s="4">
        <v>27.85</v>
      </c>
      <c r="D674" s="11">
        <v>671</v>
      </c>
      <c r="E674" s="3">
        <v>44439</v>
      </c>
      <c r="F674" s="7">
        <f t="shared" si="27"/>
        <v>3.4930346043455261E-2</v>
      </c>
      <c r="G674" s="7">
        <f>SUM($F$4:F674)</f>
        <v>0.11022670530899725</v>
      </c>
      <c r="L674" s="11">
        <v>671</v>
      </c>
      <c r="M674" s="7">
        <f t="shared" ca="1" si="28"/>
        <v>-4.5880765850673744E-2</v>
      </c>
      <c r="N674" s="7">
        <f ca="1">SUM($M$4:M674)</f>
        <v>-0.13347131883832347</v>
      </c>
    </row>
    <row r="675" spans="1:14" x14ac:dyDescent="0.3">
      <c r="A675" s="3">
        <v>44439</v>
      </c>
      <c r="B675" s="4">
        <v>28.84</v>
      </c>
      <c r="D675" s="11">
        <v>672</v>
      </c>
      <c r="E675" s="3">
        <v>44440</v>
      </c>
      <c r="F675" s="7">
        <f t="shared" si="27"/>
        <v>-1.4318386753839906E-2</v>
      </c>
      <c r="G675" s="7">
        <f>SUM($F$4:F675)</f>
        <v>9.5908318555157343E-2</v>
      </c>
      <c r="L675" s="11">
        <v>672</v>
      </c>
      <c r="M675" s="7">
        <f t="shared" ca="1" si="28"/>
        <v>-2.0854893568488064E-3</v>
      </c>
      <c r="N675" s="7">
        <f ca="1">SUM($M$4:M675)</f>
        <v>-0.13555680819517227</v>
      </c>
    </row>
    <row r="676" spans="1:14" x14ac:dyDescent="0.3">
      <c r="A676" s="3">
        <v>44440</v>
      </c>
      <c r="B676" s="4">
        <v>28.43</v>
      </c>
      <c r="D676" s="11">
        <v>673</v>
      </c>
      <c r="E676" s="3">
        <v>44441</v>
      </c>
      <c r="F676" s="7">
        <f t="shared" si="27"/>
        <v>1.7779830094678952E-2</v>
      </c>
      <c r="G676" s="7">
        <f>SUM($F$4:F676)</f>
        <v>0.1136881486498363</v>
      </c>
      <c r="L676" s="11">
        <v>673</v>
      </c>
      <c r="M676" s="7">
        <f t="shared" ca="1" si="28"/>
        <v>-2.2940382925336872E-2</v>
      </c>
      <c r="N676" s="7">
        <f ca="1">SUM($M$4:M676)</f>
        <v>-0.15849719112050914</v>
      </c>
    </row>
    <row r="677" spans="1:14" x14ac:dyDescent="0.3">
      <c r="A677" s="3">
        <v>44441</v>
      </c>
      <c r="B677" s="4">
        <v>28.940000999999999</v>
      </c>
      <c r="D677" s="11">
        <v>674</v>
      </c>
      <c r="E677" s="3">
        <v>44442</v>
      </c>
      <c r="F677" s="7">
        <f t="shared" si="27"/>
        <v>-2.2009691956987047E-2</v>
      </c>
      <c r="G677" s="7">
        <f>SUM($F$4:F677)</f>
        <v>9.1678456692849256E-2</v>
      </c>
      <c r="L677" s="11">
        <v>674</v>
      </c>
      <c r="M677" s="7">
        <f t="shared" ca="1" si="28"/>
        <v>-6.2564680705464198E-2</v>
      </c>
      <c r="N677" s="7">
        <f ca="1">SUM($M$4:M677)</f>
        <v>-0.22106187182597334</v>
      </c>
    </row>
    <row r="678" spans="1:14" x14ac:dyDescent="0.3">
      <c r="A678" s="3">
        <v>44442</v>
      </c>
      <c r="B678" s="4">
        <v>28.309999000000001</v>
      </c>
      <c r="D678" s="11">
        <v>675</v>
      </c>
      <c r="E678" s="3">
        <v>44446</v>
      </c>
      <c r="F678" s="7">
        <f t="shared" si="27"/>
        <v>-1.2440182200370577E-2</v>
      </c>
      <c r="G678" s="7">
        <f>SUM($F$4:F678)</f>
        <v>7.923827449247868E-2</v>
      </c>
      <c r="L678" s="11">
        <v>675</v>
      </c>
      <c r="M678" s="7">
        <f t="shared" ca="1" si="28"/>
        <v>-1.0427446784244032E-2</v>
      </c>
      <c r="N678" s="7">
        <f ca="1">SUM($M$4:M678)</f>
        <v>-0.23148931861021738</v>
      </c>
    </row>
    <row r="679" spans="1:14" x14ac:dyDescent="0.3">
      <c r="A679" s="3">
        <v>44446</v>
      </c>
      <c r="B679" s="4">
        <v>27.959999</v>
      </c>
      <c r="D679" s="11">
        <v>676</v>
      </c>
      <c r="E679" s="3">
        <v>44447</v>
      </c>
      <c r="F679" s="7">
        <f t="shared" si="27"/>
        <v>-3.5679030820619878E-2</v>
      </c>
      <c r="G679" s="7">
        <f>SUM($F$4:F679)</f>
        <v>4.3559243671858802E-2</v>
      </c>
      <c r="L679" s="11">
        <v>676</v>
      </c>
      <c r="M679" s="7">
        <f t="shared" ca="1" si="28"/>
        <v>-1.6683914854790451E-2</v>
      </c>
      <c r="N679" s="7">
        <f ca="1">SUM($M$4:M679)</f>
        <v>-0.24817323346500783</v>
      </c>
    </row>
    <row r="680" spans="1:14" x14ac:dyDescent="0.3">
      <c r="A680" s="3">
        <v>44447</v>
      </c>
      <c r="B680" s="4">
        <v>26.98</v>
      </c>
      <c r="D680" s="11">
        <v>677</v>
      </c>
      <c r="E680" s="3">
        <v>44448</v>
      </c>
      <c r="F680" s="7">
        <f t="shared" si="27"/>
        <v>-7.0671298957321474E-3</v>
      </c>
      <c r="G680" s="7">
        <f>SUM($F$4:F680)</f>
        <v>3.6492113776126656E-2</v>
      </c>
      <c r="L680" s="11">
        <v>677</v>
      </c>
      <c r="M680" s="7">
        <f t="shared" ca="1" si="28"/>
        <v>7.7163106203405843E-2</v>
      </c>
      <c r="N680" s="7">
        <f ca="1">SUM($M$4:M680)</f>
        <v>-0.17101012726160197</v>
      </c>
    </row>
    <row r="681" spans="1:14" x14ac:dyDescent="0.3">
      <c r="A681" s="3">
        <v>44448</v>
      </c>
      <c r="B681" s="4">
        <v>26.790001</v>
      </c>
      <c r="D681" s="11">
        <v>678</v>
      </c>
      <c r="E681" s="3">
        <v>44449</v>
      </c>
      <c r="F681" s="7">
        <f t="shared" si="27"/>
        <v>-2.417953037294578E-2</v>
      </c>
      <c r="G681" s="7">
        <f>SUM($F$4:F681)</f>
        <v>1.2312583403180876E-2</v>
      </c>
      <c r="L681" s="11">
        <v>678</v>
      </c>
      <c r="M681" s="7">
        <f t="shared" ca="1" si="28"/>
        <v>2.0854893568488064E-3</v>
      </c>
      <c r="N681" s="7">
        <f ca="1">SUM($M$4:M681)</f>
        <v>-0.16892463790475318</v>
      </c>
    </row>
    <row r="682" spans="1:14" x14ac:dyDescent="0.3">
      <c r="A682" s="3">
        <v>44449</v>
      </c>
      <c r="B682" s="4">
        <v>26.15</v>
      </c>
      <c r="D682" s="11">
        <v>679</v>
      </c>
      <c r="E682" s="3">
        <v>44452</v>
      </c>
      <c r="F682" s="7">
        <f t="shared" si="27"/>
        <v>3.420739527679445E-2</v>
      </c>
      <c r="G682" s="7">
        <f>SUM($F$4:F682)</f>
        <v>4.651997867997533E-2</v>
      </c>
      <c r="L682" s="11">
        <v>679</v>
      </c>
      <c r="M682" s="7">
        <f t="shared" ca="1" si="28"/>
        <v>-5.8393701991766578E-2</v>
      </c>
      <c r="N682" s="7">
        <f ca="1">SUM($M$4:M682)</f>
        <v>-0.22731833989651976</v>
      </c>
    </row>
    <row r="683" spans="1:14" x14ac:dyDescent="0.3">
      <c r="A683" s="3">
        <v>44452</v>
      </c>
      <c r="B683" s="4">
        <v>27.059999000000001</v>
      </c>
      <c r="D683" s="11">
        <v>680</v>
      </c>
      <c r="E683" s="3">
        <v>44453</v>
      </c>
      <c r="F683" s="7">
        <f t="shared" si="27"/>
        <v>-3.0009716913076148E-2</v>
      </c>
      <c r="G683" s="7">
        <f>SUM($F$4:F683)</f>
        <v>1.6510261766899181E-2</v>
      </c>
      <c r="L683" s="11">
        <v>680</v>
      </c>
      <c r="M683" s="7">
        <f t="shared" ca="1" si="28"/>
        <v>2.0854893568488064E-3</v>
      </c>
      <c r="N683" s="7">
        <f ca="1">SUM($M$4:M683)</f>
        <v>-0.22523285053967096</v>
      </c>
    </row>
    <row r="684" spans="1:14" x14ac:dyDescent="0.3">
      <c r="A684" s="3">
        <v>44453</v>
      </c>
      <c r="B684" s="4">
        <v>26.26</v>
      </c>
      <c r="D684" s="11">
        <v>681</v>
      </c>
      <c r="E684" s="3">
        <v>44454</v>
      </c>
      <c r="F684" s="7">
        <f t="shared" si="27"/>
        <v>2.0728046073701881E-2</v>
      </c>
      <c r="G684" s="7">
        <f>SUM($F$4:F684)</f>
        <v>3.7238307840601059E-2</v>
      </c>
      <c r="L684" s="11">
        <v>681</v>
      </c>
      <c r="M684" s="7">
        <f t="shared" ca="1" si="28"/>
        <v>8.3419574273952257E-3</v>
      </c>
      <c r="N684" s="7">
        <f ca="1">SUM($M$4:M684)</f>
        <v>-0.21689089311227575</v>
      </c>
    </row>
    <row r="685" spans="1:14" x14ac:dyDescent="0.3">
      <c r="A685" s="3">
        <v>44454</v>
      </c>
      <c r="B685" s="4">
        <v>26.809999000000001</v>
      </c>
      <c r="D685" s="11">
        <v>682</v>
      </c>
      <c r="E685" s="3">
        <v>44455</v>
      </c>
      <c r="F685" s="7">
        <f t="shared" si="27"/>
        <v>6.6915120815610445E-3</v>
      </c>
      <c r="G685" s="7">
        <f>SUM($F$4:F685)</f>
        <v>4.3929819922162106E-2</v>
      </c>
      <c r="L685" s="11">
        <v>682</v>
      </c>
      <c r="M685" s="7">
        <f t="shared" ca="1" si="28"/>
        <v>0</v>
      </c>
      <c r="N685" s="7">
        <f ca="1">SUM($M$4:M685)</f>
        <v>-0.21689089311227575</v>
      </c>
    </row>
    <row r="686" spans="1:14" x14ac:dyDescent="0.3">
      <c r="A686" s="3">
        <v>44455</v>
      </c>
      <c r="B686" s="4">
        <v>26.99</v>
      </c>
      <c r="D686" s="11">
        <v>683</v>
      </c>
      <c r="E686" s="3">
        <v>44456</v>
      </c>
      <c r="F686" s="7">
        <f t="shared" si="27"/>
        <v>-4.0839485773459831E-3</v>
      </c>
      <c r="G686" s="7">
        <f>SUM($F$4:F686)</f>
        <v>3.9845871344816125E-2</v>
      </c>
      <c r="L686" s="11">
        <v>683</v>
      </c>
      <c r="M686" s="7">
        <f t="shared" ca="1" si="28"/>
        <v>-2.5025872282185675E-2</v>
      </c>
      <c r="N686" s="7">
        <f ca="1">SUM($M$4:M686)</f>
        <v>-0.24191676539446141</v>
      </c>
    </row>
    <row r="687" spans="1:14" x14ac:dyDescent="0.3">
      <c r="A687" s="3">
        <v>44456</v>
      </c>
      <c r="B687" s="4">
        <v>26.879999000000002</v>
      </c>
      <c r="D687" s="11">
        <v>684</v>
      </c>
      <c r="E687" s="3">
        <v>44459</v>
      </c>
      <c r="F687" s="7">
        <f t="shared" si="27"/>
        <v>-3.2901398992006961E-2</v>
      </c>
      <c r="G687" s="7">
        <f>SUM($F$4:F687)</f>
        <v>6.944472352809164E-3</v>
      </c>
      <c r="L687" s="11">
        <v>684</v>
      </c>
      <c r="M687" s="7">
        <f t="shared" ca="1" si="28"/>
        <v>-4.170978713697613E-2</v>
      </c>
      <c r="N687" s="7">
        <f ca="1">SUM($M$4:M687)</f>
        <v>-0.28362655253143754</v>
      </c>
    </row>
    <row r="688" spans="1:14" x14ac:dyDescent="0.3">
      <c r="A688" s="3">
        <v>44459</v>
      </c>
      <c r="B688" s="4">
        <v>26.01</v>
      </c>
      <c r="D688" s="11">
        <v>685</v>
      </c>
      <c r="E688" s="3">
        <v>44460</v>
      </c>
      <c r="F688" s="7">
        <f t="shared" si="27"/>
        <v>-3.3623182914812089E-2</v>
      </c>
      <c r="G688" s="7">
        <f>SUM($F$4:F688)</f>
        <v>-2.6678710562002925E-2</v>
      </c>
      <c r="L688" s="11">
        <v>685</v>
      </c>
      <c r="M688" s="7">
        <f t="shared" ca="1" si="28"/>
        <v>0</v>
      </c>
      <c r="N688" s="7">
        <f ca="1">SUM($M$4:M688)</f>
        <v>-0.28362655253143754</v>
      </c>
    </row>
    <row r="689" spans="1:14" x14ac:dyDescent="0.3">
      <c r="A689" s="3">
        <v>44460</v>
      </c>
      <c r="B689" s="4">
        <v>25.15</v>
      </c>
      <c r="D689" s="11">
        <v>686</v>
      </c>
      <c r="E689" s="3">
        <v>44461</v>
      </c>
      <c r="F689" s="7">
        <f t="shared" si="27"/>
        <v>1.1464881234348483E-2</v>
      </c>
      <c r="G689" s="7">
        <f>SUM($F$4:F689)</f>
        <v>-1.5213829327654442E-2</v>
      </c>
      <c r="L689" s="11">
        <v>686</v>
      </c>
      <c r="M689" s="7">
        <f t="shared" ca="1" si="28"/>
        <v>2.9196850995883289E-2</v>
      </c>
      <c r="N689" s="7">
        <f ca="1">SUM($M$4:M689)</f>
        <v>-0.25442970153555422</v>
      </c>
    </row>
    <row r="690" spans="1:14" x14ac:dyDescent="0.3">
      <c r="A690" s="3">
        <v>44461</v>
      </c>
      <c r="B690" s="4">
        <v>25.440000999999999</v>
      </c>
      <c r="D690" s="11">
        <v>687</v>
      </c>
      <c r="E690" s="3">
        <v>44462</v>
      </c>
      <c r="F690" s="7">
        <f t="shared" si="27"/>
        <v>3.5314926428992948E-3</v>
      </c>
      <c r="G690" s="7">
        <f>SUM($F$4:F690)</f>
        <v>-1.1682336684755146E-2</v>
      </c>
      <c r="L690" s="11">
        <v>687</v>
      </c>
      <c r="M690" s="7">
        <f t="shared" ca="1" si="28"/>
        <v>3.7538808423278516E-2</v>
      </c>
      <c r="N690" s="7">
        <f ca="1">SUM($M$4:M690)</f>
        <v>-0.21689089311227572</v>
      </c>
    </row>
    <row r="691" spans="1:14" x14ac:dyDescent="0.3">
      <c r="A691" s="3">
        <v>44462</v>
      </c>
      <c r="B691" s="4">
        <v>25.530000999999999</v>
      </c>
      <c r="D691" s="11">
        <v>688</v>
      </c>
      <c r="E691" s="3">
        <v>44463</v>
      </c>
      <c r="F691" s="7">
        <f t="shared" si="27"/>
        <v>-9.0499142152139118E-3</v>
      </c>
      <c r="G691" s="7">
        <f>SUM($F$4:F691)</f>
        <v>-2.0732250899969058E-2</v>
      </c>
      <c r="L691" s="11">
        <v>688</v>
      </c>
      <c r="M691" s="7">
        <f t="shared" ca="1" si="28"/>
        <v>-1.8769404211639258E-2</v>
      </c>
      <c r="N691" s="7">
        <f ca="1">SUM($M$4:M691)</f>
        <v>-0.23566029732391497</v>
      </c>
    </row>
    <row r="692" spans="1:14" x14ac:dyDescent="0.3">
      <c r="A692" s="3">
        <v>44463</v>
      </c>
      <c r="B692" s="4">
        <v>25.299999</v>
      </c>
      <c r="D692" s="11">
        <v>689</v>
      </c>
      <c r="E692" s="3">
        <v>44466</v>
      </c>
      <c r="F692" s="7">
        <f t="shared" si="27"/>
        <v>3.2662313732745925E-2</v>
      </c>
      <c r="G692" s="7">
        <f>SUM($F$4:F692)</f>
        <v>1.1930062832776867E-2</v>
      </c>
      <c r="L692" s="11">
        <v>689</v>
      </c>
      <c r="M692" s="7">
        <f t="shared" ca="1" si="28"/>
        <v>3.7538808423278516E-2</v>
      </c>
      <c r="N692" s="7">
        <f ca="1">SUM($M$4:M692)</f>
        <v>-0.19812148890063647</v>
      </c>
    </row>
    <row r="693" spans="1:14" x14ac:dyDescent="0.3">
      <c r="A693" s="3">
        <v>44466</v>
      </c>
      <c r="B693" s="4">
        <v>26.139999</v>
      </c>
      <c r="D693" s="11">
        <v>690</v>
      </c>
      <c r="E693" s="3">
        <v>44467</v>
      </c>
      <c r="F693" s="7">
        <f t="shared" si="27"/>
        <v>-2.0874318455011188E-2</v>
      </c>
      <c r="G693" s="7">
        <f>SUM($F$4:F693)</f>
        <v>-8.9442556222343213E-3</v>
      </c>
      <c r="L693" s="11">
        <v>690</v>
      </c>
      <c r="M693" s="7">
        <f t="shared" ca="1" si="28"/>
        <v>-8.3419574273952257E-3</v>
      </c>
      <c r="N693" s="7">
        <f ca="1">SUM($M$4:M693)</f>
        <v>-0.20646344632803168</v>
      </c>
    </row>
    <row r="694" spans="1:14" x14ac:dyDescent="0.3">
      <c r="A694" s="3">
        <v>44467</v>
      </c>
      <c r="B694" s="4">
        <v>25.6</v>
      </c>
      <c r="D694" s="11">
        <v>691</v>
      </c>
      <c r="E694" s="3">
        <v>44468</v>
      </c>
      <c r="F694" s="7">
        <f t="shared" si="27"/>
        <v>-7.056085724208733E-3</v>
      </c>
      <c r="G694" s="7">
        <f>SUM($F$4:F694)</f>
        <v>-1.6000341346443056E-2</v>
      </c>
      <c r="L694" s="11">
        <v>691</v>
      </c>
      <c r="M694" s="7">
        <f t="shared" ca="1" si="28"/>
        <v>-6.2564680705464198E-2</v>
      </c>
      <c r="N694" s="7">
        <f ca="1">SUM($M$4:M694)</f>
        <v>-0.26902812703349588</v>
      </c>
    </row>
    <row r="695" spans="1:14" x14ac:dyDescent="0.3">
      <c r="A695" s="3">
        <v>44468</v>
      </c>
      <c r="B695" s="4">
        <v>25.42</v>
      </c>
      <c r="D695" s="11">
        <v>692</v>
      </c>
      <c r="E695" s="3">
        <v>44469</v>
      </c>
      <c r="F695" s="7">
        <f t="shared" si="27"/>
        <v>-1.5748428761704258E-3</v>
      </c>
      <c r="G695" s="7">
        <f>SUM($F$4:F695)</f>
        <v>-1.757518422261348E-2</v>
      </c>
      <c r="L695" s="11">
        <v>692</v>
      </c>
      <c r="M695" s="7">
        <f t="shared" ca="1" si="28"/>
        <v>1.0427446784244032E-2</v>
      </c>
      <c r="N695" s="7">
        <f ca="1">SUM($M$4:M695)</f>
        <v>-0.25860068024925187</v>
      </c>
    </row>
    <row r="696" spans="1:14" x14ac:dyDescent="0.3">
      <c r="A696" s="3">
        <v>44469</v>
      </c>
      <c r="B696" s="4">
        <v>25.379999000000002</v>
      </c>
      <c r="D696" s="11">
        <v>693</v>
      </c>
      <c r="E696" s="3">
        <v>44470</v>
      </c>
      <c r="F696" s="7">
        <f t="shared" si="27"/>
        <v>1.4084779282842873E-2</v>
      </c>
      <c r="G696" s="7">
        <f>SUM($F$4:F696)</f>
        <v>-3.4904049397706076E-3</v>
      </c>
      <c r="L696" s="11">
        <v>693</v>
      </c>
      <c r="M696" s="7">
        <f t="shared" ca="1" si="28"/>
        <v>1.0427446784244032E-2</v>
      </c>
      <c r="N696" s="7">
        <f ca="1">SUM($M$4:M696)</f>
        <v>-0.24817323346500783</v>
      </c>
    </row>
    <row r="697" spans="1:14" x14ac:dyDescent="0.3">
      <c r="A697" s="3">
        <v>44470</v>
      </c>
      <c r="B697" s="4">
        <v>25.74</v>
      </c>
      <c r="D697" s="11">
        <v>694</v>
      </c>
      <c r="E697" s="3">
        <v>44473</v>
      </c>
      <c r="F697" s="7">
        <f t="shared" si="27"/>
        <v>-5.0632629093002417E-3</v>
      </c>
      <c r="G697" s="7">
        <f>SUM($F$4:F697)</f>
        <v>-8.5536678490708493E-3</v>
      </c>
      <c r="L697" s="11">
        <v>694</v>
      </c>
      <c r="M697" s="7">
        <f t="shared" ca="1" si="28"/>
        <v>4.3795276493824933E-2</v>
      </c>
      <c r="N697" s="7">
        <f ca="1">SUM($M$4:M697)</f>
        <v>-0.20437795697118288</v>
      </c>
    </row>
    <row r="698" spans="1:14" x14ac:dyDescent="0.3">
      <c r="A698" s="3">
        <v>44473</v>
      </c>
      <c r="B698" s="4">
        <v>25.610001</v>
      </c>
      <c r="D698" s="11">
        <v>695</v>
      </c>
      <c r="E698" s="3">
        <v>44474</v>
      </c>
      <c r="F698" s="7">
        <f t="shared" si="27"/>
        <v>2.0866251252251548E-2</v>
      </c>
      <c r="G698" s="7">
        <f>SUM($F$4:F698)</f>
        <v>1.2312583403180699E-2</v>
      </c>
      <c r="L698" s="11">
        <v>695</v>
      </c>
      <c r="M698" s="7">
        <f t="shared" ca="1" si="28"/>
        <v>-1.6683914854790451E-2</v>
      </c>
      <c r="N698" s="7">
        <f ca="1">SUM($M$4:M698)</f>
        <v>-0.22106187182597334</v>
      </c>
    </row>
    <row r="699" spans="1:14" x14ac:dyDescent="0.3">
      <c r="A699" s="3">
        <v>44474</v>
      </c>
      <c r="B699" s="4">
        <v>26.15</v>
      </c>
      <c r="D699" s="11">
        <v>696</v>
      </c>
      <c r="E699" s="3">
        <v>44475</v>
      </c>
      <c r="F699" s="7">
        <f t="shared" si="27"/>
        <v>-1.0378759518109126E-2</v>
      </c>
      <c r="G699" s="7">
        <f>SUM($F$4:F699)</f>
        <v>1.9338238850715728E-3</v>
      </c>
      <c r="L699" s="11">
        <v>696</v>
      </c>
      <c r="M699" s="7">
        <f t="shared" ca="1" si="28"/>
        <v>1.8769404211639258E-2</v>
      </c>
      <c r="N699" s="7">
        <f ca="1">SUM($M$4:M699)</f>
        <v>-0.20229246761433409</v>
      </c>
    </row>
    <row r="700" spans="1:14" x14ac:dyDescent="0.3">
      <c r="A700" s="3">
        <v>44475</v>
      </c>
      <c r="B700" s="4">
        <v>25.879999000000002</v>
      </c>
      <c r="D700" s="11">
        <v>697</v>
      </c>
      <c r="E700" s="3">
        <v>44476</v>
      </c>
      <c r="F700" s="7">
        <f t="shared" si="27"/>
        <v>2.2163689901091108E-2</v>
      </c>
      <c r="G700" s="7">
        <f>SUM($F$4:F700)</f>
        <v>2.4097513786162681E-2</v>
      </c>
      <c r="L700" s="11">
        <v>697</v>
      </c>
      <c r="M700" s="7">
        <f t="shared" ca="1" si="28"/>
        <v>-1.8769404211639258E-2</v>
      </c>
      <c r="N700" s="7">
        <f ca="1">SUM($M$4:M700)</f>
        <v>-0.22106187182597334</v>
      </c>
    </row>
    <row r="701" spans="1:14" x14ac:dyDescent="0.3">
      <c r="A701" s="3">
        <v>44476</v>
      </c>
      <c r="B701" s="4">
        <v>26.459999</v>
      </c>
      <c r="D701" s="11">
        <v>698</v>
      </c>
      <c r="E701" s="3">
        <v>44477</v>
      </c>
      <c r="F701" s="7">
        <f t="shared" si="27"/>
        <v>-2.1777365755420233E-2</v>
      </c>
      <c r="G701" s="7">
        <f>SUM($F$4:F701)</f>
        <v>2.3201480307424478E-3</v>
      </c>
      <c r="L701" s="11">
        <v>698</v>
      </c>
      <c r="M701" s="7">
        <f t="shared" ca="1" si="28"/>
        <v>2.0854893568488065E-2</v>
      </c>
      <c r="N701" s="7">
        <f ca="1">SUM($M$4:M701)</f>
        <v>-0.20020697825748526</v>
      </c>
    </row>
    <row r="702" spans="1:14" x14ac:dyDescent="0.3">
      <c r="A702" s="3">
        <v>44477</v>
      </c>
      <c r="B702" s="4">
        <v>25.889999</v>
      </c>
      <c r="D702" s="11">
        <v>699</v>
      </c>
      <c r="E702" s="3">
        <v>44480</v>
      </c>
      <c r="F702" s="7">
        <f t="shared" si="27"/>
        <v>-2.8203945991269175E-2</v>
      </c>
      <c r="G702" s="7">
        <f>SUM($F$4:F702)</f>
        <v>-2.5883797960526728E-2</v>
      </c>
      <c r="L702" s="11">
        <v>699</v>
      </c>
      <c r="M702" s="7">
        <f t="shared" ca="1" si="28"/>
        <v>6.2564680705464188E-3</v>
      </c>
      <c r="N702" s="7">
        <f ca="1">SUM($M$4:M702)</f>
        <v>-0.19395051018693885</v>
      </c>
    </row>
    <row r="703" spans="1:14" x14ac:dyDescent="0.3">
      <c r="A703" s="3">
        <v>44480</v>
      </c>
      <c r="B703" s="4">
        <v>25.17</v>
      </c>
      <c r="D703" s="11">
        <v>700</v>
      </c>
      <c r="E703" s="3">
        <v>44481</v>
      </c>
      <c r="F703" s="7">
        <f t="shared" si="27"/>
        <v>-2.3719705009335908E-2</v>
      </c>
      <c r="G703" s="7">
        <f>SUM($F$4:F703)</f>
        <v>-4.9603502969862635E-2</v>
      </c>
      <c r="L703" s="11">
        <v>700</v>
      </c>
      <c r="M703" s="7">
        <f t="shared" ca="1" si="28"/>
        <v>-7.5077616846557033E-2</v>
      </c>
      <c r="N703" s="7">
        <f ca="1">SUM($M$4:M703)</f>
        <v>-0.26902812703349588</v>
      </c>
    </row>
    <row r="704" spans="1:14" x14ac:dyDescent="0.3">
      <c r="A704" s="3">
        <v>44481</v>
      </c>
      <c r="B704" s="4">
        <v>24.58</v>
      </c>
      <c r="D704" s="11">
        <v>701</v>
      </c>
      <c r="E704" s="3">
        <v>44482</v>
      </c>
      <c r="F704" s="7">
        <f t="shared" si="27"/>
        <v>3.6745348026491695E-2</v>
      </c>
      <c r="G704" s="7">
        <f>SUM($F$4:F704)</f>
        <v>-1.2858154943370941E-2</v>
      </c>
      <c r="L704" s="11">
        <v>701</v>
      </c>
      <c r="M704" s="7">
        <f t="shared" ca="1" si="28"/>
        <v>3.7538808423278516E-2</v>
      </c>
      <c r="N704" s="7">
        <f ca="1">SUM($M$4:M704)</f>
        <v>-0.23148931861021738</v>
      </c>
    </row>
    <row r="705" spans="1:14" x14ac:dyDescent="0.3">
      <c r="A705" s="3">
        <v>44482</v>
      </c>
      <c r="B705" s="4">
        <v>25.5</v>
      </c>
      <c r="D705" s="11">
        <v>702</v>
      </c>
      <c r="E705" s="3">
        <v>44483</v>
      </c>
      <c r="F705" s="7">
        <f t="shared" si="27"/>
        <v>-9.4563352420354001E-3</v>
      </c>
      <c r="G705" s="7">
        <f>SUM($F$4:F705)</f>
        <v>-2.2314490185406342E-2</v>
      </c>
      <c r="L705" s="11">
        <v>702</v>
      </c>
      <c r="M705" s="7">
        <f t="shared" ca="1" si="28"/>
        <v>5.6308212634917774E-2</v>
      </c>
      <c r="N705" s="7">
        <f ca="1">SUM($M$4:M705)</f>
        <v>-0.17518110597529959</v>
      </c>
    </row>
    <row r="706" spans="1:14" x14ac:dyDescent="0.3">
      <c r="A706" s="3">
        <v>44483</v>
      </c>
      <c r="B706" s="4">
        <v>25.26</v>
      </c>
      <c r="D706" s="11">
        <v>703</v>
      </c>
      <c r="E706" s="3">
        <v>44484</v>
      </c>
      <c r="F706" s="7">
        <f t="shared" si="27"/>
        <v>-1.7169517402269942E-2</v>
      </c>
      <c r="G706" s="7">
        <f>SUM($F$4:F706)</f>
        <v>-3.9484007587676284E-2</v>
      </c>
      <c r="L706" s="11">
        <v>703</v>
      </c>
      <c r="M706" s="7">
        <f t="shared" ca="1" si="28"/>
        <v>4.1709787136976128E-3</v>
      </c>
      <c r="N706" s="7">
        <f ca="1">SUM($M$4:M706)</f>
        <v>-0.17101012726160197</v>
      </c>
    </row>
    <row r="707" spans="1:14" x14ac:dyDescent="0.3">
      <c r="A707" s="3">
        <v>44484</v>
      </c>
      <c r="B707" s="4">
        <v>24.83</v>
      </c>
      <c r="D707" s="11">
        <v>704</v>
      </c>
      <c r="E707" s="3">
        <v>44487</v>
      </c>
      <c r="F707" s="7">
        <f t="shared" si="27"/>
        <v>-6.4646689788097796E-3</v>
      </c>
      <c r="G707" s="7">
        <f>SUM($F$4:F707)</f>
        <v>-4.594867656648606E-2</v>
      </c>
      <c r="L707" s="11">
        <v>704</v>
      </c>
      <c r="M707" s="7">
        <f t="shared" ca="1" si="28"/>
        <v>-1.0427446784244032E-2</v>
      </c>
      <c r="N707" s="7">
        <f ca="1">SUM($M$4:M707)</f>
        <v>-0.18143757404584601</v>
      </c>
    </row>
    <row r="708" spans="1:14" x14ac:dyDescent="0.3">
      <c r="A708" s="3">
        <v>44487</v>
      </c>
      <c r="B708" s="4">
        <v>24.67</v>
      </c>
      <c r="D708" s="11">
        <v>705</v>
      </c>
      <c r="E708" s="3">
        <v>44488</v>
      </c>
      <c r="F708" s="7">
        <f t="shared" ref="F708:F771" si="29">LN(B709/B708)</f>
        <v>9.2798729293965213E-3</v>
      </c>
      <c r="G708" s="7">
        <f>SUM($F$4:F708)</f>
        <v>-3.6668803637089541E-2</v>
      </c>
      <c r="L708" s="11">
        <v>705</v>
      </c>
      <c r="M708" s="7">
        <f t="shared" ca="1" si="28"/>
        <v>-4.1709787136976128E-3</v>
      </c>
      <c r="N708" s="7">
        <f ca="1">SUM($M$4:M708)</f>
        <v>-0.18560855275954363</v>
      </c>
    </row>
    <row r="709" spans="1:14" x14ac:dyDescent="0.3">
      <c r="A709" s="3">
        <v>44488</v>
      </c>
      <c r="B709" s="4">
        <v>24.9</v>
      </c>
      <c r="D709" s="11">
        <v>706</v>
      </c>
      <c r="E709" s="3">
        <v>44489</v>
      </c>
      <c r="F709" s="7">
        <f t="shared" si="29"/>
        <v>1.7121660542921829E-2</v>
      </c>
      <c r="G709" s="7">
        <f>SUM($F$4:F709)</f>
        <v>-1.9547143094167711E-2</v>
      </c>
      <c r="L709" s="11">
        <v>706</v>
      </c>
      <c r="M709" s="7">
        <f t="shared" ref="M709:M772" ca="1" si="30">(2*_xlfn.BINOM.INV($J$4,$J$12,RAND())-$J$4)*$J$11</f>
        <v>-5.005174456437135E-2</v>
      </c>
      <c r="N709" s="7">
        <f ca="1">SUM($M$4:M709)</f>
        <v>-0.23566029732391497</v>
      </c>
    </row>
    <row r="710" spans="1:14" x14ac:dyDescent="0.3">
      <c r="A710" s="3">
        <v>44489</v>
      </c>
      <c r="B710" s="4">
        <v>25.33</v>
      </c>
      <c r="D710" s="11">
        <v>707</v>
      </c>
      <c r="E710" s="3">
        <v>44490</v>
      </c>
      <c r="F710" s="7">
        <f t="shared" si="29"/>
        <v>-1.3113639145383025E-2</v>
      </c>
      <c r="G710" s="7">
        <f>SUM($F$4:F710)</f>
        <v>-3.266078223955074E-2</v>
      </c>
      <c r="L710" s="11">
        <v>707</v>
      </c>
      <c r="M710" s="7">
        <f t="shared" ca="1" si="30"/>
        <v>-1.2512936141092838E-2</v>
      </c>
      <c r="N710" s="7">
        <f ca="1">SUM($M$4:M710)</f>
        <v>-0.2481732334650078</v>
      </c>
    </row>
    <row r="711" spans="1:14" x14ac:dyDescent="0.3">
      <c r="A711" s="3">
        <v>44490</v>
      </c>
      <c r="B711" s="4">
        <v>25</v>
      </c>
      <c r="D711" s="11">
        <v>708</v>
      </c>
      <c r="E711" s="3">
        <v>44491</v>
      </c>
      <c r="F711" s="7">
        <f t="shared" si="29"/>
        <v>3.9920212695374567E-3</v>
      </c>
      <c r="G711" s="7">
        <f>SUM($F$4:F711)</f>
        <v>-2.8668760970013283E-2</v>
      </c>
      <c r="L711" s="11">
        <v>708</v>
      </c>
      <c r="M711" s="7">
        <f t="shared" ca="1" si="30"/>
        <v>6.6735659419161805E-2</v>
      </c>
      <c r="N711" s="7">
        <f ca="1">SUM($M$4:M711)</f>
        <v>-0.18143757404584598</v>
      </c>
    </row>
    <row r="712" spans="1:14" x14ac:dyDescent="0.3">
      <c r="A712" s="3">
        <v>44491</v>
      </c>
      <c r="B712" s="4">
        <v>25.1</v>
      </c>
      <c r="D712" s="11">
        <v>709</v>
      </c>
      <c r="E712" s="3">
        <v>44494</v>
      </c>
      <c r="F712" s="7">
        <f t="shared" si="29"/>
        <v>7.5412540854555192E-3</v>
      </c>
      <c r="G712" s="7">
        <f>SUM($F$4:F712)</f>
        <v>-2.1127506884557765E-2</v>
      </c>
      <c r="L712" s="11">
        <v>709</v>
      </c>
      <c r="M712" s="7">
        <f t="shared" ca="1" si="30"/>
        <v>-4.170978713697613E-2</v>
      </c>
      <c r="N712" s="7">
        <f ca="1">SUM($M$4:M712)</f>
        <v>-0.22314736118282211</v>
      </c>
    </row>
    <row r="713" spans="1:14" x14ac:dyDescent="0.3">
      <c r="A713" s="3">
        <v>44494</v>
      </c>
      <c r="B713" s="4">
        <v>25.290001</v>
      </c>
      <c r="D713" s="11">
        <v>710</v>
      </c>
      <c r="E713" s="3">
        <v>44495</v>
      </c>
      <c r="F713" s="7">
        <f t="shared" si="29"/>
        <v>-2.6038002142291027E-2</v>
      </c>
      <c r="G713" s="7">
        <f>SUM($F$4:F713)</f>
        <v>-4.7165509026848795E-2</v>
      </c>
      <c r="L713" s="11">
        <v>710</v>
      </c>
      <c r="M713" s="7">
        <f t="shared" ca="1" si="30"/>
        <v>2.0854893568488065E-2</v>
      </c>
      <c r="N713" s="7">
        <f ca="1">SUM($M$4:M713)</f>
        <v>-0.20229246761433403</v>
      </c>
    </row>
    <row r="714" spans="1:14" x14ac:dyDescent="0.3">
      <c r="A714" s="3">
        <v>44495</v>
      </c>
      <c r="B714" s="4">
        <v>24.639999</v>
      </c>
      <c r="D714" s="11">
        <v>711</v>
      </c>
      <c r="E714" s="3">
        <v>44496</v>
      </c>
      <c r="F714" s="7">
        <f t="shared" si="29"/>
        <v>-4.3124386049338118E-2</v>
      </c>
      <c r="G714" s="7">
        <f>SUM($F$4:F714)</f>
        <v>-9.0289895076186913E-2</v>
      </c>
      <c r="L714" s="11">
        <v>711</v>
      </c>
      <c r="M714" s="7">
        <f t="shared" ca="1" si="30"/>
        <v>2.5025872282185675E-2</v>
      </c>
      <c r="N714" s="7">
        <f ca="1">SUM($M$4:M714)</f>
        <v>-0.17726659533214836</v>
      </c>
    </row>
    <row r="715" spans="1:14" x14ac:dyDescent="0.3">
      <c r="A715" s="3">
        <v>44496</v>
      </c>
      <c r="B715" s="4">
        <v>23.6</v>
      </c>
      <c r="D715" s="11">
        <v>712</v>
      </c>
      <c r="E715" s="3">
        <v>44497</v>
      </c>
      <c r="F715" s="7">
        <f t="shared" si="29"/>
        <v>2.9641035161131601E-2</v>
      </c>
      <c r="G715" s="7">
        <f>SUM($F$4:F715)</f>
        <v>-6.0648859915055309E-2</v>
      </c>
      <c r="L715" s="11">
        <v>712</v>
      </c>
      <c r="M715" s="7">
        <f t="shared" ca="1" si="30"/>
        <v>8.3419574273952257E-3</v>
      </c>
      <c r="N715" s="7">
        <f ca="1">SUM($M$4:M715)</f>
        <v>-0.16892463790475315</v>
      </c>
    </row>
    <row r="716" spans="1:14" x14ac:dyDescent="0.3">
      <c r="A716" s="3">
        <v>44497</v>
      </c>
      <c r="B716" s="4">
        <v>24.309999000000001</v>
      </c>
      <c r="D716" s="11">
        <v>713</v>
      </c>
      <c r="E716" s="3">
        <v>44498</v>
      </c>
      <c r="F716" s="7">
        <f t="shared" si="29"/>
        <v>-3.6443739821768968E-2</v>
      </c>
      <c r="G716" s="7">
        <f>SUM($F$4:F716)</f>
        <v>-9.709259973682427E-2</v>
      </c>
      <c r="L716" s="11">
        <v>713</v>
      </c>
      <c r="M716" s="7">
        <f t="shared" ca="1" si="30"/>
        <v>-6.2564680705464188E-3</v>
      </c>
      <c r="N716" s="7">
        <f ca="1">SUM($M$4:M716)</f>
        <v>-0.17518110597529957</v>
      </c>
    </row>
    <row r="717" spans="1:14" x14ac:dyDescent="0.3">
      <c r="A717" s="3">
        <v>44498</v>
      </c>
      <c r="B717" s="4">
        <v>23.440000999999999</v>
      </c>
      <c r="D717" s="11">
        <v>714</v>
      </c>
      <c r="E717" s="3">
        <v>44501</v>
      </c>
      <c r="F717" s="7">
        <f t="shared" si="29"/>
        <v>4.0958461311631736E-2</v>
      </c>
      <c r="G717" s="7">
        <f>SUM($F$4:F717)</f>
        <v>-5.6134138425192534E-2</v>
      </c>
      <c r="L717" s="11">
        <v>714</v>
      </c>
      <c r="M717" s="7">
        <f t="shared" ca="1" si="30"/>
        <v>-8.3419574273952257E-3</v>
      </c>
      <c r="N717" s="7">
        <f ca="1">SUM($M$4:M717)</f>
        <v>-0.18352306340269478</v>
      </c>
    </row>
    <row r="718" spans="1:14" x14ac:dyDescent="0.3">
      <c r="A718" s="3">
        <v>44501</v>
      </c>
      <c r="B718" s="4">
        <v>24.42</v>
      </c>
      <c r="D718" s="11">
        <v>715</v>
      </c>
      <c r="E718" s="3">
        <v>44502</v>
      </c>
      <c r="F718" s="7">
        <f t="shared" si="29"/>
        <v>5.3093448247725199E-3</v>
      </c>
      <c r="G718" s="7">
        <f>SUM($F$4:F718)</f>
        <v>-5.0824793600420012E-2</v>
      </c>
      <c r="L718" s="11">
        <v>715</v>
      </c>
      <c r="M718" s="7">
        <f t="shared" ca="1" si="30"/>
        <v>2.2940382925336872E-2</v>
      </c>
      <c r="N718" s="7">
        <f ca="1">SUM($M$4:M718)</f>
        <v>-0.16058268047735791</v>
      </c>
    </row>
    <row r="719" spans="1:14" x14ac:dyDescent="0.3">
      <c r="A719" s="3">
        <v>44502</v>
      </c>
      <c r="B719" s="4">
        <v>24.549999</v>
      </c>
      <c r="D719" s="11">
        <v>716</v>
      </c>
      <c r="E719" s="3">
        <v>44503</v>
      </c>
      <c r="F719" s="7">
        <f t="shared" si="29"/>
        <v>4.1880537978185715E-2</v>
      </c>
      <c r="G719" s="7">
        <f>SUM($F$4:F719)</f>
        <v>-8.944255622234297E-3</v>
      </c>
      <c r="L719" s="11">
        <v>716</v>
      </c>
      <c r="M719" s="7">
        <f t="shared" ca="1" si="30"/>
        <v>3.1282340352732099E-2</v>
      </c>
      <c r="N719" s="7">
        <f ca="1">SUM($M$4:M719)</f>
        <v>-0.12930034012462582</v>
      </c>
    </row>
    <row r="720" spans="1:14" x14ac:dyDescent="0.3">
      <c r="A720" s="3">
        <v>44503</v>
      </c>
      <c r="B720" s="4">
        <v>25.6</v>
      </c>
      <c r="D720" s="11">
        <v>717</v>
      </c>
      <c r="E720" s="3">
        <v>44504</v>
      </c>
      <c r="F720" s="7">
        <f t="shared" si="29"/>
        <v>-5.4837976335548582E-3</v>
      </c>
      <c r="G720" s="7">
        <f>SUM($F$4:F720)</f>
        <v>-1.4428053255789155E-2</v>
      </c>
      <c r="L720" s="11">
        <v>717</v>
      </c>
      <c r="M720" s="7">
        <f t="shared" ca="1" si="30"/>
        <v>6.2564680705464198E-2</v>
      </c>
      <c r="N720" s="7">
        <f ca="1">SUM($M$4:M720)</f>
        <v>-6.6735659419161625E-2</v>
      </c>
    </row>
    <row r="721" spans="1:14" x14ac:dyDescent="0.3">
      <c r="A721" s="3">
        <v>44504</v>
      </c>
      <c r="B721" s="4">
        <v>25.459999</v>
      </c>
      <c r="D721" s="11">
        <v>718</v>
      </c>
      <c r="E721" s="3">
        <v>44505</v>
      </c>
      <c r="F721" s="7">
        <f t="shared" si="29"/>
        <v>4.0790611465699782E-2</v>
      </c>
      <c r="G721" s="7">
        <f>SUM($F$4:F721)</f>
        <v>2.6362558209910625E-2</v>
      </c>
      <c r="L721" s="11">
        <v>718</v>
      </c>
      <c r="M721" s="7">
        <f t="shared" ca="1" si="30"/>
        <v>-8.3419574273952257E-3</v>
      </c>
      <c r="N721" s="7">
        <f ca="1">SUM($M$4:M721)</f>
        <v>-7.5077616846556852E-2</v>
      </c>
    </row>
    <row r="722" spans="1:14" x14ac:dyDescent="0.3">
      <c r="A722" s="3">
        <v>44505</v>
      </c>
      <c r="B722" s="4">
        <v>26.52</v>
      </c>
      <c r="D722" s="11">
        <v>719</v>
      </c>
      <c r="E722" s="3">
        <v>44508</v>
      </c>
      <c r="F722" s="7">
        <f t="shared" si="29"/>
        <v>-9.0909336495024126E-3</v>
      </c>
      <c r="G722" s="7">
        <f>SUM($F$4:F722)</f>
        <v>1.7271624560408212E-2</v>
      </c>
      <c r="L722" s="11">
        <v>719</v>
      </c>
      <c r="M722" s="7">
        <f t="shared" ca="1" si="30"/>
        <v>5.005174456437135E-2</v>
      </c>
      <c r="N722" s="7">
        <f ca="1">SUM($M$4:M722)</f>
        <v>-2.5025872282185502E-2</v>
      </c>
    </row>
    <row r="723" spans="1:14" x14ac:dyDescent="0.3">
      <c r="A723" s="3">
        <v>44508</v>
      </c>
      <c r="B723" s="4">
        <v>26.280000999999999</v>
      </c>
      <c r="D723" s="11">
        <v>720</v>
      </c>
      <c r="E723" s="3">
        <v>44509</v>
      </c>
      <c r="F723" s="7">
        <f t="shared" si="29"/>
        <v>1.3980918943694113E-2</v>
      </c>
      <c r="G723" s="7">
        <f>SUM($F$4:F723)</f>
        <v>3.1252543504102323E-2</v>
      </c>
      <c r="L723" s="11">
        <v>720</v>
      </c>
      <c r="M723" s="7">
        <f t="shared" ca="1" si="30"/>
        <v>-2.0854893568488065E-2</v>
      </c>
      <c r="N723" s="7">
        <f ca="1">SUM($M$4:M723)</f>
        <v>-4.5880765850673563E-2</v>
      </c>
    </row>
    <row r="724" spans="1:14" x14ac:dyDescent="0.3">
      <c r="A724" s="3">
        <v>44509</v>
      </c>
      <c r="B724" s="4">
        <v>26.65</v>
      </c>
      <c r="D724" s="11">
        <v>721</v>
      </c>
      <c r="E724" s="3">
        <v>44510</v>
      </c>
      <c r="F724" s="7">
        <f t="shared" si="29"/>
        <v>2.6292978692203105E-2</v>
      </c>
      <c r="G724" s="7">
        <f>SUM($F$4:F724)</f>
        <v>5.7545522196305432E-2</v>
      </c>
      <c r="L724" s="11">
        <v>721</v>
      </c>
      <c r="M724" s="7">
        <f t="shared" ca="1" si="30"/>
        <v>4.1709787136976128E-3</v>
      </c>
      <c r="N724" s="7">
        <f ca="1">SUM($M$4:M724)</f>
        <v>-4.170978713697595E-2</v>
      </c>
    </row>
    <row r="725" spans="1:14" x14ac:dyDescent="0.3">
      <c r="A725" s="3">
        <v>44510</v>
      </c>
      <c r="B725" s="4">
        <v>27.360001</v>
      </c>
      <c r="D725" s="11">
        <v>722</v>
      </c>
      <c r="E725" s="3">
        <v>44511</v>
      </c>
      <c r="F725" s="7">
        <f t="shared" si="29"/>
        <v>3.1303112961341216E-2</v>
      </c>
      <c r="G725" s="7">
        <f>SUM($F$4:F725)</f>
        <v>8.8848635157646655E-2</v>
      </c>
      <c r="L725" s="11">
        <v>722</v>
      </c>
      <c r="M725" s="7">
        <f t="shared" ca="1" si="30"/>
        <v>4.3795276493824933E-2</v>
      </c>
      <c r="N725" s="7">
        <f ca="1">SUM($M$4:M725)</f>
        <v>2.0854893568489838E-3</v>
      </c>
    </row>
    <row r="726" spans="1:14" x14ac:dyDescent="0.3">
      <c r="A726" s="3">
        <v>44511</v>
      </c>
      <c r="B726" s="4">
        <v>28.23</v>
      </c>
      <c r="D726" s="11">
        <v>723</v>
      </c>
      <c r="E726" s="3">
        <v>44512</v>
      </c>
      <c r="F726" s="7">
        <f t="shared" si="29"/>
        <v>-1.1400194717167206E-2</v>
      </c>
      <c r="G726" s="7">
        <f>SUM($F$4:F726)</f>
        <v>7.7448440440479452E-2</v>
      </c>
      <c r="L726" s="11">
        <v>723</v>
      </c>
      <c r="M726" s="7">
        <f t="shared" ca="1" si="30"/>
        <v>6.2564680705464188E-3</v>
      </c>
      <c r="N726" s="7">
        <f ca="1">SUM($M$4:M726)</f>
        <v>8.3419574273954026E-3</v>
      </c>
    </row>
    <row r="727" spans="1:14" x14ac:dyDescent="0.3">
      <c r="A727" s="3">
        <v>44512</v>
      </c>
      <c r="B727" s="4">
        <v>27.91</v>
      </c>
      <c r="D727" s="11">
        <v>724</v>
      </c>
      <c r="E727" s="3">
        <v>44515</v>
      </c>
      <c r="F727" s="7">
        <f t="shared" si="29"/>
        <v>3.9334933606301322E-3</v>
      </c>
      <c r="G727" s="7">
        <f>SUM($F$4:F727)</f>
        <v>8.1381933801109585E-2</v>
      </c>
      <c r="L727" s="11">
        <v>724</v>
      </c>
      <c r="M727" s="7">
        <f t="shared" ca="1" si="30"/>
        <v>-3.1282340352732099E-2</v>
      </c>
      <c r="N727" s="7">
        <f ca="1">SUM($M$4:M727)</f>
        <v>-2.2940382925336698E-2</v>
      </c>
    </row>
    <row r="728" spans="1:14" x14ac:dyDescent="0.3">
      <c r="A728" s="3">
        <v>44515</v>
      </c>
      <c r="B728" s="4">
        <v>28.02</v>
      </c>
      <c r="D728" s="11">
        <v>725</v>
      </c>
      <c r="E728" s="3">
        <v>44516</v>
      </c>
      <c r="F728" s="7">
        <f t="shared" si="29"/>
        <v>-1.040368128117428E-2</v>
      </c>
      <c r="G728" s="7">
        <f>SUM($F$4:F728)</f>
        <v>7.0978252519935309E-2</v>
      </c>
      <c r="L728" s="11">
        <v>725</v>
      </c>
      <c r="M728" s="7">
        <f t="shared" ca="1" si="30"/>
        <v>-1.0427446784244032E-2</v>
      </c>
      <c r="N728" s="7">
        <f ca="1">SUM($M$4:M728)</f>
        <v>-3.3367829709580729E-2</v>
      </c>
    </row>
    <row r="729" spans="1:14" x14ac:dyDescent="0.3">
      <c r="A729" s="3">
        <v>44516</v>
      </c>
      <c r="B729" s="4">
        <v>27.73</v>
      </c>
      <c r="D729" s="11">
        <v>726</v>
      </c>
      <c r="E729" s="3">
        <v>44517</v>
      </c>
      <c r="F729" s="7">
        <f t="shared" si="29"/>
        <v>-5.0614713984919492E-3</v>
      </c>
      <c r="G729" s="7">
        <f>SUM($F$4:F729)</f>
        <v>6.5916781121443363E-2</v>
      </c>
      <c r="L729" s="11">
        <v>726</v>
      </c>
      <c r="M729" s="7">
        <f t="shared" ca="1" si="30"/>
        <v>5.8393701991766578E-2</v>
      </c>
      <c r="N729" s="7">
        <f ca="1">SUM($M$4:M729)</f>
        <v>2.5025872282185849E-2</v>
      </c>
    </row>
    <row r="730" spans="1:14" x14ac:dyDescent="0.3">
      <c r="A730" s="3">
        <v>44517</v>
      </c>
      <c r="B730" s="4">
        <v>27.59</v>
      </c>
      <c r="D730" s="11">
        <v>727</v>
      </c>
      <c r="E730" s="3">
        <v>44518</v>
      </c>
      <c r="F730" s="7">
        <f t="shared" si="29"/>
        <v>-2.7187567274320965E-2</v>
      </c>
      <c r="G730" s="7">
        <f>SUM($F$4:F730)</f>
        <v>3.8729213847122398E-2</v>
      </c>
      <c r="L730" s="11">
        <v>727</v>
      </c>
      <c r="M730" s="7">
        <f t="shared" ca="1" si="30"/>
        <v>-6.2564680705464188E-3</v>
      </c>
      <c r="N730" s="7">
        <f ca="1">SUM($M$4:M730)</f>
        <v>1.8769404211639432E-2</v>
      </c>
    </row>
    <row r="731" spans="1:14" x14ac:dyDescent="0.3">
      <c r="A731" s="3">
        <v>44518</v>
      </c>
      <c r="B731" s="4">
        <v>26.85</v>
      </c>
      <c r="D731" s="11">
        <v>728</v>
      </c>
      <c r="E731" s="3">
        <v>44519</v>
      </c>
      <c r="F731" s="7">
        <f t="shared" si="29"/>
        <v>-6.1043704032528637E-2</v>
      </c>
      <c r="G731" s="7">
        <f>SUM($F$4:F731)</f>
        <v>-2.2314490185406238E-2</v>
      </c>
      <c r="L731" s="11">
        <v>728</v>
      </c>
      <c r="M731" s="7">
        <f t="shared" ca="1" si="30"/>
        <v>4.170978713697613E-2</v>
      </c>
      <c r="N731" s="7">
        <f ca="1">SUM($M$4:M731)</f>
        <v>6.0479191348615562E-2</v>
      </c>
    </row>
    <row r="732" spans="1:14" x14ac:dyDescent="0.3">
      <c r="A732" s="3">
        <v>44519</v>
      </c>
      <c r="B732" s="4">
        <v>25.26</v>
      </c>
      <c r="D732" s="11">
        <v>729</v>
      </c>
      <c r="E732" s="3">
        <v>44522</v>
      </c>
      <c r="F732" s="7">
        <f t="shared" si="29"/>
        <v>1.7657865460080691E-2</v>
      </c>
      <c r="G732" s="7">
        <f>SUM($F$4:F732)</f>
        <v>-4.6566247253255477E-3</v>
      </c>
      <c r="L732" s="11">
        <v>729</v>
      </c>
      <c r="M732" s="7">
        <f t="shared" ca="1" si="30"/>
        <v>-1.8769404211639258E-2</v>
      </c>
      <c r="N732" s="7">
        <f ca="1">SUM($M$4:M732)</f>
        <v>4.1709787136976303E-2</v>
      </c>
    </row>
    <row r="733" spans="1:14" x14ac:dyDescent="0.3">
      <c r="A733" s="3">
        <v>44522</v>
      </c>
      <c r="B733" s="4">
        <v>25.709999</v>
      </c>
      <c r="D733" s="11">
        <v>730</v>
      </c>
      <c r="E733" s="3">
        <v>44523</v>
      </c>
      <c r="F733" s="7">
        <f t="shared" si="29"/>
        <v>-4.2876308969090338E-3</v>
      </c>
      <c r="G733" s="7">
        <f>SUM($F$4:F733)</f>
        <v>-8.9442556222345815E-3</v>
      </c>
      <c r="L733" s="11">
        <v>730</v>
      </c>
      <c r="M733" s="7">
        <f t="shared" ca="1" si="30"/>
        <v>6.6735659419161805E-2</v>
      </c>
      <c r="N733" s="7">
        <f ca="1">SUM($M$4:M733)</f>
        <v>0.10844544655613811</v>
      </c>
    </row>
    <row r="734" spans="1:14" x14ac:dyDescent="0.3">
      <c r="A734" s="3">
        <v>44523</v>
      </c>
      <c r="B734" s="4">
        <v>25.6</v>
      </c>
      <c r="D734" s="11">
        <v>731</v>
      </c>
      <c r="E734" s="3">
        <v>44524</v>
      </c>
      <c r="F734" s="7">
        <f t="shared" si="29"/>
        <v>-1.6939542338292223E-2</v>
      </c>
      <c r="G734" s="7">
        <f>SUM($F$4:F734)</f>
        <v>-2.5883797960526804E-2</v>
      </c>
      <c r="L734" s="11">
        <v>731</v>
      </c>
      <c r="M734" s="7">
        <f t="shared" ca="1" si="30"/>
        <v>-5.005174456437135E-2</v>
      </c>
      <c r="N734" s="7">
        <f ca="1">SUM($M$4:M734)</f>
        <v>5.8393701991766758E-2</v>
      </c>
    </row>
    <row r="735" spans="1:14" x14ac:dyDescent="0.3">
      <c r="A735" s="3">
        <v>44524</v>
      </c>
      <c r="B735" s="4">
        <v>25.17</v>
      </c>
      <c r="D735" s="11">
        <v>732</v>
      </c>
      <c r="E735" s="3">
        <v>44526</v>
      </c>
      <c r="F735" s="7">
        <f t="shared" si="29"/>
        <v>-1.8040217010809694E-2</v>
      </c>
      <c r="G735" s="7">
        <f>SUM($F$4:F735)</f>
        <v>-4.3924014971336495E-2</v>
      </c>
      <c r="L735" s="11">
        <v>732</v>
      </c>
      <c r="M735" s="7">
        <f t="shared" ca="1" si="30"/>
        <v>2.0854893568488064E-3</v>
      </c>
      <c r="N735" s="7">
        <f ca="1">SUM($M$4:M735)</f>
        <v>6.0479191348615562E-2</v>
      </c>
    </row>
    <row r="736" spans="1:14" x14ac:dyDescent="0.3">
      <c r="A736" s="3">
        <v>44526</v>
      </c>
      <c r="B736" s="4">
        <v>24.719999000000001</v>
      </c>
      <c r="D736" s="11">
        <v>733</v>
      </c>
      <c r="E736" s="3">
        <v>44529</v>
      </c>
      <c r="F736" s="7">
        <f t="shared" si="29"/>
        <v>-5.2727359083136697E-3</v>
      </c>
      <c r="G736" s="7">
        <f>SUM($F$4:F736)</f>
        <v>-4.9196750879650163E-2</v>
      </c>
      <c r="L736" s="11">
        <v>733</v>
      </c>
      <c r="M736" s="7">
        <f t="shared" ca="1" si="30"/>
        <v>-1.6683914854790451E-2</v>
      </c>
      <c r="N736" s="7">
        <f ca="1">SUM($M$4:M736)</f>
        <v>4.3795276493825114E-2</v>
      </c>
    </row>
    <row r="737" spans="1:14" x14ac:dyDescent="0.3">
      <c r="A737" s="3">
        <v>44529</v>
      </c>
      <c r="B737" s="4">
        <v>24.59</v>
      </c>
      <c r="D737" s="11">
        <v>734</v>
      </c>
      <c r="E737" s="3">
        <v>44530</v>
      </c>
      <c r="F737" s="7">
        <f t="shared" si="29"/>
        <v>-5.5174878913900827E-2</v>
      </c>
      <c r="G737" s="7">
        <f>SUM($F$4:F737)</f>
        <v>-0.104371629793551</v>
      </c>
      <c r="L737" s="11">
        <v>734</v>
      </c>
      <c r="M737" s="7">
        <f t="shared" ca="1" si="30"/>
        <v>1.8769404211639258E-2</v>
      </c>
      <c r="N737" s="7">
        <f ca="1">SUM($M$4:M737)</f>
        <v>6.2564680705464365E-2</v>
      </c>
    </row>
    <row r="738" spans="1:14" x14ac:dyDescent="0.3">
      <c r="A738" s="3">
        <v>44530</v>
      </c>
      <c r="B738" s="4">
        <v>23.27</v>
      </c>
      <c r="D738" s="11">
        <v>735</v>
      </c>
      <c r="E738" s="3">
        <v>44531</v>
      </c>
      <c r="F738" s="7">
        <f t="shared" si="29"/>
        <v>-4.4373631466801462E-2</v>
      </c>
      <c r="G738" s="7">
        <f>SUM($F$4:F738)</f>
        <v>-0.14874526126035245</v>
      </c>
      <c r="L738" s="11">
        <v>735</v>
      </c>
      <c r="M738" s="7">
        <f t="shared" ca="1" si="30"/>
        <v>-1.0427446784244032E-2</v>
      </c>
      <c r="N738" s="7">
        <f ca="1">SUM($M$4:M738)</f>
        <v>5.2137233921220334E-2</v>
      </c>
    </row>
    <row r="739" spans="1:14" x14ac:dyDescent="0.3">
      <c r="A739" s="3">
        <v>44531</v>
      </c>
      <c r="B739" s="4">
        <v>22.26</v>
      </c>
      <c r="D739" s="11">
        <v>736</v>
      </c>
      <c r="E739" s="3">
        <v>44532</v>
      </c>
      <c r="F739" s="7">
        <f t="shared" si="29"/>
        <v>4.3513786185966491E-2</v>
      </c>
      <c r="G739" s="7">
        <f>SUM($F$4:F739)</f>
        <v>-0.10523147507438596</v>
      </c>
      <c r="L739" s="11">
        <v>736</v>
      </c>
      <c r="M739" s="7">
        <f t="shared" ca="1" si="30"/>
        <v>-2.9196850995883289E-2</v>
      </c>
      <c r="N739" s="7">
        <f ca="1">SUM($M$4:M739)</f>
        <v>2.2940382925337045E-2</v>
      </c>
    </row>
    <row r="740" spans="1:14" x14ac:dyDescent="0.3">
      <c r="A740" s="3">
        <v>44532</v>
      </c>
      <c r="B740" s="4">
        <v>23.25</v>
      </c>
      <c r="D740" s="11">
        <v>737</v>
      </c>
      <c r="E740" s="3">
        <v>44533</v>
      </c>
      <c r="F740" s="7">
        <f t="shared" si="29"/>
        <v>3.1331944818237811E-2</v>
      </c>
      <c r="G740" s="7">
        <f>SUM($F$4:F740)</f>
        <v>-7.3899530256148149E-2</v>
      </c>
      <c r="L740" s="11">
        <v>737</v>
      </c>
      <c r="M740" s="7">
        <f t="shared" ca="1" si="30"/>
        <v>-2.0854893568488065E-2</v>
      </c>
      <c r="N740" s="7">
        <f ca="1">SUM($M$4:M740)</f>
        <v>2.0854893568489803E-3</v>
      </c>
    </row>
    <row r="741" spans="1:14" x14ac:dyDescent="0.3">
      <c r="A741" s="3">
        <v>44533</v>
      </c>
      <c r="B741" s="4">
        <v>23.99</v>
      </c>
      <c r="D741" s="11">
        <v>738</v>
      </c>
      <c r="E741" s="3">
        <v>44536</v>
      </c>
      <c r="F741" s="7">
        <f t="shared" si="29"/>
        <v>1.6946055447553093E-2</v>
      </c>
      <c r="G741" s="7">
        <f>SUM($F$4:F741)</f>
        <v>-5.6953474808595056E-2</v>
      </c>
      <c r="L741" s="11">
        <v>738</v>
      </c>
      <c r="M741" s="7">
        <f t="shared" ca="1" si="30"/>
        <v>-4.170978713697613E-2</v>
      </c>
      <c r="N741" s="7">
        <f ca="1">SUM($M$4:M741)</f>
        <v>-3.9624297780127146E-2</v>
      </c>
    </row>
    <row r="742" spans="1:14" x14ac:dyDescent="0.3">
      <c r="A742" s="3">
        <v>44536</v>
      </c>
      <c r="B742" s="4">
        <v>24.4</v>
      </c>
      <c r="D742" s="11">
        <v>739</v>
      </c>
      <c r="E742" s="3">
        <v>44537</v>
      </c>
      <c r="F742" s="7">
        <f t="shared" si="29"/>
        <v>-7.4044354624022779E-3</v>
      </c>
      <c r="G742" s="7">
        <f>SUM($F$4:F742)</f>
        <v>-6.435791027099734E-2</v>
      </c>
      <c r="L742" s="11">
        <v>739</v>
      </c>
      <c r="M742" s="7">
        <f t="shared" ca="1" si="30"/>
        <v>2.5025872282185675E-2</v>
      </c>
      <c r="N742" s="7">
        <f ca="1">SUM($M$4:M742)</f>
        <v>-1.4598425497941471E-2</v>
      </c>
    </row>
    <row r="743" spans="1:14" x14ac:dyDescent="0.3">
      <c r="A743" s="3">
        <v>44537</v>
      </c>
      <c r="B743" s="4">
        <v>24.219999000000001</v>
      </c>
      <c r="D743" s="11">
        <v>740</v>
      </c>
      <c r="E743" s="3">
        <v>44538</v>
      </c>
      <c r="F743" s="7">
        <f t="shared" si="29"/>
        <v>-7.8756054737288226E-3</v>
      </c>
      <c r="G743" s="7">
        <f>SUM($F$4:F743)</f>
        <v>-7.2233515744726168E-2</v>
      </c>
      <c r="L743" s="11">
        <v>740</v>
      </c>
      <c r="M743" s="7">
        <f t="shared" ca="1" si="30"/>
        <v>2.0854893568488065E-2</v>
      </c>
      <c r="N743" s="7">
        <f ca="1">SUM($M$4:M743)</f>
        <v>6.256468070546594E-3</v>
      </c>
    </row>
    <row r="744" spans="1:14" x14ac:dyDescent="0.3">
      <c r="A744" s="3">
        <v>44538</v>
      </c>
      <c r="B744" s="4">
        <v>24.030000999999999</v>
      </c>
      <c r="D744" s="11">
        <v>741</v>
      </c>
      <c r="E744" s="3">
        <v>44539</v>
      </c>
      <c r="F744" s="7">
        <f t="shared" si="29"/>
        <v>-1.8904196253800191E-2</v>
      </c>
      <c r="G744" s="7">
        <f>SUM($F$4:F744)</f>
        <v>-9.1137711998526355E-2</v>
      </c>
      <c r="L744" s="11">
        <v>741</v>
      </c>
      <c r="M744" s="7">
        <f t="shared" ca="1" si="30"/>
        <v>2.5025872282185675E-2</v>
      </c>
      <c r="N744" s="7">
        <f ca="1">SUM($M$4:M744)</f>
        <v>3.1282340352732266E-2</v>
      </c>
    </row>
    <row r="745" spans="1:14" x14ac:dyDescent="0.3">
      <c r="A745" s="3">
        <v>44539</v>
      </c>
      <c r="B745" s="4">
        <v>23.58</v>
      </c>
      <c r="D745" s="11">
        <v>742</v>
      </c>
      <c r="E745" s="3">
        <v>44540</v>
      </c>
      <c r="F745" s="7">
        <f t="shared" si="29"/>
        <v>-1.237476827609332E-2</v>
      </c>
      <c r="G745" s="7">
        <f>SUM($F$4:F745)</f>
        <v>-0.10351248027461968</v>
      </c>
      <c r="L745" s="11">
        <v>742</v>
      </c>
      <c r="M745" s="7">
        <f t="shared" ca="1" si="30"/>
        <v>2.5025872282185675E-2</v>
      </c>
      <c r="N745" s="7">
        <f ca="1">SUM($M$4:M745)</f>
        <v>5.6308212634917941E-2</v>
      </c>
    </row>
    <row r="746" spans="1:14" x14ac:dyDescent="0.3">
      <c r="A746" s="3">
        <v>44540</v>
      </c>
      <c r="B746" s="4">
        <v>23.290001</v>
      </c>
      <c r="D746" s="11">
        <v>743</v>
      </c>
      <c r="E746" s="3">
        <v>44543</v>
      </c>
      <c r="F746" s="7">
        <f t="shared" si="29"/>
        <v>-2.3458981436172022E-2</v>
      </c>
      <c r="G746" s="7">
        <f>SUM($F$4:F746)</f>
        <v>-0.12697146171079171</v>
      </c>
      <c r="L746" s="11">
        <v>743</v>
      </c>
      <c r="M746" s="7">
        <f t="shared" ca="1" si="30"/>
        <v>7.5077616846557033E-2</v>
      </c>
      <c r="N746" s="7">
        <f ca="1">SUM($M$4:M746)</f>
        <v>0.13138582948147498</v>
      </c>
    </row>
    <row r="747" spans="1:14" x14ac:dyDescent="0.3">
      <c r="A747" s="3">
        <v>44543</v>
      </c>
      <c r="B747" s="4">
        <v>22.75</v>
      </c>
      <c r="D747" s="11">
        <v>744</v>
      </c>
      <c r="E747" s="3">
        <v>44544</v>
      </c>
      <c r="F747" s="7">
        <f t="shared" si="29"/>
        <v>-1.0605490478318443E-2</v>
      </c>
      <c r="G747" s="7">
        <f>SUM($F$4:F747)</f>
        <v>-0.13757695218911015</v>
      </c>
      <c r="L747" s="11">
        <v>744</v>
      </c>
      <c r="M747" s="7">
        <f t="shared" ca="1" si="30"/>
        <v>2.0854893568488065E-2</v>
      </c>
      <c r="N747" s="7">
        <f ca="1">SUM($M$4:M747)</f>
        <v>0.15224072304996306</v>
      </c>
    </row>
    <row r="748" spans="1:14" x14ac:dyDescent="0.3">
      <c r="A748" s="3">
        <v>44544</v>
      </c>
      <c r="B748" s="4">
        <v>22.51</v>
      </c>
      <c r="D748" s="11">
        <v>745</v>
      </c>
      <c r="E748" s="3">
        <v>44545</v>
      </c>
      <c r="F748" s="7">
        <f t="shared" si="29"/>
        <v>2.661935910803328E-3</v>
      </c>
      <c r="G748" s="7">
        <f>SUM($F$4:F748)</f>
        <v>-0.13491501627830682</v>
      </c>
      <c r="L748" s="11">
        <v>745</v>
      </c>
      <c r="M748" s="7">
        <f t="shared" ca="1" si="30"/>
        <v>-4.3795276493824933E-2</v>
      </c>
      <c r="N748" s="7">
        <f ca="1">SUM($M$4:M748)</f>
        <v>0.10844544655613812</v>
      </c>
    </row>
    <row r="749" spans="1:14" x14ac:dyDescent="0.3">
      <c r="A749" s="3">
        <v>44545</v>
      </c>
      <c r="B749" s="4">
        <v>22.57</v>
      </c>
      <c r="D749" s="11">
        <v>746</v>
      </c>
      <c r="E749" s="3">
        <v>44546</v>
      </c>
      <c r="F749" s="7">
        <f t="shared" si="29"/>
        <v>3.6541690673375045E-2</v>
      </c>
      <c r="G749" s="7">
        <f>SUM($F$4:F749)</f>
        <v>-9.8373325604931783E-2</v>
      </c>
      <c r="L749" s="11">
        <v>746</v>
      </c>
      <c r="M749" s="7">
        <f t="shared" ca="1" si="30"/>
        <v>5.2137233921220161E-2</v>
      </c>
      <c r="N749" s="7">
        <f ca="1">SUM($M$4:M749)</f>
        <v>0.1605826804773583</v>
      </c>
    </row>
    <row r="750" spans="1:14" x14ac:dyDescent="0.3">
      <c r="A750" s="3">
        <v>44546</v>
      </c>
      <c r="B750" s="4">
        <v>23.41</v>
      </c>
      <c r="D750" s="11">
        <v>747</v>
      </c>
      <c r="E750" s="3">
        <v>44547</v>
      </c>
      <c r="F750" s="7">
        <f t="shared" si="29"/>
        <v>-5.568615684256829E-3</v>
      </c>
      <c r="G750" s="7">
        <f>SUM($F$4:F750)</f>
        <v>-0.10394194128918861</v>
      </c>
      <c r="L750" s="11">
        <v>747</v>
      </c>
      <c r="M750" s="7">
        <f t="shared" ca="1" si="30"/>
        <v>1.6683914854790451E-2</v>
      </c>
      <c r="N750" s="7">
        <f ca="1">SUM($M$4:M750)</f>
        <v>0.17726659533214875</v>
      </c>
    </row>
    <row r="751" spans="1:14" x14ac:dyDescent="0.3">
      <c r="A751" s="3">
        <v>44547</v>
      </c>
      <c r="B751" s="4">
        <v>23.280000999999999</v>
      </c>
      <c r="D751" s="11">
        <v>748</v>
      </c>
      <c r="E751" s="3">
        <v>44550</v>
      </c>
      <c r="F751" s="7">
        <f t="shared" si="29"/>
        <v>-1.6894575541287885E-2</v>
      </c>
      <c r="G751" s="7">
        <f>SUM($F$4:F751)</f>
        <v>-0.1208365168304765</v>
      </c>
      <c r="L751" s="11">
        <v>748</v>
      </c>
      <c r="M751" s="7">
        <f t="shared" ca="1" si="30"/>
        <v>-2.9196850995883289E-2</v>
      </c>
      <c r="N751" s="7">
        <f ca="1">SUM($M$4:M751)</f>
        <v>0.14806974433626546</v>
      </c>
    </row>
    <row r="752" spans="1:14" x14ac:dyDescent="0.3">
      <c r="A752" s="3">
        <v>44550</v>
      </c>
      <c r="B752" s="4">
        <v>22.889999</v>
      </c>
      <c r="D752" s="11">
        <v>749</v>
      </c>
      <c r="E752" s="3">
        <v>44551</v>
      </c>
      <c r="F752" s="7">
        <f t="shared" si="29"/>
        <v>2.7576154960932905E-2</v>
      </c>
      <c r="G752" s="7">
        <f>SUM($F$4:F752)</f>
        <v>-9.326036186954359E-2</v>
      </c>
      <c r="L752" s="11">
        <v>749</v>
      </c>
      <c r="M752" s="7">
        <f t="shared" ca="1" si="30"/>
        <v>0.12304387205407957</v>
      </c>
      <c r="N752" s="7">
        <f ca="1">SUM($M$4:M752)</f>
        <v>0.27111361639034504</v>
      </c>
    </row>
    <row r="753" spans="1:14" x14ac:dyDescent="0.3">
      <c r="A753" s="3">
        <v>44551</v>
      </c>
      <c r="B753" s="4">
        <v>23.530000999999999</v>
      </c>
      <c r="D753" s="11">
        <v>750</v>
      </c>
      <c r="E753" s="3">
        <v>44552</v>
      </c>
      <c r="F753" s="7">
        <f t="shared" si="29"/>
        <v>4.2408036415220469E-3</v>
      </c>
      <c r="G753" s="7">
        <f>SUM($F$4:F753)</f>
        <v>-8.9019558228021545E-2</v>
      </c>
      <c r="L753" s="11">
        <v>750</v>
      </c>
      <c r="M753" s="7">
        <f t="shared" ca="1" si="30"/>
        <v>1.6683914854790451E-2</v>
      </c>
      <c r="N753" s="7">
        <f ca="1">SUM($M$4:M753)</f>
        <v>0.28779753124513546</v>
      </c>
    </row>
    <row r="754" spans="1:14" x14ac:dyDescent="0.3">
      <c r="A754" s="3">
        <v>44552</v>
      </c>
      <c r="B754" s="4">
        <v>23.629999000000002</v>
      </c>
      <c r="D754" s="11">
        <v>751</v>
      </c>
      <c r="E754" s="3">
        <v>44553</v>
      </c>
      <c r="F754" s="7">
        <f t="shared" si="29"/>
        <v>3.2885419802828865E-2</v>
      </c>
      <c r="G754" s="7">
        <f>SUM($F$4:F754)</f>
        <v>-5.613413842519268E-2</v>
      </c>
      <c r="L754" s="11">
        <v>751</v>
      </c>
      <c r="M754" s="7">
        <f t="shared" ca="1" si="30"/>
        <v>2.5025872282185675E-2</v>
      </c>
      <c r="N754" s="7">
        <f ca="1">SUM($M$4:M754)</f>
        <v>0.31282340352732113</v>
      </c>
    </row>
    <row r="755" spans="1:14" x14ac:dyDescent="0.3">
      <c r="A755" s="3">
        <v>44553</v>
      </c>
      <c r="B755" s="4">
        <v>24.42</v>
      </c>
      <c r="D755" s="11">
        <v>752</v>
      </c>
      <c r="E755" s="3">
        <v>44557</v>
      </c>
      <c r="F755" s="7">
        <f t="shared" si="29"/>
        <v>-2.4599847899600706E-3</v>
      </c>
      <c r="G755" s="7">
        <f>SUM($F$4:F755)</f>
        <v>-5.8594123215152748E-2</v>
      </c>
      <c r="L755" s="11">
        <v>752</v>
      </c>
      <c r="M755" s="7">
        <f t="shared" ca="1" si="30"/>
        <v>2.0854893568488064E-3</v>
      </c>
      <c r="N755" s="7">
        <f ca="1">SUM($M$4:M755)</f>
        <v>0.31490889288416996</v>
      </c>
    </row>
    <row r="756" spans="1:14" x14ac:dyDescent="0.3">
      <c r="A756" s="3">
        <v>44557</v>
      </c>
      <c r="B756" s="4">
        <v>24.360001</v>
      </c>
      <c r="D756" s="11">
        <v>753</v>
      </c>
      <c r="E756" s="3">
        <v>44558</v>
      </c>
      <c r="F756" s="7">
        <f t="shared" si="29"/>
        <v>-1.2323270971674254E-3</v>
      </c>
      <c r="G756" s="7">
        <f>SUM($F$4:F756)</f>
        <v>-5.9826450312320173E-2</v>
      </c>
      <c r="L756" s="11">
        <v>753</v>
      </c>
      <c r="M756" s="7">
        <f t="shared" ca="1" si="30"/>
        <v>-1.4598425497941644E-2</v>
      </c>
      <c r="N756" s="7">
        <f ca="1">SUM($M$4:M756)</f>
        <v>0.3003104673862283</v>
      </c>
    </row>
    <row r="757" spans="1:14" x14ac:dyDescent="0.3">
      <c r="A757" s="3">
        <v>44558</v>
      </c>
      <c r="B757" s="4">
        <v>24.33</v>
      </c>
      <c r="D757" s="11">
        <v>754</v>
      </c>
      <c r="E757" s="3">
        <v>44559</v>
      </c>
      <c r="F757" s="7">
        <f t="shared" si="29"/>
        <v>-1.9087674551103124E-2</v>
      </c>
      <c r="G757" s="7">
        <f>SUM($F$4:F757)</f>
        <v>-7.8914124863423293E-2</v>
      </c>
      <c r="L757" s="11">
        <v>754</v>
      </c>
      <c r="M757" s="7">
        <f t="shared" ca="1" si="30"/>
        <v>-2.0854893568488065E-2</v>
      </c>
      <c r="N757" s="7">
        <f ca="1">SUM($M$4:M757)</f>
        <v>0.27945557381774022</v>
      </c>
    </row>
    <row r="758" spans="1:14" x14ac:dyDescent="0.3">
      <c r="A758" s="3">
        <v>44559</v>
      </c>
      <c r="B758" s="4">
        <v>23.870000999999998</v>
      </c>
      <c r="D758" s="11">
        <v>755</v>
      </c>
      <c r="E758" s="3">
        <v>44560</v>
      </c>
      <c r="F758" s="7">
        <f t="shared" si="29"/>
        <v>2.4007774576347549E-2</v>
      </c>
      <c r="G758" s="7">
        <f>SUM($F$4:F758)</f>
        <v>-5.4906350287075745E-2</v>
      </c>
      <c r="L758" s="11">
        <v>755</v>
      </c>
      <c r="M758" s="7">
        <f t="shared" ca="1" si="30"/>
        <v>-5.2137233921220161E-2</v>
      </c>
      <c r="N758" s="7">
        <f ca="1">SUM($M$4:M758)</f>
        <v>0.22731833989652006</v>
      </c>
    </row>
    <row r="759" spans="1:14" x14ac:dyDescent="0.3">
      <c r="A759" s="3">
        <v>44560</v>
      </c>
      <c r="B759" s="4">
        <v>24.450001</v>
      </c>
      <c r="D759" s="11">
        <v>756</v>
      </c>
      <c r="E759" s="3">
        <v>44561</v>
      </c>
      <c r="F759" s="7">
        <f t="shared" si="29"/>
        <v>-3.7929112507662309E-2</v>
      </c>
      <c r="G759" s="7">
        <f>SUM($F$4:F759)</f>
        <v>-9.2835462794738061E-2</v>
      </c>
      <c r="L759" s="11">
        <v>756</v>
      </c>
      <c r="M759" s="7">
        <f t="shared" ca="1" si="30"/>
        <v>2.0854893568488064E-3</v>
      </c>
      <c r="N759" s="7">
        <f ca="1">SUM($M$4:M759)</f>
        <v>0.22940382925336886</v>
      </c>
    </row>
    <row r="760" spans="1:14" x14ac:dyDescent="0.3">
      <c r="A760" s="3">
        <v>44561</v>
      </c>
      <c r="B760" s="4">
        <v>23.540001</v>
      </c>
      <c r="D760" s="11">
        <v>757</v>
      </c>
      <c r="E760" s="3">
        <v>44564</v>
      </c>
      <c r="F760" s="7">
        <f t="shared" si="29"/>
        <v>7.3288319700570398E-2</v>
      </c>
      <c r="G760" s="7">
        <f>SUM($F$4:F760)</f>
        <v>-1.9547143094167663E-2</v>
      </c>
      <c r="L760" s="11">
        <v>757</v>
      </c>
      <c r="M760" s="7">
        <f t="shared" ca="1" si="30"/>
        <v>2.2940382925336872E-2</v>
      </c>
      <c r="N760" s="7">
        <f ca="1">SUM($M$4:M760)</f>
        <v>0.25234421217870573</v>
      </c>
    </row>
    <row r="761" spans="1:14" x14ac:dyDescent="0.3">
      <c r="A761" s="3">
        <v>44564</v>
      </c>
      <c r="B761" s="4">
        <v>25.33</v>
      </c>
      <c r="D761" s="11">
        <v>758</v>
      </c>
      <c r="E761" s="3">
        <v>44565</v>
      </c>
      <c r="F761" s="7">
        <f t="shared" si="29"/>
        <v>5.4545009328431746E-2</v>
      </c>
      <c r="G761" s="7">
        <f>SUM($F$4:F761)</f>
        <v>3.4997866234264083E-2</v>
      </c>
      <c r="L761" s="11">
        <v>758</v>
      </c>
      <c r="M761" s="7">
        <f t="shared" ca="1" si="30"/>
        <v>2.2940382925336872E-2</v>
      </c>
      <c r="N761" s="7">
        <f ca="1">SUM($M$4:M761)</f>
        <v>0.27528459510404257</v>
      </c>
    </row>
    <row r="762" spans="1:14" x14ac:dyDescent="0.3">
      <c r="A762" s="3">
        <v>44565</v>
      </c>
      <c r="B762" s="4">
        <v>26.75</v>
      </c>
      <c r="D762" s="11">
        <v>759</v>
      </c>
      <c r="E762" s="3">
        <v>44566</v>
      </c>
      <c r="F762" s="7">
        <f t="shared" si="29"/>
        <v>-1.1278277230524556E-2</v>
      </c>
      <c r="G762" s="7">
        <f>SUM($F$4:F762)</f>
        <v>2.3719589003739529E-2</v>
      </c>
      <c r="L762" s="11">
        <v>759</v>
      </c>
      <c r="M762" s="7">
        <f t="shared" ca="1" si="30"/>
        <v>2.0854893568488065E-2</v>
      </c>
      <c r="N762" s="7">
        <f ca="1">SUM($M$4:M762)</f>
        <v>0.29613948867253065</v>
      </c>
    </row>
    <row r="763" spans="1:14" x14ac:dyDescent="0.3">
      <c r="A763" s="3">
        <v>44566</v>
      </c>
      <c r="B763" s="4">
        <v>26.450001</v>
      </c>
      <c r="D763" s="11">
        <v>760</v>
      </c>
      <c r="E763" s="3">
        <v>44567</v>
      </c>
      <c r="F763" s="7">
        <f t="shared" si="29"/>
        <v>-2.7987335622321995E-2</v>
      </c>
      <c r="G763" s="7">
        <f>SUM($F$4:F763)</f>
        <v>-4.2677466185824658E-3</v>
      </c>
      <c r="L763" s="11">
        <v>760</v>
      </c>
      <c r="M763" s="7">
        <f t="shared" ca="1" si="30"/>
        <v>-6.2564680705464188E-3</v>
      </c>
      <c r="N763" s="7">
        <f ca="1">SUM($M$4:M763)</f>
        <v>0.28988302060198423</v>
      </c>
    </row>
    <row r="764" spans="1:14" x14ac:dyDescent="0.3">
      <c r="A764" s="3">
        <v>44567</v>
      </c>
      <c r="B764" s="4">
        <v>25.719999000000001</v>
      </c>
      <c r="D764" s="11">
        <v>761</v>
      </c>
      <c r="E764" s="3">
        <v>44568</v>
      </c>
      <c r="F764" s="7">
        <f t="shared" si="29"/>
        <v>0.15592649056885913</v>
      </c>
      <c r="G764" s="7">
        <f>SUM($F$4:F764)</f>
        <v>0.15165874395027668</v>
      </c>
      <c r="L764" s="11">
        <v>761</v>
      </c>
      <c r="M764" s="7">
        <f t="shared" ca="1" si="30"/>
        <v>-3.5453319066429706E-2</v>
      </c>
      <c r="N764" s="7">
        <f ca="1">SUM($M$4:M764)</f>
        <v>0.25442970153555455</v>
      </c>
    </row>
    <row r="765" spans="1:14" x14ac:dyDescent="0.3">
      <c r="A765" s="3">
        <v>44568</v>
      </c>
      <c r="B765" s="4">
        <v>30.059999000000001</v>
      </c>
      <c r="D765" s="11">
        <v>762</v>
      </c>
      <c r="E765" s="3">
        <v>44571</v>
      </c>
      <c r="F765" s="7">
        <f t="shared" si="29"/>
        <v>-5.0138344723807717E-2</v>
      </c>
      <c r="G765" s="7">
        <f>SUM($F$4:F765)</f>
        <v>0.10152039922646897</v>
      </c>
      <c r="L765" s="11">
        <v>762</v>
      </c>
      <c r="M765" s="7">
        <f t="shared" ca="1" si="30"/>
        <v>-4.170978713697613E-2</v>
      </c>
      <c r="N765" s="7">
        <f ca="1">SUM($M$4:M765)</f>
        <v>0.21271991439857843</v>
      </c>
    </row>
    <row r="766" spans="1:14" x14ac:dyDescent="0.3">
      <c r="A766" s="3">
        <v>44571</v>
      </c>
      <c r="B766" s="4">
        <v>28.59</v>
      </c>
      <c r="D766" s="11">
        <v>763</v>
      </c>
      <c r="E766" s="3">
        <v>44572</v>
      </c>
      <c r="F766" s="7">
        <f t="shared" si="29"/>
        <v>3.1430093971992214E-3</v>
      </c>
      <c r="G766" s="7">
        <f>SUM($F$4:F766)</f>
        <v>0.10466340862366819</v>
      </c>
      <c r="L766" s="11">
        <v>763</v>
      </c>
      <c r="M766" s="7">
        <f t="shared" ca="1" si="30"/>
        <v>-2.0854893568488065E-2</v>
      </c>
      <c r="N766" s="7">
        <f ca="1">SUM($M$4:M766)</f>
        <v>0.19186502083009035</v>
      </c>
    </row>
    <row r="767" spans="1:14" x14ac:dyDescent="0.3">
      <c r="A767" s="3">
        <v>44572</v>
      </c>
      <c r="B767" s="4">
        <v>28.68</v>
      </c>
      <c r="D767" s="11">
        <v>764</v>
      </c>
      <c r="E767" s="3">
        <v>44573</v>
      </c>
      <c r="F767" s="7">
        <f t="shared" si="29"/>
        <v>3.8281236269469784E-3</v>
      </c>
      <c r="G767" s="7">
        <f>SUM($F$4:F767)</f>
        <v>0.10849153225061517</v>
      </c>
      <c r="L767" s="11">
        <v>764</v>
      </c>
      <c r="M767" s="7">
        <f t="shared" ca="1" si="30"/>
        <v>-1.4598425497941644E-2</v>
      </c>
      <c r="N767" s="7">
        <f ca="1">SUM($M$4:M767)</f>
        <v>0.17726659533214872</v>
      </c>
    </row>
    <row r="768" spans="1:14" x14ac:dyDescent="0.3">
      <c r="A768" s="3">
        <v>44573</v>
      </c>
      <c r="B768" s="4">
        <v>28.790001</v>
      </c>
      <c r="D768" s="11">
        <v>765</v>
      </c>
      <c r="E768" s="3">
        <v>44574</v>
      </c>
      <c r="F768" s="7">
        <f t="shared" si="29"/>
        <v>1.8923633356468957E-2</v>
      </c>
      <c r="G768" s="7">
        <f>SUM($F$4:F768)</f>
        <v>0.12741516560708413</v>
      </c>
      <c r="L768" s="11">
        <v>765</v>
      </c>
      <c r="M768" s="7">
        <f t="shared" ca="1" si="30"/>
        <v>-3.7538808423278516E-2</v>
      </c>
      <c r="N768" s="7">
        <f ca="1">SUM($M$4:M768)</f>
        <v>0.13972778690887022</v>
      </c>
    </row>
    <row r="769" spans="1:14" x14ac:dyDescent="0.3">
      <c r="A769" s="3">
        <v>44574</v>
      </c>
      <c r="B769" s="4">
        <v>29.34</v>
      </c>
      <c r="D769" s="11">
        <v>766</v>
      </c>
      <c r="E769" s="3">
        <v>44575</v>
      </c>
      <c r="F769" s="7">
        <f t="shared" si="29"/>
        <v>6.0825090914794717E-2</v>
      </c>
      <c r="G769" s="7">
        <f>SUM($F$4:F769)</f>
        <v>0.18824025652187884</v>
      </c>
      <c r="L769" s="11">
        <v>766</v>
      </c>
      <c r="M769" s="7">
        <f t="shared" ca="1" si="30"/>
        <v>3.3367829709580903E-2</v>
      </c>
      <c r="N769" s="7">
        <f ca="1">SUM($M$4:M769)</f>
        <v>0.17309561661845113</v>
      </c>
    </row>
    <row r="770" spans="1:14" x14ac:dyDescent="0.3">
      <c r="A770" s="3">
        <v>44575</v>
      </c>
      <c r="B770" s="4">
        <v>31.18</v>
      </c>
      <c r="D770" s="11">
        <v>767</v>
      </c>
      <c r="E770" s="3">
        <v>44579</v>
      </c>
      <c r="F770" s="7">
        <f t="shared" si="29"/>
        <v>-5.0652096939936497E-2</v>
      </c>
      <c r="G770" s="7">
        <f>SUM($F$4:F770)</f>
        <v>0.13758815958194234</v>
      </c>
      <c r="L770" s="11">
        <v>767</v>
      </c>
      <c r="M770" s="7">
        <f t="shared" ca="1" si="30"/>
        <v>-4.7966255207522547E-2</v>
      </c>
      <c r="N770" s="7">
        <f ca="1">SUM($M$4:M770)</f>
        <v>0.12512936141092859</v>
      </c>
    </row>
    <row r="771" spans="1:14" x14ac:dyDescent="0.3">
      <c r="A771" s="3">
        <v>44579</v>
      </c>
      <c r="B771" s="4">
        <v>29.639999</v>
      </c>
      <c r="D771" s="11">
        <v>768</v>
      </c>
      <c r="E771" s="3">
        <v>44580</v>
      </c>
      <c r="F771" s="7">
        <f t="shared" si="29"/>
        <v>-3.6417594187972593E-2</v>
      </c>
      <c r="G771" s="7">
        <f>SUM($F$4:F771)</f>
        <v>0.10117056539396975</v>
      </c>
      <c r="L771" s="11">
        <v>768</v>
      </c>
      <c r="M771" s="7">
        <f t="shared" ca="1" si="30"/>
        <v>2.2940382925336872E-2</v>
      </c>
      <c r="N771" s="7">
        <f ca="1">SUM($M$4:M771)</f>
        <v>0.14806974433626546</v>
      </c>
    </row>
    <row r="772" spans="1:14" x14ac:dyDescent="0.3">
      <c r="A772" s="3">
        <v>44580</v>
      </c>
      <c r="B772" s="4">
        <v>28.58</v>
      </c>
      <c r="D772" s="11">
        <v>769</v>
      </c>
      <c r="E772" s="3">
        <v>44581</v>
      </c>
      <c r="F772" s="7">
        <f t="shared" ref="F772:F835" si="31">LN(B773/B772)</f>
        <v>-3.8884870324567014E-2</v>
      </c>
      <c r="G772" s="7">
        <f>SUM($F$4:F772)</f>
        <v>6.2285695069402736E-2</v>
      </c>
      <c r="L772" s="11">
        <v>769</v>
      </c>
      <c r="M772" s="7">
        <f t="shared" ca="1" si="30"/>
        <v>1.0427446784244032E-2</v>
      </c>
      <c r="N772" s="7">
        <f ca="1">SUM($M$4:M772)</f>
        <v>0.1584971911205095</v>
      </c>
    </row>
    <row r="773" spans="1:14" x14ac:dyDescent="0.3">
      <c r="A773" s="3">
        <v>44581</v>
      </c>
      <c r="B773" s="4">
        <v>27.49</v>
      </c>
      <c r="D773" s="11">
        <v>770</v>
      </c>
      <c r="E773" s="3">
        <v>44582</v>
      </c>
      <c r="F773" s="7">
        <f t="shared" si="31"/>
        <v>-4.8444605475022072E-2</v>
      </c>
      <c r="G773" s="7">
        <f>SUM($F$4:F773)</f>
        <v>1.3841089594380664E-2</v>
      </c>
      <c r="L773" s="11">
        <v>770</v>
      </c>
      <c r="M773" s="7">
        <f t="shared" ref="M773:M836" ca="1" si="32">(2*_xlfn.BINOM.INV($J$4,$J$12,RAND())-$J$4)*$J$11</f>
        <v>-5.6308212634917774E-2</v>
      </c>
      <c r="N773" s="7">
        <f ca="1">SUM($M$4:M773)</f>
        <v>0.10218897848559172</v>
      </c>
    </row>
    <row r="774" spans="1:14" x14ac:dyDescent="0.3">
      <c r="A774" s="3">
        <v>44582</v>
      </c>
      <c r="B774" s="4">
        <v>26.190000999999999</v>
      </c>
      <c r="D774" s="11">
        <v>771</v>
      </c>
      <c r="E774" s="3">
        <v>44585</v>
      </c>
      <c r="F774" s="7">
        <f t="shared" si="31"/>
        <v>2.6004781750435017E-2</v>
      </c>
      <c r="G774" s="7">
        <f>SUM($F$4:F774)</f>
        <v>3.9845871344815681E-2</v>
      </c>
      <c r="L774" s="11">
        <v>771</v>
      </c>
      <c r="M774" s="7">
        <f t="shared" ca="1" si="32"/>
        <v>-1.0427446784244032E-2</v>
      </c>
      <c r="N774" s="7">
        <f ca="1">SUM($M$4:M774)</f>
        <v>9.1761531701347682E-2</v>
      </c>
    </row>
    <row r="775" spans="1:14" x14ac:dyDescent="0.3">
      <c r="A775" s="3">
        <v>44585</v>
      </c>
      <c r="B775" s="4">
        <v>26.879999000000002</v>
      </c>
      <c r="D775" s="11">
        <v>772</v>
      </c>
      <c r="E775" s="3">
        <v>44586</v>
      </c>
      <c r="F775" s="7">
        <f t="shared" si="31"/>
        <v>-7.4425012739442239E-4</v>
      </c>
      <c r="G775" s="7">
        <f>SUM($F$4:F775)</f>
        <v>3.9101621217421258E-2</v>
      </c>
      <c r="L775" s="11">
        <v>772</v>
      </c>
      <c r="M775" s="7">
        <f t="shared" ca="1" si="32"/>
        <v>1.4598425497941644E-2</v>
      </c>
      <c r="N775" s="7">
        <f ca="1">SUM($M$4:M775)</f>
        <v>0.10635995719928933</v>
      </c>
    </row>
    <row r="776" spans="1:14" x14ac:dyDescent="0.3">
      <c r="A776" s="3">
        <v>44586</v>
      </c>
      <c r="B776" s="4">
        <v>26.860001</v>
      </c>
      <c r="D776" s="11">
        <v>773</v>
      </c>
      <c r="E776" s="3">
        <v>44587</v>
      </c>
      <c r="F776" s="7">
        <f t="shared" si="31"/>
        <v>-9.6055096026016654E-2</v>
      </c>
      <c r="G776" s="7">
        <f>SUM($F$4:F776)</f>
        <v>-5.6953474808595396E-2</v>
      </c>
      <c r="L776" s="11">
        <v>773</v>
      </c>
      <c r="M776" s="7">
        <f t="shared" ca="1" si="32"/>
        <v>-3.7538808423278516E-2</v>
      </c>
      <c r="N776" s="7">
        <f ca="1">SUM($M$4:M776)</f>
        <v>6.882114877601081E-2</v>
      </c>
    </row>
    <row r="777" spans="1:14" x14ac:dyDescent="0.3">
      <c r="A777" s="3">
        <v>44587</v>
      </c>
      <c r="B777" s="4">
        <v>24.4</v>
      </c>
      <c r="D777" s="11">
        <v>774</v>
      </c>
      <c r="E777" s="3">
        <v>44588</v>
      </c>
      <c r="F777" s="7">
        <f t="shared" si="31"/>
        <v>3.3846905373856241E-2</v>
      </c>
      <c r="G777" s="7">
        <f>SUM($F$4:F777)</f>
        <v>-2.3106569434739155E-2</v>
      </c>
      <c r="L777" s="11">
        <v>774</v>
      </c>
      <c r="M777" s="7">
        <f t="shared" ca="1" si="32"/>
        <v>-3.7538808423278516E-2</v>
      </c>
      <c r="N777" s="7">
        <f ca="1">SUM($M$4:M777)</f>
        <v>3.1282340352732294E-2</v>
      </c>
    </row>
    <row r="778" spans="1:14" x14ac:dyDescent="0.3">
      <c r="A778" s="3">
        <v>44588</v>
      </c>
      <c r="B778" s="4">
        <v>25.24</v>
      </c>
      <c r="D778" s="11">
        <v>775</v>
      </c>
      <c r="E778" s="3">
        <v>44589</v>
      </c>
      <c r="F778" s="7">
        <f t="shared" si="31"/>
        <v>7.2947008706932104E-2</v>
      </c>
      <c r="G778" s="7">
        <f>SUM($F$4:F778)</f>
        <v>4.9840439272192949E-2</v>
      </c>
      <c r="L778" s="11">
        <v>775</v>
      </c>
      <c r="M778" s="7">
        <f t="shared" ca="1" si="32"/>
        <v>-2.2940382925336872E-2</v>
      </c>
      <c r="N778" s="7">
        <f ca="1">SUM($M$4:M778)</f>
        <v>8.3419574273954217E-3</v>
      </c>
    </row>
    <row r="779" spans="1:14" x14ac:dyDescent="0.3">
      <c r="A779" s="3">
        <v>44589</v>
      </c>
      <c r="B779" s="4">
        <v>27.15</v>
      </c>
      <c r="D779" s="11">
        <v>776</v>
      </c>
      <c r="E779" s="3">
        <v>44592</v>
      </c>
      <c r="F779" s="7">
        <f t="shared" si="31"/>
        <v>2.7608001168286329E-2</v>
      </c>
      <c r="G779" s="7">
        <f>SUM($F$4:F779)</f>
        <v>7.7448440440479271E-2</v>
      </c>
      <c r="L779" s="11">
        <v>776</v>
      </c>
      <c r="M779" s="7">
        <f t="shared" ca="1" si="32"/>
        <v>-2.0854893568488065E-2</v>
      </c>
      <c r="N779" s="7">
        <f ca="1">SUM($M$4:M779)</f>
        <v>-1.2512936141092643E-2</v>
      </c>
    </row>
    <row r="780" spans="1:14" x14ac:dyDescent="0.3">
      <c r="A780" s="3">
        <v>44592</v>
      </c>
      <c r="B780" s="4">
        <v>27.91</v>
      </c>
      <c r="D780" s="11">
        <v>777</v>
      </c>
      <c r="E780" s="3">
        <v>44593</v>
      </c>
      <c r="F780" s="7">
        <f t="shared" si="31"/>
        <v>-2.6871624109974332E-2</v>
      </c>
      <c r="G780" s="7">
        <f>SUM($F$4:F780)</f>
        <v>5.057681633050494E-2</v>
      </c>
      <c r="L780" s="11">
        <v>777</v>
      </c>
      <c r="M780" s="7">
        <f t="shared" ca="1" si="32"/>
        <v>0</v>
      </c>
      <c r="N780" s="7">
        <f ca="1">SUM($M$4:M780)</f>
        <v>-1.2512936141092643E-2</v>
      </c>
    </row>
    <row r="781" spans="1:14" x14ac:dyDescent="0.3">
      <c r="A781" s="3">
        <v>44593</v>
      </c>
      <c r="B781" s="4">
        <v>27.17</v>
      </c>
      <c r="D781" s="11">
        <v>778</v>
      </c>
      <c r="E781" s="3">
        <v>44594</v>
      </c>
      <c r="F781" s="7">
        <f t="shared" si="31"/>
        <v>1.8957949858733916E-2</v>
      </c>
      <c r="G781" s="7">
        <f>SUM($F$4:F781)</f>
        <v>6.9534766189238859E-2</v>
      </c>
      <c r="L781" s="11">
        <v>778</v>
      </c>
      <c r="M781" s="7">
        <f t="shared" ca="1" si="32"/>
        <v>-2.0854893568488064E-3</v>
      </c>
      <c r="N781" s="7">
        <f ca="1">SUM($M$4:M781)</f>
        <v>-1.459842549794145E-2</v>
      </c>
    </row>
    <row r="782" spans="1:14" x14ac:dyDescent="0.3">
      <c r="A782" s="3">
        <v>44594</v>
      </c>
      <c r="B782" s="4">
        <v>27.690000999999999</v>
      </c>
      <c r="D782" s="11">
        <v>779</v>
      </c>
      <c r="E782" s="3">
        <v>44595</v>
      </c>
      <c r="F782" s="7">
        <f t="shared" si="31"/>
        <v>4.3807745691053335E-2</v>
      </c>
      <c r="G782" s="7">
        <f>SUM($F$4:F782)</f>
        <v>0.11334251188029219</v>
      </c>
      <c r="L782" s="11">
        <v>779</v>
      </c>
      <c r="M782" s="7">
        <f t="shared" ca="1" si="32"/>
        <v>-1.8769404211639258E-2</v>
      </c>
      <c r="N782" s="7">
        <f ca="1">SUM($M$4:M782)</f>
        <v>-3.3367829709580708E-2</v>
      </c>
    </row>
    <row r="783" spans="1:14" x14ac:dyDescent="0.3">
      <c r="A783" s="3">
        <v>44595</v>
      </c>
      <c r="B783" s="4">
        <v>28.93</v>
      </c>
      <c r="D783" s="11">
        <v>780</v>
      </c>
      <c r="E783" s="3">
        <v>44596</v>
      </c>
      <c r="F783" s="7">
        <f t="shared" si="31"/>
        <v>-1.0375238696572796E-3</v>
      </c>
      <c r="G783" s="7">
        <f>SUM($F$4:F783)</f>
        <v>0.11230498801063492</v>
      </c>
      <c r="L783" s="11">
        <v>780</v>
      </c>
      <c r="M783" s="7">
        <f t="shared" ca="1" si="32"/>
        <v>1.0427446784244032E-2</v>
      </c>
      <c r="N783" s="7">
        <f ca="1">SUM($M$4:M783)</f>
        <v>-2.2940382925336678E-2</v>
      </c>
    </row>
    <row r="784" spans="1:14" x14ac:dyDescent="0.3">
      <c r="A784" s="3">
        <v>44596</v>
      </c>
      <c r="B784" s="4">
        <v>28.9</v>
      </c>
      <c r="D784" s="11">
        <v>781</v>
      </c>
      <c r="E784" s="3">
        <v>44599</v>
      </c>
      <c r="F784" s="7">
        <f t="shared" si="31"/>
        <v>-1.9567360855852062E-2</v>
      </c>
      <c r="G784" s="7">
        <f>SUM($F$4:F784)</f>
        <v>9.2737627154782856E-2</v>
      </c>
      <c r="L784" s="11">
        <v>781</v>
      </c>
      <c r="M784" s="7">
        <f t="shared" ca="1" si="32"/>
        <v>-4.7966255207522547E-2</v>
      </c>
      <c r="N784" s="7">
        <f ca="1">SUM($M$4:M784)</f>
        <v>-7.0906638132859218E-2</v>
      </c>
    </row>
    <row r="785" spans="1:14" x14ac:dyDescent="0.3">
      <c r="A785" s="3">
        <v>44599</v>
      </c>
      <c r="B785" s="4">
        <v>28.34</v>
      </c>
      <c r="D785" s="11">
        <v>782</v>
      </c>
      <c r="E785" s="3">
        <v>44600</v>
      </c>
      <c r="F785" s="7">
        <f t="shared" si="31"/>
        <v>-4.5977446970526612E-3</v>
      </c>
      <c r="G785" s="7">
        <f>SUM($F$4:F785)</f>
        <v>8.813988245773019E-2</v>
      </c>
      <c r="L785" s="11">
        <v>782</v>
      </c>
      <c r="M785" s="7">
        <f t="shared" ca="1" si="32"/>
        <v>-2.0854893568488064E-3</v>
      </c>
      <c r="N785" s="7">
        <f ca="1">SUM($M$4:M785)</f>
        <v>-7.2992127489708028E-2</v>
      </c>
    </row>
    <row r="786" spans="1:14" x14ac:dyDescent="0.3">
      <c r="A786" s="3">
        <v>44600</v>
      </c>
      <c r="B786" s="4">
        <v>28.209999</v>
      </c>
      <c r="D786" s="11">
        <v>783</v>
      </c>
      <c r="E786" s="3">
        <v>44601</v>
      </c>
      <c r="F786" s="7">
        <f t="shared" si="31"/>
        <v>5.6173285770078268E-2</v>
      </c>
      <c r="G786" s="7">
        <f>SUM($F$4:F786)</f>
        <v>0.14431316822780846</v>
      </c>
      <c r="L786" s="11">
        <v>783</v>
      </c>
      <c r="M786" s="7">
        <f t="shared" ca="1" si="32"/>
        <v>-5.005174456437135E-2</v>
      </c>
      <c r="N786" s="7">
        <f ca="1">SUM($M$4:M786)</f>
        <v>-0.12304387205407938</v>
      </c>
    </row>
    <row r="787" spans="1:14" x14ac:dyDescent="0.3">
      <c r="A787" s="3">
        <v>44601</v>
      </c>
      <c r="B787" s="4">
        <v>29.84</v>
      </c>
      <c r="D787" s="11">
        <v>784</v>
      </c>
      <c r="E787" s="3">
        <v>44602</v>
      </c>
      <c r="F787" s="7">
        <f t="shared" si="31"/>
        <v>8.3431153063937852E-3</v>
      </c>
      <c r="G787" s="7">
        <f>SUM($F$4:F787)</f>
        <v>0.15265628353420224</v>
      </c>
      <c r="L787" s="11">
        <v>784</v>
      </c>
      <c r="M787" s="7">
        <f t="shared" ca="1" si="32"/>
        <v>1.0427446784244032E-2</v>
      </c>
      <c r="N787" s="7">
        <f ca="1">SUM($M$4:M787)</f>
        <v>-0.11261642526983534</v>
      </c>
    </row>
    <row r="788" spans="1:14" x14ac:dyDescent="0.3">
      <c r="A788" s="3">
        <v>44602</v>
      </c>
      <c r="B788" s="4">
        <v>30.09</v>
      </c>
      <c r="D788" s="11">
        <v>785</v>
      </c>
      <c r="E788" s="3">
        <v>44603</v>
      </c>
      <c r="F788" s="7">
        <f t="shared" si="31"/>
        <v>-1.7432556777567956E-2</v>
      </c>
      <c r="G788" s="7">
        <f>SUM($F$4:F788)</f>
        <v>0.1352237267566343</v>
      </c>
      <c r="L788" s="11">
        <v>785</v>
      </c>
      <c r="M788" s="7">
        <f t="shared" ca="1" si="32"/>
        <v>6.2564680705464188E-3</v>
      </c>
      <c r="N788" s="7">
        <f ca="1">SUM($M$4:M788)</f>
        <v>-0.10635995719928892</v>
      </c>
    </row>
    <row r="789" spans="1:14" x14ac:dyDescent="0.3">
      <c r="A789" s="3">
        <v>44603</v>
      </c>
      <c r="B789" s="4">
        <v>29.57</v>
      </c>
      <c r="D789" s="11">
        <v>786</v>
      </c>
      <c r="E789" s="3">
        <v>44606</v>
      </c>
      <c r="F789" s="7">
        <f t="shared" si="31"/>
        <v>-5.085618691094371E-3</v>
      </c>
      <c r="G789" s="7">
        <f>SUM($F$4:F789)</f>
        <v>0.13013810806553994</v>
      </c>
      <c r="L789" s="11">
        <v>786</v>
      </c>
      <c r="M789" s="7">
        <f t="shared" ca="1" si="32"/>
        <v>2.7111361639034482E-2</v>
      </c>
      <c r="N789" s="7">
        <f ca="1">SUM($M$4:M789)</f>
        <v>-7.9248595560254445E-2</v>
      </c>
    </row>
    <row r="790" spans="1:14" x14ac:dyDescent="0.3">
      <c r="A790" s="3">
        <v>44606</v>
      </c>
      <c r="B790" s="4">
        <v>29.42</v>
      </c>
      <c r="D790" s="11">
        <v>787</v>
      </c>
      <c r="E790" s="3">
        <v>44607</v>
      </c>
      <c r="F790" s="7">
        <f t="shared" si="31"/>
        <v>3.6379783555286781E-2</v>
      </c>
      <c r="G790" s="7">
        <f>SUM($F$4:F790)</f>
        <v>0.16651789162082672</v>
      </c>
      <c r="L790" s="11">
        <v>787</v>
      </c>
      <c r="M790" s="7">
        <f t="shared" ca="1" si="32"/>
        <v>-1.2512936141092838E-2</v>
      </c>
      <c r="N790" s="7">
        <f ca="1">SUM($M$4:M790)</f>
        <v>-9.1761531701347279E-2</v>
      </c>
    </row>
    <row r="791" spans="1:14" x14ac:dyDescent="0.3">
      <c r="A791" s="3">
        <v>44607</v>
      </c>
      <c r="B791" s="4">
        <v>30.51</v>
      </c>
      <c r="D791" s="11">
        <v>788</v>
      </c>
      <c r="E791" s="3">
        <v>44608</v>
      </c>
      <c r="F791" s="7">
        <f t="shared" si="31"/>
        <v>-3.7740362019607308E-2</v>
      </c>
      <c r="G791" s="7">
        <f>SUM($F$4:F791)</f>
        <v>0.12877752960121941</v>
      </c>
      <c r="L791" s="11">
        <v>788</v>
      </c>
      <c r="M791" s="7">
        <f t="shared" ca="1" si="32"/>
        <v>5.005174456437135E-2</v>
      </c>
      <c r="N791" s="7">
        <f ca="1">SUM($M$4:M791)</f>
        <v>-4.1709787136975929E-2</v>
      </c>
    </row>
    <row r="792" spans="1:14" x14ac:dyDescent="0.3">
      <c r="A792" s="3">
        <v>44608</v>
      </c>
      <c r="B792" s="4">
        <v>29.379999000000002</v>
      </c>
      <c r="D792" s="11">
        <v>789</v>
      </c>
      <c r="E792" s="3">
        <v>44609</v>
      </c>
      <c r="F792" s="7">
        <f t="shared" si="31"/>
        <v>1.6540528997453296E-2</v>
      </c>
      <c r="G792" s="7">
        <f>SUM($F$4:F792)</f>
        <v>0.14531805859867269</v>
      </c>
      <c r="L792" s="11">
        <v>789</v>
      </c>
      <c r="M792" s="7">
        <f t="shared" ca="1" si="32"/>
        <v>2.7111361639034482E-2</v>
      </c>
      <c r="N792" s="7">
        <f ca="1">SUM($M$4:M792)</f>
        <v>-1.4598425497941447E-2</v>
      </c>
    </row>
    <row r="793" spans="1:14" x14ac:dyDescent="0.3">
      <c r="A793" s="3">
        <v>44609</v>
      </c>
      <c r="B793" s="4">
        <v>29.870000999999998</v>
      </c>
      <c r="D793" s="11">
        <v>790</v>
      </c>
      <c r="E793" s="3">
        <v>44610</v>
      </c>
      <c r="F793" s="7">
        <f t="shared" si="31"/>
        <v>-3.3484010576222291E-4</v>
      </c>
      <c r="G793" s="7">
        <f>SUM($F$4:F793)</f>
        <v>0.14498321849291046</v>
      </c>
      <c r="L793" s="11">
        <v>790</v>
      </c>
      <c r="M793" s="7">
        <f t="shared" ca="1" si="32"/>
        <v>-3.3367829709580903E-2</v>
      </c>
      <c r="N793" s="7">
        <f ca="1">SUM($M$4:M793)</f>
        <v>-4.7966255207522346E-2</v>
      </c>
    </row>
    <row r="794" spans="1:14" x14ac:dyDescent="0.3">
      <c r="A794" s="3">
        <v>44610</v>
      </c>
      <c r="B794" s="4">
        <v>29.860001</v>
      </c>
      <c r="D794" s="11">
        <v>791</v>
      </c>
      <c r="E794" s="3">
        <v>44614</v>
      </c>
      <c r="F794" s="7">
        <f t="shared" si="31"/>
        <v>-5.4364949211611696E-2</v>
      </c>
      <c r="G794" s="7">
        <f>SUM($F$4:F794)</f>
        <v>9.0618269281298763E-2</v>
      </c>
      <c r="L794" s="11">
        <v>791</v>
      </c>
      <c r="M794" s="7">
        <f t="shared" ca="1" si="32"/>
        <v>-3.962429778012732E-2</v>
      </c>
      <c r="N794" s="7">
        <f ca="1">SUM($M$4:M794)</f>
        <v>-8.7590552987649672E-2</v>
      </c>
    </row>
    <row r="795" spans="1:14" x14ac:dyDescent="0.3">
      <c r="A795" s="3">
        <v>44614</v>
      </c>
      <c r="B795" s="4">
        <v>28.280000999999999</v>
      </c>
      <c r="D795" s="11">
        <v>792</v>
      </c>
      <c r="E795" s="3">
        <v>44615</v>
      </c>
      <c r="F795" s="7">
        <f t="shared" si="31"/>
        <v>-2.4783868235685406E-3</v>
      </c>
      <c r="G795" s="7">
        <f>SUM($F$4:F795)</f>
        <v>8.8139882457730218E-2</v>
      </c>
      <c r="L795" s="11">
        <v>792</v>
      </c>
      <c r="M795" s="7">
        <f t="shared" ca="1" si="32"/>
        <v>-4.170978713697613E-2</v>
      </c>
      <c r="N795" s="7">
        <f ca="1">SUM($M$4:M795)</f>
        <v>-0.1293003401246258</v>
      </c>
    </row>
    <row r="796" spans="1:14" x14ac:dyDescent="0.3">
      <c r="A796" s="3">
        <v>44615</v>
      </c>
      <c r="B796" s="4">
        <v>28.209999</v>
      </c>
      <c r="D796" s="11">
        <v>793</v>
      </c>
      <c r="E796" s="3">
        <v>44616</v>
      </c>
      <c r="F796" s="7">
        <f t="shared" si="31"/>
        <v>-1.7161629937795093E-2</v>
      </c>
      <c r="G796" s="7">
        <f>SUM($F$4:F796)</f>
        <v>7.0978252519935128E-2</v>
      </c>
      <c r="L796" s="11">
        <v>793</v>
      </c>
      <c r="M796" s="7">
        <f t="shared" ca="1" si="32"/>
        <v>-1.2512936141092838E-2</v>
      </c>
      <c r="N796" s="7">
        <f ca="1">SUM($M$4:M796)</f>
        <v>-0.14181327626571863</v>
      </c>
    </row>
    <row r="797" spans="1:14" x14ac:dyDescent="0.3">
      <c r="A797" s="3">
        <v>44616</v>
      </c>
      <c r="B797" s="4">
        <v>27.73</v>
      </c>
      <c r="D797" s="11">
        <v>794</v>
      </c>
      <c r="E797" s="3">
        <v>44617</v>
      </c>
      <c r="F797" s="7">
        <f t="shared" si="31"/>
        <v>1.8224552997354676E-2</v>
      </c>
      <c r="G797" s="7">
        <f>SUM($F$4:F797)</f>
        <v>8.9202805517289804E-2</v>
      </c>
      <c r="L797" s="11">
        <v>794</v>
      </c>
      <c r="M797" s="7">
        <f t="shared" ca="1" si="32"/>
        <v>5.005174456437135E-2</v>
      </c>
      <c r="N797" s="7">
        <f ca="1">SUM($M$4:M797)</f>
        <v>-9.1761531701347279E-2</v>
      </c>
    </row>
    <row r="798" spans="1:14" x14ac:dyDescent="0.3">
      <c r="A798" s="3">
        <v>44617</v>
      </c>
      <c r="B798" s="4">
        <v>28.24</v>
      </c>
      <c r="D798" s="11">
        <v>795</v>
      </c>
      <c r="E798" s="3">
        <v>44620</v>
      </c>
      <c r="F798" s="7">
        <f t="shared" si="31"/>
        <v>-6.7508163069604681E-3</v>
      </c>
      <c r="G798" s="7">
        <f>SUM($F$4:F798)</f>
        <v>8.2451989210329341E-2</v>
      </c>
      <c r="L798" s="11">
        <v>795</v>
      </c>
      <c r="M798" s="7">
        <f t="shared" ca="1" si="32"/>
        <v>4.1709787136976128E-3</v>
      </c>
      <c r="N798" s="7">
        <f ca="1">SUM($M$4:M798)</f>
        <v>-8.7590552987649672E-2</v>
      </c>
    </row>
    <row r="799" spans="1:14" x14ac:dyDescent="0.3">
      <c r="A799" s="3">
        <v>44620</v>
      </c>
      <c r="B799" s="4">
        <v>28.049999</v>
      </c>
      <c r="D799" s="11">
        <v>796</v>
      </c>
      <c r="E799" s="3">
        <v>44621</v>
      </c>
      <c r="F799" s="7">
        <f t="shared" si="31"/>
        <v>2.1368241748877807E-3</v>
      </c>
      <c r="G799" s="7">
        <f>SUM($F$4:F799)</f>
        <v>8.4588813385217121E-2</v>
      </c>
      <c r="L799" s="11">
        <v>796</v>
      </c>
      <c r="M799" s="7">
        <f t="shared" ca="1" si="32"/>
        <v>-2.2940382925336872E-2</v>
      </c>
      <c r="N799" s="7">
        <f ca="1">SUM($M$4:M799)</f>
        <v>-0.11053093591298654</v>
      </c>
    </row>
    <row r="800" spans="1:14" x14ac:dyDescent="0.3">
      <c r="A800" s="3">
        <v>44621</v>
      </c>
      <c r="B800" s="4">
        <v>28.110001</v>
      </c>
      <c r="D800" s="11">
        <v>797</v>
      </c>
      <c r="E800" s="3">
        <v>44622</v>
      </c>
      <c r="F800" s="7">
        <f t="shared" si="31"/>
        <v>3.9412214388609208E-2</v>
      </c>
      <c r="G800" s="7">
        <f>SUM($F$4:F800)</f>
        <v>0.12400102777382632</v>
      </c>
      <c r="L800" s="11">
        <v>797</v>
      </c>
      <c r="M800" s="7">
        <f t="shared" ca="1" si="32"/>
        <v>3.962429778012732E-2</v>
      </c>
      <c r="N800" s="7">
        <f ca="1">SUM($M$4:M800)</f>
        <v>-7.0906638132859218E-2</v>
      </c>
    </row>
    <row r="801" spans="1:14" x14ac:dyDescent="0.3">
      <c r="A801" s="3">
        <v>44622</v>
      </c>
      <c r="B801" s="4">
        <v>29.24</v>
      </c>
      <c r="D801" s="11">
        <v>798</v>
      </c>
      <c r="E801" s="3">
        <v>44623</v>
      </c>
      <c r="F801" s="7">
        <f t="shared" si="31"/>
        <v>-1.933761915015806E-2</v>
      </c>
      <c r="G801" s="7">
        <f>SUM($F$4:F801)</f>
        <v>0.10466340862366827</v>
      </c>
      <c r="L801" s="11">
        <v>798</v>
      </c>
      <c r="M801" s="7">
        <f t="shared" ca="1" si="32"/>
        <v>-5.005174456437135E-2</v>
      </c>
      <c r="N801" s="7">
        <f ca="1">SUM($M$4:M801)</f>
        <v>-0.12095838269723057</v>
      </c>
    </row>
    <row r="802" spans="1:14" x14ac:dyDescent="0.3">
      <c r="A802" s="3">
        <v>44623</v>
      </c>
      <c r="B802" s="4">
        <v>28.68</v>
      </c>
      <c r="D802" s="11">
        <v>799</v>
      </c>
      <c r="E802" s="3">
        <v>44624</v>
      </c>
      <c r="F802" s="7">
        <f t="shared" si="31"/>
        <v>-6.4445582639192922E-2</v>
      </c>
      <c r="G802" s="7">
        <f>SUM($F$4:F802)</f>
        <v>4.0217825984475347E-2</v>
      </c>
      <c r="L802" s="11">
        <v>799</v>
      </c>
      <c r="M802" s="7">
        <f t="shared" ca="1" si="32"/>
        <v>-5.6308212634917774E-2</v>
      </c>
      <c r="N802" s="7">
        <f ca="1">SUM($M$4:M802)</f>
        <v>-0.17726659533214834</v>
      </c>
    </row>
    <row r="803" spans="1:14" x14ac:dyDescent="0.3">
      <c r="A803" s="3">
        <v>44624</v>
      </c>
      <c r="B803" s="4">
        <v>26.889999</v>
      </c>
      <c r="D803" s="11">
        <v>800</v>
      </c>
      <c r="E803" s="3">
        <v>44627</v>
      </c>
      <c r="F803" s="7">
        <f t="shared" si="31"/>
        <v>-5.1117155581457213E-2</v>
      </c>
      <c r="G803" s="7">
        <f>SUM($F$4:F803)</f>
        <v>-1.0899329596981866E-2</v>
      </c>
      <c r="L803" s="11">
        <v>800</v>
      </c>
      <c r="M803" s="7">
        <f t="shared" ca="1" si="32"/>
        <v>-3.7538808423278516E-2</v>
      </c>
      <c r="N803" s="7">
        <f ca="1">SUM($M$4:M803)</f>
        <v>-0.21480540375542684</v>
      </c>
    </row>
    <row r="804" spans="1:14" x14ac:dyDescent="0.3">
      <c r="A804" s="3">
        <v>44627</v>
      </c>
      <c r="B804" s="4">
        <v>25.549999</v>
      </c>
      <c r="D804" s="11">
        <v>801</v>
      </c>
      <c r="E804" s="3">
        <v>44628</v>
      </c>
      <c r="F804" s="7">
        <f t="shared" si="31"/>
        <v>-1.1019356110666621E-2</v>
      </c>
      <c r="G804" s="7">
        <f>SUM($F$4:F804)</f>
        <v>-2.1918685707648489E-2</v>
      </c>
      <c r="L804" s="11">
        <v>801</v>
      </c>
      <c r="M804" s="7">
        <f t="shared" ca="1" si="32"/>
        <v>1.4598425497941644E-2</v>
      </c>
      <c r="N804" s="7">
        <f ca="1">SUM($M$4:M804)</f>
        <v>-0.20020697825748518</v>
      </c>
    </row>
    <row r="805" spans="1:14" x14ac:dyDescent="0.3">
      <c r="A805" s="3">
        <v>44628</v>
      </c>
      <c r="B805" s="4">
        <v>25.27</v>
      </c>
      <c r="D805" s="11">
        <v>802</v>
      </c>
      <c r="E805" s="3">
        <v>44629</v>
      </c>
      <c r="F805" s="7">
        <f t="shared" si="31"/>
        <v>3.949491627720565E-3</v>
      </c>
      <c r="G805" s="7">
        <f>SUM($F$4:F805)</f>
        <v>-1.7969194079927923E-2</v>
      </c>
      <c r="L805" s="11">
        <v>802</v>
      </c>
      <c r="M805" s="7">
        <f t="shared" ca="1" si="32"/>
        <v>-2.2940382925336872E-2</v>
      </c>
      <c r="N805" s="7">
        <f ca="1">SUM($M$4:M805)</f>
        <v>-0.22314736118282205</v>
      </c>
    </row>
    <row r="806" spans="1:14" x14ac:dyDescent="0.3">
      <c r="A806" s="3">
        <v>44629</v>
      </c>
      <c r="B806" s="4">
        <v>25.370000999999998</v>
      </c>
      <c r="D806" s="11">
        <v>803</v>
      </c>
      <c r="E806" s="3">
        <v>44630</v>
      </c>
      <c r="F806" s="7">
        <f t="shared" si="31"/>
        <v>-1.1496697263103612E-2</v>
      </c>
      <c r="G806" s="7">
        <f>SUM($F$4:F806)</f>
        <v>-2.9465891343031535E-2</v>
      </c>
      <c r="L806" s="11">
        <v>803</v>
      </c>
      <c r="M806" s="7">
        <f t="shared" ca="1" si="32"/>
        <v>-8.3419574273952257E-3</v>
      </c>
      <c r="N806" s="7">
        <f ca="1">SUM($M$4:M806)</f>
        <v>-0.23148931861021727</v>
      </c>
    </row>
    <row r="807" spans="1:14" x14ac:dyDescent="0.3">
      <c r="A807" s="3">
        <v>44630</v>
      </c>
      <c r="B807" s="4">
        <v>25.08</v>
      </c>
      <c r="D807" s="11">
        <v>804</v>
      </c>
      <c r="E807" s="3">
        <v>44631</v>
      </c>
      <c r="F807" s="7">
        <f t="shared" si="31"/>
        <v>-4.4433638913116753E-2</v>
      </c>
      <c r="G807" s="7">
        <f>SUM($F$4:F807)</f>
        <v>-7.3899530256148288E-2</v>
      </c>
      <c r="L807" s="11">
        <v>804</v>
      </c>
      <c r="M807" s="7">
        <f t="shared" ca="1" si="32"/>
        <v>4.3795276493824933E-2</v>
      </c>
      <c r="N807" s="7">
        <f ca="1">SUM($M$4:M807)</f>
        <v>-0.18769404211639235</v>
      </c>
    </row>
    <row r="808" spans="1:14" x14ac:dyDescent="0.3">
      <c r="A808" s="3">
        <v>44631</v>
      </c>
      <c r="B808" s="4">
        <v>23.99</v>
      </c>
      <c r="D808" s="11">
        <v>805</v>
      </c>
      <c r="E808" s="3">
        <v>44634</v>
      </c>
      <c r="F808" s="7">
        <f t="shared" si="31"/>
        <v>-4.5958302032495443E-3</v>
      </c>
      <c r="G808" s="7">
        <f>SUM($F$4:F808)</f>
        <v>-7.8495360459397839E-2</v>
      </c>
      <c r="L808" s="11">
        <v>805</v>
      </c>
      <c r="M808" s="7">
        <f t="shared" ca="1" si="32"/>
        <v>3.3367829709580903E-2</v>
      </c>
      <c r="N808" s="7">
        <f ca="1">SUM($M$4:M808)</f>
        <v>-0.15432621240681144</v>
      </c>
    </row>
    <row r="809" spans="1:14" x14ac:dyDescent="0.3">
      <c r="A809" s="3">
        <v>44634</v>
      </c>
      <c r="B809" s="4">
        <v>23.879999000000002</v>
      </c>
      <c r="D809" s="11">
        <v>806</v>
      </c>
      <c r="E809" s="3">
        <v>44635</v>
      </c>
      <c r="F809" s="7">
        <f t="shared" si="31"/>
        <v>4.6634258390411458E-2</v>
      </c>
      <c r="G809" s="7">
        <f>SUM($F$4:F809)</f>
        <v>-3.1861102068986381E-2</v>
      </c>
      <c r="L809" s="11">
        <v>806</v>
      </c>
      <c r="M809" s="7">
        <f t="shared" ca="1" si="32"/>
        <v>2.0854893568488064E-3</v>
      </c>
      <c r="N809" s="7">
        <f ca="1">SUM($M$4:M809)</f>
        <v>-0.15224072304996264</v>
      </c>
    </row>
    <row r="810" spans="1:14" x14ac:dyDescent="0.3">
      <c r="A810" s="3">
        <v>44635</v>
      </c>
      <c r="B810" s="4">
        <v>25.02</v>
      </c>
      <c r="D810" s="11">
        <v>807</v>
      </c>
      <c r="E810" s="3">
        <v>44636</v>
      </c>
      <c r="F810" s="7">
        <f t="shared" si="31"/>
        <v>2.447808801214333E-2</v>
      </c>
      <c r="G810" s="7">
        <f>SUM($F$4:F810)</f>
        <v>-7.3830140568430513E-3</v>
      </c>
      <c r="L810" s="11">
        <v>807</v>
      </c>
      <c r="M810" s="7">
        <f t="shared" ca="1" si="32"/>
        <v>-6.0479191348615388E-2</v>
      </c>
      <c r="N810" s="7">
        <f ca="1">SUM($M$4:M810)</f>
        <v>-0.21271991439857801</v>
      </c>
    </row>
    <row r="811" spans="1:14" x14ac:dyDescent="0.3">
      <c r="A811" s="3">
        <v>44636</v>
      </c>
      <c r="B811" s="4">
        <v>25.639999</v>
      </c>
      <c r="D811" s="11">
        <v>808</v>
      </c>
      <c r="E811" s="3">
        <v>44637</v>
      </c>
      <c r="F811" s="7">
        <f t="shared" si="31"/>
        <v>2.7263893315174585E-3</v>
      </c>
      <c r="G811" s="7">
        <f>SUM($F$4:F811)</f>
        <v>-4.6566247253255928E-3</v>
      </c>
      <c r="L811" s="11">
        <v>808</v>
      </c>
      <c r="M811" s="7">
        <f t="shared" ca="1" si="32"/>
        <v>-1.4598425497941644E-2</v>
      </c>
      <c r="N811" s="7">
        <f ca="1">SUM($M$4:M811)</f>
        <v>-0.22731833989651967</v>
      </c>
    </row>
    <row r="812" spans="1:14" x14ac:dyDescent="0.3">
      <c r="A812" s="3">
        <v>44637</v>
      </c>
      <c r="B812" s="4">
        <v>25.709999</v>
      </c>
      <c r="D812" s="11">
        <v>809</v>
      </c>
      <c r="E812" s="3">
        <v>44638</v>
      </c>
      <c r="F812" s="7">
        <f t="shared" si="31"/>
        <v>2.1166886492224351E-2</v>
      </c>
      <c r="G812" s="7">
        <f>SUM($F$4:F812)</f>
        <v>1.6510261766898758E-2</v>
      </c>
      <c r="L812" s="11">
        <v>809</v>
      </c>
      <c r="M812" s="7">
        <f t="shared" ca="1" si="32"/>
        <v>1.0427446784244032E-2</v>
      </c>
      <c r="N812" s="7">
        <f ca="1">SUM($M$4:M812)</f>
        <v>-0.21689089311227563</v>
      </c>
    </row>
    <row r="813" spans="1:14" x14ac:dyDescent="0.3">
      <c r="A813" s="3">
        <v>44638</v>
      </c>
      <c r="B813" s="4">
        <v>26.26</v>
      </c>
      <c r="D813" s="11">
        <v>810</v>
      </c>
      <c r="E813" s="3">
        <v>44641</v>
      </c>
      <c r="F813" s="7">
        <f t="shared" si="31"/>
        <v>-4.1976783637183704E-3</v>
      </c>
      <c r="G813" s="7">
        <f>SUM($F$4:F813)</f>
        <v>1.2312583403180387E-2</v>
      </c>
      <c r="L813" s="11">
        <v>810</v>
      </c>
      <c r="M813" s="7">
        <f t="shared" ca="1" si="32"/>
        <v>-2.9196850995883289E-2</v>
      </c>
      <c r="N813" s="7">
        <f ca="1">SUM($M$4:M813)</f>
        <v>-0.24608774410815892</v>
      </c>
    </row>
    <row r="814" spans="1:14" x14ac:dyDescent="0.3">
      <c r="A814" s="3">
        <v>44641</v>
      </c>
      <c r="B814" s="4">
        <v>26.15</v>
      </c>
      <c r="D814" s="11">
        <v>811</v>
      </c>
      <c r="E814" s="3">
        <v>44642</v>
      </c>
      <c r="F814" s="7">
        <f t="shared" si="31"/>
        <v>2.7161269332693538E-2</v>
      </c>
      <c r="G814" s="7">
        <f>SUM($F$4:F814)</f>
        <v>3.9473852735873921E-2</v>
      </c>
      <c r="L814" s="11">
        <v>811</v>
      </c>
      <c r="M814" s="7">
        <f t="shared" ca="1" si="32"/>
        <v>2.2940382925336872E-2</v>
      </c>
      <c r="N814" s="7">
        <f ca="1">SUM($M$4:M814)</f>
        <v>-0.22314736118282205</v>
      </c>
    </row>
    <row r="815" spans="1:14" x14ac:dyDescent="0.3">
      <c r="A815" s="3">
        <v>44642</v>
      </c>
      <c r="B815" s="4">
        <v>26.870000999999998</v>
      </c>
      <c r="D815" s="11">
        <v>812</v>
      </c>
      <c r="E815" s="3">
        <v>44643</v>
      </c>
      <c r="F815" s="7">
        <f t="shared" si="31"/>
        <v>-9.3476093109204957E-3</v>
      </c>
      <c r="G815" s="7">
        <f>SUM($F$4:F815)</f>
        <v>3.0126243424953424E-2</v>
      </c>
      <c r="L815" s="11">
        <v>812</v>
      </c>
      <c r="M815" s="7">
        <f t="shared" ca="1" si="32"/>
        <v>2.5025872282185675E-2</v>
      </c>
      <c r="N815" s="7">
        <f ca="1">SUM($M$4:M815)</f>
        <v>-0.19812148890063638</v>
      </c>
    </row>
    <row r="816" spans="1:14" x14ac:dyDescent="0.3">
      <c r="A816" s="3">
        <v>44643</v>
      </c>
      <c r="B816" s="4">
        <v>26.620000999999998</v>
      </c>
      <c r="D816" s="11">
        <v>813</v>
      </c>
      <c r="E816" s="3">
        <v>44644</v>
      </c>
      <c r="F816" s="7">
        <f t="shared" si="31"/>
        <v>1.8608649412645461E-2</v>
      </c>
      <c r="G816" s="7">
        <f>SUM($F$4:F816)</f>
        <v>4.8734892837598881E-2</v>
      </c>
      <c r="L816" s="11">
        <v>813</v>
      </c>
      <c r="M816" s="7">
        <f t="shared" ca="1" si="32"/>
        <v>1.8769404211639258E-2</v>
      </c>
      <c r="N816" s="7">
        <f ca="1">SUM($M$4:M816)</f>
        <v>-0.17935208468899713</v>
      </c>
    </row>
    <row r="817" spans="1:14" x14ac:dyDescent="0.3">
      <c r="A817" s="3">
        <v>44644</v>
      </c>
      <c r="B817" s="4">
        <v>27.120000999999998</v>
      </c>
      <c r="D817" s="11">
        <v>814</v>
      </c>
      <c r="E817" s="3">
        <v>44645</v>
      </c>
      <c r="F817" s="7">
        <f t="shared" si="31"/>
        <v>8.4450289226398814E-3</v>
      </c>
      <c r="G817" s="7">
        <f>SUM($F$4:F817)</f>
        <v>5.7179921760238762E-2</v>
      </c>
      <c r="L817" s="11">
        <v>814</v>
      </c>
      <c r="M817" s="7">
        <f t="shared" ca="1" si="32"/>
        <v>8.3419574273952257E-3</v>
      </c>
      <c r="N817" s="7">
        <f ca="1">SUM($M$4:M817)</f>
        <v>-0.17101012726160192</v>
      </c>
    </row>
    <row r="818" spans="1:14" x14ac:dyDescent="0.3">
      <c r="A818" s="3">
        <v>44645</v>
      </c>
      <c r="B818" s="4">
        <v>27.35</v>
      </c>
      <c r="D818" s="11">
        <v>815</v>
      </c>
      <c r="E818" s="3">
        <v>44648</v>
      </c>
      <c r="F818" s="7">
        <f t="shared" si="31"/>
        <v>-6.6905732717293734E-2</v>
      </c>
      <c r="G818" s="7">
        <f>SUM($F$4:F818)</f>
        <v>-9.7258109570549714E-3</v>
      </c>
      <c r="L818" s="11">
        <v>815</v>
      </c>
      <c r="M818" s="7">
        <f t="shared" ca="1" si="32"/>
        <v>-4.1709787136976128E-3</v>
      </c>
      <c r="N818" s="7">
        <f ca="1">SUM($M$4:M818)</f>
        <v>-0.17518110597529954</v>
      </c>
    </row>
    <row r="819" spans="1:14" x14ac:dyDescent="0.3">
      <c r="A819" s="3">
        <v>44648</v>
      </c>
      <c r="B819" s="4">
        <v>25.58</v>
      </c>
      <c r="D819" s="11">
        <v>816</v>
      </c>
      <c r="E819" s="3">
        <v>44649</v>
      </c>
      <c r="F819" s="7">
        <f t="shared" si="31"/>
        <v>2.585519288693628E-2</v>
      </c>
      <c r="G819" s="7">
        <f>SUM($F$4:F819)</f>
        <v>1.6129381929881309E-2</v>
      </c>
      <c r="L819" s="11">
        <v>816</v>
      </c>
      <c r="M819" s="7">
        <f t="shared" ca="1" si="32"/>
        <v>-3.5453319066429706E-2</v>
      </c>
      <c r="N819" s="7">
        <f ca="1">SUM($M$4:M819)</f>
        <v>-0.21063442504172925</v>
      </c>
    </row>
    <row r="820" spans="1:14" x14ac:dyDescent="0.3">
      <c r="A820" s="3">
        <v>44649</v>
      </c>
      <c r="B820" s="4">
        <v>26.25</v>
      </c>
      <c r="D820" s="11">
        <v>817</v>
      </c>
      <c r="E820" s="3">
        <v>44650</v>
      </c>
      <c r="F820" s="7">
        <f t="shared" si="31"/>
        <v>-2.1174958225953572E-2</v>
      </c>
      <c r="G820" s="7">
        <f>SUM($F$4:F820)</f>
        <v>-5.0455762960722635E-3</v>
      </c>
      <c r="L820" s="11">
        <v>817</v>
      </c>
      <c r="M820" s="7">
        <f t="shared" ca="1" si="32"/>
        <v>2.5025872282185675E-2</v>
      </c>
      <c r="N820" s="7">
        <f ca="1">SUM($M$4:M820)</f>
        <v>-0.18560855275954358</v>
      </c>
    </row>
    <row r="821" spans="1:14" x14ac:dyDescent="0.3">
      <c r="A821" s="3">
        <v>44650</v>
      </c>
      <c r="B821" s="4">
        <v>25.700001</v>
      </c>
      <c r="D821" s="11">
        <v>818</v>
      </c>
      <c r="E821" s="3">
        <v>44651</v>
      </c>
      <c r="F821" s="7">
        <f t="shared" si="31"/>
        <v>-3.0820336892426775E-2</v>
      </c>
      <c r="G821" s="7">
        <f>SUM($F$4:F821)</f>
        <v>-3.5865913188499035E-2</v>
      </c>
      <c r="L821" s="11">
        <v>818</v>
      </c>
      <c r="M821" s="7">
        <f t="shared" ca="1" si="32"/>
        <v>2.0854893568488064E-3</v>
      </c>
      <c r="N821" s="7">
        <f ca="1">SUM($M$4:M821)</f>
        <v>-0.18352306340269478</v>
      </c>
    </row>
    <row r="822" spans="1:14" x14ac:dyDescent="0.3">
      <c r="A822" s="3">
        <v>44651</v>
      </c>
      <c r="B822" s="4">
        <v>24.92</v>
      </c>
      <c r="D822" s="11">
        <v>819</v>
      </c>
      <c r="E822" s="3">
        <v>44652</v>
      </c>
      <c r="F822" s="7">
        <f t="shared" si="31"/>
        <v>4.0048111195124915E-3</v>
      </c>
      <c r="G822" s="7">
        <f>SUM($F$4:F822)</f>
        <v>-3.1861102068986541E-2</v>
      </c>
      <c r="L822" s="11">
        <v>819</v>
      </c>
      <c r="M822" s="7">
        <f t="shared" ca="1" si="32"/>
        <v>2.9196850995883289E-2</v>
      </c>
      <c r="N822" s="7">
        <f ca="1">SUM($M$4:M822)</f>
        <v>-0.15432621240681149</v>
      </c>
    </row>
    <row r="823" spans="1:14" x14ac:dyDescent="0.3">
      <c r="A823" s="3">
        <v>44652</v>
      </c>
      <c r="B823" s="4">
        <v>25.02</v>
      </c>
      <c r="D823" s="11">
        <v>820</v>
      </c>
      <c r="E823" s="3">
        <v>44655</v>
      </c>
      <c r="F823" s="7">
        <f t="shared" si="31"/>
        <v>3.0698948129116034E-2</v>
      </c>
      <c r="G823" s="7">
        <f>SUM($F$4:F823)</f>
        <v>-1.1621539398705069E-3</v>
      </c>
      <c r="L823" s="11">
        <v>820</v>
      </c>
      <c r="M823" s="7">
        <f t="shared" ca="1" si="32"/>
        <v>2.9196850995883289E-2</v>
      </c>
      <c r="N823" s="7">
        <f ca="1">SUM($M$4:M823)</f>
        <v>-0.1251293614109282</v>
      </c>
    </row>
    <row r="824" spans="1:14" x14ac:dyDescent="0.3">
      <c r="A824" s="3">
        <v>44655</v>
      </c>
      <c r="B824" s="4">
        <v>25.799999</v>
      </c>
      <c r="D824" s="11">
        <v>821</v>
      </c>
      <c r="E824" s="3">
        <v>44656</v>
      </c>
      <c r="F824" s="7">
        <f t="shared" si="31"/>
        <v>-5.4971984485322346E-2</v>
      </c>
      <c r="G824" s="7">
        <f>SUM($F$4:F824)</f>
        <v>-5.6134138425192853E-2</v>
      </c>
      <c r="L824" s="11">
        <v>821</v>
      </c>
      <c r="M824" s="7">
        <f t="shared" ca="1" si="32"/>
        <v>-3.7538808423278516E-2</v>
      </c>
      <c r="N824" s="7">
        <f ca="1">SUM($M$4:M824)</f>
        <v>-0.16266816983420673</v>
      </c>
    </row>
    <row r="825" spans="1:14" x14ac:dyDescent="0.3">
      <c r="A825" s="3">
        <v>44656</v>
      </c>
      <c r="B825" s="4">
        <v>24.42</v>
      </c>
      <c r="D825" s="11">
        <v>822</v>
      </c>
      <c r="E825" s="3">
        <v>44657</v>
      </c>
      <c r="F825" s="7">
        <f t="shared" si="31"/>
        <v>-2.0687539600127636E-2</v>
      </c>
      <c r="G825" s="7">
        <f>SUM($F$4:F825)</f>
        <v>-7.6821678025320486E-2</v>
      </c>
      <c r="L825" s="11">
        <v>822</v>
      </c>
      <c r="M825" s="7">
        <f t="shared" ca="1" si="32"/>
        <v>-4.7966255207522547E-2</v>
      </c>
      <c r="N825" s="7">
        <f ca="1">SUM($M$4:M825)</f>
        <v>-0.21063442504172927</v>
      </c>
    </row>
    <row r="826" spans="1:14" x14ac:dyDescent="0.3">
      <c r="A826" s="3">
        <v>44657</v>
      </c>
      <c r="B826" s="4">
        <v>23.92</v>
      </c>
      <c r="D826" s="11">
        <v>823</v>
      </c>
      <c r="E826" s="3">
        <v>44658</v>
      </c>
      <c r="F826" s="7">
        <f t="shared" si="31"/>
        <v>-3.6181856896768692E-2</v>
      </c>
      <c r="G826" s="7">
        <f>SUM($F$4:F826)</f>
        <v>-0.11300353492208917</v>
      </c>
      <c r="L826" s="11">
        <v>823</v>
      </c>
      <c r="M826" s="7">
        <f t="shared" ca="1" si="32"/>
        <v>1.0427446784244032E-2</v>
      </c>
      <c r="N826" s="7">
        <f ca="1">SUM($M$4:M826)</f>
        <v>-0.20020697825748524</v>
      </c>
    </row>
    <row r="827" spans="1:14" x14ac:dyDescent="0.3">
      <c r="A827" s="3">
        <v>44658</v>
      </c>
      <c r="B827" s="4">
        <v>23.07</v>
      </c>
      <c r="D827" s="11">
        <v>824</v>
      </c>
      <c r="E827" s="3">
        <v>44659</v>
      </c>
      <c r="F827" s="7">
        <f t="shared" si="31"/>
        <v>5.7278813083986836E-2</v>
      </c>
      <c r="G827" s="7">
        <f>SUM($F$4:F827)</f>
        <v>-5.5724721838102335E-2</v>
      </c>
      <c r="L827" s="11">
        <v>824</v>
      </c>
      <c r="M827" s="7">
        <f t="shared" ca="1" si="32"/>
        <v>-9.3847021058196284E-2</v>
      </c>
      <c r="N827" s="7">
        <f ca="1">SUM($M$4:M827)</f>
        <v>-0.29405399931568155</v>
      </c>
    </row>
    <row r="828" spans="1:14" x14ac:dyDescent="0.3">
      <c r="A828" s="3">
        <v>44659</v>
      </c>
      <c r="B828" s="4">
        <v>24.43</v>
      </c>
      <c r="D828" s="11">
        <v>825</v>
      </c>
      <c r="E828" s="3">
        <v>44662</v>
      </c>
      <c r="F828" s="7">
        <f t="shared" si="31"/>
        <v>1.4225031286471557E-2</v>
      </c>
      <c r="G828" s="7">
        <f>SUM($F$4:F828)</f>
        <v>-4.1499690551630775E-2</v>
      </c>
      <c r="L828" s="11">
        <v>825</v>
      </c>
      <c r="M828" s="7">
        <f t="shared" ca="1" si="32"/>
        <v>-2.0854893568488065E-2</v>
      </c>
      <c r="N828" s="7">
        <f ca="1">SUM($M$4:M828)</f>
        <v>-0.31490889288416962</v>
      </c>
    </row>
    <row r="829" spans="1:14" x14ac:dyDescent="0.3">
      <c r="A829" s="3">
        <v>44662</v>
      </c>
      <c r="B829" s="4">
        <v>24.780000999999999</v>
      </c>
      <c r="D829" s="11">
        <v>826</v>
      </c>
      <c r="E829" s="3">
        <v>44663</v>
      </c>
      <c r="F829" s="7">
        <f t="shared" si="31"/>
        <v>-4.0437175189335199E-3</v>
      </c>
      <c r="G829" s="7">
        <f>SUM($F$4:F829)</f>
        <v>-4.5543408070564298E-2</v>
      </c>
      <c r="L829" s="11">
        <v>826</v>
      </c>
      <c r="M829" s="7">
        <f t="shared" ca="1" si="32"/>
        <v>-2.5025872282185675E-2</v>
      </c>
      <c r="N829" s="7">
        <f ca="1">SUM($M$4:M829)</f>
        <v>-0.33993476516635529</v>
      </c>
    </row>
    <row r="830" spans="1:14" x14ac:dyDescent="0.3">
      <c r="A830" s="3">
        <v>44663</v>
      </c>
      <c r="B830" s="4">
        <v>24.68</v>
      </c>
      <c r="D830" s="11">
        <v>827</v>
      </c>
      <c r="E830" s="3">
        <v>44664</v>
      </c>
      <c r="F830" s="7">
        <f t="shared" si="31"/>
        <v>5.2103338984294922E-2</v>
      </c>
      <c r="G830" s="7">
        <f>SUM($F$4:F830)</f>
        <v>6.5599309137306244E-3</v>
      </c>
      <c r="L830" s="11">
        <v>827</v>
      </c>
      <c r="M830" s="7">
        <f t="shared" ca="1" si="32"/>
        <v>5.4222723278068964E-2</v>
      </c>
      <c r="N830" s="7">
        <f ca="1">SUM($M$4:M830)</f>
        <v>-0.28571204188828631</v>
      </c>
    </row>
    <row r="831" spans="1:14" x14ac:dyDescent="0.3">
      <c r="A831" s="3">
        <v>44664</v>
      </c>
      <c r="B831" s="4">
        <v>26</v>
      </c>
      <c r="D831" s="11">
        <v>828</v>
      </c>
      <c r="E831" s="3">
        <v>44665</v>
      </c>
      <c r="F831" s="7">
        <f t="shared" si="31"/>
        <v>-4.4032310343430185E-2</v>
      </c>
      <c r="G831" s="7">
        <f>SUM($F$4:F831)</f>
        <v>-3.7472379429699561E-2</v>
      </c>
      <c r="L831" s="11">
        <v>828</v>
      </c>
      <c r="M831" s="7">
        <f t="shared" ca="1" si="32"/>
        <v>6.2564680705464188E-3</v>
      </c>
      <c r="N831" s="7">
        <f ca="1">SUM($M$4:M831)</f>
        <v>-0.27945557381773989</v>
      </c>
    </row>
    <row r="832" spans="1:14" x14ac:dyDescent="0.3">
      <c r="A832" s="3">
        <v>44665</v>
      </c>
      <c r="B832" s="4">
        <v>24.879999000000002</v>
      </c>
      <c r="D832" s="11">
        <v>829</v>
      </c>
      <c r="E832" s="3">
        <v>44669</v>
      </c>
      <c r="F832" s="7">
        <f t="shared" si="31"/>
        <v>-2.9365854611437672E-2</v>
      </c>
      <c r="G832" s="7">
        <f>SUM($F$4:F832)</f>
        <v>-6.6838234041137229E-2</v>
      </c>
      <c r="L832" s="11">
        <v>829</v>
      </c>
      <c r="M832" s="7">
        <f t="shared" ca="1" si="32"/>
        <v>-4.3795276493824933E-2</v>
      </c>
      <c r="N832" s="7">
        <f ca="1">SUM($M$4:M832)</f>
        <v>-0.32325085031156481</v>
      </c>
    </row>
    <row r="833" spans="1:14" x14ac:dyDescent="0.3">
      <c r="A833" s="3">
        <v>44669</v>
      </c>
      <c r="B833" s="4">
        <v>24.16</v>
      </c>
      <c r="D833" s="11">
        <v>830</v>
      </c>
      <c r="E833" s="3">
        <v>44670</v>
      </c>
      <c r="F833" s="7">
        <f t="shared" si="31"/>
        <v>1.356649789746201E-2</v>
      </c>
      <c r="G833" s="7">
        <f>SUM($F$4:F833)</f>
        <v>-5.3271736143675218E-2</v>
      </c>
      <c r="L833" s="11">
        <v>830</v>
      </c>
      <c r="M833" s="7">
        <f t="shared" ca="1" si="32"/>
        <v>2.5025872282185675E-2</v>
      </c>
      <c r="N833" s="7">
        <f ca="1">SUM($M$4:M833)</f>
        <v>-0.29822497802937914</v>
      </c>
    </row>
    <row r="834" spans="1:14" x14ac:dyDescent="0.3">
      <c r="A834" s="3">
        <v>44670</v>
      </c>
      <c r="B834" s="4">
        <v>24.49</v>
      </c>
      <c r="D834" s="11">
        <v>831</v>
      </c>
      <c r="E834" s="3">
        <v>44671</v>
      </c>
      <c r="F834" s="7">
        <f t="shared" si="31"/>
        <v>-6.2335966916801745E-2</v>
      </c>
      <c r="G834" s="7">
        <f>SUM($F$4:F834)</f>
        <v>-0.11560770306047696</v>
      </c>
      <c r="L834" s="11">
        <v>831</v>
      </c>
      <c r="M834" s="7">
        <f t="shared" ca="1" si="32"/>
        <v>1.8769404211639258E-2</v>
      </c>
      <c r="N834" s="7">
        <f ca="1">SUM($M$4:M834)</f>
        <v>-0.27945557381773989</v>
      </c>
    </row>
    <row r="835" spans="1:14" x14ac:dyDescent="0.3">
      <c r="A835" s="3">
        <v>44671</v>
      </c>
      <c r="B835" s="4">
        <v>23.01</v>
      </c>
      <c r="D835" s="11">
        <v>832</v>
      </c>
      <c r="E835" s="3">
        <v>44672</v>
      </c>
      <c r="F835" s="7">
        <f t="shared" si="31"/>
        <v>-7.0204212053203097E-2</v>
      </c>
      <c r="G835" s="7">
        <f>SUM($F$4:F835)</f>
        <v>-0.18581191511368006</v>
      </c>
      <c r="L835" s="11">
        <v>832</v>
      </c>
      <c r="M835" s="7">
        <f t="shared" ca="1" si="32"/>
        <v>3.3367829709580903E-2</v>
      </c>
      <c r="N835" s="7">
        <f ca="1">SUM($M$4:M835)</f>
        <v>-0.24608774410815898</v>
      </c>
    </row>
    <row r="836" spans="1:14" x14ac:dyDescent="0.3">
      <c r="A836" s="3">
        <v>44672</v>
      </c>
      <c r="B836" s="4">
        <v>21.450001</v>
      </c>
      <c r="D836" s="11">
        <v>833</v>
      </c>
      <c r="E836" s="3">
        <v>44673</v>
      </c>
      <c r="F836" s="7">
        <f t="shared" ref="F836:F899" si="33">LN(B837/B836)</f>
        <v>-4.1890988329205757E-2</v>
      </c>
      <c r="G836" s="7">
        <f>SUM($F$4:F836)</f>
        <v>-0.22770290344288582</v>
      </c>
      <c r="L836" s="11">
        <v>833</v>
      </c>
      <c r="M836" s="7">
        <f t="shared" ca="1" si="32"/>
        <v>4.1709787136976128E-3</v>
      </c>
      <c r="N836" s="7">
        <f ca="1">SUM($M$4:M836)</f>
        <v>-0.24191676539446136</v>
      </c>
    </row>
    <row r="837" spans="1:14" x14ac:dyDescent="0.3">
      <c r="A837" s="3">
        <v>44673</v>
      </c>
      <c r="B837" s="4">
        <v>20.57</v>
      </c>
      <c r="D837" s="11">
        <v>834</v>
      </c>
      <c r="E837" s="3">
        <v>44676</v>
      </c>
      <c r="F837" s="7">
        <f t="shared" si="33"/>
        <v>4.4219231468751334E-2</v>
      </c>
      <c r="G837" s="7">
        <f>SUM($F$4:F837)</f>
        <v>-0.18348367197413448</v>
      </c>
      <c r="L837" s="11">
        <v>834</v>
      </c>
      <c r="M837" s="7">
        <f t="shared" ref="M837:M900" ca="1" si="34">(2*_xlfn.BINOM.INV($J$4,$J$12,RAND())-$J$4)*$J$11</f>
        <v>-5.2137233921220161E-2</v>
      </c>
      <c r="N837" s="7">
        <f ca="1">SUM($M$4:M837)</f>
        <v>-0.29405399931568155</v>
      </c>
    </row>
    <row r="838" spans="1:14" x14ac:dyDescent="0.3">
      <c r="A838" s="3">
        <v>44676</v>
      </c>
      <c r="B838" s="4">
        <v>21.5</v>
      </c>
      <c r="D838" s="11">
        <v>835</v>
      </c>
      <c r="E838" s="3">
        <v>44677</v>
      </c>
      <c r="F838" s="7">
        <f t="shared" si="33"/>
        <v>-8.0856992601912647E-2</v>
      </c>
      <c r="G838" s="7">
        <f>SUM($F$4:F838)</f>
        <v>-0.2643406645760471</v>
      </c>
      <c r="L838" s="11">
        <v>835</v>
      </c>
      <c r="M838" s="7">
        <f t="shared" ca="1" si="34"/>
        <v>-2.9196850995883289E-2</v>
      </c>
      <c r="N838" s="7">
        <f ca="1">SUM($M$4:M838)</f>
        <v>-0.32325085031156486</v>
      </c>
    </row>
    <row r="839" spans="1:14" x14ac:dyDescent="0.3">
      <c r="A839" s="3">
        <v>44677</v>
      </c>
      <c r="B839" s="4">
        <v>19.829999999999998</v>
      </c>
      <c r="D839" s="11">
        <v>836</v>
      </c>
      <c r="E839" s="3">
        <v>44678</v>
      </c>
      <c r="F839" s="7">
        <f t="shared" si="33"/>
        <v>-5.1744599862643618E-2</v>
      </c>
      <c r="G839" s="7">
        <f>SUM($F$4:F839)</f>
        <v>-0.31608526443869073</v>
      </c>
      <c r="L839" s="11">
        <v>836</v>
      </c>
      <c r="M839" s="7">
        <f t="shared" ca="1" si="34"/>
        <v>4.170978713697613E-2</v>
      </c>
      <c r="N839" s="7">
        <f ca="1">SUM($M$4:M839)</f>
        <v>-0.28154106317458871</v>
      </c>
    </row>
    <row r="840" spans="1:14" x14ac:dyDescent="0.3">
      <c r="A840" s="3">
        <v>44678</v>
      </c>
      <c r="B840" s="4">
        <v>18.829999999999998</v>
      </c>
      <c r="D840" s="11">
        <v>837</v>
      </c>
      <c r="E840" s="3">
        <v>44679</v>
      </c>
      <c r="F840" s="7">
        <f t="shared" si="33"/>
        <v>-2.5821768168481574E-2</v>
      </c>
      <c r="G840" s="7">
        <f>SUM($F$4:F840)</f>
        <v>-0.34190703260717231</v>
      </c>
      <c r="L840" s="11">
        <v>837</v>
      </c>
      <c r="M840" s="7">
        <f t="shared" ca="1" si="34"/>
        <v>-1.0427446784244032E-2</v>
      </c>
      <c r="N840" s="7">
        <f ca="1">SUM($M$4:M840)</f>
        <v>-0.29196850995883272</v>
      </c>
    </row>
    <row r="841" spans="1:14" x14ac:dyDescent="0.3">
      <c r="A841" s="3">
        <v>44679</v>
      </c>
      <c r="B841" s="4">
        <v>18.350000000000001</v>
      </c>
      <c r="D841" s="11">
        <v>838</v>
      </c>
      <c r="E841" s="3">
        <v>44680</v>
      </c>
      <c r="F841" s="7">
        <f t="shared" si="33"/>
        <v>-1.0959013789719654E-2</v>
      </c>
      <c r="G841" s="7">
        <f>SUM($F$4:F841)</f>
        <v>-0.35286604639689195</v>
      </c>
      <c r="L841" s="11">
        <v>838</v>
      </c>
      <c r="M841" s="7">
        <f t="shared" ca="1" si="34"/>
        <v>-2.5025872282185675E-2</v>
      </c>
      <c r="N841" s="7">
        <f ca="1">SUM($M$4:M841)</f>
        <v>-0.31699438224101839</v>
      </c>
    </row>
    <row r="842" spans="1:14" x14ac:dyDescent="0.3">
      <c r="A842" s="3">
        <v>44680</v>
      </c>
      <c r="B842" s="4">
        <v>18.149999999999999</v>
      </c>
      <c r="D842" s="11">
        <v>839</v>
      </c>
      <c r="E842" s="3">
        <v>44683</v>
      </c>
      <c r="F842" s="7">
        <f t="shared" si="33"/>
        <v>5.8840500022933603E-2</v>
      </c>
      <c r="G842" s="7">
        <f>SUM($F$4:F842)</f>
        <v>-0.29402554637395834</v>
      </c>
      <c r="L842" s="11">
        <v>839</v>
      </c>
      <c r="M842" s="7">
        <f t="shared" ca="1" si="34"/>
        <v>3.962429778012732E-2</v>
      </c>
      <c r="N842" s="7">
        <f ca="1">SUM($M$4:M842)</f>
        <v>-0.27737008446089106</v>
      </c>
    </row>
    <row r="843" spans="1:14" x14ac:dyDescent="0.3">
      <c r="A843" s="3">
        <v>44683</v>
      </c>
      <c r="B843" s="4">
        <v>19.25</v>
      </c>
      <c r="D843" s="11">
        <v>840</v>
      </c>
      <c r="E843" s="3">
        <v>44684</v>
      </c>
      <c r="F843" s="7">
        <f t="shared" si="33"/>
        <v>1.038421692481704E-3</v>
      </c>
      <c r="G843" s="7">
        <f>SUM($F$4:F843)</f>
        <v>-0.29298712468147664</v>
      </c>
      <c r="L843" s="11">
        <v>840</v>
      </c>
      <c r="M843" s="7">
        <f t="shared" ca="1" si="34"/>
        <v>5.6308212634917774E-2</v>
      </c>
      <c r="N843" s="7">
        <f ca="1">SUM($M$4:M843)</f>
        <v>-0.22106187182597328</v>
      </c>
    </row>
    <row r="844" spans="1:14" x14ac:dyDescent="0.3">
      <c r="A844" s="3">
        <v>44684</v>
      </c>
      <c r="B844" s="4">
        <v>19.27</v>
      </c>
      <c r="D844" s="11">
        <v>841</v>
      </c>
      <c r="E844" s="3">
        <v>44685</v>
      </c>
      <c r="F844" s="7">
        <f t="shared" si="33"/>
        <v>2.0036632292745576E-2</v>
      </c>
      <c r="G844" s="7">
        <f>SUM($F$4:F844)</f>
        <v>-0.27295049238873104</v>
      </c>
      <c r="L844" s="11">
        <v>841</v>
      </c>
      <c r="M844" s="7">
        <f t="shared" ca="1" si="34"/>
        <v>-1.8769404211639258E-2</v>
      </c>
      <c r="N844" s="7">
        <f ca="1">SUM($M$4:M844)</f>
        <v>-0.23983127603761253</v>
      </c>
    </row>
    <row r="845" spans="1:14" x14ac:dyDescent="0.3">
      <c r="A845" s="3">
        <v>44685</v>
      </c>
      <c r="B845" s="4">
        <v>19.66</v>
      </c>
      <c r="D845" s="11">
        <v>842</v>
      </c>
      <c r="E845" s="3">
        <v>44686</v>
      </c>
      <c r="F845" s="7">
        <f t="shared" si="33"/>
        <v>-4.0483006967768936E-2</v>
      </c>
      <c r="G845" s="7">
        <f>SUM($F$4:F845)</f>
        <v>-0.3134334993565</v>
      </c>
      <c r="L845" s="11">
        <v>842</v>
      </c>
      <c r="M845" s="7">
        <f t="shared" ca="1" si="34"/>
        <v>-1.6683914854790451E-2</v>
      </c>
      <c r="N845" s="7">
        <f ca="1">SUM($M$4:M845)</f>
        <v>-0.25651519089240299</v>
      </c>
    </row>
    <row r="846" spans="1:14" x14ac:dyDescent="0.3">
      <c r="A846" s="3">
        <v>44686</v>
      </c>
      <c r="B846" s="4">
        <v>18.879999000000002</v>
      </c>
      <c r="D846" s="11">
        <v>843</v>
      </c>
      <c r="E846" s="3">
        <v>44687</v>
      </c>
      <c r="F846" s="7">
        <f t="shared" si="33"/>
        <v>-6.1717591829826751E-2</v>
      </c>
      <c r="G846" s="7">
        <f>SUM($F$4:F846)</f>
        <v>-0.37515109118632672</v>
      </c>
      <c r="L846" s="11">
        <v>843</v>
      </c>
      <c r="M846" s="7">
        <f t="shared" ca="1" si="34"/>
        <v>3.1282340352732099E-2</v>
      </c>
      <c r="N846" s="7">
        <f ca="1">SUM($M$4:M846)</f>
        <v>-0.2252328505396709</v>
      </c>
    </row>
    <row r="847" spans="1:14" x14ac:dyDescent="0.3">
      <c r="A847" s="3">
        <v>44687</v>
      </c>
      <c r="B847" s="4">
        <v>17.75</v>
      </c>
      <c r="D847" s="11">
        <v>844</v>
      </c>
      <c r="E847" s="3">
        <v>44690</v>
      </c>
      <c r="F847" s="7">
        <f t="shared" si="33"/>
        <v>-3.7307052412810592E-2</v>
      </c>
      <c r="G847" s="7">
        <f>SUM($F$4:F847)</f>
        <v>-0.41245814359913729</v>
      </c>
      <c r="L847" s="11">
        <v>844</v>
      </c>
      <c r="M847" s="7">
        <f t="shared" ca="1" si="34"/>
        <v>-1.0427446784244032E-2</v>
      </c>
      <c r="N847" s="7">
        <f ca="1">SUM($M$4:M847)</f>
        <v>-0.23566029732391494</v>
      </c>
    </row>
    <row r="848" spans="1:14" x14ac:dyDescent="0.3">
      <c r="A848" s="3">
        <v>44690</v>
      </c>
      <c r="B848" s="4">
        <v>17.100000000000001</v>
      </c>
      <c r="D848" s="11">
        <v>845</v>
      </c>
      <c r="E848" s="3">
        <v>44691</v>
      </c>
      <c r="F848" s="7">
        <f t="shared" si="33"/>
        <v>1.4514042884254012E-2</v>
      </c>
      <c r="G848" s="7">
        <f>SUM($F$4:F848)</f>
        <v>-0.39794410071488329</v>
      </c>
      <c r="L848" s="11">
        <v>845</v>
      </c>
      <c r="M848" s="7">
        <f t="shared" ca="1" si="34"/>
        <v>-3.7538808423278516E-2</v>
      </c>
      <c r="N848" s="7">
        <f ca="1">SUM($M$4:M848)</f>
        <v>-0.27319910574719347</v>
      </c>
    </row>
    <row r="849" spans="1:14" x14ac:dyDescent="0.3">
      <c r="A849" s="3">
        <v>44691</v>
      </c>
      <c r="B849" s="4">
        <v>17.350000000000001</v>
      </c>
      <c r="D849" s="11">
        <v>846</v>
      </c>
      <c r="E849" s="3">
        <v>44692</v>
      </c>
      <c r="F849" s="7">
        <f t="shared" si="33"/>
        <v>-4.2985656797096358E-2</v>
      </c>
      <c r="G849" s="7">
        <f>SUM($F$4:F849)</f>
        <v>-0.44092975751197966</v>
      </c>
      <c r="L849" s="11">
        <v>846</v>
      </c>
      <c r="M849" s="7">
        <f t="shared" ca="1" si="34"/>
        <v>1.4598425497941644E-2</v>
      </c>
      <c r="N849" s="7">
        <f ca="1">SUM($M$4:M849)</f>
        <v>-0.25860068024925181</v>
      </c>
    </row>
    <row r="850" spans="1:14" x14ac:dyDescent="0.3">
      <c r="A850" s="3">
        <v>44692</v>
      </c>
      <c r="B850" s="4">
        <v>16.620000999999998</v>
      </c>
      <c r="D850" s="11">
        <v>847</v>
      </c>
      <c r="E850" s="3">
        <v>44693</v>
      </c>
      <c r="F850" s="7">
        <f t="shared" si="33"/>
        <v>2.9056296753682109E-2</v>
      </c>
      <c r="G850" s="7">
        <f>SUM($F$4:F850)</f>
        <v>-0.41187346075829756</v>
      </c>
      <c r="L850" s="11">
        <v>847</v>
      </c>
      <c r="M850" s="7">
        <f t="shared" ca="1" si="34"/>
        <v>-1.2512936141092838E-2</v>
      </c>
      <c r="N850" s="7">
        <f ca="1">SUM($M$4:M850)</f>
        <v>-0.27111361639034465</v>
      </c>
    </row>
    <row r="851" spans="1:14" x14ac:dyDescent="0.3">
      <c r="A851" s="3">
        <v>44693</v>
      </c>
      <c r="B851" s="4">
        <v>17.110001</v>
      </c>
      <c r="D851" s="11">
        <v>848</v>
      </c>
      <c r="E851" s="3">
        <v>44694</v>
      </c>
      <c r="F851" s="7">
        <f t="shared" si="33"/>
        <v>5.6248791922326208E-2</v>
      </c>
      <c r="G851" s="7">
        <f>SUM($F$4:F851)</f>
        <v>-0.35562466883597132</v>
      </c>
      <c r="L851" s="11">
        <v>848</v>
      </c>
      <c r="M851" s="7">
        <f t="shared" ca="1" si="34"/>
        <v>-1.8769404211639258E-2</v>
      </c>
      <c r="N851" s="7">
        <f ca="1">SUM($M$4:M851)</f>
        <v>-0.2898830206019839</v>
      </c>
    </row>
    <row r="852" spans="1:14" x14ac:dyDescent="0.3">
      <c r="A852" s="3">
        <v>44694</v>
      </c>
      <c r="B852" s="4">
        <v>18.100000000000001</v>
      </c>
      <c r="D852" s="11">
        <v>849</v>
      </c>
      <c r="E852" s="3">
        <v>44697</v>
      </c>
      <c r="F852" s="7">
        <f t="shared" si="33"/>
        <v>-5.0421386154086263E-2</v>
      </c>
      <c r="G852" s="7">
        <f>SUM($F$4:F852)</f>
        <v>-0.40604605499005758</v>
      </c>
      <c r="L852" s="11">
        <v>849</v>
      </c>
      <c r="M852" s="7">
        <f t="shared" ca="1" si="34"/>
        <v>-3.5453319066429706E-2</v>
      </c>
      <c r="N852" s="7">
        <f ca="1">SUM($M$4:M852)</f>
        <v>-0.32533633966841358</v>
      </c>
    </row>
    <row r="853" spans="1:14" x14ac:dyDescent="0.3">
      <c r="A853" s="3">
        <v>44697</v>
      </c>
      <c r="B853" s="4">
        <v>17.209999</v>
      </c>
      <c r="D853" s="11">
        <v>850</v>
      </c>
      <c r="E853" s="3">
        <v>44698</v>
      </c>
      <c r="F853" s="7">
        <f t="shared" si="33"/>
        <v>6.4683887540880086E-2</v>
      </c>
      <c r="G853" s="7">
        <f>SUM($F$4:F853)</f>
        <v>-0.34136216744917747</v>
      </c>
      <c r="L853" s="11">
        <v>850</v>
      </c>
      <c r="M853" s="7">
        <f t="shared" ca="1" si="34"/>
        <v>5.2137233921220161E-2</v>
      </c>
      <c r="N853" s="7">
        <f ca="1">SUM($M$4:M853)</f>
        <v>-0.27319910574719342</v>
      </c>
    </row>
    <row r="854" spans="1:14" x14ac:dyDescent="0.3">
      <c r="A854" s="3">
        <v>44698</v>
      </c>
      <c r="B854" s="4">
        <v>18.360001</v>
      </c>
      <c r="D854" s="11">
        <v>851</v>
      </c>
      <c r="E854" s="3">
        <v>44699</v>
      </c>
      <c r="F854" s="7">
        <f t="shared" si="33"/>
        <v>-5.0261946520887973E-2</v>
      </c>
      <c r="G854" s="7">
        <f>SUM($F$4:F854)</f>
        <v>-0.39162411397006547</v>
      </c>
      <c r="L854" s="11">
        <v>851</v>
      </c>
      <c r="M854" s="7">
        <f t="shared" ca="1" si="34"/>
        <v>-6.2564680705464188E-3</v>
      </c>
      <c r="N854" s="7">
        <f ca="1">SUM($M$4:M854)</f>
        <v>-0.27945557381773983</v>
      </c>
    </row>
    <row r="855" spans="1:14" x14ac:dyDescent="0.3">
      <c r="A855" s="3">
        <v>44699</v>
      </c>
      <c r="B855" s="4">
        <v>17.459999</v>
      </c>
      <c r="D855" s="11">
        <v>852</v>
      </c>
      <c r="E855" s="3">
        <v>44700</v>
      </c>
      <c r="F855" s="7">
        <f t="shared" si="33"/>
        <v>2.2883877917823968E-3</v>
      </c>
      <c r="G855" s="7">
        <f>SUM($F$4:F855)</f>
        <v>-0.38933572617828305</v>
      </c>
      <c r="L855" s="11">
        <v>852</v>
      </c>
      <c r="M855" s="7">
        <f t="shared" ca="1" si="34"/>
        <v>-2.0854893568488065E-2</v>
      </c>
      <c r="N855" s="7">
        <f ca="1">SUM($M$4:M855)</f>
        <v>-0.30031046738622791</v>
      </c>
    </row>
    <row r="856" spans="1:14" x14ac:dyDescent="0.3">
      <c r="A856" s="3">
        <v>44700</v>
      </c>
      <c r="B856" s="4">
        <v>17.5</v>
      </c>
      <c r="D856" s="11">
        <v>853</v>
      </c>
      <c r="E856" s="3">
        <v>44701</v>
      </c>
      <c r="F856" s="7">
        <f t="shared" si="33"/>
        <v>1.3621095951964916E-2</v>
      </c>
      <c r="G856" s="7">
        <f>SUM($F$4:F856)</f>
        <v>-0.37571463022631812</v>
      </c>
      <c r="L856" s="11">
        <v>853</v>
      </c>
      <c r="M856" s="7">
        <f t="shared" ca="1" si="34"/>
        <v>1.0427446784244032E-2</v>
      </c>
      <c r="N856" s="7">
        <f ca="1">SUM($M$4:M856)</f>
        <v>-0.2898830206019839</v>
      </c>
    </row>
    <row r="857" spans="1:14" x14ac:dyDescent="0.3">
      <c r="A857" s="3">
        <v>44701</v>
      </c>
      <c r="B857" s="4">
        <v>17.739999999999998</v>
      </c>
      <c r="D857" s="11">
        <v>854</v>
      </c>
      <c r="E857" s="3">
        <v>44704</v>
      </c>
      <c r="F857" s="7">
        <f t="shared" si="33"/>
        <v>3.0532540196025085E-2</v>
      </c>
      <c r="G857" s="7">
        <f>SUM($F$4:F857)</f>
        <v>-0.34518209003029304</v>
      </c>
      <c r="L857" s="11">
        <v>854</v>
      </c>
      <c r="M857" s="7">
        <f t="shared" ca="1" si="34"/>
        <v>-4.3795276493824933E-2</v>
      </c>
      <c r="N857" s="7">
        <f ca="1">SUM($M$4:M857)</f>
        <v>-0.33367829709580882</v>
      </c>
    </row>
    <row r="858" spans="1:14" x14ac:dyDescent="0.3">
      <c r="A858" s="3">
        <v>44704</v>
      </c>
      <c r="B858" s="4">
        <v>18.290001</v>
      </c>
      <c r="D858" s="11">
        <v>855</v>
      </c>
      <c r="E858" s="3">
        <v>44705</v>
      </c>
      <c r="F858" s="7">
        <f t="shared" si="33"/>
        <v>-8.1410505191769719E-2</v>
      </c>
      <c r="G858" s="7">
        <f>SUM($F$4:F858)</f>
        <v>-0.42659259522206278</v>
      </c>
      <c r="L858" s="11">
        <v>855</v>
      </c>
      <c r="M858" s="7">
        <f t="shared" ca="1" si="34"/>
        <v>3.3367829709580903E-2</v>
      </c>
      <c r="N858" s="7">
        <f ca="1">SUM($M$4:M858)</f>
        <v>-0.30031046738622791</v>
      </c>
    </row>
    <row r="859" spans="1:14" x14ac:dyDescent="0.3">
      <c r="A859" s="3">
        <v>44705</v>
      </c>
      <c r="B859" s="4">
        <v>16.860001</v>
      </c>
      <c r="D859" s="11">
        <v>856</v>
      </c>
      <c r="E859" s="3">
        <v>44706</v>
      </c>
      <c r="F859" s="7">
        <f t="shared" si="33"/>
        <v>2.170803865414964E-2</v>
      </c>
      <c r="G859" s="7">
        <f>SUM($F$4:F859)</f>
        <v>-0.40488455656791311</v>
      </c>
      <c r="L859" s="11">
        <v>856</v>
      </c>
      <c r="M859" s="7">
        <f t="shared" ca="1" si="34"/>
        <v>-1.6683914854790451E-2</v>
      </c>
      <c r="N859" s="7">
        <f ca="1">SUM($M$4:M859)</f>
        <v>-0.31699438224101834</v>
      </c>
    </row>
    <row r="860" spans="1:14" x14ac:dyDescent="0.3">
      <c r="A860" s="3">
        <v>44706</v>
      </c>
      <c r="B860" s="4">
        <v>17.23</v>
      </c>
      <c r="D860" s="11">
        <v>857</v>
      </c>
      <c r="E860" s="3">
        <v>44707</v>
      </c>
      <c r="F860" s="7">
        <f t="shared" si="33"/>
        <v>4.2607978503635999E-2</v>
      </c>
      <c r="G860" s="7">
        <f>SUM($F$4:F860)</f>
        <v>-0.3622765780642771</v>
      </c>
      <c r="L860" s="11">
        <v>857</v>
      </c>
      <c r="M860" s="7">
        <f t="shared" ca="1" si="34"/>
        <v>7.2992127489708222E-2</v>
      </c>
      <c r="N860" s="7">
        <f ca="1">SUM($M$4:M860)</f>
        <v>-0.2440022547513101</v>
      </c>
    </row>
    <row r="861" spans="1:14" x14ac:dyDescent="0.3">
      <c r="A861" s="3">
        <v>44707</v>
      </c>
      <c r="B861" s="4">
        <v>17.98</v>
      </c>
      <c r="D861" s="11">
        <v>858</v>
      </c>
      <c r="E861" s="3">
        <v>44708</v>
      </c>
      <c r="F861" s="7">
        <f t="shared" si="33"/>
        <v>4.2466914534604418E-2</v>
      </c>
      <c r="G861" s="7">
        <f>SUM($F$4:F861)</f>
        <v>-0.31980966352967266</v>
      </c>
      <c r="L861" s="11">
        <v>858</v>
      </c>
      <c r="M861" s="7">
        <f t="shared" ca="1" si="34"/>
        <v>6.2564680705464188E-3</v>
      </c>
      <c r="N861" s="7">
        <f ca="1">SUM($M$4:M861)</f>
        <v>-0.23774578668076368</v>
      </c>
    </row>
    <row r="862" spans="1:14" x14ac:dyDescent="0.3">
      <c r="A862" s="3">
        <v>44708</v>
      </c>
      <c r="B862" s="4">
        <v>18.760000000000002</v>
      </c>
      <c r="D862" s="11">
        <v>859</v>
      </c>
      <c r="E862" s="3">
        <v>44712</v>
      </c>
      <c r="F862" s="7">
        <f t="shared" si="33"/>
        <v>-1.6662518891001947E-2</v>
      </c>
      <c r="G862" s="7">
        <f>SUM($F$4:F862)</f>
        <v>-0.33647218242067461</v>
      </c>
      <c r="L862" s="11">
        <v>859</v>
      </c>
      <c r="M862" s="7">
        <f t="shared" ca="1" si="34"/>
        <v>6.0479191348615388E-2</v>
      </c>
      <c r="N862" s="7">
        <f ca="1">SUM($M$4:M862)</f>
        <v>-0.17726659533214828</v>
      </c>
    </row>
    <row r="863" spans="1:14" x14ac:dyDescent="0.3">
      <c r="A863" s="3">
        <v>44712</v>
      </c>
      <c r="B863" s="4">
        <v>18.450001</v>
      </c>
      <c r="D863" s="11">
        <v>860</v>
      </c>
      <c r="E863" s="3">
        <v>44713</v>
      </c>
      <c r="F863" s="7">
        <f t="shared" si="33"/>
        <v>-4.376222951126274E-2</v>
      </c>
      <c r="G863" s="7">
        <f>SUM($F$4:F863)</f>
        <v>-0.38023441193193735</v>
      </c>
      <c r="L863" s="11">
        <v>860</v>
      </c>
      <c r="M863" s="7">
        <f t="shared" ca="1" si="34"/>
        <v>-4.3795276493824933E-2</v>
      </c>
      <c r="N863" s="7">
        <f ca="1">SUM($M$4:M863)</f>
        <v>-0.2210618718259732</v>
      </c>
    </row>
    <row r="864" spans="1:14" x14ac:dyDescent="0.3">
      <c r="A864" s="3">
        <v>44713</v>
      </c>
      <c r="B864" s="4">
        <v>17.66</v>
      </c>
      <c r="D864" s="11">
        <v>861</v>
      </c>
      <c r="E864" s="3">
        <v>44714</v>
      </c>
      <c r="F864" s="7">
        <f t="shared" si="33"/>
        <v>1.906956272035075E-2</v>
      </c>
      <c r="G864" s="7">
        <f>SUM($F$4:F864)</f>
        <v>-0.36116484921158659</v>
      </c>
      <c r="L864" s="11">
        <v>861</v>
      </c>
      <c r="M864" s="7">
        <f t="shared" ca="1" si="34"/>
        <v>-1.0427446784244032E-2</v>
      </c>
      <c r="N864" s="7">
        <f ca="1">SUM($M$4:M864)</f>
        <v>-0.23148931861021724</v>
      </c>
    </row>
    <row r="865" spans="1:14" x14ac:dyDescent="0.3">
      <c r="A865" s="3">
        <v>44714</v>
      </c>
      <c r="B865" s="4">
        <v>18</v>
      </c>
      <c r="D865" s="11">
        <v>862</v>
      </c>
      <c r="E865" s="3">
        <v>44715</v>
      </c>
      <c r="F865" s="7">
        <f t="shared" si="33"/>
        <v>-2.8170876966696335E-2</v>
      </c>
      <c r="G865" s="7">
        <f>SUM($F$4:F865)</f>
        <v>-0.38933572617828294</v>
      </c>
      <c r="L865" s="11">
        <v>862</v>
      </c>
      <c r="M865" s="7">
        <f t="shared" ca="1" si="34"/>
        <v>4.3795276493824933E-2</v>
      </c>
      <c r="N865" s="7">
        <f ca="1">SUM($M$4:M865)</f>
        <v>-0.18769404211639229</v>
      </c>
    </row>
    <row r="866" spans="1:14" x14ac:dyDescent="0.3">
      <c r="A866" s="3">
        <v>44715</v>
      </c>
      <c r="B866" s="4">
        <v>17.5</v>
      </c>
      <c r="D866" s="11">
        <v>863</v>
      </c>
      <c r="E866" s="3">
        <v>44718</v>
      </c>
      <c r="F866" s="7">
        <f t="shared" si="33"/>
        <v>-3.7850224131097523E-2</v>
      </c>
      <c r="G866" s="7">
        <f>SUM($F$4:F866)</f>
        <v>-0.42718595030938045</v>
      </c>
      <c r="L866" s="11">
        <v>863</v>
      </c>
      <c r="M866" s="7">
        <f t="shared" ca="1" si="34"/>
        <v>8.3419574273952257E-3</v>
      </c>
      <c r="N866" s="7">
        <f ca="1">SUM($M$4:M866)</f>
        <v>-0.17935208468899708</v>
      </c>
    </row>
    <row r="867" spans="1:14" x14ac:dyDescent="0.3">
      <c r="A867" s="3">
        <v>44718</v>
      </c>
      <c r="B867" s="4">
        <v>16.850000000000001</v>
      </c>
      <c r="D867" s="11">
        <v>864</v>
      </c>
      <c r="E867" s="3">
        <v>44719</v>
      </c>
      <c r="F867" s="7">
        <f t="shared" si="33"/>
        <v>1.8813018111013467E-2</v>
      </c>
      <c r="G867" s="7">
        <f>SUM($F$4:F867)</f>
        <v>-0.40837293219836696</v>
      </c>
      <c r="L867" s="11">
        <v>864</v>
      </c>
      <c r="M867" s="7">
        <f t="shared" ca="1" si="34"/>
        <v>-2.5025872282185675E-2</v>
      </c>
      <c r="N867" s="7">
        <f ca="1">SUM($M$4:M867)</f>
        <v>-0.20437795697118274</v>
      </c>
    </row>
    <row r="868" spans="1:14" x14ac:dyDescent="0.3">
      <c r="A868" s="3">
        <v>44719</v>
      </c>
      <c r="B868" s="4">
        <v>17.170000000000002</v>
      </c>
      <c r="D868" s="11">
        <v>865</v>
      </c>
      <c r="E868" s="3">
        <v>44720</v>
      </c>
      <c r="F868" s="7">
        <f t="shared" si="33"/>
        <v>-2.9552978146681515E-2</v>
      </c>
      <c r="G868" s="7">
        <f>SUM($F$4:F868)</f>
        <v>-0.43792591034504846</v>
      </c>
      <c r="L868" s="11">
        <v>865</v>
      </c>
      <c r="M868" s="7">
        <f t="shared" ca="1" si="34"/>
        <v>2.0854893568488065E-2</v>
      </c>
      <c r="N868" s="7">
        <f ca="1">SUM($M$4:M868)</f>
        <v>-0.18352306340269467</v>
      </c>
    </row>
    <row r="869" spans="1:14" x14ac:dyDescent="0.3">
      <c r="A869" s="3">
        <v>44720</v>
      </c>
      <c r="B869" s="4">
        <v>16.670000000000002</v>
      </c>
      <c r="D869" s="11">
        <v>866</v>
      </c>
      <c r="E869" s="3">
        <v>44721</v>
      </c>
      <c r="F869" s="7">
        <f t="shared" si="33"/>
        <v>-6.4418552329317438E-2</v>
      </c>
      <c r="G869" s="7">
        <f>SUM($F$4:F869)</f>
        <v>-0.50234446267436594</v>
      </c>
      <c r="L869" s="11">
        <v>866</v>
      </c>
      <c r="M869" s="7">
        <f t="shared" ca="1" si="34"/>
        <v>-6.2564680705464198E-2</v>
      </c>
      <c r="N869" s="7">
        <f ca="1">SUM($M$4:M869)</f>
        <v>-0.24608774410815887</v>
      </c>
    </row>
    <row r="870" spans="1:14" x14ac:dyDescent="0.3">
      <c r="A870" s="3">
        <v>44721</v>
      </c>
      <c r="B870" s="4">
        <v>15.63</v>
      </c>
      <c r="D870" s="11">
        <v>867</v>
      </c>
      <c r="E870" s="3">
        <v>44722</v>
      </c>
      <c r="F870" s="7">
        <f t="shared" si="33"/>
        <v>-5.0519105143772169E-2</v>
      </c>
      <c r="G870" s="7">
        <f>SUM($F$4:F870)</f>
        <v>-0.55286356781813817</v>
      </c>
      <c r="L870" s="11">
        <v>867</v>
      </c>
      <c r="M870" s="7">
        <f t="shared" ca="1" si="34"/>
        <v>1.6683914854790451E-2</v>
      </c>
      <c r="N870" s="7">
        <f ca="1">SUM($M$4:M870)</f>
        <v>-0.22940382925336841</v>
      </c>
    </row>
    <row r="871" spans="1:14" x14ac:dyDescent="0.3">
      <c r="A871" s="3">
        <v>44722</v>
      </c>
      <c r="B871" s="4">
        <v>14.86</v>
      </c>
      <c r="D871" s="11">
        <v>868</v>
      </c>
      <c r="E871" s="3">
        <v>44725</v>
      </c>
      <c r="F871" s="7">
        <f t="shared" si="33"/>
        <v>-5.7475145175243526E-2</v>
      </c>
      <c r="G871" s="7">
        <f>SUM($F$4:F871)</f>
        <v>-0.61033871299338172</v>
      </c>
      <c r="L871" s="11">
        <v>868</v>
      </c>
      <c r="M871" s="7">
        <f t="shared" ca="1" si="34"/>
        <v>2.0854893568488065E-2</v>
      </c>
      <c r="N871" s="7">
        <f ca="1">SUM($M$4:M871)</f>
        <v>-0.20854893568488034</v>
      </c>
    </row>
    <row r="872" spans="1:14" x14ac:dyDescent="0.3">
      <c r="A872" s="3">
        <v>44725</v>
      </c>
      <c r="B872" s="4">
        <v>14.03</v>
      </c>
      <c r="D872" s="11">
        <v>869</v>
      </c>
      <c r="E872" s="3">
        <v>44726</v>
      </c>
      <c r="F872" s="7">
        <f t="shared" si="33"/>
        <v>-3.5701573087053144E-3</v>
      </c>
      <c r="G872" s="7">
        <f>SUM($F$4:F872)</f>
        <v>-0.61390887030208707</v>
      </c>
      <c r="L872" s="11">
        <v>869</v>
      </c>
      <c r="M872" s="7">
        <f t="shared" ca="1" si="34"/>
        <v>-3.3367829709580903E-2</v>
      </c>
      <c r="N872" s="7">
        <f ca="1">SUM($M$4:M872)</f>
        <v>-0.24191676539446125</v>
      </c>
    </row>
    <row r="873" spans="1:14" x14ac:dyDescent="0.3">
      <c r="A873" s="3">
        <v>44726</v>
      </c>
      <c r="B873" s="4">
        <v>13.98</v>
      </c>
      <c r="D873" s="11">
        <v>870</v>
      </c>
      <c r="E873" s="3">
        <v>44727</v>
      </c>
      <c r="F873" s="7">
        <f t="shared" si="33"/>
        <v>6.0372128443044459E-2</v>
      </c>
      <c r="G873" s="7">
        <f>SUM($F$4:F873)</f>
        <v>-0.55353674185904267</v>
      </c>
      <c r="L873" s="11">
        <v>870</v>
      </c>
      <c r="M873" s="7">
        <f t="shared" ca="1" si="34"/>
        <v>-6.2564680705464188E-3</v>
      </c>
      <c r="N873" s="7">
        <f ca="1">SUM($M$4:M873)</f>
        <v>-0.24817323346500766</v>
      </c>
    </row>
    <row r="874" spans="1:14" x14ac:dyDescent="0.3">
      <c r="A874" s="3">
        <v>44727</v>
      </c>
      <c r="B874" s="4">
        <v>14.85</v>
      </c>
      <c r="D874" s="11">
        <v>871</v>
      </c>
      <c r="E874" s="3">
        <v>44728</v>
      </c>
      <c r="F874" s="7">
        <f t="shared" si="33"/>
        <v>-8.4260343617739847E-2</v>
      </c>
      <c r="G874" s="7">
        <f>SUM($F$4:F874)</f>
        <v>-0.63779708547678249</v>
      </c>
      <c r="L874" s="11">
        <v>871</v>
      </c>
      <c r="M874" s="7">
        <f t="shared" ca="1" si="34"/>
        <v>-5.6308212634917774E-2</v>
      </c>
      <c r="N874" s="7">
        <f ca="1">SUM($M$4:M874)</f>
        <v>-0.30448144609992545</v>
      </c>
    </row>
    <row r="875" spans="1:14" x14ac:dyDescent="0.3">
      <c r="A875" s="3">
        <v>44728</v>
      </c>
      <c r="B875" s="4">
        <v>13.65</v>
      </c>
      <c r="D875" s="11">
        <v>872</v>
      </c>
      <c r="E875" s="3">
        <v>44729</v>
      </c>
      <c r="F875" s="7">
        <f t="shared" si="33"/>
        <v>4.0909902744126148E-2</v>
      </c>
      <c r="G875" s="7">
        <f>SUM($F$4:F875)</f>
        <v>-0.59688718273265629</v>
      </c>
      <c r="L875" s="11">
        <v>872</v>
      </c>
      <c r="M875" s="7">
        <f t="shared" ca="1" si="34"/>
        <v>-2.5025872282185675E-2</v>
      </c>
      <c r="N875" s="7">
        <f ca="1">SUM($M$4:M875)</f>
        <v>-0.32950731838211111</v>
      </c>
    </row>
    <row r="876" spans="1:14" x14ac:dyDescent="0.3">
      <c r="A876" s="3">
        <v>44729</v>
      </c>
      <c r="B876" s="4">
        <v>14.22</v>
      </c>
      <c r="D876" s="11">
        <v>873</v>
      </c>
      <c r="E876" s="3">
        <v>44733</v>
      </c>
      <c r="F876" s="7">
        <f t="shared" si="33"/>
        <v>-1.2739025777429826E-2</v>
      </c>
      <c r="G876" s="7">
        <f>SUM($F$4:F876)</f>
        <v>-0.60962620851008609</v>
      </c>
      <c r="L876" s="11">
        <v>873</v>
      </c>
      <c r="M876" s="7">
        <f t="shared" ca="1" si="34"/>
        <v>3.3367829709580903E-2</v>
      </c>
      <c r="N876" s="7">
        <f ca="1">SUM($M$4:M876)</f>
        <v>-0.2961394886725302</v>
      </c>
    </row>
    <row r="877" spans="1:14" x14ac:dyDescent="0.3">
      <c r="A877" s="3">
        <v>44733</v>
      </c>
      <c r="B877" s="4">
        <v>14.04</v>
      </c>
      <c r="D877" s="11">
        <v>874</v>
      </c>
      <c r="E877" s="3">
        <v>44734</v>
      </c>
      <c r="F877" s="7">
        <f t="shared" si="33"/>
        <v>-4.9982253287945569E-3</v>
      </c>
      <c r="G877" s="7">
        <f>SUM($F$4:F877)</f>
        <v>-0.61462443383888066</v>
      </c>
      <c r="L877" s="11">
        <v>874</v>
      </c>
      <c r="M877" s="7">
        <f t="shared" ca="1" si="34"/>
        <v>0</v>
      </c>
      <c r="N877" s="7">
        <f ca="1">SUM($M$4:M877)</f>
        <v>-0.2961394886725302</v>
      </c>
    </row>
    <row r="878" spans="1:14" x14ac:dyDescent="0.3">
      <c r="A878" s="3">
        <v>44734</v>
      </c>
      <c r="B878" s="4">
        <v>13.97</v>
      </c>
      <c r="D878" s="11">
        <v>875</v>
      </c>
      <c r="E878" s="3">
        <v>44735</v>
      </c>
      <c r="F878" s="7">
        <f t="shared" si="33"/>
        <v>1.0680058796225531E-2</v>
      </c>
      <c r="G878" s="7">
        <f>SUM($F$4:F878)</f>
        <v>-0.60394437504265508</v>
      </c>
      <c r="L878" s="11">
        <v>875</v>
      </c>
      <c r="M878" s="7">
        <f t="shared" ca="1" si="34"/>
        <v>-4.3795276493824933E-2</v>
      </c>
      <c r="N878" s="7">
        <f ca="1">SUM($M$4:M878)</f>
        <v>-0.33993476516635512</v>
      </c>
    </row>
    <row r="879" spans="1:14" x14ac:dyDescent="0.3">
      <c r="A879" s="3">
        <v>44735</v>
      </c>
      <c r="B879" s="4">
        <v>14.12</v>
      </c>
      <c r="D879" s="11">
        <v>876</v>
      </c>
      <c r="E879" s="3">
        <v>44736</v>
      </c>
      <c r="F879" s="7">
        <f t="shared" si="33"/>
        <v>1.1267724846342288E-2</v>
      </c>
      <c r="G879" s="7">
        <f>SUM($F$4:F879)</f>
        <v>-0.59267665019631277</v>
      </c>
      <c r="L879" s="11">
        <v>876</v>
      </c>
      <c r="M879" s="7">
        <f t="shared" ca="1" si="34"/>
        <v>1.6683914854790451E-2</v>
      </c>
      <c r="N879" s="7">
        <f ca="1">SUM($M$4:M879)</f>
        <v>-0.3232508503115647</v>
      </c>
    </row>
    <row r="880" spans="1:14" x14ac:dyDescent="0.3">
      <c r="A880" s="3">
        <v>44736</v>
      </c>
      <c r="B880" s="4">
        <v>14.28</v>
      </c>
      <c r="D880" s="11">
        <v>877</v>
      </c>
      <c r="E880" s="3">
        <v>44739</v>
      </c>
      <c r="F880" s="7">
        <f t="shared" si="33"/>
        <v>-1.4104606181541935E-2</v>
      </c>
      <c r="G880" s="7">
        <f>SUM($F$4:F880)</f>
        <v>-0.60678125637785474</v>
      </c>
      <c r="L880" s="11">
        <v>877</v>
      </c>
      <c r="M880" s="7">
        <f t="shared" ca="1" si="34"/>
        <v>2.2940382925336872E-2</v>
      </c>
      <c r="N880" s="7">
        <f ca="1">SUM($M$4:M880)</f>
        <v>-0.3003104673862278</v>
      </c>
    </row>
    <row r="881" spans="1:14" x14ac:dyDescent="0.3">
      <c r="A881" s="3">
        <v>44739</v>
      </c>
      <c r="B881" s="4">
        <v>14.08</v>
      </c>
      <c r="D881" s="11">
        <v>878</v>
      </c>
      <c r="E881" s="3">
        <v>44740</v>
      </c>
      <c r="F881" s="7">
        <f t="shared" si="33"/>
        <v>-3.0283496587252295E-2</v>
      </c>
      <c r="G881" s="7">
        <f>SUM($F$4:F881)</f>
        <v>-0.63706475296510701</v>
      </c>
      <c r="L881" s="11">
        <v>878</v>
      </c>
      <c r="M881" s="7">
        <f t="shared" ca="1" si="34"/>
        <v>-2.7111361639034482E-2</v>
      </c>
      <c r="N881" s="7">
        <f ca="1">SUM($M$4:M881)</f>
        <v>-0.32742182902526229</v>
      </c>
    </row>
    <row r="882" spans="1:14" x14ac:dyDescent="0.3">
      <c r="A882" s="3">
        <v>44740</v>
      </c>
      <c r="B882" s="4">
        <v>13.66</v>
      </c>
      <c r="D882" s="11">
        <v>879</v>
      </c>
      <c r="E882" s="3">
        <v>44741</v>
      </c>
      <c r="F882" s="7">
        <f t="shared" si="33"/>
        <v>-3.6530338387454404E-2</v>
      </c>
      <c r="G882" s="7">
        <f>SUM($F$4:F882)</f>
        <v>-0.67359509135256146</v>
      </c>
      <c r="L882" s="11">
        <v>879</v>
      </c>
      <c r="M882" s="7">
        <f t="shared" ca="1" si="34"/>
        <v>-4.1709787136976128E-3</v>
      </c>
      <c r="N882" s="7">
        <f ca="1">SUM($M$4:M882)</f>
        <v>-0.33159280773895988</v>
      </c>
    </row>
    <row r="883" spans="1:14" x14ac:dyDescent="0.3">
      <c r="A883" s="3">
        <v>44741</v>
      </c>
      <c r="B883" s="4">
        <v>13.17</v>
      </c>
      <c r="D883" s="11">
        <v>880</v>
      </c>
      <c r="E883" s="3">
        <v>44742</v>
      </c>
      <c r="F883" s="7">
        <f t="shared" si="33"/>
        <v>1.880461578834608E-2</v>
      </c>
      <c r="G883" s="7">
        <f>SUM($F$4:F883)</f>
        <v>-0.65479047556421532</v>
      </c>
      <c r="L883" s="11">
        <v>880</v>
      </c>
      <c r="M883" s="7">
        <f t="shared" ca="1" si="34"/>
        <v>-6.6735659419161805E-2</v>
      </c>
      <c r="N883" s="7">
        <f ca="1">SUM($M$4:M883)</f>
        <v>-0.3983284671581217</v>
      </c>
    </row>
    <row r="884" spans="1:14" x14ac:dyDescent="0.3">
      <c r="A884" s="3">
        <v>44742</v>
      </c>
      <c r="B884" s="4">
        <v>13.42</v>
      </c>
      <c r="D884" s="11">
        <v>881</v>
      </c>
      <c r="E884" s="3">
        <v>44743</v>
      </c>
      <c r="F884" s="7">
        <f t="shared" si="33"/>
        <v>6.0010775171123777E-2</v>
      </c>
      <c r="G884" s="7">
        <f>SUM($F$4:F884)</f>
        <v>-0.59477970039309158</v>
      </c>
      <c r="L884" s="11">
        <v>881</v>
      </c>
      <c r="M884" s="7">
        <f t="shared" ca="1" si="34"/>
        <v>-5.2137233921220161E-2</v>
      </c>
      <c r="N884" s="7">
        <f ca="1">SUM($M$4:M884)</f>
        <v>-0.45046570107934186</v>
      </c>
    </row>
    <row r="885" spans="1:14" x14ac:dyDescent="0.3">
      <c r="A885" s="3">
        <v>44743</v>
      </c>
      <c r="B885" s="4">
        <v>14.25</v>
      </c>
      <c r="D885" s="11">
        <v>882</v>
      </c>
      <c r="E885" s="3">
        <v>44747</v>
      </c>
      <c r="F885" s="7">
        <f t="shared" si="33"/>
        <v>1.3245226750020505E-2</v>
      </c>
      <c r="G885" s="7">
        <f>SUM($F$4:F885)</f>
        <v>-0.58153447364307109</v>
      </c>
      <c r="L885" s="11">
        <v>882</v>
      </c>
      <c r="M885" s="7">
        <f t="shared" ca="1" si="34"/>
        <v>-2.7111361639034482E-2</v>
      </c>
      <c r="N885" s="7">
        <f ca="1">SUM($M$4:M885)</f>
        <v>-0.47757706271837636</v>
      </c>
    </row>
    <row r="886" spans="1:14" x14ac:dyDescent="0.3">
      <c r="A886" s="3">
        <v>44747</v>
      </c>
      <c r="B886" s="4">
        <v>14.44</v>
      </c>
      <c r="D886" s="11">
        <v>883</v>
      </c>
      <c r="E886" s="3">
        <v>44748</v>
      </c>
      <c r="F886" s="7">
        <f t="shared" si="33"/>
        <v>-1.1842701975935064E-2</v>
      </c>
      <c r="G886" s="7">
        <f>SUM($F$4:F886)</f>
        <v>-0.59337717561900616</v>
      </c>
      <c r="L886" s="11">
        <v>883</v>
      </c>
      <c r="M886" s="7">
        <f t="shared" ca="1" si="34"/>
        <v>4.1709787136976128E-3</v>
      </c>
      <c r="N886" s="7">
        <f ca="1">SUM($M$4:M886)</f>
        <v>-0.47340608400467876</v>
      </c>
    </row>
    <row r="887" spans="1:14" x14ac:dyDescent="0.3">
      <c r="A887" s="3">
        <v>44748</v>
      </c>
      <c r="B887" s="4">
        <v>14.27</v>
      </c>
      <c r="D887" s="11">
        <v>884</v>
      </c>
      <c r="E887" s="3">
        <v>44749</v>
      </c>
      <c r="F887" s="7">
        <f t="shared" si="33"/>
        <v>1.736757790790492E-2</v>
      </c>
      <c r="G887" s="7">
        <f>SUM($F$4:F887)</f>
        <v>-0.57600959771110127</v>
      </c>
      <c r="L887" s="11">
        <v>884</v>
      </c>
      <c r="M887" s="7">
        <f t="shared" ca="1" si="34"/>
        <v>-6.2564680705464188E-3</v>
      </c>
      <c r="N887" s="7">
        <f ca="1">SUM($M$4:M887)</f>
        <v>-0.47966255207522518</v>
      </c>
    </row>
    <row r="888" spans="1:14" x14ac:dyDescent="0.3">
      <c r="A888" s="3">
        <v>44749</v>
      </c>
      <c r="B888" s="4">
        <v>14.52</v>
      </c>
      <c r="D888" s="11">
        <v>885</v>
      </c>
      <c r="E888" s="3">
        <v>44750</v>
      </c>
      <c r="F888" s="7">
        <f t="shared" si="33"/>
        <v>-3.7184220719260232E-2</v>
      </c>
      <c r="G888" s="7">
        <f>SUM($F$4:F888)</f>
        <v>-0.61319381843036147</v>
      </c>
      <c r="L888" s="11">
        <v>885</v>
      </c>
      <c r="M888" s="7">
        <f t="shared" ca="1" si="34"/>
        <v>4.170978713697613E-2</v>
      </c>
      <c r="N888" s="7">
        <f ca="1">SUM($M$4:M888)</f>
        <v>-0.43795276493824903</v>
      </c>
    </row>
    <row r="889" spans="1:14" x14ac:dyDescent="0.3">
      <c r="A889" s="3">
        <v>44750</v>
      </c>
      <c r="B889" s="4">
        <v>13.99</v>
      </c>
      <c r="D889" s="11">
        <v>886</v>
      </c>
      <c r="E889" s="3">
        <v>44753</v>
      </c>
      <c r="F889" s="7">
        <f t="shared" si="33"/>
        <v>-2.3870934534745782E-2</v>
      </c>
      <c r="G889" s="7">
        <f>SUM($F$4:F889)</f>
        <v>-0.63706475296510723</v>
      </c>
      <c r="L889" s="11">
        <v>886</v>
      </c>
      <c r="M889" s="7">
        <f t="shared" ca="1" si="34"/>
        <v>7.2992127489708222E-2</v>
      </c>
      <c r="N889" s="7">
        <f ca="1">SUM($M$4:M889)</f>
        <v>-0.36496063744854079</v>
      </c>
    </row>
    <row r="890" spans="1:14" x14ac:dyDescent="0.3">
      <c r="A890" s="3">
        <v>44753</v>
      </c>
      <c r="B890" s="4">
        <v>13.66</v>
      </c>
      <c r="D890" s="11">
        <v>887</v>
      </c>
      <c r="E890" s="3">
        <v>44754</v>
      </c>
      <c r="F890" s="7">
        <f t="shared" si="33"/>
        <v>2.1007654124730536E-2</v>
      </c>
      <c r="G890" s="7">
        <f>SUM($F$4:F890)</f>
        <v>-0.61605709884037674</v>
      </c>
      <c r="L890" s="11">
        <v>887</v>
      </c>
      <c r="M890" s="7">
        <f t="shared" ca="1" si="34"/>
        <v>3.962429778012732E-2</v>
      </c>
      <c r="N890" s="7">
        <f ca="1">SUM($M$4:M890)</f>
        <v>-0.32533633966841347</v>
      </c>
    </row>
    <row r="891" spans="1:14" x14ac:dyDescent="0.3">
      <c r="A891" s="3">
        <v>44754</v>
      </c>
      <c r="B891" s="4">
        <v>13.95</v>
      </c>
      <c r="D891" s="11">
        <v>888</v>
      </c>
      <c r="E891" s="3">
        <v>44755</v>
      </c>
      <c r="F891" s="7">
        <f t="shared" si="33"/>
        <v>1.6353012836606763E-2</v>
      </c>
      <c r="G891" s="7">
        <f>SUM($F$4:F891)</f>
        <v>-0.59970408600377001</v>
      </c>
      <c r="L891" s="11">
        <v>888</v>
      </c>
      <c r="M891" s="7">
        <f t="shared" ca="1" si="34"/>
        <v>-1.2512936141092838E-2</v>
      </c>
      <c r="N891" s="7">
        <f ca="1">SUM($M$4:M891)</f>
        <v>-0.3378492758095063</v>
      </c>
    </row>
    <row r="892" spans="1:14" x14ac:dyDescent="0.3">
      <c r="A892" s="3">
        <v>44755</v>
      </c>
      <c r="B892" s="4">
        <v>14.18</v>
      </c>
      <c r="D892" s="11">
        <v>889</v>
      </c>
      <c r="E892" s="3">
        <v>44756</v>
      </c>
      <c r="F892" s="7">
        <f t="shared" si="33"/>
        <v>-3.9559275395540133E-2</v>
      </c>
      <c r="G892" s="7">
        <f>SUM($F$4:F892)</f>
        <v>-0.63926336139931017</v>
      </c>
      <c r="L892" s="11">
        <v>889</v>
      </c>
      <c r="M892" s="7">
        <f t="shared" ca="1" si="34"/>
        <v>-4.7966255207522547E-2</v>
      </c>
      <c r="N892" s="7">
        <f ca="1">SUM($M$4:M892)</f>
        <v>-0.38581553101702887</v>
      </c>
    </row>
    <row r="893" spans="1:14" x14ac:dyDescent="0.3">
      <c r="A893" s="3">
        <v>44756</v>
      </c>
      <c r="B893" s="4">
        <v>13.63</v>
      </c>
      <c r="D893" s="11">
        <v>890</v>
      </c>
      <c r="E893" s="3">
        <v>44757</v>
      </c>
      <c r="F893" s="7">
        <f t="shared" si="33"/>
        <v>2.3922851625785144E-2</v>
      </c>
      <c r="G893" s="7">
        <f>SUM($F$4:F893)</f>
        <v>-0.61534050977352506</v>
      </c>
      <c r="L893" s="11">
        <v>890</v>
      </c>
      <c r="M893" s="7">
        <f t="shared" ca="1" si="34"/>
        <v>1.4598425497941644E-2</v>
      </c>
      <c r="N893" s="7">
        <f ca="1">SUM($M$4:M893)</f>
        <v>-0.37121710551908721</v>
      </c>
    </row>
    <row r="894" spans="1:14" x14ac:dyDescent="0.3">
      <c r="A894" s="3">
        <v>44757</v>
      </c>
      <c r="B894" s="4">
        <v>13.96</v>
      </c>
      <c r="D894" s="11">
        <v>891</v>
      </c>
      <c r="E894" s="3">
        <v>44760</v>
      </c>
      <c r="F894" s="7">
        <f t="shared" si="33"/>
        <v>-5.7471422555679594E-3</v>
      </c>
      <c r="G894" s="7">
        <f>SUM($F$4:F894)</f>
        <v>-0.621087652029093</v>
      </c>
      <c r="L894" s="11">
        <v>891</v>
      </c>
      <c r="M894" s="7">
        <f t="shared" ca="1" si="34"/>
        <v>-3.3367829709580903E-2</v>
      </c>
      <c r="N894" s="7">
        <f ca="1">SUM($M$4:M894)</f>
        <v>-0.40458493522866812</v>
      </c>
    </row>
    <row r="895" spans="1:14" x14ac:dyDescent="0.3">
      <c r="A895" s="3">
        <v>44760</v>
      </c>
      <c r="B895" s="4">
        <v>13.88</v>
      </c>
      <c r="D895" s="11">
        <v>892</v>
      </c>
      <c r="E895" s="3">
        <v>44761</v>
      </c>
      <c r="F895" s="7">
        <f t="shared" si="33"/>
        <v>2.6307951636001057E-2</v>
      </c>
      <c r="G895" s="7">
        <f>SUM($F$4:F895)</f>
        <v>-0.59477970039309191</v>
      </c>
      <c r="L895" s="11">
        <v>892</v>
      </c>
      <c r="M895" s="7">
        <f t="shared" ca="1" si="34"/>
        <v>2.0854893568488065E-2</v>
      </c>
      <c r="N895" s="7">
        <f ca="1">SUM($M$4:M895)</f>
        <v>-0.38373004166018004</v>
      </c>
    </row>
    <row r="896" spans="1:14" x14ac:dyDescent="0.3">
      <c r="A896" s="3">
        <v>44761</v>
      </c>
      <c r="B896" s="4">
        <v>14.25</v>
      </c>
      <c r="D896" s="11">
        <v>893</v>
      </c>
      <c r="E896" s="3">
        <v>44762</v>
      </c>
      <c r="F896" s="7">
        <f t="shared" si="33"/>
        <v>1.3245226750020505E-2</v>
      </c>
      <c r="G896" s="7">
        <f>SUM($F$4:F896)</f>
        <v>-0.58153447364307143</v>
      </c>
      <c r="L896" s="11">
        <v>893</v>
      </c>
      <c r="M896" s="7">
        <f t="shared" ca="1" si="34"/>
        <v>4.3795276493824933E-2</v>
      </c>
      <c r="N896" s="7">
        <f ca="1">SUM($M$4:M896)</f>
        <v>-0.33993476516635512</v>
      </c>
    </row>
    <row r="897" spans="1:14" x14ac:dyDescent="0.3">
      <c r="A897" s="3">
        <v>44762</v>
      </c>
      <c r="B897" s="4">
        <v>14.44</v>
      </c>
      <c r="D897" s="11">
        <v>894</v>
      </c>
      <c r="E897" s="3">
        <v>44763</v>
      </c>
      <c r="F897" s="7">
        <f t="shared" si="33"/>
        <v>4.8359334314163165E-3</v>
      </c>
      <c r="G897" s="7">
        <f>SUM($F$4:F897)</f>
        <v>-0.57669854021165512</v>
      </c>
      <c r="L897" s="11">
        <v>894</v>
      </c>
      <c r="M897" s="7">
        <f t="shared" ca="1" si="34"/>
        <v>-1.2512936141092838E-2</v>
      </c>
      <c r="N897" s="7">
        <f ca="1">SUM($M$4:M897)</f>
        <v>-0.35244770130744796</v>
      </c>
    </row>
    <row r="898" spans="1:14" x14ac:dyDescent="0.3">
      <c r="A898" s="3">
        <v>44763</v>
      </c>
      <c r="B898" s="4">
        <v>14.51</v>
      </c>
      <c r="D898" s="11">
        <v>895</v>
      </c>
      <c r="E898" s="3">
        <v>44764</v>
      </c>
      <c r="F898" s="7">
        <f t="shared" si="33"/>
        <v>9.6022685669799671E-3</v>
      </c>
      <c r="G898" s="7">
        <f>SUM($F$4:F898)</f>
        <v>-0.56709627164467513</v>
      </c>
      <c r="L898" s="11">
        <v>895</v>
      </c>
      <c r="M898" s="7">
        <f t="shared" ca="1" si="34"/>
        <v>1.2512936141092838E-2</v>
      </c>
      <c r="N898" s="7">
        <f ca="1">SUM($M$4:M898)</f>
        <v>-0.33993476516635512</v>
      </c>
    </row>
    <row r="899" spans="1:14" x14ac:dyDescent="0.3">
      <c r="A899" s="3">
        <v>44764</v>
      </c>
      <c r="B899" s="4">
        <v>14.65</v>
      </c>
      <c r="D899" s="11">
        <v>896</v>
      </c>
      <c r="E899" s="3">
        <v>44767</v>
      </c>
      <c r="F899" s="7">
        <f t="shared" si="33"/>
        <v>6.8236099542908694E-4</v>
      </c>
      <c r="G899" s="7">
        <f>SUM($F$4:F899)</f>
        <v>-0.56641391064924607</v>
      </c>
      <c r="L899" s="11">
        <v>896</v>
      </c>
      <c r="M899" s="7">
        <f t="shared" ca="1" si="34"/>
        <v>2.7111361639034482E-2</v>
      </c>
      <c r="N899" s="7">
        <f ca="1">SUM($M$4:M899)</f>
        <v>-0.31282340352732063</v>
      </c>
    </row>
    <row r="900" spans="1:14" x14ac:dyDescent="0.3">
      <c r="A900" s="3">
        <v>44767</v>
      </c>
      <c r="B900" s="4">
        <v>14.66</v>
      </c>
      <c r="D900" s="11">
        <v>897</v>
      </c>
      <c r="E900" s="3">
        <v>44768</v>
      </c>
      <c r="F900" s="7">
        <f t="shared" ref="F900:F963" si="35">LN(B901/B900)</f>
        <v>-1.5813323672725907E-2</v>
      </c>
      <c r="G900" s="7">
        <f>SUM($F$4:F900)</f>
        <v>-0.58222723432197199</v>
      </c>
      <c r="L900" s="11">
        <v>897</v>
      </c>
      <c r="M900" s="7">
        <f t="shared" ca="1" si="34"/>
        <v>-1.0427446784244032E-2</v>
      </c>
      <c r="N900" s="7">
        <f ca="1">SUM($M$4:M900)</f>
        <v>-0.32325085031156464</v>
      </c>
    </row>
    <row r="901" spans="1:14" x14ac:dyDescent="0.3">
      <c r="A901" s="3">
        <v>44768</v>
      </c>
      <c r="B901" s="4">
        <v>14.43</v>
      </c>
      <c r="D901" s="11">
        <v>898</v>
      </c>
      <c r="E901" s="3">
        <v>44769</v>
      </c>
      <c r="F901" s="7">
        <f t="shared" si="35"/>
        <v>4.8691159169598645E-2</v>
      </c>
      <c r="G901" s="7">
        <f>SUM($F$4:F901)</f>
        <v>-0.53353607515237333</v>
      </c>
      <c r="L901" s="11">
        <v>898</v>
      </c>
      <c r="M901" s="7">
        <f t="shared" ref="M901:M964" ca="1" si="36">(2*_xlfn.BINOM.INV($J$4,$J$12,RAND())-$J$4)*$J$11</f>
        <v>-2.5025872282185675E-2</v>
      </c>
      <c r="N901" s="7">
        <f ca="1">SUM($M$4:M901)</f>
        <v>-0.34827672259375031</v>
      </c>
    </row>
    <row r="902" spans="1:14" x14ac:dyDescent="0.3">
      <c r="A902" s="3">
        <v>44769</v>
      </c>
      <c r="B902" s="4">
        <v>15.15</v>
      </c>
      <c r="D902" s="11">
        <v>899</v>
      </c>
      <c r="E902" s="3">
        <v>44770</v>
      </c>
      <c r="F902" s="7">
        <f t="shared" si="35"/>
        <v>2.8629151114306955E-2</v>
      </c>
      <c r="G902" s="7">
        <f>SUM($F$4:F902)</f>
        <v>-0.50490692403806636</v>
      </c>
      <c r="L902" s="11">
        <v>899</v>
      </c>
      <c r="M902" s="7">
        <f t="shared" ca="1" si="36"/>
        <v>5.2137233921220161E-2</v>
      </c>
      <c r="N902" s="7">
        <f ca="1">SUM($M$4:M902)</f>
        <v>-0.29613948867253015</v>
      </c>
    </row>
    <row r="903" spans="1:14" x14ac:dyDescent="0.3">
      <c r="A903" s="3">
        <v>44770</v>
      </c>
      <c r="B903" s="4">
        <v>15.59</v>
      </c>
      <c r="D903" s="11">
        <v>900</v>
      </c>
      <c r="E903" s="3">
        <v>44771</v>
      </c>
      <c r="F903" s="7">
        <f t="shared" si="35"/>
        <v>-3.8579481967475085E-2</v>
      </c>
      <c r="G903" s="7">
        <f>SUM($F$4:F903)</f>
        <v>-0.54348640600554143</v>
      </c>
      <c r="L903" s="11">
        <v>900</v>
      </c>
      <c r="M903" s="7">
        <f t="shared" ca="1" si="36"/>
        <v>-3.3367829709580903E-2</v>
      </c>
      <c r="N903" s="7">
        <f ca="1">SUM($M$4:M903)</f>
        <v>-0.32950731838211106</v>
      </c>
    </row>
    <row r="904" spans="1:14" x14ac:dyDescent="0.3">
      <c r="A904" s="3">
        <v>44771</v>
      </c>
      <c r="B904" s="4">
        <v>15</v>
      </c>
      <c r="D904" s="11">
        <v>901</v>
      </c>
      <c r="E904" s="3">
        <v>44774</v>
      </c>
      <c r="F904" s="7">
        <f t="shared" si="35"/>
        <v>2.6317308317373358E-2</v>
      </c>
      <c r="G904" s="7">
        <f>SUM($F$4:F904)</f>
        <v>-0.5171690976881681</v>
      </c>
      <c r="L904" s="11">
        <v>901</v>
      </c>
      <c r="M904" s="7">
        <f t="shared" ca="1" si="36"/>
        <v>-4.3795276493824933E-2</v>
      </c>
      <c r="N904" s="7">
        <f ca="1">SUM($M$4:M904)</f>
        <v>-0.37330259487593598</v>
      </c>
    </row>
    <row r="905" spans="1:14" x14ac:dyDescent="0.3">
      <c r="A905" s="3">
        <v>44774</v>
      </c>
      <c r="B905" s="4">
        <v>15.4</v>
      </c>
      <c r="D905" s="11">
        <v>902</v>
      </c>
      <c r="E905" s="3">
        <v>44775</v>
      </c>
      <c r="F905" s="7">
        <f t="shared" si="35"/>
        <v>3.8221212820197671E-2</v>
      </c>
      <c r="G905" s="7">
        <f>SUM($F$4:F905)</f>
        <v>-0.47894788486797041</v>
      </c>
      <c r="L905" s="11">
        <v>902</v>
      </c>
      <c r="M905" s="7">
        <f t="shared" ca="1" si="36"/>
        <v>-2.0854893568488065E-2</v>
      </c>
      <c r="N905" s="7">
        <f ca="1">SUM($M$4:M905)</f>
        <v>-0.39415748844442405</v>
      </c>
    </row>
    <row r="906" spans="1:14" x14ac:dyDescent="0.3">
      <c r="A906" s="3">
        <v>44775</v>
      </c>
      <c r="B906" s="4">
        <v>16</v>
      </c>
      <c r="D906" s="11">
        <v>903</v>
      </c>
      <c r="E906" s="3">
        <v>44776</v>
      </c>
      <c r="F906" s="7">
        <f t="shared" si="35"/>
        <v>4.3418560523114762E-2</v>
      </c>
      <c r="G906" s="7">
        <f>SUM($F$4:F906)</f>
        <v>-0.43552932434485564</v>
      </c>
      <c r="L906" s="11">
        <v>903</v>
      </c>
      <c r="M906" s="7">
        <f t="shared" ca="1" si="36"/>
        <v>-3.1282340352732099E-2</v>
      </c>
      <c r="N906" s="7">
        <f ca="1">SUM($M$4:M906)</f>
        <v>-0.42543982879715614</v>
      </c>
    </row>
    <row r="907" spans="1:14" x14ac:dyDescent="0.3">
      <c r="A907" s="3">
        <v>44776</v>
      </c>
      <c r="B907" s="4">
        <v>16.709999</v>
      </c>
      <c r="D907" s="11">
        <v>904</v>
      </c>
      <c r="E907" s="3">
        <v>44777</v>
      </c>
      <c r="F907" s="7">
        <f t="shared" si="35"/>
        <v>4.5050087464493439E-2</v>
      </c>
      <c r="G907" s="7">
        <f>SUM($F$4:F907)</f>
        <v>-0.39047923688036218</v>
      </c>
      <c r="L907" s="11">
        <v>904</v>
      </c>
      <c r="M907" s="7">
        <f t="shared" ca="1" si="36"/>
        <v>3.7538808423278516E-2</v>
      </c>
      <c r="N907" s="7">
        <f ca="1">SUM($M$4:M907)</f>
        <v>-0.38790102037387764</v>
      </c>
    </row>
    <row r="908" spans="1:14" x14ac:dyDescent="0.3">
      <c r="A908" s="3">
        <v>44777</v>
      </c>
      <c r="B908" s="4">
        <v>17.48</v>
      </c>
      <c r="D908" s="11">
        <v>905</v>
      </c>
      <c r="E908" s="3">
        <v>44778</v>
      </c>
      <c r="F908" s="7">
        <f t="shared" si="35"/>
        <v>-0.1807210076926952</v>
      </c>
      <c r="G908" s="7">
        <f>SUM($F$4:F908)</f>
        <v>-0.5712002445730574</v>
      </c>
      <c r="L908" s="11">
        <v>905</v>
      </c>
      <c r="M908" s="7">
        <f t="shared" ca="1" si="36"/>
        <v>1.4598425497941644E-2</v>
      </c>
      <c r="N908" s="7">
        <f ca="1">SUM($M$4:M908)</f>
        <v>-0.37330259487593598</v>
      </c>
    </row>
    <row r="909" spans="1:14" x14ac:dyDescent="0.3">
      <c r="A909" s="3">
        <v>44778</v>
      </c>
      <c r="B909" s="4">
        <v>14.59</v>
      </c>
      <c r="D909" s="11">
        <v>906</v>
      </c>
      <c r="E909" s="3">
        <v>44781</v>
      </c>
      <c r="F909" s="7">
        <f t="shared" si="35"/>
        <v>-3.9851480928250305E-2</v>
      </c>
      <c r="G909" s="7">
        <f>SUM($F$4:F909)</f>
        <v>-0.61105172550130771</v>
      </c>
      <c r="L909" s="11">
        <v>906</v>
      </c>
      <c r="M909" s="7">
        <f t="shared" ca="1" si="36"/>
        <v>-2.0854893568488064E-3</v>
      </c>
      <c r="N909" s="7">
        <f ca="1">SUM($M$4:M909)</f>
        <v>-0.3753880842327848</v>
      </c>
    </row>
    <row r="910" spans="1:14" x14ac:dyDescent="0.3">
      <c r="A910" s="3">
        <v>44781</v>
      </c>
      <c r="B910" s="4">
        <v>14.02</v>
      </c>
      <c r="D910" s="11">
        <v>907</v>
      </c>
      <c r="E910" s="3">
        <v>44782</v>
      </c>
      <c r="F910" s="7">
        <f t="shared" si="35"/>
        <v>-6.7872651399338152E-2</v>
      </c>
      <c r="G910" s="7">
        <f>SUM($F$4:F910)</f>
        <v>-0.67892437690064589</v>
      </c>
      <c r="L910" s="11">
        <v>907</v>
      </c>
      <c r="M910" s="7">
        <f t="shared" ca="1" si="36"/>
        <v>-1.4598425497941644E-2</v>
      </c>
      <c r="N910" s="7">
        <f ca="1">SUM($M$4:M910)</f>
        <v>-0.38998650973072646</v>
      </c>
    </row>
    <row r="911" spans="1:14" x14ac:dyDescent="0.3">
      <c r="A911" s="3">
        <v>44782</v>
      </c>
      <c r="B911" s="4">
        <v>13.1</v>
      </c>
      <c r="D911" s="11">
        <v>908</v>
      </c>
      <c r="E911" s="3">
        <v>44783</v>
      </c>
      <c r="F911" s="7">
        <f t="shared" si="35"/>
        <v>0</v>
      </c>
      <c r="G911" s="7">
        <f>SUM($F$4:F911)</f>
        <v>-0.67892437690064589</v>
      </c>
      <c r="L911" s="11">
        <v>908</v>
      </c>
      <c r="M911" s="7">
        <f t="shared" ca="1" si="36"/>
        <v>4.3795276493824933E-2</v>
      </c>
      <c r="N911" s="7">
        <f ca="1">SUM($M$4:M911)</f>
        <v>-0.34619123323690154</v>
      </c>
    </row>
    <row r="912" spans="1:14" x14ac:dyDescent="0.3">
      <c r="A912" s="3">
        <v>44783</v>
      </c>
      <c r="B912" s="4">
        <v>13.1</v>
      </c>
      <c r="D912" s="11">
        <v>909</v>
      </c>
      <c r="E912" s="3">
        <v>44784</v>
      </c>
      <c r="F912" s="7">
        <f t="shared" si="35"/>
        <v>4.332268198729855E-2</v>
      </c>
      <c r="G912" s="7">
        <f>SUM($F$4:F912)</f>
        <v>-0.63560169491334739</v>
      </c>
      <c r="L912" s="11">
        <v>909</v>
      </c>
      <c r="M912" s="7">
        <f t="shared" ca="1" si="36"/>
        <v>3.1282340352732099E-2</v>
      </c>
      <c r="N912" s="7">
        <f ca="1">SUM($M$4:M912)</f>
        <v>-0.31490889288416946</v>
      </c>
    </row>
    <row r="913" spans="1:14" x14ac:dyDescent="0.3">
      <c r="A913" s="3">
        <v>44784</v>
      </c>
      <c r="B913" s="4">
        <v>13.68</v>
      </c>
      <c r="D913" s="11">
        <v>910</v>
      </c>
      <c r="E913" s="3">
        <v>44785</v>
      </c>
      <c r="F913" s="7">
        <f t="shared" si="35"/>
        <v>0</v>
      </c>
      <c r="G913" s="7">
        <f>SUM($F$4:F913)</f>
        <v>-0.63560169491334739</v>
      </c>
      <c r="L913" s="11">
        <v>910</v>
      </c>
      <c r="M913" s="7">
        <f t="shared" ca="1" si="36"/>
        <v>-1.0427446784244032E-2</v>
      </c>
      <c r="N913" s="7">
        <f ca="1">SUM($M$4:M913)</f>
        <v>-0.32533633966841347</v>
      </c>
    </row>
    <row r="914" spans="1:14" x14ac:dyDescent="0.3">
      <c r="A914" s="3">
        <v>44785</v>
      </c>
      <c r="B914" s="4">
        <v>13.68</v>
      </c>
      <c r="D914" s="11">
        <v>911</v>
      </c>
      <c r="E914" s="3">
        <v>44788</v>
      </c>
      <c r="F914" s="7">
        <f t="shared" si="35"/>
        <v>-4.1797128678461477E-2</v>
      </c>
      <c r="G914" s="7">
        <f>SUM($F$4:F914)</f>
        <v>-0.67739882359180892</v>
      </c>
      <c r="L914" s="11">
        <v>911</v>
      </c>
      <c r="M914" s="7">
        <f t="shared" ca="1" si="36"/>
        <v>-6.0479191348615388E-2</v>
      </c>
      <c r="N914" s="7">
        <f ca="1">SUM($M$4:M914)</f>
        <v>-0.38581553101702887</v>
      </c>
    </row>
    <row r="915" spans="1:14" x14ac:dyDescent="0.3">
      <c r="A915" s="3">
        <v>44788</v>
      </c>
      <c r="B915" s="4">
        <v>13.12</v>
      </c>
      <c r="D915" s="11">
        <v>912</v>
      </c>
      <c r="E915" s="3">
        <v>44789</v>
      </c>
      <c r="F915" s="7">
        <f t="shared" si="35"/>
        <v>4.252785578441455E-2</v>
      </c>
      <c r="G915" s="7">
        <f>SUM($F$4:F915)</f>
        <v>-0.63487096780739438</v>
      </c>
      <c r="L915" s="11">
        <v>912</v>
      </c>
      <c r="M915" s="7">
        <f t="shared" ca="1" si="36"/>
        <v>-2.7111361639034482E-2</v>
      </c>
      <c r="N915" s="7">
        <f ca="1">SUM($M$4:M915)</f>
        <v>-0.41292689265606336</v>
      </c>
    </row>
    <row r="916" spans="1:14" x14ac:dyDescent="0.3">
      <c r="A916" s="3">
        <v>44789</v>
      </c>
      <c r="B916" s="4">
        <v>13.69</v>
      </c>
      <c r="D916" s="11">
        <v>913</v>
      </c>
      <c r="E916" s="3">
        <v>44790</v>
      </c>
      <c r="F916" s="7">
        <f t="shared" si="35"/>
        <v>-3.1913654542641084E-2</v>
      </c>
      <c r="G916" s="7">
        <f>SUM($F$4:F916)</f>
        <v>-0.66678462235003544</v>
      </c>
      <c r="L916" s="11">
        <v>913</v>
      </c>
      <c r="M916" s="7">
        <f t="shared" ca="1" si="36"/>
        <v>2.2940382925336872E-2</v>
      </c>
      <c r="N916" s="7">
        <f ca="1">SUM($M$4:M916)</f>
        <v>-0.38998650973072646</v>
      </c>
    </row>
    <row r="917" spans="1:14" x14ac:dyDescent="0.3">
      <c r="A917" s="3">
        <v>44790</v>
      </c>
      <c r="B917" s="4">
        <v>13.26</v>
      </c>
      <c r="D917" s="11">
        <v>914</v>
      </c>
      <c r="E917" s="3">
        <v>44791</v>
      </c>
      <c r="F917" s="7">
        <f t="shared" si="35"/>
        <v>-5.2930180284932E-3</v>
      </c>
      <c r="G917" s="7">
        <f>SUM($F$4:F917)</f>
        <v>-0.67207764037852868</v>
      </c>
      <c r="L917" s="11">
        <v>914</v>
      </c>
      <c r="M917" s="7">
        <f t="shared" ca="1" si="36"/>
        <v>4.3795276493824933E-2</v>
      </c>
      <c r="N917" s="7">
        <f ca="1">SUM($M$4:M917)</f>
        <v>-0.34619123323690154</v>
      </c>
    </row>
    <row r="918" spans="1:14" x14ac:dyDescent="0.3">
      <c r="A918" s="3">
        <v>44791</v>
      </c>
      <c r="B918" s="4">
        <v>13.19</v>
      </c>
      <c r="D918" s="11">
        <v>915</v>
      </c>
      <c r="E918" s="3">
        <v>44792</v>
      </c>
      <c r="F918" s="7">
        <f t="shared" si="35"/>
        <v>4.0124253050656485E-2</v>
      </c>
      <c r="G918" s="7">
        <f>SUM($F$4:F918)</f>
        <v>-0.63195338732787221</v>
      </c>
      <c r="L918" s="11">
        <v>915</v>
      </c>
      <c r="M918" s="7">
        <f t="shared" ca="1" si="36"/>
        <v>1.6683914854790451E-2</v>
      </c>
      <c r="N918" s="7">
        <f ca="1">SUM($M$4:M918)</f>
        <v>-0.32950731838211111</v>
      </c>
    </row>
    <row r="919" spans="1:14" x14ac:dyDescent="0.3">
      <c r="A919" s="3">
        <v>44792</v>
      </c>
      <c r="B919" s="4">
        <v>13.73</v>
      </c>
      <c r="D919" s="11">
        <v>916</v>
      </c>
      <c r="E919" s="3">
        <v>44795</v>
      </c>
      <c r="F919" s="7">
        <f t="shared" si="35"/>
        <v>-7.7194134578516968E-2</v>
      </c>
      <c r="G919" s="7">
        <f>SUM($F$4:F919)</f>
        <v>-0.70914752190638919</v>
      </c>
      <c r="L919" s="11">
        <v>916</v>
      </c>
      <c r="M919" s="7">
        <f t="shared" ca="1" si="36"/>
        <v>-1.8769404211639258E-2</v>
      </c>
      <c r="N919" s="7">
        <f ca="1">SUM($M$4:M919)</f>
        <v>-0.34827672259375037</v>
      </c>
    </row>
    <row r="920" spans="1:14" x14ac:dyDescent="0.3">
      <c r="A920" s="3">
        <v>44795</v>
      </c>
      <c r="B920" s="4">
        <v>12.71</v>
      </c>
      <c r="D920" s="11">
        <v>917</v>
      </c>
      <c r="E920" s="3">
        <v>44796</v>
      </c>
      <c r="F920" s="7">
        <f t="shared" si="35"/>
        <v>6.274530389388468E-3</v>
      </c>
      <c r="G920" s="7">
        <f>SUM($F$4:F920)</f>
        <v>-0.70287299151700067</v>
      </c>
      <c r="L920" s="11">
        <v>917</v>
      </c>
      <c r="M920" s="7">
        <f t="shared" ca="1" si="36"/>
        <v>2.0854893568488064E-3</v>
      </c>
      <c r="N920" s="7">
        <f ca="1">SUM($M$4:M920)</f>
        <v>-0.34619123323690154</v>
      </c>
    </row>
    <row r="921" spans="1:14" x14ac:dyDescent="0.3">
      <c r="A921" s="3">
        <v>44796</v>
      </c>
      <c r="B921" s="4">
        <v>12.79</v>
      </c>
      <c r="D921" s="11">
        <v>918</v>
      </c>
      <c r="E921" s="3">
        <v>44797</v>
      </c>
      <c r="F921" s="7">
        <f t="shared" si="35"/>
        <v>5.5506455024066821E-2</v>
      </c>
      <c r="G921" s="7">
        <f>SUM($F$4:F921)</f>
        <v>-0.64736653649293385</v>
      </c>
      <c r="L921" s="11">
        <v>918</v>
      </c>
      <c r="M921" s="7">
        <f t="shared" ca="1" si="36"/>
        <v>4.1709787136976128E-3</v>
      </c>
      <c r="N921" s="7">
        <f ca="1">SUM($M$4:M921)</f>
        <v>-0.34202025452320395</v>
      </c>
    </row>
    <row r="922" spans="1:14" x14ac:dyDescent="0.3">
      <c r="A922" s="3">
        <v>44797</v>
      </c>
      <c r="B922" s="4">
        <v>13.52</v>
      </c>
      <c r="D922" s="11">
        <v>919</v>
      </c>
      <c r="E922" s="3">
        <v>44798</v>
      </c>
      <c r="F922" s="7">
        <f t="shared" si="35"/>
        <v>2.9542118974316043E-3</v>
      </c>
      <c r="G922" s="7">
        <f>SUM($F$4:F922)</f>
        <v>-0.64441232459550224</v>
      </c>
      <c r="L922" s="11">
        <v>919</v>
      </c>
      <c r="M922" s="7">
        <f t="shared" ca="1" si="36"/>
        <v>-5.2137233921220161E-2</v>
      </c>
      <c r="N922" s="7">
        <f ca="1">SUM($M$4:M922)</f>
        <v>-0.39415748844442411</v>
      </c>
    </row>
    <row r="923" spans="1:14" x14ac:dyDescent="0.3">
      <c r="A923" s="3">
        <v>44798</v>
      </c>
      <c r="B923" s="4">
        <v>13.56</v>
      </c>
      <c r="D923" s="11">
        <v>920</v>
      </c>
      <c r="E923" s="3">
        <v>44799</v>
      </c>
      <c r="F923" s="7">
        <f t="shared" si="35"/>
        <v>-2.9942356615078339E-2</v>
      </c>
      <c r="G923" s="7">
        <f>SUM($F$4:F923)</f>
        <v>-0.67435468121058062</v>
      </c>
      <c r="L923" s="11">
        <v>920</v>
      </c>
      <c r="M923" s="7">
        <f t="shared" ca="1" si="36"/>
        <v>-4.1709787136976128E-3</v>
      </c>
      <c r="N923" s="7">
        <f ca="1">SUM($M$4:M923)</f>
        <v>-0.3983284671581217</v>
      </c>
    </row>
    <row r="924" spans="1:14" x14ac:dyDescent="0.3">
      <c r="A924" s="3">
        <v>44799</v>
      </c>
      <c r="B924" s="4">
        <v>13.16</v>
      </c>
      <c r="D924" s="11">
        <v>921</v>
      </c>
      <c r="E924" s="3">
        <v>44802</v>
      </c>
      <c r="F924" s="7">
        <f t="shared" si="35"/>
        <v>3.0349036951538896E-3</v>
      </c>
      <c r="G924" s="7">
        <f>SUM($F$4:F924)</f>
        <v>-0.67131977751542671</v>
      </c>
      <c r="L924" s="11">
        <v>921</v>
      </c>
      <c r="M924" s="7">
        <f t="shared" ca="1" si="36"/>
        <v>1.4598425497941644E-2</v>
      </c>
      <c r="N924" s="7">
        <f ca="1">SUM($M$4:M924)</f>
        <v>-0.38373004166018004</v>
      </c>
    </row>
    <row r="925" spans="1:14" x14ac:dyDescent="0.3">
      <c r="A925" s="3">
        <v>44802</v>
      </c>
      <c r="B925" s="4">
        <v>13.2</v>
      </c>
      <c r="D925" s="11">
        <v>922</v>
      </c>
      <c r="E925" s="3">
        <v>44803</v>
      </c>
      <c r="F925" s="7">
        <f t="shared" si="35"/>
        <v>6.7950431328288076E-3</v>
      </c>
      <c r="G925" s="7">
        <f>SUM($F$4:F925)</f>
        <v>-0.66452473438259785</v>
      </c>
      <c r="L925" s="11">
        <v>922</v>
      </c>
      <c r="M925" s="7">
        <f t="shared" ca="1" si="36"/>
        <v>7.7163106203405843E-2</v>
      </c>
      <c r="N925" s="7">
        <f ca="1">SUM($M$4:M925)</f>
        <v>-0.30656693545677421</v>
      </c>
    </row>
    <row r="926" spans="1:14" x14ac:dyDescent="0.3">
      <c r="A926" s="3">
        <v>44803</v>
      </c>
      <c r="B926" s="4">
        <v>13.29</v>
      </c>
      <c r="D926" s="11">
        <v>923</v>
      </c>
      <c r="E926" s="3">
        <v>44804</v>
      </c>
      <c r="F926" s="7">
        <f t="shared" si="35"/>
        <v>-3.7693222162917535E-3</v>
      </c>
      <c r="G926" s="7">
        <f>SUM($F$4:F926)</f>
        <v>-0.66829405659888963</v>
      </c>
      <c r="L926" s="11">
        <v>923</v>
      </c>
      <c r="M926" s="7">
        <f t="shared" ca="1" si="36"/>
        <v>-5.005174456437135E-2</v>
      </c>
      <c r="N926" s="7">
        <f ca="1">SUM($M$4:M926)</f>
        <v>-0.35661868002114555</v>
      </c>
    </row>
    <row r="927" spans="1:14" x14ac:dyDescent="0.3">
      <c r="A927" s="3">
        <v>44804</v>
      </c>
      <c r="B927" s="4">
        <v>13.24</v>
      </c>
      <c r="D927" s="11">
        <v>924</v>
      </c>
      <c r="E927" s="3">
        <v>44805</v>
      </c>
      <c r="F927" s="7">
        <f t="shared" si="35"/>
        <v>-3.7835837796390288E-3</v>
      </c>
      <c r="G927" s="7">
        <f>SUM($F$4:F927)</f>
        <v>-0.67207764037852868</v>
      </c>
      <c r="L927" s="11">
        <v>924</v>
      </c>
      <c r="M927" s="7">
        <f t="shared" ca="1" si="36"/>
        <v>-7.0906638132859412E-2</v>
      </c>
      <c r="N927" s="7">
        <f ca="1">SUM($M$4:M927)</f>
        <v>-0.42752531815400496</v>
      </c>
    </row>
    <row r="928" spans="1:14" x14ac:dyDescent="0.3">
      <c r="A928" s="3">
        <v>44805</v>
      </c>
      <c r="B928" s="4">
        <v>13.19</v>
      </c>
      <c r="D928" s="11">
        <v>925</v>
      </c>
      <c r="E928" s="3">
        <v>44806</v>
      </c>
      <c r="F928" s="7">
        <f t="shared" si="35"/>
        <v>-9.9048428809381944E-3</v>
      </c>
      <c r="G928" s="7">
        <f>SUM($F$4:F928)</f>
        <v>-0.68198248325946687</v>
      </c>
      <c r="L928" s="11">
        <v>925</v>
      </c>
      <c r="M928" s="7">
        <f t="shared" ca="1" si="36"/>
        <v>6.0479191348615388E-2</v>
      </c>
      <c r="N928" s="7">
        <f ca="1">SUM($M$4:M928)</f>
        <v>-0.36704612680538956</v>
      </c>
    </row>
    <row r="929" spans="1:14" x14ac:dyDescent="0.3">
      <c r="A929" s="3">
        <v>44806</v>
      </c>
      <c r="B929" s="4">
        <v>13.06</v>
      </c>
      <c r="D929" s="11">
        <v>926</v>
      </c>
      <c r="E929" s="3">
        <v>44810</v>
      </c>
      <c r="F929" s="7">
        <f t="shared" si="35"/>
        <v>-3.3479187485885263E-2</v>
      </c>
      <c r="G929" s="7">
        <f>SUM($F$4:F929)</f>
        <v>-0.71546167074535216</v>
      </c>
      <c r="L929" s="11">
        <v>926</v>
      </c>
      <c r="M929" s="7">
        <f t="shared" ca="1" si="36"/>
        <v>-5.6308212634917774E-2</v>
      </c>
      <c r="N929" s="7">
        <f ca="1">SUM($M$4:M929)</f>
        <v>-0.42335433944030731</v>
      </c>
    </row>
    <row r="930" spans="1:14" x14ac:dyDescent="0.3">
      <c r="A930" s="3">
        <v>44810</v>
      </c>
      <c r="B930" s="4">
        <v>12.63</v>
      </c>
      <c r="D930" s="11">
        <v>927</v>
      </c>
      <c r="E930" s="3">
        <v>44811</v>
      </c>
      <c r="F930" s="7">
        <f t="shared" si="35"/>
        <v>3.9510126466799893E-3</v>
      </c>
      <c r="G930" s="7">
        <f>SUM($F$4:F930)</f>
        <v>-0.7115106580986722</v>
      </c>
      <c r="L930" s="11">
        <v>927</v>
      </c>
      <c r="M930" s="7">
        <f t="shared" ca="1" si="36"/>
        <v>-2.7111361639034482E-2</v>
      </c>
      <c r="N930" s="7">
        <f ca="1">SUM($M$4:M930)</f>
        <v>-0.45046570107934181</v>
      </c>
    </row>
    <row r="931" spans="1:14" x14ac:dyDescent="0.3">
      <c r="A931" s="3">
        <v>44811</v>
      </c>
      <c r="B931" s="4">
        <v>12.68</v>
      </c>
      <c r="D931" s="11">
        <v>928</v>
      </c>
      <c r="E931" s="3">
        <v>44812</v>
      </c>
      <c r="F931" s="7">
        <f t="shared" si="35"/>
        <v>-1.110241380430527E-2</v>
      </c>
      <c r="G931" s="7">
        <f>SUM($F$4:F931)</f>
        <v>-0.72261307190297752</v>
      </c>
      <c r="L931" s="11">
        <v>928</v>
      </c>
      <c r="M931" s="7">
        <f t="shared" ca="1" si="36"/>
        <v>5.4222723278068964E-2</v>
      </c>
      <c r="N931" s="7">
        <f ca="1">SUM($M$4:M931)</f>
        <v>-0.39624297780127282</v>
      </c>
    </row>
    <row r="932" spans="1:14" x14ac:dyDescent="0.3">
      <c r="A932" s="3">
        <v>44812</v>
      </c>
      <c r="B932" s="4">
        <v>12.54</v>
      </c>
      <c r="D932" s="11">
        <v>929</v>
      </c>
      <c r="E932" s="3">
        <v>44813</v>
      </c>
      <c r="F932" s="7">
        <f t="shared" si="35"/>
        <v>3.8330855931979116E-2</v>
      </c>
      <c r="G932" s="7">
        <f>SUM($F$4:F932)</f>
        <v>-0.68428221597099836</v>
      </c>
      <c r="L932" s="11">
        <v>929</v>
      </c>
      <c r="M932" s="7">
        <f t="shared" ca="1" si="36"/>
        <v>8.3419574273952257E-3</v>
      </c>
      <c r="N932" s="7">
        <f ca="1">SUM($M$4:M932)</f>
        <v>-0.38790102037387758</v>
      </c>
    </row>
    <row r="933" spans="1:14" x14ac:dyDescent="0.3">
      <c r="A933" s="3">
        <v>44813</v>
      </c>
      <c r="B933" s="4">
        <v>13.03</v>
      </c>
      <c r="D933" s="11">
        <v>930</v>
      </c>
      <c r="E933" s="3">
        <v>44816</v>
      </c>
      <c r="F933" s="7">
        <f t="shared" si="35"/>
        <v>2.1261241270266573E-2</v>
      </c>
      <c r="G933" s="7">
        <f>SUM($F$4:F933)</f>
        <v>-0.66302097470073185</v>
      </c>
      <c r="L933" s="11">
        <v>930</v>
      </c>
      <c r="M933" s="7">
        <f t="shared" ca="1" si="36"/>
        <v>-4.7966255207522547E-2</v>
      </c>
      <c r="N933" s="7">
        <f ca="1">SUM($M$4:M933)</f>
        <v>-0.43586727558140015</v>
      </c>
    </row>
    <row r="934" spans="1:14" x14ac:dyDescent="0.3">
      <c r="A934" s="3">
        <v>44816</v>
      </c>
      <c r="B934" s="4">
        <v>13.31</v>
      </c>
      <c r="D934" s="11">
        <v>931</v>
      </c>
      <c r="E934" s="3">
        <v>44817</v>
      </c>
      <c r="F934" s="7">
        <f t="shared" si="35"/>
        <v>-2.7419844261473571E-2</v>
      </c>
      <c r="G934" s="7">
        <f>SUM($F$4:F934)</f>
        <v>-0.69044081896220544</v>
      </c>
      <c r="L934" s="11">
        <v>931</v>
      </c>
      <c r="M934" s="7">
        <f t="shared" ca="1" si="36"/>
        <v>-4.3795276493824933E-2</v>
      </c>
      <c r="N934" s="7">
        <f ca="1">SUM($M$4:M934)</f>
        <v>-0.47966255207522507</v>
      </c>
    </row>
    <row r="935" spans="1:14" x14ac:dyDescent="0.3">
      <c r="A935" s="3">
        <v>44817</v>
      </c>
      <c r="B935" s="4">
        <v>12.95</v>
      </c>
      <c r="D935" s="11">
        <v>932</v>
      </c>
      <c r="E935" s="3">
        <v>44818</v>
      </c>
      <c r="F935" s="7">
        <f t="shared" si="35"/>
        <v>-1.8706702944183945E-2</v>
      </c>
      <c r="G935" s="7">
        <f>SUM($F$4:F935)</f>
        <v>-0.70914752190638941</v>
      </c>
      <c r="L935" s="11">
        <v>932</v>
      </c>
      <c r="M935" s="7">
        <f t="shared" ca="1" si="36"/>
        <v>-7.7163106203405843E-2</v>
      </c>
      <c r="N935" s="7">
        <f ca="1">SUM($M$4:M935)</f>
        <v>-0.55682565827863095</v>
      </c>
    </row>
    <row r="936" spans="1:14" x14ac:dyDescent="0.3">
      <c r="A936" s="3">
        <v>44818</v>
      </c>
      <c r="B936" s="4">
        <v>12.71</v>
      </c>
      <c r="D936" s="11">
        <v>933</v>
      </c>
      <c r="E936" s="3">
        <v>44819</v>
      </c>
      <c r="F936" s="7">
        <f t="shared" si="35"/>
        <v>3.5552430553826939E-2</v>
      </c>
      <c r="G936" s="7">
        <f>SUM($F$4:F936)</f>
        <v>-0.67359509135256246</v>
      </c>
      <c r="L936" s="11">
        <v>933</v>
      </c>
      <c r="M936" s="7">
        <f t="shared" ca="1" si="36"/>
        <v>0</v>
      </c>
      <c r="N936" s="7">
        <f ca="1">SUM($M$4:M936)</f>
        <v>-0.55682565827863095</v>
      </c>
    </row>
    <row r="937" spans="1:14" x14ac:dyDescent="0.3">
      <c r="A937" s="3">
        <v>44819</v>
      </c>
      <c r="B937" s="4">
        <v>13.17</v>
      </c>
      <c r="D937" s="11">
        <v>934</v>
      </c>
      <c r="E937" s="3">
        <v>44820</v>
      </c>
      <c r="F937" s="7">
        <f t="shared" si="35"/>
        <v>-3.3194865611172387E-2</v>
      </c>
      <c r="G937" s="7">
        <f>SUM($F$4:F937)</f>
        <v>-0.70678995696373481</v>
      </c>
      <c r="L937" s="11">
        <v>934</v>
      </c>
      <c r="M937" s="7">
        <f t="shared" ca="1" si="36"/>
        <v>-1.0427446784244032E-2</v>
      </c>
      <c r="N937" s="7">
        <f ca="1">SUM($M$4:M937)</f>
        <v>-0.56725310506287496</v>
      </c>
    </row>
    <row r="938" spans="1:14" x14ac:dyDescent="0.3">
      <c r="A938" s="3">
        <v>44820</v>
      </c>
      <c r="B938" s="4">
        <v>12.74</v>
      </c>
      <c r="D938" s="11">
        <v>935</v>
      </c>
      <c r="E938" s="3">
        <v>44823</v>
      </c>
      <c r="F938" s="7">
        <f t="shared" si="35"/>
        <v>3.243527575315374E-2</v>
      </c>
      <c r="G938" s="7">
        <f>SUM($F$4:F938)</f>
        <v>-0.67435468121058106</v>
      </c>
      <c r="L938" s="11">
        <v>935</v>
      </c>
      <c r="M938" s="7">
        <f t="shared" ca="1" si="36"/>
        <v>1.0427446784244032E-2</v>
      </c>
      <c r="N938" s="7">
        <f ca="1">SUM($M$4:M938)</f>
        <v>-0.55682565827863095</v>
      </c>
    </row>
    <row r="939" spans="1:14" x14ac:dyDescent="0.3">
      <c r="A939" s="3">
        <v>44823</v>
      </c>
      <c r="B939" s="4">
        <v>13.16</v>
      </c>
      <c r="D939" s="11">
        <v>936</v>
      </c>
      <c r="E939" s="3">
        <v>44824</v>
      </c>
      <c r="F939" s="7">
        <f t="shared" si="35"/>
        <v>3.7921926370629122E-3</v>
      </c>
      <c r="G939" s="7">
        <f>SUM($F$4:F939)</f>
        <v>-0.67056248857351819</v>
      </c>
      <c r="L939" s="11">
        <v>936</v>
      </c>
      <c r="M939" s="7">
        <f t="shared" ca="1" si="36"/>
        <v>-2.0854893568488065E-2</v>
      </c>
      <c r="N939" s="7">
        <f ca="1">SUM($M$4:M939)</f>
        <v>-0.57768055184711897</v>
      </c>
    </row>
    <row r="940" spans="1:14" x14ac:dyDescent="0.3">
      <c r="A940" s="3">
        <v>44824</v>
      </c>
      <c r="B940" s="4">
        <v>13.21</v>
      </c>
      <c r="D940" s="11">
        <v>937</v>
      </c>
      <c r="E940" s="3">
        <v>44825</v>
      </c>
      <c r="F940" s="7">
        <f t="shared" si="35"/>
        <v>-7.7900164790784723E-2</v>
      </c>
      <c r="G940" s="7">
        <f>SUM($F$4:F940)</f>
        <v>-0.74846265336430295</v>
      </c>
      <c r="L940" s="11">
        <v>937</v>
      </c>
      <c r="M940" s="7">
        <f t="shared" ca="1" si="36"/>
        <v>-1.4598425497941644E-2</v>
      </c>
      <c r="N940" s="7">
        <f ca="1">SUM($M$4:M940)</f>
        <v>-0.59227897734506063</v>
      </c>
    </row>
    <row r="941" spans="1:14" x14ac:dyDescent="0.3">
      <c r="A941" s="3">
        <v>44825</v>
      </c>
      <c r="B941" s="4">
        <v>12.22</v>
      </c>
      <c r="D941" s="11">
        <v>938</v>
      </c>
      <c r="E941" s="3">
        <v>44826</v>
      </c>
      <c r="F941" s="7">
        <f t="shared" si="35"/>
        <v>-1.7334317651557147E-2</v>
      </c>
      <c r="G941" s="7">
        <f>SUM($F$4:F941)</f>
        <v>-0.76579697101586008</v>
      </c>
      <c r="L941" s="11">
        <v>938</v>
      </c>
      <c r="M941" s="7">
        <f t="shared" ca="1" si="36"/>
        <v>1.6683914854790451E-2</v>
      </c>
      <c r="N941" s="7">
        <f ca="1">SUM($M$4:M941)</f>
        <v>-0.57559506249027015</v>
      </c>
    </row>
    <row r="942" spans="1:14" x14ac:dyDescent="0.3">
      <c r="A942" s="3">
        <v>44826</v>
      </c>
      <c r="B942" s="4">
        <v>12.01</v>
      </c>
      <c r="D942" s="11">
        <v>939</v>
      </c>
      <c r="E942" s="3">
        <v>44827</v>
      </c>
      <c r="F942" s="7">
        <f t="shared" si="35"/>
        <v>-1.848792154261265E-2</v>
      </c>
      <c r="G942" s="7">
        <f>SUM($F$4:F942)</f>
        <v>-0.78428489255847278</v>
      </c>
      <c r="L942" s="11">
        <v>939</v>
      </c>
      <c r="M942" s="7">
        <f t="shared" ca="1" si="36"/>
        <v>2.0854893568488064E-3</v>
      </c>
      <c r="N942" s="7">
        <f ca="1">SUM($M$4:M942)</f>
        <v>-0.57350957313342132</v>
      </c>
    </row>
    <row r="943" spans="1:14" x14ac:dyDescent="0.3">
      <c r="A943" s="3">
        <v>44827</v>
      </c>
      <c r="B943" s="4">
        <v>11.79</v>
      </c>
      <c r="D943" s="11">
        <v>940</v>
      </c>
      <c r="E943" s="3">
        <v>44830</v>
      </c>
      <c r="F943" s="7">
        <f t="shared" si="35"/>
        <v>-3.2761550675295244E-2</v>
      </c>
      <c r="G943" s="7">
        <f>SUM($F$4:F943)</f>
        <v>-0.81704644323376807</v>
      </c>
      <c r="L943" s="11">
        <v>940</v>
      </c>
      <c r="M943" s="7">
        <f t="shared" ca="1" si="36"/>
        <v>-6.2564680705464188E-3</v>
      </c>
      <c r="N943" s="7">
        <f ca="1">SUM($M$4:M943)</f>
        <v>-0.5797660412039678</v>
      </c>
    </row>
    <row r="944" spans="1:14" x14ac:dyDescent="0.3">
      <c r="A944" s="3">
        <v>44830</v>
      </c>
      <c r="B944" s="4">
        <v>11.41</v>
      </c>
      <c r="D944" s="11">
        <v>941</v>
      </c>
      <c r="E944" s="3">
        <v>44831</v>
      </c>
      <c r="F944" s="7">
        <f t="shared" si="35"/>
        <v>-7.9190910989473343E-3</v>
      </c>
      <c r="G944" s="7">
        <f>SUM($F$4:F944)</f>
        <v>-0.82496553433271536</v>
      </c>
      <c r="L944" s="11">
        <v>941</v>
      </c>
      <c r="M944" s="7">
        <f t="shared" ca="1" si="36"/>
        <v>0</v>
      </c>
      <c r="N944" s="7">
        <f ca="1">SUM($M$4:M944)</f>
        <v>-0.5797660412039678</v>
      </c>
    </row>
    <row r="945" spans="1:14" x14ac:dyDescent="0.3">
      <c r="A945" s="3">
        <v>44831</v>
      </c>
      <c r="B945" s="4">
        <v>11.32</v>
      </c>
      <c r="D945" s="11">
        <v>942</v>
      </c>
      <c r="E945" s="3">
        <v>44832</v>
      </c>
      <c r="F945" s="7">
        <f t="shared" si="35"/>
        <v>4.0680641774242542E-2</v>
      </c>
      <c r="G945" s="7">
        <f>SUM($F$4:F945)</f>
        <v>-0.78428489255847278</v>
      </c>
      <c r="L945" s="11">
        <v>942</v>
      </c>
      <c r="M945" s="7">
        <f t="shared" ca="1" si="36"/>
        <v>-4.1709787136976128E-3</v>
      </c>
      <c r="N945" s="7">
        <f ca="1">SUM($M$4:M945)</f>
        <v>-0.58393701991766545</v>
      </c>
    </row>
    <row r="946" spans="1:14" x14ac:dyDescent="0.3">
      <c r="A946" s="3">
        <v>44832</v>
      </c>
      <c r="B946" s="4">
        <v>11.79</v>
      </c>
      <c r="D946" s="11">
        <v>943</v>
      </c>
      <c r="E946" s="3">
        <v>44833</v>
      </c>
      <c r="F946" s="7">
        <f t="shared" si="35"/>
        <v>-1.108753362693317E-2</v>
      </c>
      <c r="G946" s="7">
        <f>SUM($F$4:F946)</f>
        <v>-0.79537242618540593</v>
      </c>
      <c r="L946" s="11">
        <v>943</v>
      </c>
      <c r="M946" s="7">
        <f t="shared" ca="1" si="36"/>
        <v>0</v>
      </c>
      <c r="N946" s="7">
        <f ca="1">SUM($M$4:M946)</f>
        <v>-0.58393701991766545</v>
      </c>
    </row>
    <row r="947" spans="1:14" x14ac:dyDescent="0.3">
      <c r="A947" s="3">
        <v>44833</v>
      </c>
      <c r="B947" s="4">
        <v>11.66</v>
      </c>
      <c r="D947" s="11">
        <v>944</v>
      </c>
      <c r="E947" s="3">
        <v>44834</v>
      </c>
      <c r="F947" s="7">
        <f t="shared" si="35"/>
        <v>-1.3817145553141955E-2</v>
      </c>
      <c r="G947" s="7">
        <f>SUM($F$4:F947)</f>
        <v>-0.80918957173854789</v>
      </c>
      <c r="L947" s="11">
        <v>944</v>
      </c>
      <c r="M947" s="7">
        <f t="shared" ca="1" si="36"/>
        <v>-2.5025872282185675E-2</v>
      </c>
      <c r="N947" s="7">
        <f ca="1">SUM($M$4:M947)</f>
        <v>-0.60896289219985111</v>
      </c>
    </row>
    <row r="948" spans="1:14" x14ac:dyDescent="0.3">
      <c r="A948" s="3">
        <v>44834</v>
      </c>
      <c r="B948" s="4">
        <v>11.5</v>
      </c>
      <c r="D948" s="11">
        <v>945</v>
      </c>
      <c r="E948" s="3">
        <v>44837</v>
      </c>
      <c r="F948" s="7">
        <f t="shared" si="35"/>
        <v>3.8384243008315291E-2</v>
      </c>
      <c r="G948" s="7">
        <f>SUM($F$4:F948)</f>
        <v>-0.77080532873023255</v>
      </c>
      <c r="L948" s="11">
        <v>945</v>
      </c>
      <c r="M948" s="7">
        <f t="shared" ca="1" si="36"/>
        <v>-6.2564680705464188E-3</v>
      </c>
      <c r="N948" s="7">
        <f ca="1">SUM($M$4:M948)</f>
        <v>-0.61521936027039759</v>
      </c>
    </row>
    <row r="949" spans="1:14" x14ac:dyDescent="0.3">
      <c r="A949" s="3">
        <v>44837</v>
      </c>
      <c r="B949" s="4">
        <v>11.95</v>
      </c>
      <c r="D949" s="11">
        <v>946</v>
      </c>
      <c r="E949" s="3">
        <v>44838</v>
      </c>
      <c r="F949" s="7">
        <f t="shared" si="35"/>
        <v>3.373417365202503E-2</v>
      </c>
      <c r="G949" s="7">
        <f>SUM($F$4:F949)</f>
        <v>-0.73707115507820753</v>
      </c>
      <c r="L949" s="11">
        <v>946</v>
      </c>
      <c r="M949" s="7">
        <f t="shared" ca="1" si="36"/>
        <v>-3.3367829709580903E-2</v>
      </c>
      <c r="N949" s="7">
        <f ca="1">SUM($M$4:M949)</f>
        <v>-0.64858718997997844</v>
      </c>
    </row>
    <row r="950" spans="1:14" x14ac:dyDescent="0.3">
      <c r="A950" s="3">
        <v>44838</v>
      </c>
      <c r="B950" s="4">
        <v>12.36</v>
      </c>
      <c r="D950" s="11">
        <v>947</v>
      </c>
      <c r="E950" s="3">
        <v>44839</v>
      </c>
      <c r="F950" s="7">
        <f t="shared" si="35"/>
        <v>-1.139149828609537E-2</v>
      </c>
      <c r="G950" s="7">
        <f>SUM($F$4:F950)</f>
        <v>-0.74846265336430284</v>
      </c>
      <c r="L950" s="11">
        <v>947</v>
      </c>
      <c r="M950" s="7">
        <f t="shared" ca="1" si="36"/>
        <v>-3.1282340352732099E-2</v>
      </c>
      <c r="N950" s="7">
        <f ca="1">SUM($M$4:M950)</f>
        <v>-0.67986953033271058</v>
      </c>
    </row>
    <row r="951" spans="1:14" x14ac:dyDescent="0.3">
      <c r="A951" s="3">
        <v>44839</v>
      </c>
      <c r="B951" s="4">
        <v>12.22</v>
      </c>
      <c r="D951" s="11">
        <v>948</v>
      </c>
      <c r="E951" s="3">
        <v>44840</v>
      </c>
      <c r="F951" s="7">
        <f t="shared" si="35"/>
        <v>2.1854370394037002E-2</v>
      </c>
      <c r="G951" s="7">
        <f>SUM($F$4:F951)</f>
        <v>-0.72660828297026581</v>
      </c>
      <c r="L951" s="11">
        <v>948</v>
      </c>
      <c r="M951" s="7">
        <f t="shared" ca="1" si="36"/>
        <v>-3.3367829709580903E-2</v>
      </c>
      <c r="N951" s="7">
        <f ca="1">SUM($M$4:M951)</f>
        <v>-0.71323736004229144</v>
      </c>
    </row>
    <row r="952" spans="1:14" x14ac:dyDescent="0.3">
      <c r="A952" s="3">
        <v>44840</v>
      </c>
      <c r="B952" s="4">
        <v>12.49</v>
      </c>
      <c r="D952" s="11">
        <v>949</v>
      </c>
      <c r="E952" s="3">
        <v>44841</v>
      </c>
      <c r="F952" s="7">
        <f t="shared" si="35"/>
        <v>-4.1689731450182947E-2</v>
      </c>
      <c r="G952" s="7">
        <f>SUM($F$4:F952)</f>
        <v>-0.76829801442044876</v>
      </c>
      <c r="L952" s="11">
        <v>949</v>
      </c>
      <c r="M952" s="7">
        <f t="shared" ca="1" si="36"/>
        <v>1.4598425497941644E-2</v>
      </c>
      <c r="N952" s="7">
        <f ca="1">SUM($M$4:M952)</f>
        <v>-0.69863893454434978</v>
      </c>
    </row>
    <row r="953" spans="1:14" x14ac:dyDescent="0.3">
      <c r="A953" s="3">
        <v>44841</v>
      </c>
      <c r="B953" s="4">
        <v>11.98</v>
      </c>
      <c r="D953" s="11">
        <v>950</v>
      </c>
      <c r="E953" s="3">
        <v>44844</v>
      </c>
      <c r="F953" s="7">
        <f t="shared" si="35"/>
        <v>3.333336419758217E-3</v>
      </c>
      <c r="G953" s="7">
        <f>SUM($F$4:F953)</f>
        <v>-0.76496467800069057</v>
      </c>
      <c r="L953" s="11">
        <v>950</v>
      </c>
      <c r="M953" s="7">
        <f t="shared" ca="1" si="36"/>
        <v>-3.1282340352732099E-2</v>
      </c>
      <c r="N953" s="7">
        <f ca="1">SUM($M$4:M953)</f>
        <v>-0.72992127489708192</v>
      </c>
    </row>
    <row r="954" spans="1:14" x14ac:dyDescent="0.3">
      <c r="A954" s="3">
        <v>44844</v>
      </c>
      <c r="B954" s="4">
        <v>12.02</v>
      </c>
      <c r="D954" s="11">
        <v>951</v>
      </c>
      <c r="E954" s="3">
        <v>44845</v>
      </c>
      <c r="F954" s="7">
        <f t="shared" si="35"/>
        <v>-3.5566830994742525E-2</v>
      </c>
      <c r="G954" s="7">
        <f>SUM($F$4:F954)</f>
        <v>-0.80053150899543313</v>
      </c>
      <c r="L954" s="11">
        <v>951</v>
      </c>
      <c r="M954" s="7">
        <f t="shared" ca="1" si="36"/>
        <v>-1.8769404211639258E-2</v>
      </c>
      <c r="N954" s="7">
        <f ca="1">SUM($M$4:M954)</f>
        <v>-0.74869067910872122</v>
      </c>
    </row>
    <row r="955" spans="1:14" x14ac:dyDescent="0.3">
      <c r="A955" s="3">
        <v>44845</v>
      </c>
      <c r="B955" s="4">
        <v>11.6</v>
      </c>
      <c r="D955" s="11">
        <v>952</v>
      </c>
      <c r="E955" s="3">
        <v>44846</v>
      </c>
      <c r="F955" s="7">
        <f t="shared" si="35"/>
        <v>5.1590828100274233E-3</v>
      </c>
      <c r="G955" s="7">
        <f>SUM($F$4:F955)</f>
        <v>-0.79537242618540571</v>
      </c>
      <c r="L955" s="11">
        <v>952</v>
      </c>
      <c r="M955" s="7">
        <f t="shared" ca="1" si="36"/>
        <v>1.2512936141092838E-2</v>
      </c>
      <c r="N955" s="7">
        <f ca="1">SUM($M$4:M955)</f>
        <v>-0.73617774296762839</v>
      </c>
    </row>
    <row r="956" spans="1:14" x14ac:dyDescent="0.3">
      <c r="A956" s="3">
        <v>44846</v>
      </c>
      <c r="B956" s="4">
        <v>11.66</v>
      </c>
      <c r="D956" s="11">
        <v>953</v>
      </c>
      <c r="E956" s="3">
        <v>44847</v>
      </c>
      <c r="F956" s="7">
        <f t="shared" si="35"/>
        <v>6.9564463385909048E-2</v>
      </c>
      <c r="G956" s="7">
        <f>SUM($F$4:F956)</f>
        <v>-0.72580796279949666</v>
      </c>
      <c r="L956" s="11">
        <v>953</v>
      </c>
      <c r="M956" s="7">
        <f t="shared" ca="1" si="36"/>
        <v>3.5453319066429706E-2</v>
      </c>
      <c r="N956" s="7">
        <f ca="1">SUM($M$4:M956)</f>
        <v>-0.70072442390119871</v>
      </c>
    </row>
    <row r="957" spans="1:14" x14ac:dyDescent="0.3">
      <c r="A957" s="3">
        <v>44847</v>
      </c>
      <c r="B957" s="4">
        <v>12.5</v>
      </c>
      <c r="D957" s="11">
        <v>954</v>
      </c>
      <c r="E957" s="3">
        <v>44848</v>
      </c>
      <c r="F957" s="7">
        <f t="shared" si="35"/>
        <v>-5.6157387856357452E-3</v>
      </c>
      <c r="G957" s="7">
        <f>SUM($F$4:F957)</f>
        <v>-0.73142370158513237</v>
      </c>
      <c r="L957" s="11">
        <v>954</v>
      </c>
      <c r="M957" s="7">
        <f t="shared" ca="1" si="36"/>
        <v>-6.2564680705464188E-3</v>
      </c>
      <c r="N957" s="7">
        <f ca="1">SUM($M$4:M957)</f>
        <v>-0.70698089197174518</v>
      </c>
    </row>
    <row r="958" spans="1:14" x14ac:dyDescent="0.3">
      <c r="A958" s="3">
        <v>44848</v>
      </c>
      <c r="B958" s="4">
        <v>12.43</v>
      </c>
      <c r="D958" s="11">
        <v>955</v>
      </c>
      <c r="E958" s="3">
        <v>44851</v>
      </c>
      <c r="F958" s="7">
        <f t="shared" si="35"/>
        <v>-8.8889474172459283E-3</v>
      </c>
      <c r="G958" s="7">
        <f>SUM($F$4:F958)</f>
        <v>-0.74031264900237825</v>
      </c>
      <c r="L958" s="11">
        <v>955</v>
      </c>
      <c r="M958" s="7">
        <f t="shared" ca="1" si="36"/>
        <v>-2.0854893568488064E-3</v>
      </c>
      <c r="N958" s="7">
        <f ca="1">SUM($M$4:M958)</f>
        <v>-0.70906638132859401</v>
      </c>
    </row>
    <row r="959" spans="1:14" x14ac:dyDescent="0.3">
      <c r="A959" s="3">
        <v>44851</v>
      </c>
      <c r="B959" s="4">
        <v>12.32</v>
      </c>
      <c r="D959" s="11">
        <v>956</v>
      </c>
      <c r="E959" s="3">
        <v>44852</v>
      </c>
      <c r="F959" s="7">
        <f t="shared" si="35"/>
        <v>4.4451762570833796E-2</v>
      </c>
      <c r="G959" s="7">
        <f>SUM($F$4:F959)</f>
        <v>-0.69586088643154442</v>
      </c>
      <c r="L959" s="11">
        <v>956</v>
      </c>
      <c r="M959" s="7">
        <f t="shared" ca="1" si="36"/>
        <v>6.2564680705464188E-3</v>
      </c>
      <c r="N959" s="7">
        <f ca="1">SUM($M$4:M959)</f>
        <v>-0.70280991325804754</v>
      </c>
    </row>
    <row r="960" spans="1:14" x14ac:dyDescent="0.3">
      <c r="A960" s="3">
        <v>44852</v>
      </c>
      <c r="B960" s="4">
        <v>12.88</v>
      </c>
      <c r="D960" s="11">
        <v>957</v>
      </c>
      <c r="E960" s="3">
        <v>44853</v>
      </c>
      <c r="F960" s="7">
        <f t="shared" si="35"/>
        <v>-2.1185570699379479E-2</v>
      </c>
      <c r="G960" s="7">
        <f>SUM($F$4:F960)</f>
        <v>-0.71704645713092385</v>
      </c>
      <c r="L960" s="11">
        <v>957</v>
      </c>
      <c r="M960" s="7">
        <f t="shared" ca="1" si="36"/>
        <v>8.9676042344498677E-2</v>
      </c>
      <c r="N960" s="7">
        <f ca="1">SUM($M$4:M960)</f>
        <v>-0.61313387091354887</v>
      </c>
    </row>
    <row r="961" spans="1:14" x14ac:dyDescent="0.3">
      <c r="A961" s="3">
        <v>44853</v>
      </c>
      <c r="B961" s="4">
        <v>12.61</v>
      </c>
      <c r="D961" s="11">
        <v>958</v>
      </c>
      <c r="E961" s="3">
        <v>44854</v>
      </c>
      <c r="F961" s="7">
        <f t="shared" si="35"/>
        <v>2.4286348377627734E-2</v>
      </c>
      <c r="G961" s="7">
        <f>SUM($F$4:F961)</f>
        <v>-0.69276010875329608</v>
      </c>
      <c r="L961" s="11">
        <v>958</v>
      </c>
      <c r="M961" s="7">
        <f t="shared" ca="1" si="36"/>
        <v>6.2564680705464188E-3</v>
      </c>
      <c r="N961" s="7">
        <f ca="1">SUM($M$4:M961)</f>
        <v>-0.6068774028430024</v>
      </c>
    </row>
    <row r="962" spans="1:14" x14ac:dyDescent="0.3">
      <c r="A962" s="3">
        <v>44854</v>
      </c>
      <c r="B962" s="4">
        <v>12.92</v>
      </c>
      <c r="D962" s="11">
        <v>959</v>
      </c>
      <c r="E962" s="3">
        <v>44855</v>
      </c>
      <c r="F962" s="7">
        <f t="shared" si="35"/>
        <v>4.3172171865208782E-2</v>
      </c>
      <c r="G962" s="7">
        <f>SUM($F$4:F962)</f>
        <v>-0.64958793688808725</v>
      </c>
      <c r="L962" s="11">
        <v>959</v>
      </c>
      <c r="M962" s="7">
        <f t="shared" ca="1" si="36"/>
        <v>3.7538808423278516E-2</v>
      </c>
      <c r="N962" s="7">
        <f ca="1">SUM($M$4:M962)</f>
        <v>-0.5693385944197239</v>
      </c>
    </row>
    <row r="963" spans="1:14" x14ac:dyDescent="0.3">
      <c r="A963" s="3">
        <v>44855</v>
      </c>
      <c r="B963" s="4">
        <v>13.49</v>
      </c>
      <c r="D963" s="11">
        <v>960</v>
      </c>
      <c r="E963" s="3">
        <v>44858</v>
      </c>
      <c r="F963" s="7">
        <f t="shared" si="35"/>
        <v>-2.3248141145303429E-2</v>
      </c>
      <c r="G963" s="7">
        <f>SUM($F$4:F963)</f>
        <v>-0.67283607803339063</v>
      </c>
      <c r="L963" s="11">
        <v>960</v>
      </c>
      <c r="M963" s="7">
        <f t="shared" ca="1" si="36"/>
        <v>2.0854893568488064E-3</v>
      </c>
      <c r="N963" s="7">
        <f ca="1">SUM($M$4:M963)</f>
        <v>-0.56725310506287507</v>
      </c>
    </row>
    <row r="964" spans="1:14" x14ac:dyDescent="0.3">
      <c r="A964" s="3">
        <v>44858</v>
      </c>
      <c r="B964" s="4">
        <v>13.18</v>
      </c>
      <c r="D964" s="11">
        <v>961</v>
      </c>
      <c r="E964" s="3">
        <v>44859</v>
      </c>
      <c r="F964" s="7">
        <f t="shared" ref="F964:F1027" si="37">LN(B965/B964)</f>
        <v>2.9160944772416687E-2</v>
      </c>
      <c r="G964" s="7">
        <f>SUM($F$4:F964)</f>
        <v>-0.64367513326097392</v>
      </c>
      <c r="L964" s="11">
        <v>961</v>
      </c>
      <c r="M964" s="7">
        <f t="shared" ca="1" si="36"/>
        <v>-1.8769404211639258E-2</v>
      </c>
      <c r="N964" s="7">
        <f ca="1">SUM($M$4:M964)</f>
        <v>-0.58602250927451438</v>
      </c>
    </row>
    <row r="965" spans="1:14" x14ac:dyDescent="0.3">
      <c r="A965" s="3">
        <v>44859</v>
      </c>
      <c r="B965" s="4">
        <v>13.57</v>
      </c>
      <c r="D965" s="11">
        <v>962</v>
      </c>
      <c r="E965" s="3">
        <v>44860</v>
      </c>
      <c r="F965" s="7">
        <f t="shared" si="37"/>
        <v>-4.2912116385241006E-2</v>
      </c>
      <c r="G965" s="7">
        <f>SUM($F$4:F965)</f>
        <v>-0.68658724964621487</v>
      </c>
      <c r="L965" s="11">
        <v>962</v>
      </c>
      <c r="M965" s="7">
        <f t="shared" ref="M965:M1028" ca="1" si="38">(2*_xlfn.BINOM.INV($J$4,$J$12,RAND())-$J$4)*$J$11</f>
        <v>1.4598425497941644E-2</v>
      </c>
      <c r="N965" s="7">
        <f ca="1">SUM($M$4:M965)</f>
        <v>-0.57142408377657272</v>
      </c>
    </row>
    <row r="966" spans="1:14" x14ac:dyDescent="0.3">
      <c r="A966" s="3">
        <v>44860</v>
      </c>
      <c r="B966" s="4">
        <v>13</v>
      </c>
      <c r="D966" s="11">
        <v>963</v>
      </c>
      <c r="E966" s="3">
        <v>44861</v>
      </c>
      <c r="F966" s="7">
        <f t="shared" si="37"/>
        <v>-4.0021033324050374E-2</v>
      </c>
      <c r="G966" s="7">
        <f>SUM($F$4:F966)</f>
        <v>-0.72660828297026525</v>
      </c>
      <c r="L966" s="11">
        <v>963</v>
      </c>
      <c r="M966" s="7">
        <f t="shared" ca="1" si="38"/>
        <v>1.8769404211639258E-2</v>
      </c>
      <c r="N966" s="7">
        <f ca="1">SUM($M$4:M966)</f>
        <v>-0.55265467956493342</v>
      </c>
    </row>
    <row r="967" spans="1:14" x14ac:dyDescent="0.3">
      <c r="A967" s="3">
        <v>44861</v>
      </c>
      <c r="B967" s="4">
        <v>12.49</v>
      </c>
      <c r="D967" s="11">
        <v>964</v>
      </c>
      <c r="E967" s="3">
        <v>44862</v>
      </c>
      <c r="F967" s="7">
        <f t="shared" si="37"/>
        <v>3.6167464008060354E-2</v>
      </c>
      <c r="G967" s="7">
        <f>SUM($F$4:F967)</f>
        <v>-0.69044081896220488</v>
      </c>
      <c r="L967" s="11">
        <v>964</v>
      </c>
      <c r="M967" s="7">
        <f t="shared" ca="1" si="38"/>
        <v>2.5025872282185675E-2</v>
      </c>
      <c r="N967" s="7">
        <f ca="1">SUM($M$4:M967)</f>
        <v>-0.52762880728274775</v>
      </c>
    </row>
    <row r="968" spans="1:14" x14ac:dyDescent="0.3">
      <c r="A968" s="3">
        <v>44862</v>
      </c>
      <c r="B968" s="4">
        <v>12.95</v>
      </c>
      <c r="D968" s="11">
        <v>965</v>
      </c>
      <c r="E968" s="3">
        <v>44865</v>
      </c>
      <c r="F968" s="7">
        <f t="shared" si="37"/>
        <v>3.8535693159899723E-3</v>
      </c>
      <c r="G968" s="7">
        <f>SUM($F$4:F968)</f>
        <v>-0.68658724964621487</v>
      </c>
      <c r="L968" s="11">
        <v>965</v>
      </c>
      <c r="M968" s="7">
        <f t="shared" ca="1" si="38"/>
        <v>-5.6308212634917774E-2</v>
      </c>
      <c r="N968" s="7">
        <f ca="1">SUM($M$4:M968)</f>
        <v>-0.58393701991766556</v>
      </c>
    </row>
    <row r="969" spans="1:14" x14ac:dyDescent="0.3">
      <c r="A969" s="3">
        <v>44865</v>
      </c>
      <c r="B969" s="4">
        <v>13</v>
      </c>
      <c r="D969" s="11">
        <v>966</v>
      </c>
      <c r="E969" s="3">
        <v>44866</v>
      </c>
      <c r="F969" s="7">
        <f t="shared" si="37"/>
        <v>2.6567027384721706E-2</v>
      </c>
      <c r="G969" s="7">
        <f>SUM($F$4:F969)</f>
        <v>-0.66002022226149315</v>
      </c>
      <c r="L969" s="11">
        <v>966</v>
      </c>
      <c r="M969" s="7">
        <f t="shared" ca="1" si="38"/>
        <v>4.3795276493824933E-2</v>
      </c>
      <c r="N969" s="7">
        <f ca="1">SUM($M$4:M969)</f>
        <v>-0.54014174342384058</v>
      </c>
    </row>
    <row r="970" spans="1:14" x14ac:dyDescent="0.3">
      <c r="A970" s="3">
        <v>44866</v>
      </c>
      <c r="B970" s="4">
        <v>13.35</v>
      </c>
      <c r="D970" s="11">
        <v>967</v>
      </c>
      <c r="E970" s="3">
        <v>44867</v>
      </c>
      <c r="F970" s="7">
        <f t="shared" si="37"/>
        <v>-5.1490435837178709E-2</v>
      </c>
      <c r="G970" s="7">
        <f>SUM($F$4:F970)</f>
        <v>-0.71151065809867187</v>
      </c>
      <c r="L970" s="11">
        <v>967</v>
      </c>
      <c r="M970" s="7">
        <f t="shared" ca="1" si="38"/>
        <v>-2.7111361639034482E-2</v>
      </c>
      <c r="N970" s="7">
        <f ca="1">SUM($M$4:M970)</f>
        <v>-0.56725310506287507</v>
      </c>
    </row>
    <row r="971" spans="1:14" x14ac:dyDescent="0.3">
      <c r="A971" s="3">
        <v>44867</v>
      </c>
      <c r="B971" s="4">
        <v>12.68</v>
      </c>
      <c r="D971" s="11">
        <v>968</v>
      </c>
      <c r="E971" s="3">
        <v>44868</v>
      </c>
      <c r="F971" s="7">
        <f t="shared" si="37"/>
        <v>-5.7622429439197952E-2</v>
      </c>
      <c r="G971" s="7">
        <f>SUM($F$4:F971)</f>
        <v>-0.7691330875378698</v>
      </c>
      <c r="L971" s="11">
        <v>968</v>
      </c>
      <c r="M971" s="7">
        <f t="shared" ca="1" si="38"/>
        <v>-1.8769404211639258E-2</v>
      </c>
      <c r="N971" s="7">
        <f ca="1">SUM($M$4:M971)</f>
        <v>-0.58602250927451438</v>
      </c>
    </row>
    <row r="972" spans="1:14" x14ac:dyDescent="0.3">
      <c r="A972" s="3">
        <v>44868</v>
      </c>
      <c r="B972" s="4">
        <v>11.97</v>
      </c>
      <c r="D972" s="11">
        <v>969</v>
      </c>
      <c r="E972" s="3">
        <v>44869</v>
      </c>
      <c r="F972" s="7">
        <f t="shared" si="37"/>
        <v>-0.13771725055720083</v>
      </c>
      <c r="G972" s="7">
        <f>SUM($F$4:F972)</f>
        <v>-0.90685033809507065</v>
      </c>
      <c r="L972" s="11">
        <v>969</v>
      </c>
      <c r="M972" s="7">
        <f t="shared" ca="1" si="38"/>
        <v>1.2512936141092838E-2</v>
      </c>
      <c r="N972" s="7">
        <f ca="1">SUM($M$4:M972)</f>
        <v>-0.57350957313342155</v>
      </c>
    </row>
    <row r="973" spans="1:14" x14ac:dyDescent="0.3">
      <c r="A973" s="3">
        <v>44869</v>
      </c>
      <c r="B973" s="4">
        <v>10.43</v>
      </c>
      <c r="D973" s="11">
        <v>970</v>
      </c>
      <c r="E973" s="3">
        <v>44872</v>
      </c>
      <c r="F973" s="7">
        <f t="shared" si="37"/>
        <v>-1.5459245072214226E-2</v>
      </c>
      <c r="G973" s="7">
        <f>SUM($F$4:F973)</f>
        <v>-0.92230958316728484</v>
      </c>
      <c r="L973" s="11">
        <v>970</v>
      </c>
      <c r="M973" s="7">
        <f t="shared" ca="1" si="38"/>
        <v>2.0854893568488064E-3</v>
      </c>
      <c r="N973" s="7">
        <f ca="1">SUM($M$4:M973)</f>
        <v>-0.57142408377657272</v>
      </c>
    </row>
    <row r="974" spans="1:14" x14ac:dyDescent="0.3">
      <c r="A974" s="3">
        <v>44872</v>
      </c>
      <c r="B974" s="4">
        <v>10.27</v>
      </c>
      <c r="D974" s="11">
        <v>971</v>
      </c>
      <c r="E974" s="3">
        <v>44873</v>
      </c>
      <c r="F974" s="7">
        <f t="shared" si="37"/>
        <v>-2.0659859268873572E-2</v>
      </c>
      <c r="G974" s="7">
        <f>SUM($F$4:F974)</f>
        <v>-0.94296944243615843</v>
      </c>
      <c r="L974" s="11">
        <v>971</v>
      </c>
      <c r="M974" s="7">
        <f t="shared" ca="1" si="38"/>
        <v>1.8769404211639258E-2</v>
      </c>
      <c r="N974" s="7">
        <f ca="1">SUM($M$4:M974)</f>
        <v>-0.55265467956493342</v>
      </c>
    </row>
    <row r="975" spans="1:14" x14ac:dyDescent="0.3">
      <c r="A975" s="3">
        <v>44873</v>
      </c>
      <c r="B975" s="4">
        <v>10.06</v>
      </c>
      <c r="D975" s="11">
        <v>972</v>
      </c>
      <c r="E975" s="3">
        <v>44874</v>
      </c>
      <c r="F975" s="7">
        <f t="shared" si="37"/>
        <v>-2.211145360743115E-2</v>
      </c>
      <c r="G975" s="7">
        <f>SUM($F$4:F975)</f>
        <v>-0.9650808960435896</v>
      </c>
      <c r="L975" s="11">
        <v>972</v>
      </c>
      <c r="M975" s="7">
        <f t="shared" ca="1" si="38"/>
        <v>2.7111361639034482E-2</v>
      </c>
      <c r="N975" s="7">
        <f ca="1">SUM($M$4:M975)</f>
        <v>-0.52554331792589892</v>
      </c>
    </row>
    <row r="976" spans="1:14" x14ac:dyDescent="0.3">
      <c r="A976" s="3">
        <v>44874</v>
      </c>
      <c r="B976" s="4">
        <v>9.84</v>
      </c>
      <c r="D976" s="11">
        <v>973</v>
      </c>
      <c r="E976" s="3">
        <v>44875</v>
      </c>
      <c r="F976" s="7">
        <f t="shared" si="37"/>
        <v>9.3090423066012035E-2</v>
      </c>
      <c r="G976" s="7">
        <f>SUM($F$4:F976)</f>
        <v>-0.87199047297757759</v>
      </c>
      <c r="L976" s="11">
        <v>973</v>
      </c>
      <c r="M976" s="7">
        <f t="shared" ca="1" si="38"/>
        <v>-3.1282340352732099E-2</v>
      </c>
      <c r="N976" s="7">
        <f ca="1">SUM($M$4:M976)</f>
        <v>-0.55682565827863106</v>
      </c>
    </row>
    <row r="977" spans="1:14" x14ac:dyDescent="0.3">
      <c r="A977" s="3">
        <v>44875</v>
      </c>
      <c r="B977" s="4">
        <v>10.8</v>
      </c>
      <c r="D977" s="11">
        <v>974</v>
      </c>
      <c r="E977" s="3">
        <v>44876</v>
      </c>
      <c r="F977" s="7">
        <f t="shared" si="37"/>
        <v>9.1937495325685431E-2</v>
      </c>
      <c r="G977" s="7">
        <f>SUM($F$4:F977)</f>
        <v>-0.78005297765189219</v>
      </c>
      <c r="L977" s="11">
        <v>974</v>
      </c>
      <c r="M977" s="7">
        <f t="shared" ca="1" si="38"/>
        <v>-4.5880765850673744E-2</v>
      </c>
      <c r="N977" s="7">
        <f ca="1">SUM($M$4:M977)</f>
        <v>-0.60270642412930475</v>
      </c>
    </row>
    <row r="978" spans="1:14" x14ac:dyDescent="0.3">
      <c r="A978" s="3">
        <v>44876</v>
      </c>
      <c r="B978" s="4">
        <v>11.84</v>
      </c>
      <c r="D978" s="11">
        <v>975</v>
      </c>
      <c r="E978" s="3">
        <v>44879</v>
      </c>
      <c r="F978" s="7">
        <f t="shared" si="37"/>
        <v>-3.0006537595195244E-2</v>
      </c>
      <c r="G978" s="7">
        <f>SUM($F$4:F978)</f>
        <v>-0.81005951524708741</v>
      </c>
      <c r="L978" s="11">
        <v>975</v>
      </c>
      <c r="M978" s="7">
        <f t="shared" ca="1" si="38"/>
        <v>4.1709787136976128E-3</v>
      </c>
      <c r="N978" s="7">
        <f ca="1">SUM($M$4:M978)</f>
        <v>-0.5985354454156071</v>
      </c>
    </row>
    <row r="979" spans="1:14" x14ac:dyDescent="0.3">
      <c r="A979" s="3">
        <v>44879</v>
      </c>
      <c r="B979" s="4">
        <v>11.49</v>
      </c>
      <c r="D979" s="11">
        <v>976</v>
      </c>
      <c r="E979" s="3">
        <v>44880</v>
      </c>
      <c r="F979" s="7">
        <f t="shared" si="37"/>
        <v>-1.40230168207494E-2</v>
      </c>
      <c r="G979" s="7">
        <f>SUM($F$4:F979)</f>
        <v>-0.82408253206783677</v>
      </c>
      <c r="L979" s="11">
        <v>976</v>
      </c>
      <c r="M979" s="7">
        <f t="shared" ca="1" si="38"/>
        <v>-5.4222723278068964E-2</v>
      </c>
      <c r="N979" s="7">
        <f ca="1">SUM($M$4:M979)</f>
        <v>-0.65275816869367609</v>
      </c>
    </row>
    <row r="980" spans="1:14" x14ac:dyDescent="0.3">
      <c r="A980" s="3">
        <v>44880</v>
      </c>
      <c r="B980" s="4">
        <v>11.33</v>
      </c>
      <c r="D980" s="11">
        <v>977</v>
      </c>
      <c r="E980" s="3">
        <v>44881</v>
      </c>
      <c r="F980" s="7">
        <f t="shared" si="37"/>
        <v>-3.7774275194935501E-2</v>
      </c>
      <c r="G980" s="7">
        <f>SUM($F$4:F980)</f>
        <v>-0.86185680726277225</v>
      </c>
      <c r="L980" s="11">
        <v>977</v>
      </c>
      <c r="M980" s="7">
        <f t="shared" ca="1" si="38"/>
        <v>-1.4598425497941644E-2</v>
      </c>
      <c r="N980" s="7">
        <f ca="1">SUM($M$4:M980)</f>
        <v>-0.66735659419161775</v>
      </c>
    </row>
    <row r="981" spans="1:14" x14ac:dyDescent="0.3">
      <c r="A981" s="3">
        <v>44881</v>
      </c>
      <c r="B981" s="4">
        <v>10.91</v>
      </c>
      <c r="D981" s="11">
        <v>978</v>
      </c>
      <c r="E981" s="3">
        <v>44882</v>
      </c>
      <c r="F981" s="7">
        <f t="shared" si="37"/>
        <v>4.572481674890049E-3</v>
      </c>
      <c r="G981" s="7">
        <f>SUM($F$4:F981)</f>
        <v>-0.85728432558788226</v>
      </c>
      <c r="L981" s="11">
        <v>978</v>
      </c>
      <c r="M981" s="7">
        <f t="shared" ca="1" si="38"/>
        <v>-4.1709787136976128E-3</v>
      </c>
      <c r="N981" s="7">
        <f ca="1">SUM($M$4:M981)</f>
        <v>-0.6715275729053154</v>
      </c>
    </row>
    <row r="982" spans="1:14" x14ac:dyDescent="0.3">
      <c r="A982" s="3">
        <v>44882</v>
      </c>
      <c r="B982" s="4">
        <v>10.96</v>
      </c>
      <c r="D982" s="11">
        <v>979</v>
      </c>
      <c r="E982" s="3">
        <v>44883</v>
      </c>
      <c r="F982" s="7">
        <f t="shared" si="37"/>
        <v>-1.7487790351572385E-2</v>
      </c>
      <c r="G982" s="7">
        <f>SUM($F$4:F982)</f>
        <v>-0.87477211593945459</v>
      </c>
      <c r="L982" s="11">
        <v>979</v>
      </c>
      <c r="M982" s="7">
        <f t="shared" ca="1" si="38"/>
        <v>2.0854893568488065E-2</v>
      </c>
      <c r="N982" s="7">
        <f ca="1">SUM($M$4:M982)</f>
        <v>-0.65067267933682738</v>
      </c>
    </row>
    <row r="983" spans="1:14" x14ac:dyDescent="0.3">
      <c r="A983" s="3">
        <v>44883</v>
      </c>
      <c r="B983" s="4">
        <v>10.77</v>
      </c>
      <c r="D983" s="11">
        <v>980</v>
      </c>
      <c r="E983" s="3">
        <v>44886</v>
      </c>
      <c r="F983" s="7">
        <f t="shared" si="37"/>
        <v>-1.9691212890181709E-2</v>
      </c>
      <c r="G983" s="7">
        <f>SUM($F$4:F983)</f>
        <v>-0.89446332882963631</v>
      </c>
      <c r="L983" s="11">
        <v>980</v>
      </c>
      <c r="M983" s="7">
        <f t="shared" ca="1" si="38"/>
        <v>5.6308212634917774E-2</v>
      </c>
      <c r="N983" s="7">
        <f ca="1">SUM($M$4:M983)</f>
        <v>-0.59436446670190957</v>
      </c>
    </row>
    <row r="984" spans="1:14" x14ac:dyDescent="0.3">
      <c r="A984" s="3">
        <v>44886</v>
      </c>
      <c r="B984" s="4">
        <v>10.56</v>
      </c>
      <c r="D984" s="11">
        <v>981</v>
      </c>
      <c r="E984" s="3">
        <v>44887</v>
      </c>
      <c r="F984" s="7">
        <f t="shared" si="37"/>
        <v>2.2472855852058576E-2</v>
      </c>
      <c r="G984" s="7">
        <f>SUM($F$4:F984)</f>
        <v>-0.8719904729775777</v>
      </c>
      <c r="L984" s="11">
        <v>981</v>
      </c>
      <c r="M984" s="7">
        <f t="shared" ca="1" si="38"/>
        <v>-6.2564680705464188E-3</v>
      </c>
      <c r="N984" s="7">
        <f ca="1">SUM($M$4:M984)</f>
        <v>-0.60062093477245604</v>
      </c>
    </row>
    <row r="985" spans="1:14" x14ac:dyDescent="0.3">
      <c r="A985" s="3">
        <v>44887</v>
      </c>
      <c r="B985" s="4">
        <v>10.8</v>
      </c>
      <c r="D985" s="11">
        <v>982</v>
      </c>
      <c r="E985" s="3">
        <v>44888</v>
      </c>
      <c r="F985" s="7">
        <f t="shared" si="37"/>
        <v>4.8790164169431834E-2</v>
      </c>
      <c r="G985" s="7">
        <f>SUM($F$4:F985)</f>
        <v>-0.82320030880814588</v>
      </c>
      <c r="L985" s="11">
        <v>982</v>
      </c>
      <c r="M985" s="7">
        <f t="shared" ca="1" si="38"/>
        <v>6.2564680705464188E-3</v>
      </c>
      <c r="N985" s="7">
        <f ca="1">SUM($M$4:M985)</f>
        <v>-0.59436446670190957</v>
      </c>
    </row>
    <row r="986" spans="1:14" x14ac:dyDescent="0.3">
      <c r="A986" s="3">
        <v>44888</v>
      </c>
      <c r="B986" s="4">
        <v>11.34</v>
      </c>
      <c r="D986" s="11">
        <v>983</v>
      </c>
      <c r="E986" s="3">
        <v>44890</v>
      </c>
      <c r="F986" s="7">
        <f t="shared" si="37"/>
        <v>1.1398632841673391E-2</v>
      </c>
      <c r="G986" s="7">
        <f>SUM($F$4:F986)</f>
        <v>-0.81180167596647246</v>
      </c>
      <c r="L986" s="11">
        <v>983</v>
      </c>
      <c r="M986" s="7">
        <f t="shared" ca="1" si="38"/>
        <v>2.0854893568488065E-2</v>
      </c>
      <c r="N986" s="7">
        <f ca="1">SUM($M$4:M986)</f>
        <v>-0.57350957313342155</v>
      </c>
    </row>
    <row r="987" spans="1:14" x14ac:dyDescent="0.3">
      <c r="A987" s="3">
        <v>44890</v>
      </c>
      <c r="B987" s="4">
        <v>11.47</v>
      </c>
      <c r="D987" s="11">
        <v>984</v>
      </c>
      <c r="E987" s="3">
        <v>44893</v>
      </c>
      <c r="F987" s="7">
        <f t="shared" si="37"/>
        <v>-4.9138960824520392E-2</v>
      </c>
      <c r="G987" s="7">
        <f>SUM($F$4:F987)</f>
        <v>-0.86094063679099286</v>
      </c>
      <c r="L987" s="11">
        <v>984</v>
      </c>
      <c r="M987" s="7">
        <f t="shared" ca="1" si="38"/>
        <v>2.9196850995883289E-2</v>
      </c>
      <c r="N987" s="7">
        <f ca="1">SUM($M$4:M987)</f>
        <v>-0.54431272213753823</v>
      </c>
    </row>
    <row r="988" spans="1:14" x14ac:dyDescent="0.3">
      <c r="A988" s="3">
        <v>44893</v>
      </c>
      <c r="B988" s="4">
        <v>10.92</v>
      </c>
      <c r="D988" s="11">
        <v>985</v>
      </c>
      <c r="E988" s="3">
        <v>44894</v>
      </c>
      <c r="F988" s="7">
        <f t="shared" si="37"/>
        <v>1.9946264182379127E-2</v>
      </c>
      <c r="G988" s="7">
        <f>SUM($F$4:F988)</f>
        <v>-0.84099437260861376</v>
      </c>
      <c r="L988" s="11">
        <v>985</v>
      </c>
      <c r="M988" s="7">
        <f t="shared" ca="1" si="38"/>
        <v>-4.170978713697613E-2</v>
      </c>
      <c r="N988" s="7">
        <f ca="1">SUM($M$4:M988)</f>
        <v>-0.58602250927451438</v>
      </c>
    </row>
    <row r="989" spans="1:14" x14ac:dyDescent="0.3">
      <c r="A989" s="3">
        <v>44894</v>
      </c>
      <c r="B989" s="4">
        <v>11.14</v>
      </c>
      <c r="D989" s="11">
        <v>986</v>
      </c>
      <c r="E989" s="3">
        <v>44895</v>
      </c>
      <c r="F989" s="7">
        <f t="shared" si="37"/>
        <v>2.3071120901311835E-2</v>
      </c>
      <c r="G989" s="7">
        <f>SUM($F$4:F989)</f>
        <v>-0.81792325170730196</v>
      </c>
      <c r="L989" s="11">
        <v>986</v>
      </c>
      <c r="M989" s="7">
        <f t="shared" ca="1" si="38"/>
        <v>0</v>
      </c>
      <c r="N989" s="7">
        <f ca="1">SUM($M$4:M989)</f>
        <v>-0.58602250927451438</v>
      </c>
    </row>
    <row r="990" spans="1:14" x14ac:dyDescent="0.3">
      <c r="A990" s="3">
        <v>44895</v>
      </c>
      <c r="B990" s="4">
        <v>11.4</v>
      </c>
      <c r="D990" s="11">
        <v>987</v>
      </c>
      <c r="E990" s="3">
        <v>44896</v>
      </c>
      <c r="F990" s="7">
        <f t="shared" si="37"/>
        <v>1.9974611130123231E-2</v>
      </c>
      <c r="G990" s="7">
        <f>SUM($F$4:F990)</f>
        <v>-0.79794864057717874</v>
      </c>
      <c r="L990" s="11">
        <v>987</v>
      </c>
      <c r="M990" s="7">
        <f t="shared" ca="1" si="38"/>
        <v>3.5453319066429706E-2</v>
      </c>
      <c r="N990" s="7">
        <f ca="1">SUM($M$4:M990)</f>
        <v>-0.5505691902080847</v>
      </c>
    </row>
    <row r="991" spans="1:14" x14ac:dyDescent="0.3">
      <c r="A991" s="3">
        <v>44896</v>
      </c>
      <c r="B991" s="4">
        <v>11.63</v>
      </c>
      <c r="D991" s="11">
        <v>988</v>
      </c>
      <c r="E991" s="3">
        <v>44897</v>
      </c>
      <c r="F991" s="7">
        <f t="shared" si="37"/>
        <v>-6.9025295627704632E-3</v>
      </c>
      <c r="G991" s="7">
        <f>SUM($F$4:F991)</f>
        <v>-0.80485117013994922</v>
      </c>
      <c r="L991" s="11">
        <v>988</v>
      </c>
      <c r="M991" s="7">
        <f t="shared" ca="1" si="38"/>
        <v>1.2512936141092838E-2</v>
      </c>
      <c r="N991" s="7">
        <f ca="1">SUM($M$4:M991)</f>
        <v>-0.53805625406699187</v>
      </c>
    </row>
    <row r="992" spans="1:14" x14ac:dyDescent="0.3">
      <c r="A992" s="3">
        <v>44897</v>
      </c>
      <c r="B992" s="4">
        <v>11.55</v>
      </c>
      <c r="D992" s="11">
        <v>989</v>
      </c>
      <c r="E992" s="3">
        <v>44900</v>
      </c>
      <c r="F992" s="7">
        <f t="shared" si="37"/>
        <v>-3.5245939061674829E-2</v>
      </c>
      <c r="G992" s="7">
        <f>SUM($F$4:F992)</f>
        <v>-0.84009710920162406</v>
      </c>
      <c r="L992" s="11">
        <v>989</v>
      </c>
      <c r="M992" s="7">
        <f t="shared" ca="1" si="38"/>
        <v>6.2564680705464188E-3</v>
      </c>
      <c r="N992" s="7">
        <f ca="1">SUM($M$4:M992)</f>
        <v>-0.5317997859964454</v>
      </c>
    </row>
    <row r="993" spans="1:14" x14ac:dyDescent="0.3">
      <c r="A993" s="3">
        <v>44900</v>
      </c>
      <c r="B993" s="4">
        <v>11.15</v>
      </c>
      <c r="D993" s="11">
        <v>990</v>
      </c>
      <c r="E993" s="3">
        <v>44901</v>
      </c>
      <c r="F993" s="7">
        <f t="shared" si="37"/>
        <v>-4.9642545280236053E-2</v>
      </c>
      <c r="G993" s="7">
        <f>SUM($F$4:F993)</f>
        <v>-0.8897396544818601</v>
      </c>
      <c r="L993" s="11">
        <v>990</v>
      </c>
      <c r="M993" s="7">
        <f t="shared" ca="1" si="38"/>
        <v>-1.4598425497941644E-2</v>
      </c>
      <c r="N993" s="7">
        <f ca="1">SUM($M$4:M993)</f>
        <v>-0.54639821149438705</v>
      </c>
    </row>
    <row r="994" spans="1:14" x14ac:dyDescent="0.3">
      <c r="A994" s="3">
        <v>44901</v>
      </c>
      <c r="B994" s="4">
        <v>10.61</v>
      </c>
      <c r="D994" s="11">
        <v>991</v>
      </c>
      <c r="E994" s="3">
        <v>44902</v>
      </c>
      <c r="F994" s="7">
        <f t="shared" si="37"/>
        <v>1.2178136454827041E-2</v>
      </c>
      <c r="G994" s="7">
        <f>SUM($F$4:F994)</f>
        <v>-0.87756151802703308</v>
      </c>
      <c r="L994" s="11">
        <v>991</v>
      </c>
      <c r="M994" s="7">
        <f t="shared" ca="1" si="38"/>
        <v>2.5025872282185675E-2</v>
      </c>
      <c r="N994" s="7">
        <f ca="1">SUM($M$4:M994)</f>
        <v>-0.52137233921220139</v>
      </c>
    </row>
    <row r="995" spans="1:14" x14ac:dyDescent="0.3">
      <c r="A995" s="3">
        <v>44902</v>
      </c>
      <c r="B995" s="4">
        <v>10.74</v>
      </c>
      <c r="D995" s="11">
        <v>992</v>
      </c>
      <c r="E995" s="3">
        <v>44903</v>
      </c>
      <c r="F995" s="7">
        <f t="shared" si="37"/>
        <v>1.8604656529196708E-3</v>
      </c>
      <c r="G995" s="7">
        <f>SUM($F$4:F995)</f>
        <v>-0.87570105237411344</v>
      </c>
      <c r="L995" s="11">
        <v>992</v>
      </c>
      <c r="M995" s="7">
        <f t="shared" ca="1" si="38"/>
        <v>-2.0854893568488064E-3</v>
      </c>
      <c r="N995" s="7">
        <f ca="1">SUM($M$4:M995)</f>
        <v>-0.52345782856905021</v>
      </c>
    </row>
    <row r="996" spans="1:14" x14ac:dyDescent="0.3">
      <c r="A996" s="3">
        <v>44903</v>
      </c>
      <c r="B996" s="4">
        <v>10.76</v>
      </c>
      <c r="D996" s="11">
        <v>993</v>
      </c>
      <c r="E996" s="3">
        <v>44904</v>
      </c>
      <c r="F996" s="7">
        <f t="shared" si="37"/>
        <v>3.0208246628637379E-2</v>
      </c>
      <c r="G996" s="7">
        <f>SUM($F$4:F996)</f>
        <v>-0.84549280574547603</v>
      </c>
      <c r="L996" s="11">
        <v>993</v>
      </c>
      <c r="M996" s="7">
        <f t="shared" ca="1" si="38"/>
        <v>2.7111361639034482E-2</v>
      </c>
      <c r="N996" s="7">
        <f ca="1">SUM($M$4:M996)</f>
        <v>-0.49634646693001572</v>
      </c>
    </row>
    <row r="997" spans="1:14" x14ac:dyDescent="0.3">
      <c r="A997" s="3">
        <v>44904</v>
      </c>
      <c r="B997" s="4">
        <v>11.09</v>
      </c>
      <c r="D997" s="11">
        <v>994</v>
      </c>
      <c r="E997" s="3">
        <v>44907</v>
      </c>
      <c r="F997" s="7">
        <f t="shared" si="37"/>
        <v>1.6100526689409138E-2</v>
      </c>
      <c r="G997" s="7">
        <f>SUM($F$4:F997)</f>
        <v>-0.82939227905606694</v>
      </c>
      <c r="L997" s="11">
        <v>994</v>
      </c>
      <c r="M997" s="7">
        <f t="shared" ca="1" si="38"/>
        <v>-3.3367829709580903E-2</v>
      </c>
      <c r="N997" s="7">
        <f ca="1">SUM($M$4:M997)</f>
        <v>-0.52971429663959657</v>
      </c>
    </row>
    <row r="998" spans="1:14" x14ac:dyDescent="0.3">
      <c r="A998" s="3">
        <v>44907</v>
      </c>
      <c r="B998" s="4">
        <v>11.27</v>
      </c>
      <c r="D998" s="11">
        <v>995</v>
      </c>
      <c r="E998" s="3">
        <v>44908</v>
      </c>
      <c r="F998" s="7">
        <f t="shared" si="37"/>
        <v>-3.4299391106815701E-2</v>
      </c>
      <c r="G998" s="7">
        <f>SUM($F$4:F998)</f>
        <v>-0.86369167016288262</v>
      </c>
      <c r="L998" s="11">
        <v>995</v>
      </c>
      <c r="M998" s="7">
        <f t="shared" ca="1" si="38"/>
        <v>1.6683914854790451E-2</v>
      </c>
      <c r="N998" s="7">
        <f ca="1">SUM($M$4:M998)</f>
        <v>-0.51303038178480609</v>
      </c>
    </row>
    <row r="999" spans="1:14" x14ac:dyDescent="0.3">
      <c r="A999" s="3">
        <v>44908</v>
      </c>
      <c r="B999" s="4">
        <v>10.89</v>
      </c>
      <c r="D999" s="11">
        <v>996</v>
      </c>
      <c r="E999" s="3">
        <v>44909</v>
      </c>
      <c r="F999" s="7">
        <f t="shared" si="37"/>
        <v>8.2304991365154435E-3</v>
      </c>
      <c r="G999" s="7">
        <f>SUM($F$4:F999)</f>
        <v>-0.85546117102636721</v>
      </c>
      <c r="L999" s="11">
        <v>996</v>
      </c>
      <c r="M999" s="7">
        <f t="shared" ca="1" si="38"/>
        <v>-1.4598425497941644E-2</v>
      </c>
      <c r="N999" s="7">
        <f ca="1">SUM($M$4:M999)</f>
        <v>-0.52762880728274775</v>
      </c>
    </row>
    <row r="1000" spans="1:14" x14ac:dyDescent="0.3">
      <c r="A1000" s="3">
        <v>44909</v>
      </c>
      <c r="B1000" s="4">
        <v>10.98</v>
      </c>
      <c r="D1000" s="11">
        <v>997</v>
      </c>
      <c r="E1000" s="3">
        <v>44910</v>
      </c>
      <c r="F1000" s="7">
        <f t="shared" si="37"/>
        <v>-9.3490343087338917E-2</v>
      </c>
      <c r="G1000" s="7">
        <f>SUM($F$4:F1000)</f>
        <v>-0.94895151411370615</v>
      </c>
      <c r="L1000" s="11">
        <v>997</v>
      </c>
      <c r="M1000" s="7">
        <f t="shared" ca="1" si="38"/>
        <v>2.0854893568488064E-3</v>
      </c>
      <c r="N1000" s="7">
        <f ca="1">SUM($M$4:M1000)</f>
        <v>-0.52554331792589892</v>
      </c>
    </row>
    <row r="1001" spans="1:14" x14ac:dyDescent="0.3">
      <c r="A1001" s="3">
        <v>44910</v>
      </c>
      <c r="B1001" s="4">
        <v>10</v>
      </c>
      <c r="D1001" s="11">
        <v>998</v>
      </c>
      <c r="E1001" s="3">
        <v>44911</v>
      </c>
      <c r="F1001" s="7">
        <f t="shared" si="37"/>
        <v>-9.0407446521490707E-3</v>
      </c>
      <c r="G1001" s="7">
        <f>SUM($F$4:F1001)</f>
        <v>-0.95799225876585525</v>
      </c>
      <c r="L1001" s="11">
        <v>998</v>
      </c>
      <c r="M1001" s="7">
        <f t="shared" ca="1" si="38"/>
        <v>2.0854893568488065E-2</v>
      </c>
      <c r="N1001" s="7">
        <f ca="1">SUM($M$4:M1001)</f>
        <v>-0.5046884243574109</v>
      </c>
    </row>
    <row r="1002" spans="1:14" x14ac:dyDescent="0.3">
      <c r="A1002" s="3">
        <v>44911</v>
      </c>
      <c r="B1002" s="4">
        <v>9.91</v>
      </c>
      <c r="D1002" s="11">
        <v>999</v>
      </c>
      <c r="E1002" s="3">
        <v>44914</v>
      </c>
      <c r="F1002" s="7">
        <f t="shared" si="37"/>
        <v>-6.8920796817562816E-2</v>
      </c>
      <c r="G1002" s="7">
        <f>SUM($F$4:F1002)</f>
        <v>-1.0269130555834181</v>
      </c>
      <c r="L1002" s="11">
        <v>999</v>
      </c>
      <c r="M1002" s="7">
        <f t="shared" ca="1" si="38"/>
        <v>-5.2137233921220161E-2</v>
      </c>
      <c r="N1002" s="7">
        <f ca="1">SUM($M$4:M1002)</f>
        <v>-0.55682565827863106</v>
      </c>
    </row>
    <row r="1003" spans="1:14" x14ac:dyDescent="0.3">
      <c r="A1003" s="3">
        <v>44914</v>
      </c>
      <c r="B1003" s="4">
        <v>9.25</v>
      </c>
      <c r="D1003" s="11">
        <v>1000</v>
      </c>
      <c r="E1003" s="3">
        <v>44915</v>
      </c>
      <c r="F1003" s="7">
        <f t="shared" si="37"/>
        <v>-2.4071184095439867E-2</v>
      </c>
      <c r="G1003" s="7">
        <f>SUM($F$4:F1003)</f>
        <v>-1.050984239678858</v>
      </c>
      <c r="L1003" s="11">
        <v>1000</v>
      </c>
      <c r="M1003" s="7">
        <f t="shared" ca="1" si="38"/>
        <v>-3.1282340352732099E-2</v>
      </c>
      <c r="N1003" s="7">
        <f ca="1">SUM($M$4:M1003)</f>
        <v>-0.5881079986313632</v>
      </c>
    </row>
    <row r="1004" spans="1:14" x14ac:dyDescent="0.3">
      <c r="A1004" s="3">
        <v>44915</v>
      </c>
      <c r="B1004" s="4">
        <v>9.0299999999999994</v>
      </c>
      <c r="D1004" s="11">
        <v>1001</v>
      </c>
      <c r="E1004" s="3">
        <v>44916</v>
      </c>
      <c r="F1004" s="7">
        <f t="shared" si="37"/>
        <v>1.1068069751910472E-3</v>
      </c>
      <c r="G1004" s="7">
        <f>SUM($F$4:F1004)</f>
        <v>-1.0498774327036671</v>
      </c>
      <c r="L1004" s="11">
        <v>1001</v>
      </c>
      <c r="M1004" s="7">
        <f t="shared" ca="1" si="38"/>
        <v>2.7111361639034482E-2</v>
      </c>
      <c r="N1004" s="7">
        <f ca="1">SUM($M$4:M1004)</f>
        <v>-0.56099663699232871</v>
      </c>
    </row>
    <row r="1005" spans="1:14" x14ac:dyDescent="0.3">
      <c r="A1005" s="3">
        <v>44916</v>
      </c>
      <c r="B1005" s="4">
        <v>9.0399999999999991</v>
      </c>
      <c r="D1005" s="11">
        <v>1002</v>
      </c>
      <c r="E1005" s="3">
        <v>44917</v>
      </c>
      <c r="F1005" s="7">
        <f t="shared" si="37"/>
        <v>2.0799874110675774E-2</v>
      </c>
      <c r="G1005" s="7">
        <f>SUM($F$4:F1005)</f>
        <v>-1.0290775585929912</v>
      </c>
      <c r="L1005" s="11">
        <v>1002</v>
      </c>
      <c r="M1005" s="7">
        <f t="shared" ca="1" si="38"/>
        <v>1.2512936141092838E-2</v>
      </c>
      <c r="N1005" s="7">
        <f ca="1">SUM($M$4:M1005)</f>
        <v>-0.54848370085123588</v>
      </c>
    </row>
    <row r="1006" spans="1:14" x14ac:dyDescent="0.3">
      <c r="A1006" s="3">
        <v>44917</v>
      </c>
      <c r="B1006" s="4">
        <v>9.23</v>
      </c>
      <c r="D1006" s="11">
        <v>1003</v>
      </c>
      <c r="E1006" s="3">
        <v>44918</v>
      </c>
      <c r="F1006" s="7">
        <f t="shared" si="37"/>
        <v>-6.521762246387351E-3</v>
      </c>
      <c r="G1006" s="7">
        <f>SUM($F$4:F1006)</f>
        <v>-1.0355993208393786</v>
      </c>
      <c r="L1006" s="11">
        <v>1003</v>
      </c>
      <c r="M1006" s="7">
        <f t="shared" ca="1" si="38"/>
        <v>-4.1709787136976128E-3</v>
      </c>
      <c r="N1006" s="7">
        <f ca="1">SUM($M$4:M1006)</f>
        <v>-0.55265467956493353</v>
      </c>
    </row>
    <row r="1007" spans="1:14" x14ac:dyDescent="0.3">
      <c r="A1007" s="3">
        <v>44918</v>
      </c>
      <c r="B1007" s="4">
        <v>9.17</v>
      </c>
      <c r="D1007" s="11">
        <v>1004</v>
      </c>
      <c r="E1007" s="3">
        <v>44922</v>
      </c>
      <c r="F1007" s="7">
        <f t="shared" si="37"/>
        <v>6.5217622463874447E-3</v>
      </c>
      <c r="G1007" s="7">
        <f>SUM($F$4:F1007)</f>
        <v>-1.0290775585929912</v>
      </c>
      <c r="L1007" s="11">
        <v>1004</v>
      </c>
      <c r="M1007" s="7">
        <f t="shared" ca="1" si="38"/>
        <v>-1.6683914854790451E-2</v>
      </c>
      <c r="N1007" s="7">
        <f ca="1">SUM($M$4:M1007)</f>
        <v>-0.56933859441972401</v>
      </c>
    </row>
    <row r="1008" spans="1:14" x14ac:dyDescent="0.3">
      <c r="A1008" s="3">
        <v>44922</v>
      </c>
      <c r="B1008" s="4">
        <v>9.23</v>
      </c>
      <c r="D1008" s="11">
        <v>1005</v>
      </c>
      <c r="E1008" s="3">
        <v>44923</v>
      </c>
      <c r="F1008" s="7">
        <f t="shared" si="37"/>
        <v>-3.978425219327282E-2</v>
      </c>
      <c r="G1008" s="7">
        <f>SUM($F$4:F1008)</f>
        <v>-1.068861810786264</v>
      </c>
      <c r="L1008" s="11">
        <v>1005</v>
      </c>
      <c r="M1008" s="7">
        <f t="shared" ca="1" si="38"/>
        <v>-6.2564680705464188E-3</v>
      </c>
      <c r="N1008" s="7">
        <f ca="1">SUM($M$4:M1008)</f>
        <v>-0.57559506249027048</v>
      </c>
    </row>
    <row r="1009" spans="1:14" x14ac:dyDescent="0.3">
      <c r="A1009" s="3">
        <v>44923</v>
      </c>
      <c r="B1009" s="4">
        <v>8.8699999999999992</v>
      </c>
      <c r="D1009" s="11">
        <v>1006</v>
      </c>
      <c r="E1009" s="3">
        <v>44924</v>
      </c>
      <c r="F1009" s="7">
        <f t="shared" si="37"/>
        <v>6.1221300323878132E-2</v>
      </c>
      <c r="G1009" s="7">
        <f>SUM($F$4:F1009)</f>
        <v>-1.0076405104623858</v>
      </c>
      <c r="L1009" s="11">
        <v>1006</v>
      </c>
      <c r="M1009" s="7">
        <f t="shared" ca="1" si="38"/>
        <v>3.1282340352732099E-2</v>
      </c>
      <c r="N1009" s="7">
        <f ca="1">SUM($M$4:M1009)</f>
        <v>-0.54431272213753834</v>
      </c>
    </row>
    <row r="1010" spans="1:14" x14ac:dyDescent="0.3">
      <c r="A1010" s="3">
        <v>44924</v>
      </c>
      <c r="B1010" s="4">
        <v>9.43</v>
      </c>
      <c r="D1010" s="11">
        <v>1007</v>
      </c>
      <c r="E1010" s="3">
        <v>44925</v>
      </c>
      <c r="F1010" s="7">
        <f t="shared" si="37"/>
        <v>5.2882196215643818E-3</v>
      </c>
      <c r="G1010" s="7">
        <f>SUM($F$4:F1010)</f>
        <v>-1.0023522908408213</v>
      </c>
      <c r="L1010" s="11">
        <v>1007</v>
      </c>
      <c r="M1010" s="7">
        <f t="shared" ca="1" si="38"/>
        <v>1.4598425497941644E-2</v>
      </c>
      <c r="N1010" s="7">
        <f ca="1">SUM($M$4:M1010)</f>
        <v>-0.52971429663959668</v>
      </c>
    </row>
    <row r="1011" spans="1:14" x14ac:dyDescent="0.3">
      <c r="A1011" s="3">
        <v>44925</v>
      </c>
      <c r="B1011" s="4">
        <v>9.48</v>
      </c>
      <c r="D1011" s="11">
        <v>1008</v>
      </c>
      <c r="E1011" s="3">
        <v>44929</v>
      </c>
      <c r="F1011" s="7">
        <f t="shared" si="37"/>
        <v>6.3091691932645345E-3</v>
      </c>
      <c r="G1011" s="7">
        <f>SUM($F$4:F1011)</f>
        <v>-0.99604312164755682</v>
      </c>
      <c r="L1011" s="11">
        <v>1008</v>
      </c>
      <c r="M1011" s="7">
        <f t="shared" ca="1" si="38"/>
        <v>2.7111361639034482E-2</v>
      </c>
      <c r="N1011" s="7">
        <f ca="1">SUM($M$4:M1011)</f>
        <v>-0.50260293500056219</v>
      </c>
    </row>
    <row r="1012" spans="1:14" x14ac:dyDescent="0.3">
      <c r="A1012" s="3">
        <v>44929</v>
      </c>
      <c r="B1012" s="4">
        <v>9.5399999999999991</v>
      </c>
      <c r="D1012" s="11">
        <v>1009</v>
      </c>
      <c r="E1012" s="3">
        <v>44930</v>
      </c>
      <c r="F1012" s="7">
        <f t="shared" si="37"/>
        <v>8.4387392277547602E-2</v>
      </c>
      <c r="G1012" s="7">
        <f>SUM($F$4:F1012)</f>
        <v>-0.91165572937000916</v>
      </c>
      <c r="L1012" s="11">
        <v>1009</v>
      </c>
      <c r="M1012" s="7">
        <f t="shared" ca="1" si="38"/>
        <v>2.7111361639034482E-2</v>
      </c>
      <c r="N1012" s="7">
        <f ca="1">SUM($M$4:M1012)</f>
        <v>-0.4754915733615277</v>
      </c>
    </row>
    <row r="1013" spans="1:14" x14ac:dyDescent="0.3">
      <c r="A1013" s="3">
        <v>44930</v>
      </c>
      <c r="B1013" s="4">
        <v>10.38</v>
      </c>
      <c r="D1013" s="11">
        <v>1010</v>
      </c>
      <c r="E1013" s="3">
        <v>44931</v>
      </c>
      <c r="F1013" s="7">
        <f t="shared" si="37"/>
        <v>4.5205436768046781E-2</v>
      </c>
      <c r="G1013" s="7">
        <f>SUM($F$4:F1013)</f>
        <v>-0.86645029260196238</v>
      </c>
      <c r="L1013" s="11">
        <v>1010</v>
      </c>
      <c r="M1013" s="7">
        <f t="shared" ca="1" si="38"/>
        <v>1.2512936141092838E-2</v>
      </c>
      <c r="N1013" s="7">
        <f ca="1">SUM($M$4:M1013)</f>
        <v>-0.46297863722043486</v>
      </c>
    </row>
    <row r="1014" spans="1:14" x14ac:dyDescent="0.3">
      <c r="A1014" s="3">
        <v>44931</v>
      </c>
      <c r="B1014" s="4">
        <v>10.86</v>
      </c>
      <c r="D1014" s="11">
        <v>1011</v>
      </c>
      <c r="E1014" s="3">
        <v>44932</v>
      </c>
      <c r="F1014" s="7">
        <f t="shared" si="37"/>
        <v>4.1484758269247496E-2</v>
      </c>
      <c r="G1014" s="7">
        <f>SUM($F$4:F1014)</f>
        <v>-0.82496553433271491</v>
      </c>
      <c r="L1014" s="11">
        <v>1011</v>
      </c>
      <c r="M1014" s="7">
        <f t="shared" ca="1" si="38"/>
        <v>-1.2512936141092838E-2</v>
      </c>
      <c r="N1014" s="7">
        <f ca="1">SUM($M$4:M1014)</f>
        <v>-0.4754915733615277</v>
      </c>
    </row>
    <row r="1015" spans="1:14" x14ac:dyDescent="0.3">
      <c r="A1015" s="3">
        <v>44932</v>
      </c>
      <c r="B1015" s="4">
        <v>11.32</v>
      </c>
      <c r="D1015" s="11">
        <v>1012</v>
      </c>
      <c r="E1015" s="3">
        <v>44935</v>
      </c>
      <c r="F1015" s="7">
        <f t="shared" si="37"/>
        <v>2.5295722934763214E-2</v>
      </c>
      <c r="G1015" s="7">
        <f>SUM($F$4:F1015)</f>
        <v>-0.79966981139795168</v>
      </c>
      <c r="L1015" s="11">
        <v>1012</v>
      </c>
      <c r="M1015" s="7">
        <f t="shared" ca="1" si="38"/>
        <v>2.2940382925336872E-2</v>
      </c>
      <c r="N1015" s="7">
        <f ca="1">SUM($M$4:M1015)</f>
        <v>-0.45255119043619085</v>
      </c>
    </row>
    <row r="1016" spans="1:14" x14ac:dyDescent="0.3">
      <c r="A1016" s="3">
        <v>44935</v>
      </c>
      <c r="B1016" s="4">
        <v>11.61</v>
      </c>
      <c r="D1016" s="11">
        <v>1013</v>
      </c>
      <c r="E1016" s="3">
        <v>44936</v>
      </c>
      <c r="F1016" s="7">
        <f t="shared" si="37"/>
        <v>7.8650365330252603E-2</v>
      </c>
      <c r="G1016" s="7">
        <f>SUM($F$4:F1016)</f>
        <v>-0.72101944606769908</v>
      </c>
      <c r="L1016" s="11">
        <v>1013</v>
      </c>
      <c r="M1016" s="7">
        <f t="shared" ca="1" si="38"/>
        <v>2.0854893568488064E-3</v>
      </c>
      <c r="N1016" s="7">
        <f ca="1">SUM($M$4:M1016)</f>
        <v>-0.45046570107934203</v>
      </c>
    </row>
    <row r="1017" spans="1:14" x14ac:dyDescent="0.3">
      <c r="A1017" s="3">
        <v>44936</v>
      </c>
      <c r="B1017" s="4">
        <v>12.56</v>
      </c>
      <c r="D1017" s="11">
        <v>1014</v>
      </c>
      <c r="E1017" s="3">
        <v>44937</v>
      </c>
      <c r="F1017" s="7">
        <f t="shared" si="37"/>
        <v>3.1796529173795844E-3</v>
      </c>
      <c r="G1017" s="7">
        <f>SUM($F$4:F1017)</f>
        <v>-0.71783979315031954</v>
      </c>
      <c r="L1017" s="11">
        <v>1014</v>
      </c>
      <c r="M1017" s="7">
        <f t="shared" ca="1" si="38"/>
        <v>-1.4598425497941644E-2</v>
      </c>
      <c r="N1017" s="7">
        <f ca="1">SUM($M$4:M1017)</f>
        <v>-0.46506412657728369</v>
      </c>
    </row>
    <row r="1018" spans="1:14" x14ac:dyDescent="0.3">
      <c r="A1018" s="3">
        <v>44937</v>
      </c>
      <c r="B1018" s="4">
        <v>12.6</v>
      </c>
      <c r="D1018" s="11">
        <v>1015</v>
      </c>
      <c r="E1018" s="3">
        <v>44938</v>
      </c>
      <c r="F1018" s="7">
        <f t="shared" si="37"/>
        <v>4.2724944666341309E-2</v>
      </c>
      <c r="G1018" s="7">
        <f>SUM($F$4:F1018)</f>
        <v>-0.67511484848397818</v>
      </c>
      <c r="L1018" s="11">
        <v>1015</v>
      </c>
      <c r="M1018" s="7">
        <f t="shared" ca="1" si="38"/>
        <v>8.3419574273952257E-3</v>
      </c>
      <c r="N1018" s="7">
        <f ca="1">SUM($M$4:M1018)</f>
        <v>-0.45672216914988845</v>
      </c>
    </row>
    <row r="1019" spans="1:14" x14ac:dyDescent="0.3">
      <c r="A1019" s="3">
        <v>44938</v>
      </c>
      <c r="B1019" s="4">
        <v>13.15</v>
      </c>
      <c r="D1019" s="11">
        <v>1016</v>
      </c>
      <c r="E1019" s="3">
        <v>44939</v>
      </c>
      <c r="F1019" s="7">
        <f t="shared" si="37"/>
        <v>-7.6074556730904421E-4</v>
      </c>
      <c r="G1019" s="7">
        <f>SUM($F$4:F1019)</f>
        <v>-0.67587559405128728</v>
      </c>
      <c r="L1019" s="11">
        <v>1016</v>
      </c>
      <c r="M1019" s="7">
        <f t="shared" ca="1" si="38"/>
        <v>-1.6683914854790451E-2</v>
      </c>
      <c r="N1019" s="7">
        <f ca="1">SUM($M$4:M1019)</f>
        <v>-0.47340608400467887</v>
      </c>
    </row>
    <row r="1020" spans="1:14" x14ac:dyDescent="0.3">
      <c r="A1020" s="3">
        <v>44939</v>
      </c>
      <c r="B1020" s="4">
        <v>13.14</v>
      </c>
      <c r="D1020" s="11">
        <v>1017</v>
      </c>
      <c r="E1020" s="3">
        <v>44943</v>
      </c>
      <c r="F1020" s="7">
        <f t="shared" si="37"/>
        <v>6.8259650703998906E-3</v>
      </c>
      <c r="G1020" s="7">
        <f>SUM($F$4:F1020)</f>
        <v>-0.66904962898088738</v>
      </c>
      <c r="L1020" s="11">
        <v>1017</v>
      </c>
      <c r="M1020" s="7">
        <f t="shared" ca="1" si="38"/>
        <v>-2.9196850995883289E-2</v>
      </c>
      <c r="N1020" s="7">
        <f ca="1">SUM($M$4:M1020)</f>
        <v>-0.50260293500056219</v>
      </c>
    </row>
    <row r="1021" spans="1:14" x14ac:dyDescent="0.3">
      <c r="A1021" s="3">
        <v>44943</v>
      </c>
      <c r="B1021" s="4">
        <v>13.23</v>
      </c>
      <c r="D1021" s="11">
        <v>1018</v>
      </c>
      <c r="E1021" s="3">
        <v>44944</v>
      </c>
      <c r="F1021" s="7">
        <f t="shared" si="37"/>
        <v>-4.9584130070608551E-2</v>
      </c>
      <c r="G1021" s="7">
        <f>SUM($F$4:F1021)</f>
        <v>-0.71863375905149596</v>
      </c>
      <c r="L1021" s="11">
        <v>1018</v>
      </c>
      <c r="M1021" s="7">
        <f t="shared" ca="1" si="38"/>
        <v>1.4598425497941644E-2</v>
      </c>
      <c r="N1021" s="7">
        <f ca="1">SUM($M$4:M1021)</f>
        <v>-0.48800450950262053</v>
      </c>
    </row>
    <row r="1022" spans="1:14" x14ac:dyDescent="0.3">
      <c r="A1022" s="3">
        <v>44944</v>
      </c>
      <c r="B1022" s="4">
        <v>12.59</v>
      </c>
      <c r="D1022" s="11">
        <v>1019</v>
      </c>
      <c r="E1022" s="3">
        <v>44945</v>
      </c>
      <c r="F1022" s="7">
        <f t="shared" si="37"/>
        <v>-9.5770883643106035E-3</v>
      </c>
      <c r="G1022" s="7">
        <f>SUM($F$4:F1022)</f>
        <v>-0.72821084741580655</v>
      </c>
      <c r="L1022" s="11">
        <v>1019</v>
      </c>
      <c r="M1022" s="7">
        <f t="shared" ca="1" si="38"/>
        <v>-2.5025872282185675E-2</v>
      </c>
      <c r="N1022" s="7">
        <f ca="1">SUM($M$4:M1022)</f>
        <v>-0.5130303817848062</v>
      </c>
    </row>
    <row r="1023" spans="1:14" x14ac:dyDescent="0.3">
      <c r="A1023" s="3">
        <v>44945</v>
      </c>
      <c r="B1023" s="4">
        <v>12.47</v>
      </c>
      <c r="D1023" s="11">
        <v>1020</v>
      </c>
      <c r="E1023" s="3">
        <v>44946</v>
      </c>
      <c r="F1023" s="7">
        <f t="shared" si="37"/>
        <v>4.316087708847801E-2</v>
      </c>
      <c r="G1023" s="7">
        <f>SUM($F$4:F1023)</f>
        <v>-0.68504997032732851</v>
      </c>
      <c r="L1023" s="11">
        <v>1020</v>
      </c>
      <c r="M1023" s="7">
        <f t="shared" ca="1" si="38"/>
        <v>3.5453319066429706E-2</v>
      </c>
      <c r="N1023" s="7">
        <f ca="1">SUM($M$4:M1023)</f>
        <v>-0.47757706271837652</v>
      </c>
    </row>
    <row r="1024" spans="1:14" x14ac:dyDescent="0.3">
      <c r="A1024" s="3">
        <v>44946</v>
      </c>
      <c r="B1024" s="4">
        <v>13.02</v>
      </c>
      <c r="D1024" s="11">
        <v>1021</v>
      </c>
      <c r="E1024" s="3">
        <v>44949</v>
      </c>
      <c r="F1024" s="7">
        <f t="shared" si="37"/>
        <v>3.6943515191684276E-2</v>
      </c>
      <c r="G1024" s="7">
        <f>SUM($F$4:F1024)</f>
        <v>-0.64810645513564424</v>
      </c>
      <c r="L1024" s="11">
        <v>1021</v>
      </c>
      <c r="M1024" s="7">
        <f t="shared" ca="1" si="38"/>
        <v>2.2940382925336872E-2</v>
      </c>
      <c r="N1024" s="7">
        <f ca="1">SUM($M$4:M1024)</f>
        <v>-0.45463667979303968</v>
      </c>
    </row>
    <row r="1025" spans="1:14" x14ac:dyDescent="0.3">
      <c r="A1025" s="3">
        <v>44949</v>
      </c>
      <c r="B1025" s="4">
        <v>13.51</v>
      </c>
      <c r="D1025" s="11">
        <v>1022</v>
      </c>
      <c r="E1025" s="3">
        <v>44950</v>
      </c>
      <c r="F1025" s="7">
        <f t="shared" si="37"/>
        <v>-9.6690972720250516E-3</v>
      </c>
      <c r="G1025" s="7">
        <f>SUM($F$4:F1025)</f>
        <v>-0.65777555240766927</v>
      </c>
      <c r="L1025" s="11">
        <v>1022</v>
      </c>
      <c r="M1025" s="7">
        <f t="shared" ca="1" si="38"/>
        <v>-3.5453319066429706E-2</v>
      </c>
      <c r="N1025" s="7">
        <f ca="1">SUM($M$4:M1025)</f>
        <v>-0.49008999885946936</v>
      </c>
    </row>
    <row r="1026" spans="1:14" x14ac:dyDescent="0.3">
      <c r="A1026" s="3">
        <v>44950</v>
      </c>
      <c r="B1026" s="4">
        <v>13.38</v>
      </c>
      <c r="D1026" s="11">
        <v>1023</v>
      </c>
      <c r="E1026" s="3">
        <v>44951</v>
      </c>
      <c r="F1026" s="7">
        <f t="shared" si="37"/>
        <v>8.2454422882108996E-2</v>
      </c>
      <c r="G1026" s="7">
        <f>SUM($F$4:F1026)</f>
        <v>-0.57532112952556025</v>
      </c>
      <c r="L1026" s="11">
        <v>1023</v>
      </c>
      <c r="M1026" s="7">
        <f t="shared" ca="1" si="38"/>
        <v>-1.0427446784244032E-2</v>
      </c>
      <c r="N1026" s="7">
        <f ca="1">SUM($M$4:M1026)</f>
        <v>-0.50051744564371337</v>
      </c>
    </row>
    <row r="1027" spans="1:14" x14ac:dyDescent="0.3">
      <c r="A1027" s="3">
        <v>44951</v>
      </c>
      <c r="B1027" s="4">
        <v>14.53</v>
      </c>
      <c r="D1027" s="11">
        <v>1024</v>
      </c>
      <c r="E1027" s="3">
        <v>44952</v>
      </c>
      <c r="F1027" s="7">
        <f t="shared" si="37"/>
        <v>3.1834723520018544E-2</v>
      </c>
      <c r="G1027" s="7">
        <f>SUM($F$4:F1027)</f>
        <v>-0.54348640600554166</v>
      </c>
      <c r="L1027" s="11">
        <v>1024</v>
      </c>
      <c r="M1027" s="7">
        <f t="shared" ca="1" si="38"/>
        <v>-3.1282340352732099E-2</v>
      </c>
      <c r="N1027" s="7">
        <f ca="1">SUM($M$4:M1027)</f>
        <v>-0.53179978599644551</v>
      </c>
    </row>
    <row r="1028" spans="1:14" x14ac:dyDescent="0.3">
      <c r="A1028" s="3">
        <v>44952</v>
      </c>
      <c r="B1028" s="4">
        <v>15</v>
      </c>
      <c r="D1028" s="11">
        <v>1025</v>
      </c>
      <c r="E1028" s="3">
        <v>44953</v>
      </c>
      <c r="F1028" s="7">
        <f t="shared" ref="F1028:F1091" si="39">LN(B1029/B1028)</f>
        <v>-6.0180723255630212E-3</v>
      </c>
      <c r="G1028" s="7">
        <f>SUM($F$4:F1028)</f>
        <v>-0.54950447833110472</v>
      </c>
      <c r="L1028" s="11">
        <v>1025</v>
      </c>
      <c r="M1028" s="7">
        <f t="shared" ca="1" si="38"/>
        <v>-4.3795276493824933E-2</v>
      </c>
      <c r="N1028" s="7">
        <f ca="1">SUM($M$4:M1028)</f>
        <v>-0.57559506249027048</v>
      </c>
    </row>
    <row r="1029" spans="1:14" x14ac:dyDescent="0.3">
      <c r="A1029" s="3">
        <v>44953</v>
      </c>
      <c r="B1029" s="4">
        <v>14.91</v>
      </c>
      <c r="D1029" s="11">
        <v>1026</v>
      </c>
      <c r="E1029" s="3">
        <v>44956</v>
      </c>
      <c r="F1029" s="7">
        <f t="shared" si="39"/>
        <v>-3.6193776483746394E-2</v>
      </c>
      <c r="G1029" s="7">
        <f>SUM($F$4:F1029)</f>
        <v>-0.58569825481485116</v>
      </c>
      <c r="L1029" s="11">
        <v>1026</v>
      </c>
      <c r="M1029" s="7">
        <f t="shared" ref="M1029:M1092" ca="1" si="40">(2*_xlfn.BINOM.INV($J$4,$J$12,RAND())-$J$4)*$J$11</f>
        <v>-6.6735659419161805E-2</v>
      </c>
      <c r="N1029" s="7">
        <f ca="1">SUM($M$4:M1029)</f>
        <v>-0.6423307219094323</v>
      </c>
    </row>
    <row r="1030" spans="1:14" x14ac:dyDescent="0.3">
      <c r="A1030" s="3">
        <v>44956</v>
      </c>
      <c r="B1030" s="4">
        <v>14.38</v>
      </c>
      <c r="D1030" s="11">
        <v>1027</v>
      </c>
      <c r="E1030" s="3">
        <v>44957</v>
      </c>
      <c r="F1030" s="7">
        <f t="shared" si="39"/>
        <v>3.0139267575040225E-2</v>
      </c>
      <c r="G1030" s="7">
        <f>SUM($F$4:F1030)</f>
        <v>-0.5555589872398109</v>
      </c>
      <c r="L1030" s="11">
        <v>1027</v>
      </c>
      <c r="M1030" s="7">
        <f t="shared" ca="1" si="40"/>
        <v>2.9196850995883289E-2</v>
      </c>
      <c r="N1030" s="7">
        <f ca="1">SUM($M$4:M1030)</f>
        <v>-0.61313387091354898</v>
      </c>
    </row>
    <row r="1031" spans="1:14" x14ac:dyDescent="0.3">
      <c r="A1031" s="3">
        <v>44957</v>
      </c>
      <c r="B1031" s="4">
        <v>14.82</v>
      </c>
      <c r="D1031" s="11">
        <v>1028</v>
      </c>
      <c r="E1031" s="3">
        <v>44958</v>
      </c>
      <c r="F1031" s="7">
        <f t="shared" si="39"/>
        <v>3.5789107851585289E-2</v>
      </c>
      <c r="G1031" s="7">
        <f>SUM($F$4:F1031)</f>
        <v>-0.51976987938822561</v>
      </c>
      <c r="L1031" s="11">
        <v>1028</v>
      </c>
      <c r="M1031" s="7">
        <f t="shared" ca="1" si="40"/>
        <v>-3.3367829709580903E-2</v>
      </c>
      <c r="N1031" s="7">
        <f ca="1">SUM($M$4:M1031)</f>
        <v>-0.64650170062312984</v>
      </c>
    </row>
    <row r="1032" spans="1:14" x14ac:dyDescent="0.3">
      <c r="A1032" s="3">
        <v>44958</v>
      </c>
      <c r="B1032" s="4">
        <v>15.36</v>
      </c>
      <c r="D1032" s="11">
        <v>1029</v>
      </c>
      <c r="E1032" s="3">
        <v>44959</v>
      </c>
      <c r="F1032" s="7">
        <f t="shared" si="39"/>
        <v>3.5809452696710778E-2</v>
      </c>
      <c r="G1032" s="7">
        <f>SUM($F$4:F1032)</f>
        <v>-0.48396042669151484</v>
      </c>
      <c r="L1032" s="11">
        <v>1029</v>
      </c>
      <c r="M1032" s="7">
        <f t="shared" ca="1" si="40"/>
        <v>-1.8769404211639258E-2</v>
      </c>
      <c r="N1032" s="7">
        <f ca="1">SUM($M$4:M1032)</f>
        <v>-0.66527110483476914</v>
      </c>
    </row>
    <row r="1033" spans="1:14" x14ac:dyDescent="0.3">
      <c r="A1033" s="3">
        <v>44959</v>
      </c>
      <c r="B1033" s="4">
        <v>15.92</v>
      </c>
      <c r="D1033" s="11">
        <v>1030</v>
      </c>
      <c r="E1033" s="3">
        <v>44960</v>
      </c>
      <c r="F1033" s="7">
        <f t="shared" si="39"/>
        <v>-3.1910812281053524E-2</v>
      </c>
      <c r="G1033" s="7">
        <f>SUM($F$4:F1033)</f>
        <v>-0.51587123897256837</v>
      </c>
      <c r="L1033" s="11">
        <v>1030</v>
      </c>
      <c r="M1033" s="7">
        <f t="shared" ca="1" si="40"/>
        <v>-2.0854893568488064E-3</v>
      </c>
      <c r="N1033" s="7">
        <f ca="1">SUM($M$4:M1033)</f>
        <v>-0.66735659419161797</v>
      </c>
    </row>
    <row r="1034" spans="1:14" x14ac:dyDescent="0.3">
      <c r="A1034" s="3">
        <v>44960</v>
      </c>
      <c r="B1034" s="4">
        <v>15.42</v>
      </c>
      <c r="D1034" s="11">
        <v>1031</v>
      </c>
      <c r="E1034" s="3">
        <v>44963</v>
      </c>
      <c r="F1034" s="7">
        <f t="shared" si="39"/>
        <v>-1.2978587155999519E-3</v>
      </c>
      <c r="G1034" s="7">
        <f>SUM($F$4:F1034)</f>
        <v>-0.51716909768816832</v>
      </c>
      <c r="L1034" s="11">
        <v>1031</v>
      </c>
      <c r="M1034" s="7">
        <f t="shared" ca="1" si="40"/>
        <v>2.2940382925336872E-2</v>
      </c>
      <c r="N1034" s="7">
        <f ca="1">SUM($M$4:M1034)</f>
        <v>-0.64441621126628112</v>
      </c>
    </row>
    <row r="1035" spans="1:14" x14ac:dyDescent="0.3">
      <c r="A1035" s="3">
        <v>44963</v>
      </c>
      <c r="B1035" s="4">
        <v>15.4</v>
      </c>
      <c r="D1035" s="11">
        <v>1032</v>
      </c>
      <c r="E1035" s="3">
        <v>44964</v>
      </c>
      <c r="F1035" s="7">
        <f t="shared" si="39"/>
        <v>-4.5558165358606907E-3</v>
      </c>
      <c r="G1035" s="7">
        <f>SUM($F$4:F1035)</f>
        <v>-0.521724914224029</v>
      </c>
      <c r="L1035" s="11">
        <v>1032</v>
      </c>
      <c r="M1035" s="7">
        <f t="shared" ca="1" si="40"/>
        <v>-4.7966255207522547E-2</v>
      </c>
      <c r="N1035" s="7">
        <f ca="1">SUM($M$4:M1035)</f>
        <v>-0.69238246647380364</v>
      </c>
    </row>
    <row r="1036" spans="1:14" x14ac:dyDescent="0.3">
      <c r="A1036" s="3">
        <v>44964</v>
      </c>
      <c r="B1036" s="4">
        <v>15.33</v>
      </c>
      <c r="D1036" s="11">
        <v>1033</v>
      </c>
      <c r="E1036" s="3">
        <v>44965</v>
      </c>
      <c r="F1036" s="7">
        <f t="shared" si="39"/>
        <v>-5.1533650115182787E-2</v>
      </c>
      <c r="G1036" s="7">
        <f>SUM($F$4:F1036)</f>
        <v>-0.57325856433921174</v>
      </c>
      <c r="L1036" s="11">
        <v>1033</v>
      </c>
      <c r="M1036" s="7">
        <f t="shared" ca="1" si="40"/>
        <v>8.3419574273952257E-3</v>
      </c>
      <c r="N1036" s="7">
        <f ca="1">SUM($M$4:M1036)</f>
        <v>-0.68404050904640845</v>
      </c>
    </row>
    <row r="1037" spans="1:14" x14ac:dyDescent="0.3">
      <c r="A1037" s="3">
        <v>44965</v>
      </c>
      <c r="B1037" s="4">
        <v>14.56</v>
      </c>
      <c r="D1037" s="11">
        <v>1034</v>
      </c>
      <c r="E1037" s="3">
        <v>44966</v>
      </c>
      <c r="F1037" s="7">
        <f t="shared" si="39"/>
        <v>-1.3135342677606418E-2</v>
      </c>
      <c r="G1037" s="7">
        <f>SUM($F$4:F1037)</f>
        <v>-0.58639390701681815</v>
      </c>
      <c r="L1037" s="11">
        <v>1034</v>
      </c>
      <c r="M1037" s="7">
        <f t="shared" ca="1" si="40"/>
        <v>2.0854893568488064E-3</v>
      </c>
      <c r="N1037" s="7">
        <f ca="1">SUM($M$4:M1037)</f>
        <v>-0.68195501968955963</v>
      </c>
    </row>
    <row r="1038" spans="1:14" x14ac:dyDescent="0.3">
      <c r="A1038" s="3">
        <v>44966</v>
      </c>
      <c r="B1038" s="4">
        <v>14.37</v>
      </c>
      <c r="D1038" s="11">
        <v>1035</v>
      </c>
      <c r="E1038" s="3">
        <v>44967</v>
      </c>
      <c r="F1038" s="7">
        <f t="shared" si="39"/>
        <v>-1.0493275715838656E-2</v>
      </c>
      <c r="G1038" s="7">
        <f>SUM($F$4:F1038)</f>
        <v>-0.59688718273265684</v>
      </c>
      <c r="L1038" s="11">
        <v>1035</v>
      </c>
      <c r="M1038" s="7">
        <f t="shared" ca="1" si="40"/>
        <v>1.0427446784244032E-2</v>
      </c>
      <c r="N1038" s="7">
        <f ca="1">SUM($M$4:M1038)</f>
        <v>-0.67152757290531562</v>
      </c>
    </row>
    <row r="1039" spans="1:14" x14ac:dyDescent="0.3">
      <c r="A1039" s="3">
        <v>44967</v>
      </c>
      <c r="B1039" s="4">
        <v>14.22</v>
      </c>
      <c r="D1039" s="11">
        <v>1036</v>
      </c>
      <c r="E1039" s="3">
        <v>44970</v>
      </c>
      <c r="F1039" s="7">
        <f t="shared" si="39"/>
        <v>4.8053170400519964E-2</v>
      </c>
      <c r="G1039" s="7">
        <f>SUM($F$4:F1039)</f>
        <v>-0.54883401233213691</v>
      </c>
      <c r="L1039" s="11">
        <v>1036</v>
      </c>
      <c r="M1039" s="7">
        <f t="shared" ca="1" si="40"/>
        <v>-3.7538808423278516E-2</v>
      </c>
      <c r="N1039" s="7">
        <f ca="1">SUM($M$4:M1039)</f>
        <v>-0.70906638132859412</v>
      </c>
    </row>
    <row r="1040" spans="1:14" x14ac:dyDescent="0.3">
      <c r="A1040" s="3">
        <v>44970</v>
      </c>
      <c r="B1040" s="4">
        <v>14.92</v>
      </c>
      <c r="D1040" s="11">
        <v>1037</v>
      </c>
      <c r="E1040" s="3">
        <v>44971</v>
      </c>
      <c r="F1040" s="7">
        <f t="shared" si="39"/>
        <v>-1.2816364301075842E-2</v>
      </c>
      <c r="G1040" s="7">
        <f>SUM($F$4:F1040)</f>
        <v>-0.56165037663321271</v>
      </c>
      <c r="L1040" s="11">
        <v>1037</v>
      </c>
      <c r="M1040" s="7">
        <f t="shared" ca="1" si="40"/>
        <v>-4.1709787136976128E-3</v>
      </c>
      <c r="N1040" s="7">
        <f ca="1">SUM($M$4:M1040)</f>
        <v>-0.71323736004229177</v>
      </c>
    </row>
    <row r="1041" spans="1:14" x14ac:dyDescent="0.3">
      <c r="A1041" s="3">
        <v>44971</v>
      </c>
      <c r="B1041" s="4">
        <v>14.73</v>
      </c>
      <c r="D1041" s="11">
        <v>1038</v>
      </c>
      <c r="E1041" s="3">
        <v>44972</v>
      </c>
      <c r="F1041" s="7">
        <f t="shared" si="39"/>
        <v>4.1229243558667118E-2</v>
      </c>
      <c r="G1041" s="7">
        <f>SUM($F$4:F1041)</f>
        <v>-0.52042113307454563</v>
      </c>
      <c r="L1041" s="11">
        <v>1038</v>
      </c>
      <c r="M1041" s="7">
        <f t="shared" ca="1" si="40"/>
        <v>-2.0854893568488064E-3</v>
      </c>
      <c r="N1041" s="7">
        <f ca="1">SUM($M$4:M1041)</f>
        <v>-0.71532284939914059</v>
      </c>
    </row>
    <row r="1042" spans="1:14" x14ac:dyDescent="0.3">
      <c r="A1042" s="3">
        <v>44972</v>
      </c>
      <c r="B1042" s="4">
        <v>15.35</v>
      </c>
      <c r="D1042" s="11">
        <v>1039</v>
      </c>
      <c r="E1042" s="3">
        <v>44973</v>
      </c>
      <c r="F1042" s="7">
        <f t="shared" si="39"/>
        <v>-2.6092643636137307E-3</v>
      </c>
      <c r="G1042" s="7">
        <f>SUM($F$4:F1042)</f>
        <v>-0.52303039743815938</v>
      </c>
      <c r="L1042" s="11">
        <v>1039</v>
      </c>
      <c r="M1042" s="7">
        <f t="shared" ca="1" si="40"/>
        <v>3.1282340352732099E-2</v>
      </c>
      <c r="N1042" s="7">
        <f ca="1">SUM($M$4:M1042)</f>
        <v>-0.68404050904640845</v>
      </c>
    </row>
    <row r="1043" spans="1:14" x14ac:dyDescent="0.3">
      <c r="A1043" s="3">
        <v>44973</v>
      </c>
      <c r="B1043" s="4">
        <v>15.31</v>
      </c>
      <c r="D1043" s="11">
        <v>1040</v>
      </c>
      <c r="E1043" s="3">
        <v>44974</v>
      </c>
      <c r="F1043" s="7">
        <f t="shared" si="39"/>
        <v>7.8074567054770769E-3</v>
      </c>
      <c r="G1043" s="7">
        <f>SUM($F$4:F1043)</f>
        <v>-0.51522294073268227</v>
      </c>
      <c r="L1043" s="11">
        <v>1040</v>
      </c>
      <c r="M1043" s="7">
        <f t="shared" ca="1" si="40"/>
        <v>4.5880765850673744E-2</v>
      </c>
      <c r="N1043" s="7">
        <f ca="1">SUM($M$4:M1043)</f>
        <v>-0.63815974319573465</v>
      </c>
    </row>
    <row r="1044" spans="1:14" x14ac:dyDescent="0.3">
      <c r="A1044" s="3">
        <v>44974</v>
      </c>
      <c r="B1044" s="4">
        <v>15.43</v>
      </c>
      <c r="D1044" s="11">
        <v>1041</v>
      </c>
      <c r="E1044" s="3">
        <v>44978</v>
      </c>
      <c r="F1044" s="7">
        <f t="shared" si="39"/>
        <v>-4.5070583589240591E-2</v>
      </c>
      <c r="G1044" s="7">
        <f>SUM($F$4:F1044)</f>
        <v>-0.56029352432192281</v>
      </c>
      <c r="L1044" s="11">
        <v>1041</v>
      </c>
      <c r="M1044" s="7">
        <f t="shared" ca="1" si="40"/>
        <v>-1.8769404211639258E-2</v>
      </c>
      <c r="N1044" s="7">
        <f ca="1">SUM($M$4:M1044)</f>
        <v>-0.65692914740737396</v>
      </c>
    </row>
    <row r="1045" spans="1:14" x14ac:dyDescent="0.3">
      <c r="A1045" s="3">
        <v>44978</v>
      </c>
      <c r="B1045" s="4">
        <v>14.75</v>
      </c>
      <c r="D1045" s="11">
        <v>1042</v>
      </c>
      <c r="E1045" s="3">
        <v>44979</v>
      </c>
      <c r="F1045" s="7">
        <f t="shared" si="39"/>
        <v>4.4422285349354551E-2</v>
      </c>
      <c r="G1045" s="7">
        <f>SUM($F$4:F1045)</f>
        <v>-0.51587123897256826</v>
      </c>
      <c r="L1045" s="11">
        <v>1042</v>
      </c>
      <c r="M1045" s="7">
        <f t="shared" ca="1" si="40"/>
        <v>-6.6735659419161805E-2</v>
      </c>
      <c r="N1045" s="7">
        <f ca="1">SUM($M$4:M1045)</f>
        <v>-0.72366480682653578</v>
      </c>
    </row>
    <row r="1046" spans="1:14" x14ac:dyDescent="0.3">
      <c r="A1046" s="3">
        <v>44979</v>
      </c>
      <c r="B1046" s="4">
        <v>15.42</v>
      </c>
      <c r="D1046" s="11">
        <v>1043</v>
      </c>
      <c r="E1046" s="3">
        <v>44980</v>
      </c>
      <c r="F1046" s="7">
        <f t="shared" si="39"/>
        <v>1.9904348935002956E-2</v>
      </c>
      <c r="G1046" s="7">
        <f>SUM($F$4:F1046)</f>
        <v>-0.49596689003756528</v>
      </c>
      <c r="L1046" s="11">
        <v>1043</v>
      </c>
      <c r="M1046" s="7">
        <f t="shared" ca="1" si="40"/>
        <v>3.1282340352732099E-2</v>
      </c>
      <c r="N1046" s="7">
        <f ca="1">SUM($M$4:M1046)</f>
        <v>-0.69238246647380364</v>
      </c>
    </row>
    <row r="1047" spans="1:14" x14ac:dyDescent="0.3">
      <c r="A1047" s="3">
        <v>44980</v>
      </c>
      <c r="B1047" s="4">
        <v>15.73</v>
      </c>
      <c r="D1047" s="11">
        <v>1044</v>
      </c>
      <c r="E1047" s="3">
        <v>44981</v>
      </c>
      <c r="F1047" s="7">
        <f t="shared" si="39"/>
        <v>-1.1509078444943312E-2</v>
      </c>
      <c r="G1047" s="7">
        <f>SUM($F$4:F1047)</f>
        <v>-0.50747596848250864</v>
      </c>
      <c r="L1047" s="11">
        <v>1044</v>
      </c>
      <c r="M1047" s="7">
        <f t="shared" ca="1" si="40"/>
        <v>9.8017999771893904E-2</v>
      </c>
      <c r="N1047" s="7">
        <f ca="1">SUM($M$4:M1047)</f>
        <v>-0.59436446670190968</v>
      </c>
    </row>
    <row r="1048" spans="1:14" x14ac:dyDescent="0.3">
      <c r="A1048" s="3">
        <v>44981</v>
      </c>
      <c r="B1048" s="4">
        <v>15.55</v>
      </c>
      <c r="D1048" s="11">
        <v>1045</v>
      </c>
      <c r="E1048" s="3">
        <v>44984</v>
      </c>
      <c r="F1048" s="7">
        <f t="shared" si="39"/>
        <v>2.4771034736825855E-2</v>
      </c>
      <c r="G1048" s="7">
        <f>SUM($F$4:F1048)</f>
        <v>-0.4827049337456828</v>
      </c>
      <c r="L1048" s="11">
        <v>1045</v>
      </c>
      <c r="M1048" s="7">
        <f t="shared" ca="1" si="40"/>
        <v>-1.8769404211639258E-2</v>
      </c>
      <c r="N1048" s="7">
        <f ca="1">SUM($M$4:M1048)</f>
        <v>-0.61313387091354898</v>
      </c>
    </row>
    <row r="1049" spans="1:14" x14ac:dyDescent="0.3">
      <c r="A1049" s="3">
        <v>44984</v>
      </c>
      <c r="B1049" s="4">
        <v>15.94</v>
      </c>
      <c r="D1049" s="11">
        <v>1046</v>
      </c>
      <c r="E1049" s="3">
        <v>44985</v>
      </c>
      <c r="F1049" s="7">
        <f t="shared" si="39"/>
        <v>-2.0279528950529126E-2</v>
      </c>
      <c r="G1049" s="7">
        <f>SUM($F$4:F1049)</f>
        <v>-0.50298446269621189</v>
      </c>
      <c r="L1049" s="11">
        <v>1046</v>
      </c>
      <c r="M1049" s="7">
        <f t="shared" ca="1" si="40"/>
        <v>1.0427446784244032E-2</v>
      </c>
      <c r="N1049" s="7">
        <f ca="1">SUM($M$4:M1049)</f>
        <v>-0.60270642412930497</v>
      </c>
    </row>
    <row r="1050" spans="1:14" x14ac:dyDescent="0.3">
      <c r="A1050" s="3">
        <v>44985</v>
      </c>
      <c r="B1050" s="4">
        <v>15.62</v>
      </c>
      <c r="D1050" s="11">
        <v>1047</v>
      </c>
      <c r="E1050" s="3">
        <v>44986</v>
      </c>
      <c r="F1050" s="7">
        <f t="shared" si="39"/>
        <v>-3.9169498075551187E-2</v>
      </c>
      <c r="G1050" s="7">
        <f>SUM($F$4:F1050)</f>
        <v>-0.54215396077176303</v>
      </c>
      <c r="L1050" s="11">
        <v>1047</v>
      </c>
      <c r="M1050" s="7">
        <f t="shared" ca="1" si="40"/>
        <v>5.2137233921220161E-2</v>
      </c>
      <c r="N1050" s="7">
        <f ca="1">SUM($M$4:M1050)</f>
        <v>-0.55056919020808481</v>
      </c>
    </row>
    <row r="1051" spans="1:14" x14ac:dyDescent="0.3">
      <c r="A1051" s="3">
        <v>44986</v>
      </c>
      <c r="B1051" s="4">
        <v>15.02</v>
      </c>
      <c r="D1051" s="11">
        <v>1048</v>
      </c>
      <c r="E1051" s="3">
        <v>44987</v>
      </c>
      <c r="F1051" s="7">
        <f t="shared" si="39"/>
        <v>1.4540903922511655E-2</v>
      </c>
      <c r="G1051" s="7">
        <f>SUM($F$4:F1051)</f>
        <v>-0.52761305684925142</v>
      </c>
      <c r="L1051" s="11">
        <v>1048</v>
      </c>
      <c r="M1051" s="7">
        <f t="shared" ca="1" si="40"/>
        <v>2.0854893568488065E-2</v>
      </c>
      <c r="N1051" s="7">
        <f ca="1">SUM($M$4:M1051)</f>
        <v>-0.52971429663959679</v>
      </c>
    </row>
    <row r="1052" spans="1:14" x14ac:dyDescent="0.3">
      <c r="A1052" s="3">
        <v>44987</v>
      </c>
      <c r="B1052" s="4">
        <v>15.24</v>
      </c>
      <c r="D1052" s="11">
        <v>1049</v>
      </c>
      <c r="E1052" s="3">
        <v>44988</v>
      </c>
      <c r="F1052" s="7">
        <f t="shared" si="39"/>
        <v>1.4979114326474658E-2</v>
      </c>
      <c r="G1052" s="7">
        <f>SUM($F$4:F1052)</f>
        <v>-0.51263394252277672</v>
      </c>
      <c r="L1052" s="11">
        <v>1049</v>
      </c>
      <c r="M1052" s="7">
        <f t="shared" ca="1" si="40"/>
        <v>2.9196850995883289E-2</v>
      </c>
      <c r="N1052" s="7">
        <f ca="1">SUM($M$4:M1052)</f>
        <v>-0.50051744564371348</v>
      </c>
    </row>
    <row r="1053" spans="1:14" x14ac:dyDescent="0.3">
      <c r="A1053" s="3">
        <v>44988</v>
      </c>
      <c r="B1053" s="4">
        <v>15.47</v>
      </c>
      <c r="D1053" s="11">
        <v>1050</v>
      </c>
      <c r="E1053" s="3">
        <v>44991</v>
      </c>
      <c r="F1053" s="7">
        <f t="shared" si="39"/>
        <v>-2.2223136784710235E-2</v>
      </c>
      <c r="G1053" s="7">
        <f>SUM($F$4:F1053)</f>
        <v>-0.53485707930748694</v>
      </c>
      <c r="L1053" s="11">
        <v>1050</v>
      </c>
      <c r="M1053" s="7">
        <f t="shared" ca="1" si="40"/>
        <v>-5.4222723278068964E-2</v>
      </c>
      <c r="N1053" s="7">
        <f ca="1">SUM($M$4:M1053)</f>
        <v>-0.55474016892178246</v>
      </c>
    </row>
    <row r="1054" spans="1:14" x14ac:dyDescent="0.3">
      <c r="A1054" s="3">
        <v>44991</v>
      </c>
      <c r="B1054" s="4">
        <v>15.13</v>
      </c>
      <c r="D1054" s="11">
        <v>1051</v>
      </c>
      <c r="E1054" s="3">
        <v>44992</v>
      </c>
      <c r="F1054" s="7">
        <f t="shared" si="39"/>
        <v>-2.0701907932323758E-2</v>
      </c>
      <c r="G1054" s="7">
        <f>SUM($F$4:F1054)</f>
        <v>-0.55555898723981068</v>
      </c>
      <c r="L1054" s="11">
        <v>1051</v>
      </c>
      <c r="M1054" s="7">
        <f t="shared" ca="1" si="40"/>
        <v>6.0479191348615388E-2</v>
      </c>
      <c r="N1054" s="7">
        <f ca="1">SUM($M$4:M1054)</f>
        <v>-0.49426097757316706</v>
      </c>
    </row>
    <row r="1055" spans="1:14" x14ac:dyDescent="0.3">
      <c r="A1055" s="3">
        <v>44992</v>
      </c>
      <c r="B1055" s="4">
        <v>14.82</v>
      </c>
      <c r="D1055" s="11">
        <v>1052</v>
      </c>
      <c r="E1055" s="3">
        <v>44993</v>
      </c>
      <c r="F1055" s="7">
        <f t="shared" si="39"/>
        <v>3.4486176071169189E-2</v>
      </c>
      <c r="G1055" s="7">
        <f>SUM($F$4:F1055)</f>
        <v>-0.52107281116864146</v>
      </c>
      <c r="L1055" s="11">
        <v>1052</v>
      </c>
      <c r="M1055" s="7">
        <f t="shared" ca="1" si="40"/>
        <v>1.4598425497941644E-2</v>
      </c>
      <c r="N1055" s="7">
        <f ca="1">SUM($M$4:M1055)</f>
        <v>-0.4796625520752254</v>
      </c>
    </row>
    <row r="1056" spans="1:14" x14ac:dyDescent="0.3">
      <c r="A1056" s="3">
        <v>44993</v>
      </c>
      <c r="B1056" s="4">
        <v>15.34</v>
      </c>
      <c r="D1056" s="11">
        <v>1053</v>
      </c>
      <c r="E1056" s="3">
        <v>44994</v>
      </c>
      <c r="F1056" s="7">
        <f t="shared" si="39"/>
        <v>-3.7865699395821698E-2</v>
      </c>
      <c r="G1056" s="7">
        <f>SUM($F$4:F1056)</f>
        <v>-0.5589385105644632</v>
      </c>
      <c r="L1056" s="11">
        <v>1053</v>
      </c>
      <c r="M1056" s="7">
        <f t="shared" ca="1" si="40"/>
        <v>-2.0854893568488064E-3</v>
      </c>
      <c r="N1056" s="7">
        <f ca="1">SUM($M$4:M1056)</f>
        <v>-0.48174804143207423</v>
      </c>
    </row>
    <row r="1057" spans="1:14" x14ac:dyDescent="0.3">
      <c r="A1057" s="3">
        <v>44994</v>
      </c>
      <c r="B1057" s="4">
        <v>14.77</v>
      </c>
      <c r="D1057" s="11">
        <v>1054</v>
      </c>
      <c r="E1057" s="3">
        <v>44995</v>
      </c>
      <c r="F1057" s="7">
        <f t="shared" si="39"/>
        <v>-2.8848154337658277E-2</v>
      </c>
      <c r="G1057" s="7">
        <f>SUM($F$4:F1057)</f>
        <v>-0.5877866649021215</v>
      </c>
      <c r="L1057" s="11">
        <v>1054</v>
      </c>
      <c r="M1057" s="7">
        <f t="shared" ca="1" si="40"/>
        <v>2.0854893568488065E-2</v>
      </c>
      <c r="N1057" s="7">
        <f ca="1">SUM($M$4:M1057)</f>
        <v>-0.46089314786358615</v>
      </c>
    </row>
    <row r="1058" spans="1:14" x14ac:dyDescent="0.3">
      <c r="A1058" s="3">
        <v>44995</v>
      </c>
      <c r="B1058" s="4">
        <v>14.35</v>
      </c>
      <c r="D1058" s="11">
        <v>1055</v>
      </c>
      <c r="E1058" s="3">
        <v>44998</v>
      </c>
      <c r="F1058" s="7">
        <f t="shared" si="39"/>
        <v>-2.3265060599186073E-2</v>
      </c>
      <c r="G1058" s="7">
        <f>SUM($F$4:F1058)</f>
        <v>-0.6110517255013076</v>
      </c>
      <c r="L1058" s="11">
        <v>1055</v>
      </c>
      <c r="M1058" s="7">
        <f t="shared" ca="1" si="40"/>
        <v>6.2564680705464188E-3</v>
      </c>
      <c r="N1058" s="7">
        <f ca="1">SUM($M$4:M1058)</f>
        <v>-0.45463667979303973</v>
      </c>
    </row>
    <row r="1059" spans="1:14" x14ac:dyDescent="0.3">
      <c r="A1059" s="3">
        <v>44998</v>
      </c>
      <c r="B1059" s="4">
        <v>14.02</v>
      </c>
      <c r="D1059" s="11">
        <v>1056</v>
      </c>
      <c r="E1059" s="3">
        <v>44999</v>
      </c>
      <c r="F1059" s="7">
        <f t="shared" si="39"/>
        <v>2.137514173310838E-3</v>
      </c>
      <c r="G1059" s="7">
        <f>SUM($F$4:F1059)</f>
        <v>-0.60891421132799672</v>
      </c>
      <c r="L1059" s="11">
        <v>1056</v>
      </c>
      <c r="M1059" s="7">
        <f t="shared" ca="1" si="40"/>
        <v>-1.0427446784244032E-2</v>
      </c>
      <c r="N1059" s="7">
        <f ca="1">SUM($M$4:M1059)</f>
        <v>-0.46506412657728374</v>
      </c>
    </row>
    <row r="1060" spans="1:14" x14ac:dyDescent="0.3">
      <c r="A1060" s="3">
        <v>44999</v>
      </c>
      <c r="B1060" s="4">
        <v>14.05</v>
      </c>
      <c r="D1060" s="11">
        <v>1057</v>
      </c>
      <c r="E1060" s="3">
        <v>45000</v>
      </c>
      <c r="F1060" s="7">
        <f t="shared" si="39"/>
        <v>-3.4760921932977022E-2</v>
      </c>
      <c r="G1060" s="7">
        <f>SUM($F$4:F1060)</f>
        <v>-0.6436751332609737</v>
      </c>
      <c r="L1060" s="11">
        <v>1057</v>
      </c>
      <c r="M1060" s="7">
        <f t="shared" ca="1" si="40"/>
        <v>-4.5880765850673744E-2</v>
      </c>
      <c r="N1060" s="7">
        <f ca="1">SUM($M$4:M1060)</f>
        <v>-0.51094489242795749</v>
      </c>
    </row>
    <row r="1061" spans="1:14" x14ac:dyDescent="0.3">
      <c r="A1061" s="3">
        <v>45000</v>
      </c>
      <c r="B1061" s="4">
        <v>13.57</v>
      </c>
      <c r="D1061" s="11">
        <v>1058</v>
      </c>
      <c r="E1061" s="3">
        <v>45001</v>
      </c>
      <c r="F1061" s="7">
        <f t="shared" si="39"/>
        <v>4.2559614418795903E-2</v>
      </c>
      <c r="G1061" s="7">
        <f>SUM($F$4:F1061)</f>
        <v>-0.60111551884217784</v>
      </c>
      <c r="L1061" s="11">
        <v>1058</v>
      </c>
      <c r="M1061" s="7">
        <f t="shared" ca="1" si="40"/>
        <v>7.2992127489708222E-2</v>
      </c>
      <c r="N1061" s="7">
        <f ca="1">SUM($M$4:M1061)</f>
        <v>-0.43795276493824925</v>
      </c>
    </row>
    <row r="1062" spans="1:14" x14ac:dyDescent="0.3">
      <c r="A1062" s="3">
        <v>45001</v>
      </c>
      <c r="B1062" s="4">
        <v>14.16</v>
      </c>
      <c r="D1062" s="11">
        <v>1059</v>
      </c>
      <c r="E1062" s="3">
        <v>45002</v>
      </c>
      <c r="F1062" s="7">
        <f t="shared" si="39"/>
        <v>1.2631746905900564E-2</v>
      </c>
      <c r="G1062" s="7">
        <f>SUM($F$4:F1062)</f>
        <v>-0.58848377193627732</v>
      </c>
      <c r="L1062" s="11">
        <v>1059</v>
      </c>
      <c r="M1062" s="7">
        <f t="shared" ca="1" si="40"/>
        <v>-6.2564680705464188E-3</v>
      </c>
      <c r="N1062" s="7">
        <f ca="1">SUM($M$4:M1062)</f>
        <v>-0.44420923300879567</v>
      </c>
    </row>
    <row r="1063" spans="1:14" x14ac:dyDescent="0.3">
      <c r="A1063" s="3">
        <v>45002</v>
      </c>
      <c r="B1063" s="4">
        <v>14.34</v>
      </c>
      <c r="D1063" s="11">
        <v>1060</v>
      </c>
      <c r="E1063" s="3">
        <v>45005</v>
      </c>
      <c r="F1063" s="7">
        <f t="shared" si="39"/>
        <v>-6.9979291876445544E-3</v>
      </c>
      <c r="G1063" s="7">
        <f>SUM($F$4:F1063)</f>
        <v>-0.59548170112392185</v>
      </c>
      <c r="L1063" s="11">
        <v>1060</v>
      </c>
      <c r="M1063" s="7">
        <f t="shared" ca="1" si="40"/>
        <v>-8.3419574273952257E-3</v>
      </c>
      <c r="N1063" s="7">
        <f ca="1">SUM($M$4:M1063)</f>
        <v>-0.45255119043619091</v>
      </c>
    </row>
    <row r="1064" spans="1:14" x14ac:dyDescent="0.3">
      <c r="A1064" s="3">
        <v>45005</v>
      </c>
      <c r="B1064" s="4">
        <v>14.24</v>
      </c>
      <c r="D1064" s="11">
        <v>1061</v>
      </c>
      <c r="E1064" s="3">
        <v>45006</v>
      </c>
      <c r="F1064" s="7">
        <f t="shared" si="39"/>
        <v>5.7977366795927764E-2</v>
      </c>
      <c r="G1064" s="7">
        <f>SUM($F$4:F1064)</f>
        <v>-0.53750433432799405</v>
      </c>
      <c r="L1064" s="11">
        <v>1061</v>
      </c>
      <c r="M1064" s="7">
        <f t="shared" ca="1" si="40"/>
        <v>-1.0427446784244032E-2</v>
      </c>
      <c r="N1064" s="7">
        <f ca="1">SUM($M$4:M1064)</f>
        <v>-0.46297863722043492</v>
      </c>
    </row>
    <row r="1065" spans="1:14" x14ac:dyDescent="0.3">
      <c r="A1065" s="3">
        <v>45006</v>
      </c>
      <c r="B1065" s="4">
        <v>15.09</v>
      </c>
      <c r="D1065" s="11">
        <v>1062</v>
      </c>
      <c r="E1065" s="3">
        <v>45007</v>
      </c>
      <c r="F1065" s="7">
        <f t="shared" si="39"/>
        <v>-3.9194205883661098E-2</v>
      </c>
      <c r="G1065" s="7">
        <f>SUM($F$4:F1065)</f>
        <v>-0.57669854021165512</v>
      </c>
      <c r="L1065" s="11">
        <v>1062</v>
      </c>
      <c r="M1065" s="7">
        <f t="shared" ca="1" si="40"/>
        <v>1.0427446784244032E-2</v>
      </c>
      <c r="N1065" s="7">
        <f ca="1">SUM($M$4:M1065)</f>
        <v>-0.45255119043619091</v>
      </c>
    </row>
    <row r="1066" spans="1:14" x14ac:dyDescent="0.3">
      <c r="A1066" s="3">
        <v>45007</v>
      </c>
      <c r="B1066" s="4">
        <v>14.51</v>
      </c>
      <c r="D1066" s="11">
        <v>1063</v>
      </c>
      <c r="E1066" s="3">
        <v>45008</v>
      </c>
      <c r="F1066" s="7">
        <f t="shared" si="39"/>
        <v>1.3774106860950765E-3</v>
      </c>
      <c r="G1066" s="7">
        <f>SUM($F$4:F1066)</f>
        <v>-0.57532112952556003</v>
      </c>
      <c r="L1066" s="11">
        <v>1063</v>
      </c>
      <c r="M1066" s="7">
        <f t="shared" ca="1" si="40"/>
        <v>2.0854893568488064E-3</v>
      </c>
      <c r="N1066" s="7">
        <f ca="1">SUM($M$4:M1066)</f>
        <v>-0.45046570107934208</v>
      </c>
    </row>
    <row r="1067" spans="1:14" x14ac:dyDescent="0.3">
      <c r="A1067" s="3">
        <v>45008</v>
      </c>
      <c r="B1067" s="4">
        <v>14.53</v>
      </c>
      <c r="D1067" s="11">
        <v>1064</v>
      </c>
      <c r="E1067" s="3">
        <v>45009</v>
      </c>
      <c r="F1067" s="7">
        <f t="shared" si="39"/>
        <v>-3.7158147966932828E-2</v>
      </c>
      <c r="G1067" s="7">
        <f>SUM($F$4:F1067)</f>
        <v>-0.61247927749249287</v>
      </c>
      <c r="L1067" s="11">
        <v>1064</v>
      </c>
      <c r="M1067" s="7">
        <f t="shared" ca="1" si="40"/>
        <v>-5.4222723278068964E-2</v>
      </c>
      <c r="N1067" s="7">
        <f ca="1">SUM($M$4:M1067)</f>
        <v>-0.50468842435741101</v>
      </c>
    </row>
    <row r="1068" spans="1:14" x14ac:dyDescent="0.3">
      <c r="A1068" s="3">
        <v>45009</v>
      </c>
      <c r="B1068" s="4">
        <v>14</v>
      </c>
      <c r="D1068" s="11">
        <v>1065</v>
      </c>
      <c r="E1068" s="3">
        <v>45012</v>
      </c>
      <c r="F1068" s="7">
        <f t="shared" si="39"/>
        <v>2.3995505556215643E-2</v>
      </c>
      <c r="G1068" s="7">
        <f>SUM($F$4:F1068)</f>
        <v>-0.58848377193627721</v>
      </c>
      <c r="L1068" s="11">
        <v>1065</v>
      </c>
      <c r="M1068" s="7">
        <f t="shared" ca="1" si="40"/>
        <v>-1.6683914854790451E-2</v>
      </c>
      <c r="N1068" s="7">
        <f ca="1">SUM($M$4:M1068)</f>
        <v>-0.5213723392122015</v>
      </c>
    </row>
    <row r="1069" spans="1:14" x14ac:dyDescent="0.3">
      <c r="A1069" s="3">
        <v>45012</v>
      </c>
      <c r="B1069" s="4">
        <v>14.34</v>
      </c>
      <c r="D1069" s="11">
        <v>1066</v>
      </c>
      <c r="E1069" s="3">
        <v>45013</v>
      </c>
      <c r="F1069" s="7">
        <f t="shared" si="39"/>
        <v>9.7155517860959776E-3</v>
      </c>
      <c r="G1069" s="7">
        <f>SUM($F$4:F1069)</f>
        <v>-0.57876822015018126</v>
      </c>
      <c r="L1069" s="11">
        <v>1066</v>
      </c>
      <c r="M1069" s="7">
        <f t="shared" ca="1" si="40"/>
        <v>-1.2512936141092838E-2</v>
      </c>
      <c r="N1069" s="7">
        <f ca="1">SUM($M$4:M1069)</f>
        <v>-0.53388527535329433</v>
      </c>
    </row>
    <row r="1070" spans="1:14" x14ac:dyDescent="0.3">
      <c r="A1070" s="3">
        <v>45013</v>
      </c>
      <c r="B1070" s="4">
        <v>14.48</v>
      </c>
      <c r="D1070" s="11">
        <v>1067</v>
      </c>
      <c r="E1070" s="3">
        <v>45014</v>
      </c>
      <c r="F1070" s="7">
        <f t="shared" si="39"/>
        <v>1.2354309500935178E-2</v>
      </c>
      <c r="G1070" s="7">
        <f>SUM($F$4:F1070)</f>
        <v>-0.56641391064924607</v>
      </c>
      <c r="L1070" s="11">
        <v>1067</v>
      </c>
      <c r="M1070" s="7">
        <f t="shared" ca="1" si="40"/>
        <v>-2.5025872282185675E-2</v>
      </c>
      <c r="N1070" s="7">
        <f ca="1">SUM($M$4:M1070)</f>
        <v>-0.55891114763548</v>
      </c>
    </row>
    <row r="1071" spans="1:14" x14ac:dyDescent="0.3">
      <c r="A1071" s="3">
        <v>45014</v>
      </c>
      <c r="B1071" s="4">
        <v>14.66</v>
      </c>
      <c r="D1071" s="11">
        <v>1068</v>
      </c>
      <c r="E1071" s="3">
        <v>45015</v>
      </c>
      <c r="F1071" s="7">
        <f t="shared" si="39"/>
        <v>1.2877168790203206E-2</v>
      </c>
      <c r="G1071" s="7">
        <f>SUM($F$4:F1071)</f>
        <v>-0.55353674185904289</v>
      </c>
      <c r="L1071" s="11">
        <v>1068</v>
      </c>
      <c r="M1071" s="7">
        <f t="shared" ca="1" si="40"/>
        <v>-2.9196850995883289E-2</v>
      </c>
      <c r="N1071" s="7">
        <f ca="1">SUM($M$4:M1071)</f>
        <v>-0.58810799863136332</v>
      </c>
    </row>
    <row r="1072" spans="1:14" x14ac:dyDescent="0.3">
      <c r="A1072" s="3">
        <v>45015</v>
      </c>
      <c r="B1072" s="4">
        <v>14.85</v>
      </c>
      <c r="D1072" s="11">
        <v>1069</v>
      </c>
      <c r="E1072" s="3">
        <v>45016</v>
      </c>
      <c r="F1072" s="7">
        <f t="shared" si="39"/>
        <v>1.6694878572170054E-2</v>
      </c>
      <c r="G1072" s="7">
        <f>SUM($F$4:F1072)</f>
        <v>-0.53684186328687289</v>
      </c>
      <c r="L1072" s="11">
        <v>1069</v>
      </c>
      <c r="M1072" s="7">
        <f t="shared" ca="1" si="40"/>
        <v>-2.5025872282185675E-2</v>
      </c>
      <c r="N1072" s="7">
        <f ca="1">SUM($M$4:M1072)</f>
        <v>-0.61313387091354898</v>
      </c>
    </row>
    <row r="1073" spans="1:14" x14ac:dyDescent="0.3">
      <c r="A1073" s="3">
        <v>45016</v>
      </c>
      <c r="B1073" s="4">
        <v>15.1</v>
      </c>
      <c r="D1073" s="11">
        <v>1070</v>
      </c>
      <c r="E1073" s="3">
        <v>45019</v>
      </c>
      <c r="F1073" s="7">
        <f t="shared" si="39"/>
        <v>-1.9392115541171196E-2</v>
      </c>
      <c r="G1073" s="7">
        <f>SUM($F$4:F1073)</f>
        <v>-0.55623397882804404</v>
      </c>
      <c r="L1073" s="11">
        <v>1070</v>
      </c>
      <c r="M1073" s="7">
        <f t="shared" ca="1" si="40"/>
        <v>2.0854893568488065E-2</v>
      </c>
      <c r="N1073" s="7">
        <f ca="1">SUM($M$4:M1073)</f>
        <v>-0.59227897734506096</v>
      </c>
    </row>
    <row r="1074" spans="1:14" x14ac:dyDescent="0.3">
      <c r="A1074" s="3">
        <v>45019</v>
      </c>
      <c r="B1074" s="4">
        <v>14.81</v>
      </c>
      <c r="D1074" s="11">
        <v>1071</v>
      </c>
      <c r="E1074" s="3">
        <v>45020</v>
      </c>
      <c r="F1074" s="7">
        <f t="shared" si="39"/>
        <v>2.2697903675670632E-2</v>
      </c>
      <c r="G1074" s="7">
        <f>SUM($F$4:F1074)</f>
        <v>-0.53353607515237345</v>
      </c>
      <c r="L1074" s="11">
        <v>1071</v>
      </c>
      <c r="M1074" s="7">
        <f t="shared" ca="1" si="40"/>
        <v>3.5453319066429706E-2</v>
      </c>
      <c r="N1074" s="7">
        <f ca="1">SUM($M$4:M1074)</f>
        <v>-0.55682565827863129</v>
      </c>
    </row>
    <row r="1075" spans="1:14" x14ac:dyDescent="0.3">
      <c r="A1075" s="3">
        <v>45020</v>
      </c>
      <c r="B1075" s="4">
        <v>15.15</v>
      </c>
      <c r="D1075" s="11">
        <v>1072</v>
      </c>
      <c r="E1075" s="3">
        <v>45021</v>
      </c>
      <c r="F1075" s="7">
        <f t="shared" si="39"/>
        <v>-2.4049255232669854E-2</v>
      </c>
      <c r="G1075" s="7">
        <f>SUM($F$4:F1075)</f>
        <v>-0.55758533038504332</v>
      </c>
      <c r="L1075" s="11">
        <v>1072</v>
      </c>
      <c r="M1075" s="7">
        <f t="shared" ca="1" si="40"/>
        <v>2.2940382925336872E-2</v>
      </c>
      <c r="N1075" s="7">
        <f ca="1">SUM($M$4:M1075)</f>
        <v>-0.53388527535329444</v>
      </c>
    </row>
    <row r="1076" spans="1:14" x14ac:dyDescent="0.3">
      <c r="A1076" s="3">
        <v>45021</v>
      </c>
      <c r="B1076" s="4">
        <v>14.79</v>
      </c>
      <c r="D1076" s="11">
        <v>1073</v>
      </c>
      <c r="E1076" s="3">
        <v>45022</v>
      </c>
      <c r="F1076" s="7">
        <f t="shared" si="39"/>
        <v>2.140549956193977E-2</v>
      </c>
      <c r="G1076" s="7">
        <f>SUM($F$4:F1076)</f>
        <v>-0.5361798308231035</v>
      </c>
      <c r="L1076" s="11">
        <v>1073</v>
      </c>
      <c r="M1076" s="7">
        <f t="shared" ca="1" si="40"/>
        <v>-4.3795276493824933E-2</v>
      </c>
      <c r="N1076" s="7">
        <f ca="1">SUM($M$4:M1076)</f>
        <v>-0.57768055184711942</v>
      </c>
    </row>
    <row r="1077" spans="1:14" x14ac:dyDescent="0.3">
      <c r="A1077" s="3">
        <v>45022</v>
      </c>
      <c r="B1077" s="4">
        <v>15.11</v>
      </c>
      <c r="D1077" s="11">
        <v>1074</v>
      </c>
      <c r="E1077" s="3">
        <v>45026</v>
      </c>
      <c r="F1077" s="7">
        <f t="shared" si="39"/>
        <v>1.9010733134935363E-2</v>
      </c>
      <c r="G1077" s="7">
        <f>SUM($F$4:F1077)</f>
        <v>-0.5171690976881681</v>
      </c>
      <c r="L1077" s="11">
        <v>1074</v>
      </c>
      <c r="M1077" s="7">
        <f t="shared" ca="1" si="40"/>
        <v>-2.5025872282185675E-2</v>
      </c>
      <c r="N1077" s="7">
        <f ca="1">SUM($M$4:M1077)</f>
        <v>-0.60270642412930509</v>
      </c>
    </row>
    <row r="1078" spans="1:14" x14ac:dyDescent="0.3">
      <c r="A1078" s="3">
        <v>45026</v>
      </c>
      <c r="B1078" s="4">
        <v>15.4</v>
      </c>
      <c r="D1078" s="11">
        <v>1075</v>
      </c>
      <c r="E1078" s="3">
        <v>45027</v>
      </c>
      <c r="F1078" s="7">
        <f t="shared" si="39"/>
        <v>-3.0994897868484552E-2</v>
      </c>
      <c r="G1078" s="7">
        <f>SUM($F$4:F1078)</f>
        <v>-0.54816399555665263</v>
      </c>
      <c r="L1078" s="11">
        <v>1075</v>
      </c>
      <c r="M1078" s="7">
        <f t="shared" ca="1" si="40"/>
        <v>-1.6683914854790451E-2</v>
      </c>
      <c r="N1078" s="7">
        <f ca="1">SUM($M$4:M1078)</f>
        <v>-0.61939033898409557</v>
      </c>
    </row>
    <row r="1079" spans="1:14" x14ac:dyDescent="0.3">
      <c r="A1079" s="3">
        <v>45027</v>
      </c>
      <c r="B1079" s="4">
        <v>14.93</v>
      </c>
      <c r="D1079" s="11">
        <v>1076</v>
      </c>
      <c r="E1079" s="3">
        <v>45028</v>
      </c>
      <c r="F1079" s="7">
        <f t="shared" si="39"/>
        <v>-6.0038725168580089E-2</v>
      </c>
      <c r="G1079" s="7">
        <f>SUM($F$4:F1079)</f>
        <v>-0.60820272072523274</v>
      </c>
      <c r="L1079" s="11">
        <v>1076</v>
      </c>
      <c r="M1079" s="7">
        <f t="shared" ca="1" si="40"/>
        <v>-2.2940382925336872E-2</v>
      </c>
      <c r="N1079" s="7">
        <f ca="1">SUM($M$4:M1079)</f>
        <v>-0.64233072190943241</v>
      </c>
    </row>
    <row r="1080" spans="1:14" x14ac:dyDescent="0.3">
      <c r="A1080" s="3">
        <v>45028</v>
      </c>
      <c r="B1080" s="4">
        <v>14.06</v>
      </c>
      <c r="D1080" s="11">
        <v>1077</v>
      </c>
      <c r="E1080" s="3">
        <v>45029</v>
      </c>
      <c r="F1080" s="7">
        <f t="shared" si="39"/>
        <v>-1.4234877848538462E-3</v>
      </c>
      <c r="G1080" s="7">
        <f>SUM($F$4:F1080)</f>
        <v>-0.60962620851008653</v>
      </c>
      <c r="L1080" s="11">
        <v>1077</v>
      </c>
      <c r="M1080" s="7">
        <f t="shared" ca="1" si="40"/>
        <v>-6.2564680705464188E-3</v>
      </c>
      <c r="N1080" s="7">
        <f ca="1">SUM($M$4:M1080)</f>
        <v>-0.64858718997997888</v>
      </c>
    </row>
    <row r="1081" spans="1:14" x14ac:dyDescent="0.3">
      <c r="A1081" s="3">
        <v>45029</v>
      </c>
      <c r="B1081" s="4">
        <v>14.04</v>
      </c>
      <c r="D1081" s="11">
        <v>1078</v>
      </c>
      <c r="E1081" s="3">
        <v>45030</v>
      </c>
      <c r="F1081" s="7">
        <f t="shared" si="39"/>
        <v>-1.8692133012152522E-2</v>
      </c>
      <c r="G1081" s="7">
        <f>SUM($F$4:F1081)</f>
        <v>-0.62831834152223909</v>
      </c>
      <c r="L1081" s="11">
        <v>1078</v>
      </c>
      <c r="M1081" s="7">
        <f t="shared" ca="1" si="40"/>
        <v>2.0854893568488064E-3</v>
      </c>
      <c r="N1081" s="7">
        <f ca="1">SUM($M$4:M1081)</f>
        <v>-0.64650170062313006</v>
      </c>
    </row>
    <row r="1082" spans="1:14" x14ac:dyDescent="0.3">
      <c r="A1082" s="3">
        <v>45030</v>
      </c>
      <c r="B1082" s="4">
        <v>13.78</v>
      </c>
      <c r="D1082" s="11">
        <v>1079</v>
      </c>
      <c r="E1082" s="3">
        <v>45033</v>
      </c>
      <c r="F1082" s="7">
        <f t="shared" si="39"/>
        <v>5.2997211996678957E-2</v>
      </c>
      <c r="G1082" s="7">
        <f>SUM($F$4:F1082)</f>
        <v>-0.57532112952556014</v>
      </c>
      <c r="L1082" s="11">
        <v>1079</v>
      </c>
      <c r="M1082" s="7">
        <f t="shared" ca="1" si="40"/>
        <v>-1.2512936141092838E-2</v>
      </c>
      <c r="N1082" s="7">
        <f ca="1">SUM($M$4:M1082)</f>
        <v>-0.65901463676422289</v>
      </c>
    </row>
    <row r="1083" spans="1:14" x14ac:dyDescent="0.3">
      <c r="A1083" s="3">
        <v>45033</v>
      </c>
      <c r="B1083" s="4">
        <v>14.53</v>
      </c>
      <c r="D1083" s="11">
        <v>1080</v>
      </c>
      <c r="E1083" s="3">
        <v>45034</v>
      </c>
      <c r="F1083" s="7">
        <f t="shared" si="39"/>
        <v>-1.8056046093446528E-2</v>
      </c>
      <c r="G1083" s="7">
        <f>SUM($F$4:F1083)</f>
        <v>-0.59337717561900671</v>
      </c>
      <c r="L1083" s="11">
        <v>1080</v>
      </c>
      <c r="M1083" s="7">
        <f t="shared" ca="1" si="40"/>
        <v>-7.0906638132859412E-2</v>
      </c>
      <c r="N1083" s="7">
        <f ca="1">SUM($M$4:M1083)</f>
        <v>-0.72992127489708225</v>
      </c>
    </row>
    <row r="1084" spans="1:14" x14ac:dyDescent="0.3">
      <c r="A1084" s="3">
        <v>45034</v>
      </c>
      <c r="B1084" s="4">
        <v>14.27</v>
      </c>
      <c r="D1084" s="11">
        <v>1081</v>
      </c>
      <c r="E1084" s="3">
        <v>45035</v>
      </c>
      <c r="F1084" s="7">
        <f t="shared" si="39"/>
        <v>1.4005604530310199E-3</v>
      </c>
      <c r="G1084" s="7">
        <f>SUM($F$4:F1084)</f>
        <v>-0.59197661516597566</v>
      </c>
      <c r="L1084" s="11">
        <v>1081</v>
      </c>
      <c r="M1084" s="7">
        <f t="shared" ca="1" si="40"/>
        <v>-1.0427446784244032E-2</v>
      </c>
      <c r="N1084" s="7">
        <f ca="1">SUM($M$4:M1084)</f>
        <v>-0.74034872168132626</v>
      </c>
    </row>
    <row r="1085" spans="1:14" x14ac:dyDescent="0.3">
      <c r="A1085" s="3">
        <v>45035</v>
      </c>
      <c r="B1085" s="4">
        <v>14.29</v>
      </c>
      <c r="D1085" s="11">
        <v>1082</v>
      </c>
      <c r="E1085" s="3">
        <v>45036</v>
      </c>
      <c r="F1085" s="7">
        <f t="shared" si="39"/>
        <v>-3.2719846265109188E-2</v>
      </c>
      <c r="G1085" s="7">
        <f>SUM($F$4:F1085)</f>
        <v>-0.62469646143108482</v>
      </c>
      <c r="L1085" s="11">
        <v>1082</v>
      </c>
      <c r="M1085" s="7">
        <f t="shared" ca="1" si="40"/>
        <v>1.6683914854790451E-2</v>
      </c>
      <c r="N1085" s="7">
        <f ca="1">SUM($M$4:M1085)</f>
        <v>-0.72366480682653578</v>
      </c>
    </row>
    <row r="1086" spans="1:14" x14ac:dyDescent="0.3">
      <c r="A1086" s="3">
        <v>45036</v>
      </c>
      <c r="B1086" s="4">
        <v>13.83</v>
      </c>
      <c r="D1086" s="11">
        <v>1083</v>
      </c>
      <c r="E1086" s="3">
        <v>45037</v>
      </c>
      <c r="F1086" s="7">
        <f t="shared" si="39"/>
        <v>-1.8242023546116821E-2</v>
      </c>
      <c r="G1086" s="7">
        <f>SUM($F$4:F1086)</f>
        <v>-0.64293848497720163</v>
      </c>
      <c r="L1086" s="11">
        <v>1083</v>
      </c>
      <c r="M1086" s="7">
        <f t="shared" ca="1" si="40"/>
        <v>1.6683914854790451E-2</v>
      </c>
      <c r="N1086" s="7">
        <f ca="1">SUM($M$4:M1086)</f>
        <v>-0.7069808919717453</v>
      </c>
    </row>
    <row r="1087" spans="1:14" x14ac:dyDescent="0.3">
      <c r="A1087" s="3">
        <v>45037</v>
      </c>
      <c r="B1087" s="4">
        <v>13.58</v>
      </c>
      <c r="D1087" s="11">
        <v>1084</v>
      </c>
      <c r="E1087" s="3">
        <v>45040</v>
      </c>
      <c r="F1087" s="7">
        <f t="shared" si="39"/>
        <v>-1.6332954022050455E-2</v>
      </c>
      <c r="G1087" s="7">
        <f>SUM($F$4:F1087)</f>
        <v>-0.65927143899925211</v>
      </c>
      <c r="L1087" s="11">
        <v>1084</v>
      </c>
      <c r="M1087" s="7">
        <f t="shared" ca="1" si="40"/>
        <v>1.4598425497941644E-2</v>
      </c>
      <c r="N1087" s="7">
        <f ca="1">SUM($M$4:M1087)</f>
        <v>-0.69238246647380364</v>
      </c>
    </row>
    <row r="1088" spans="1:14" x14ac:dyDescent="0.3">
      <c r="A1088" s="3">
        <v>45040</v>
      </c>
      <c r="B1088" s="4">
        <v>13.36</v>
      </c>
      <c r="D1088" s="11">
        <v>1085</v>
      </c>
      <c r="E1088" s="3">
        <v>45041</v>
      </c>
      <c r="F1088" s="7">
        <f t="shared" si="39"/>
        <v>-4.203905219985668E-2</v>
      </c>
      <c r="G1088" s="7">
        <f>SUM($F$4:F1088)</f>
        <v>-0.70131049119910882</v>
      </c>
      <c r="L1088" s="11">
        <v>1085</v>
      </c>
      <c r="M1088" s="7">
        <f t="shared" ca="1" si="40"/>
        <v>2.9196850995883289E-2</v>
      </c>
      <c r="N1088" s="7">
        <f ca="1">SUM($M$4:M1088)</f>
        <v>-0.66318561547792032</v>
      </c>
    </row>
    <row r="1089" spans="1:14" x14ac:dyDescent="0.3">
      <c r="A1089" s="3">
        <v>45041</v>
      </c>
      <c r="B1089" s="4">
        <v>12.81</v>
      </c>
      <c r="D1089" s="11">
        <v>1086</v>
      </c>
      <c r="E1089" s="3">
        <v>45042</v>
      </c>
      <c r="F1089" s="7">
        <f t="shared" si="39"/>
        <v>-1.8117864636348433E-2</v>
      </c>
      <c r="G1089" s="7">
        <f>SUM($F$4:F1089)</f>
        <v>-0.71942835583545728</v>
      </c>
      <c r="L1089" s="11">
        <v>1086</v>
      </c>
      <c r="M1089" s="7">
        <f t="shared" ca="1" si="40"/>
        <v>-2.7111361639034482E-2</v>
      </c>
      <c r="N1089" s="7">
        <f ca="1">SUM($M$4:M1089)</f>
        <v>-0.69029697711695481</v>
      </c>
    </row>
    <row r="1090" spans="1:14" x14ac:dyDescent="0.3">
      <c r="A1090" s="3">
        <v>45042</v>
      </c>
      <c r="B1090" s="4">
        <v>12.58</v>
      </c>
      <c r="D1090" s="11">
        <v>1087</v>
      </c>
      <c r="E1090" s="3">
        <v>45043</v>
      </c>
      <c r="F1090" s="7">
        <f t="shared" si="39"/>
        <v>3.9740328649514121E-2</v>
      </c>
      <c r="G1090" s="7">
        <f>SUM($F$4:F1090)</f>
        <v>-0.67968802718594312</v>
      </c>
      <c r="L1090" s="11">
        <v>1087</v>
      </c>
      <c r="M1090" s="7">
        <f t="shared" ca="1" si="40"/>
        <v>3.3367829709580903E-2</v>
      </c>
      <c r="N1090" s="7">
        <f ca="1">SUM($M$4:M1090)</f>
        <v>-0.65692914740737396</v>
      </c>
    </row>
    <row r="1091" spans="1:14" x14ac:dyDescent="0.3">
      <c r="A1091" s="3">
        <v>45043</v>
      </c>
      <c r="B1091" s="4">
        <v>13.09</v>
      </c>
      <c r="D1091" s="11">
        <v>1088</v>
      </c>
      <c r="E1091" s="3">
        <v>45044</v>
      </c>
      <c r="F1091" s="7">
        <f t="shared" si="39"/>
        <v>3.895623674156614E-2</v>
      </c>
      <c r="G1091" s="7">
        <f>SUM($F$4:F1091)</f>
        <v>-0.640731790444377</v>
      </c>
      <c r="L1091" s="11">
        <v>1088</v>
      </c>
      <c r="M1091" s="7">
        <f t="shared" ca="1" si="40"/>
        <v>1.0427446784244032E-2</v>
      </c>
      <c r="N1091" s="7">
        <f ca="1">SUM($M$4:M1091)</f>
        <v>-0.64650170062312995</v>
      </c>
    </row>
    <row r="1092" spans="1:14" x14ac:dyDescent="0.3">
      <c r="A1092" s="3">
        <v>45044</v>
      </c>
      <c r="B1092" s="4">
        <v>13.61</v>
      </c>
      <c r="D1092" s="11">
        <v>1089</v>
      </c>
      <c r="E1092" s="3">
        <v>45047</v>
      </c>
      <c r="F1092" s="7">
        <f t="shared" ref="F1092:F1155" si="41">LN(B1093/B1092)</f>
        <v>-2.3792943938220748E-2</v>
      </c>
      <c r="G1092" s="7">
        <f>SUM($F$4:F1092)</f>
        <v>-0.66452473438259774</v>
      </c>
      <c r="L1092" s="11">
        <v>1089</v>
      </c>
      <c r="M1092" s="7">
        <f t="shared" ca="1" si="40"/>
        <v>-1.8769404211639258E-2</v>
      </c>
      <c r="N1092" s="7">
        <f ca="1">SUM($M$4:M1092)</f>
        <v>-0.66527110483476926</v>
      </c>
    </row>
    <row r="1093" spans="1:14" x14ac:dyDescent="0.3">
      <c r="A1093" s="3">
        <v>45047</v>
      </c>
      <c r="B1093" s="4">
        <v>13.29</v>
      </c>
      <c r="D1093" s="11">
        <v>1090</v>
      </c>
      <c r="E1093" s="3">
        <v>45048</v>
      </c>
      <c r="F1093" s="7">
        <f t="shared" si="41"/>
        <v>-4.619759099885766E-2</v>
      </c>
      <c r="G1093" s="7">
        <f>SUM($F$4:F1093)</f>
        <v>-0.71072232538145541</v>
      </c>
      <c r="L1093" s="11">
        <v>1090</v>
      </c>
      <c r="M1093" s="7">
        <f t="shared" ref="M1093:M1156" ca="1" si="42">(2*_xlfn.BINOM.INV($J$4,$J$12,RAND())-$J$4)*$J$11</f>
        <v>-4.1709787136976128E-3</v>
      </c>
      <c r="N1093" s="7">
        <f ca="1">SUM($M$4:M1093)</f>
        <v>-0.6694420835484669</v>
      </c>
    </row>
    <row r="1094" spans="1:14" x14ac:dyDescent="0.3">
      <c r="A1094" s="3">
        <v>45048</v>
      </c>
      <c r="B1094" s="4">
        <v>12.69</v>
      </c>
      <c r="D1094" s="11">
        <v>1091</v>
      </c>
      <c r="E1094" s="3">
        <v>45049</v>
      </c>
      <c r="F1094" s="7">
        <f t="shared" si="41"/>
        <v>1.0971896901248782E-2</v>
      </c>
      <c r="G1094" s="7">
        <f>SUM($F$4:F1094)</f>
        <v>-0.69975042848020663</v>
      </c>
      <c r="L1094" s="11">
        <v>1091</v>
      </c>
      <c r="M1094" s="7">
        <f t="shared" ca="1" si="42"/>
        <v>3.1282340352732099E-2</v>
      </c>
      <c r="N1094" s="7">
        <f ca="1">SUM($M$4:M1094)</f>
        <v>-0.63815974319573476</v>
      </c>
    </row>
    <row r="1095" spans="1:14" x14ac:dyDescent="0.3">
      <c r="A1095" s="3">
        <v>45049</v>
      </c>
      <c r="B1095" s="4">
        <v>12.83</v>
      </c>
      <c r="D1095" s="11">
        <v>1092</v>
      </c>
      <c r="E1095" s="3">
        <v>45050</v>
      </c>
      <c r="F1095" s="7">
        <f t="shared" si="41"/>
        <v>-3.9750861451292141E-2</v>
      </c>
      <c r="G1095" s="7">
        <f>SUM($F$4:F1095)</f>
        <v>-0.73950128993149877</v>
      </c>
      <c r="L1095" s="11">
        <v>1092</v>
      </c>
      <c r="M1095" s="7">
        <f t="shared" ca="1" si="42"/>
        <v>-2.9196850995883289E-2</v>
      </c>
      <c r="N1095" s="7">
        <f ca="1">SUM($M$4:M1095)</f>
        <v>-0.66735659419161808</v>
      </c>
    </row>
    <row r="1096" spans="1:14" x14ac:dyDescent="0.3">
      <c r="A1096" s="3">
        <v>45050</v>
      </c>
      <c r="B1096" s="4">
        <v>12.33</v>
      </c>
      <c r="D1096" s="11">
        <v>1093</v>
      </c>
      <c r="E1096" s="3">
        <v>45051</v>
      </c>
      <c r="F1096" s="7">
        <f t="shared" si="41"/>
        <v>4.4416499774843105E-2</v>
      </c>
      <c r="G1096" s="7">
        <f>SUM($F$4:F1096)</f>
        <v>-0.6950847901566557</v>
      </c>
      <c r="L1096" s="11">
        <v>1093</v>
      </c>
      <c r="M1096" s="7">
        <f t="shared" ca="1" si="42"/>
        <v>-3.1282340352732099E-2</v>
      </c>
      <c r="N1096" s="7">
        <f ca="1">SUM($M$4:M1096)</f>
        <v>-0.69863893454435022</v>
      </c>
    </row>
    <row r="1097" spans="1:14" x14ac:dyDescent="0.3">
      <c r="A1097" s="3">
        <v>45051</v>
      </c>
      <c r="B1097" s="4">
        <v>12.89</v>
      </c>
      <c r="D1097" s="11">
        <v>1094</v>
      </c>
      <c r="E1097" s="3">
        <v>45054</v>
      </c>
      <c r="F1097" s="7">
        <f t="shared" si="41"/>
        <v>4.3270507265485834E-2</v>
      </c>
      <c r="G1097" s="7">
        <f>SUM($F$4:F1097)</f>
        <v>-0.65181428289116983</v>
      </c>
      <c r="L1097" s="11">
        <v>1094</v>
      </c>
      <c r="M1097" s="7">
        <f t="shared" ca="1" si="42"/>
        <v>2.5025872282185675E-2</v>
      </c>
      <c r="N1097" s="7">
        <f ca="1">SUM($M$4:M1097)</f>
        <v>-0.67361306226216455</v>
      </c>
    </row>
    <row r="1098" spans="1:14" x14ac:dyDescent="0.3">
      <c r="A1098" s="3">
        <v>45054</v>
      </c>
      <c r="B1098" s="4">
        <v>13.46</v>
      </c>
      <c r="D1098" s="11">
        <v>1095</v>
      </c>
      <c r="E1098" s="3">
        <v>45055</v>
      </c>
      <c r="F1098" s="7">
        <f t="shared" si="41"/>
        <v>-3.7216269229946885E-3</v>
      </c>
      <c r="G1098" s="7">
        <f>SUM($F$4:F1098)</f>
        <v>-0.65553590981416454</v>
      </c>
      <c r="L1098" s="11">
        <v>1095</v>
      </c>
      <c r="M1098" s="7">
        <f t="shared" ca="1" si="42"/>
        <v>4.1709787136976128E-3</v>
      </c>
      <c r="N1098" s="7">
        <f ca="1">SUM($M$4:M1098)</f>
        <v>-0.6694420835484669</v>
      </c>
    </row>
    <row r="1099" spans="1:14" x14ac:dyDescent="0.3">
      <c r="A1099" s="3">
        <v>45055</v>
      </c>
      <c r="B1099" s="4">
        <v>13.41</v>
      </c>
      <c r="D1099" s="11">
        <v>1096</v>
      </c>
      <c r="E1099" s="3">
        <v>45056</v>
      </c>
      <c r="F1099" s="7">
        <f t="shared" si="41"/>
        <v>-2.797914079508031E-2</v>
      </c>
      <c r="G1099" s="7">
        <f>SUM($F$4:F1099)</f>
        <v>-0.68351505060924489</v>
      </c>
      <c r="L1099" s="11">
        <v>1096</v>
      </c>
      <c r="M1099" s="7">
        <f t="shared" ca="1" si="42"/>
        <v>-2.0854893568488065E-2</v>
      </c>
      <c r="N1099" s="7">
        <f ca="1">SUM($M$4:M1099)</f>
        <v>-0.69029697711695492</v>
      </c>
    </row>
    <row r="1100" spans="1:14" x14ac:dyDescent="0.3">
      <c r="A1100" s="3">
        <v>45056</v>
      </c>
      <c r="B1100" s="4">
        <v>13.04</v>
      </c>
      <c r="D1100" s="11">
        <v>1097</v>
      </c>
      <c r="E1100" s="3">
        <v>45057</v>
      </c>
      <c r="F1100" s="7">
        <f t="shared" si="41"/>
        <v>-5.1939289242056777E-2</v>
      </c>
      <c r="G1100" s="7">
        <f>SUM($F$4:F1100)</f>
        <v>-0.73545433985130171</v>
      </c>
      <c r="L1100" s="11">
        <v>1097</v>
      </c>
      <c r="M1100" s="7">
        <f t="shared" ca="1" si="42"/>
        <v>-2.0854893568488064E-3</v>
      </c>
      <c r="N1100" s="7">
        <f ca="1">SUM($M$4:M1100)</f>
        <v>-0.69238246647380375</v>
      </c>
    </row>
    <row r="1101" spans="1:14" x14ac:dyDescent="0.3">
      <c r="A1101" s="3">
        <v>45057</v>
      </c>
      <c r="B1101" s="4">
        <v>12.38</v>
      </c>
      <c r="D1101" s="11">
        <v>1098</v>
      </c>
      <c r="E1101" s="3">
        <v>45058</v>
      </c>
      <c r="F1101" s="7">
        <f t="shared" si="41"/>
        <v>1.0446057222369699E-2</v>
      </c>
      <c r="G1101" s="7">
        <f>SUM($F$4:F1101)</f>
        <v>-0.72500828262893202</v>
      </c>
      <c r="L1101" s="11">
        <v>1098</v>
      </c>
      <c r="M1101" s="7">
        <f t="shared" ca="1" si="42"/>
        <v>-6.2564680705464188E-3</v>
      </c>
      <c r="N1101" s="7">
        <f ca="1">SUM($M$4:M1101)</f>
        <v>-0.69863893454435022</v>
      </c>
    </row>
    <row r="1102" spans="1:14" x14ac:dyDescent="0.3">
      <c r="A1102" s="3">
        <v>45058</v>
      </c>
      <c r="B1102" s="4">
        <v>12.51</v>
      </c>
      <c r="D1102" s="11">
        <v>1099</v>
      </c>
      <c r="E1102" s="3">
        <v>45061</v>
      </c>
      <c r="F1102" s="7">
        <f t="shared" si="41"/>
        <v>2.3697791429823176E-2</v>
      </c>
      <c r="G1102" s="7">
        <f>SUM($F$4:F1102)</f>
        <v>-0.70131049119910882</v>
      </c>
      <c r="L1102" s="11">
        <v>1099</v>
      </c>
      <c r="M1102" s="7">
        <f t="shared" ca="1" si="42"/>
        <v>-1.2512936141092838E-2</v>
      </c>
      <c r="N1102" s="7">
        <f ca="1">SUM($M$4:M1102)</f>
        <v>-0.71115187068544305</v>
      </c>
    </row>
    <row r="1103" spans="1:14" x14ac:dyDescent="0.3">
      <c r="A1103" s="3">
        <v>45061</v>
      </c>
      <c r="B1103" s="4">
        <v>12.81</v>
      </c>
      <c r="D1103" s="11">
        <v>1100</v>
      </c>
      <c r="E1103" s="3">
        <v>45062</v>
      </c>
      <c r="F1103" s="7">
        <f t="shared" si="41"/>
        <v>-5.2896946122085474E-2</v>
      </c>
      <c r="G1103" s="7">
        <f>SUM($F$4:F1103)</f>
        <v>-0.75420743732119433</v>
      </c>
      <c r="L1103" s="11">
        <v>1100</v>
      </c>
      <c r="M1103" s="7">
        <f t="shared" ca="1" si="42"/>
        <v>-1.0427446784244032E-2</v>
      </c>
      <c r="N1103" s="7">
        <f ca="1">SUM($M$4:M1103)</f>
        <v>-0.72157931746968706</v>
      </c>
    </row>
    <row r="1104" spans="1:14" x14ac:dyDescent="0.3">
      <c r="A1104" s="3">
        <v>45062</v>
      </c>
      <c r="B1104" s="4">
        <v>12.15</v>
      </c>
      <c r="D1104" s="11">
        <v>1101</v>
      </c>
      <c r="E1104" s="3">
        <v>45063</v>
      </c>
      <c r="F1104" s="7">
        <f t="shared" si="41"/>
        <v>2.919915469226235E-2</v>
      </c>
      <c r="G1104" s="7">
        <f>SUM($F$4:F1104)</f>
        <v>-0.72500828262893202</v>
      </c>
      <c r="L1104" s="11">
        <v>1101</v>
      </c>
      <c r="M1104" s="7">
        <f t="shared" ca="1" si="42"/>
        <v>-1.6683914854790451E-2</v>
      </c>
      <c r="N1104" s="7">
        <f ca="1">SUM($M$4:M1104)</f>
        <v>-0.73826323232447755</v>
      </c>
    </row>
    <row r="1105" spans="1:14" x14ac:dyDescent="0.3">
      <c r="A1105" s="3">
        <v>45063</v>
      </c>
      <c r="B1105" s="4">
        <v>12.51</v>
      </c>
      <c r="D1105" s="11">
        <v>1102</v>
      </c>
      <c r="E1105" s="3">
        <v>45064</v>
      </c>
      <c r="F1105" s="7">
        <f t="shared" si="41"/>
        <v>-8.8318518678285728E-3</v>
      </c>
      <c r="G1105" s="7">
        <f>SUM($F$4:F1105)</f>
        <v>-0.73384013449676055</v>
      </c>
      <c r="L1105" s="11">
        <v>1102</v>
      </c>
      <c r="M1105" s="7">
        <f t="shared" ca="1" si="42"/>
        <v>-2.7111361639034482E-2</v>
      </c>
      <c r="N1105" s="7">
        <f ca="1">SUM($M$4:M1105)</f>
        <v>-0.76537459396351204</v>
      </c>
    </row>
    <row r="1106" spans="1:14" x14ac:dyDescent="0.3">
      <c r="A1106" s="3">
        <v>45064</v>
      </c>
      <c r="B1106" s="4">
        <v>12.4</v>
      </c>
      <c r="D1106" s="11">
        <v>1103</v>
      </c>
      <c r="E1106" s="3">
        <v>45065</v>
      </c>
      <c r="F1106" s="7">
        <f t="shared" si="41"/>
        <v>-1.6260520871780405E-2</v>
      </c>
      <c r="G1106" s="7">
        <f>SUM($F$4:F1106)</f>
        <v>-0.75010065536854098</v>
      </c>
      <c r="L1106" s="11">
        <v>1103</v>
      </c>
      <c r="M1106" s="7">
        <f t="shared" ca="1" si="42"/>
        <v>-2.0854893568488065E-2</v>
      </c>
      <c r="N1106" s="7">
        <f ca="1">SUM($M$4:M1106)</f>
        <v>-0.78622948753200006</v>
      </c>
    </row>
    <row r="1107" spans="1:14" x14ac:dyDescent="0.3">
      <c r="A1107" s="3">
        <v>45065</v>
      </c>
      <c r="B1107" s="4">
        <v>12.2</v>
      </c>
      <c r="D1107" s="11">
        <v>1104</v>
      </c>
      <c r="E1107" s="3">
        <v>45068</v>
      </c>
      <c r="F1107" s="7">
        <f t="shared" si="41"/>
        <v>-3.2840752011898846E-3</v>
      </c>
      <c r="G1107" s="7">
        <f>SUM($F$4:F1107)</f>
        <v>-0.75338473056973088</v>
      </c>
      <c r="L1107" s="11">
        <v>1104</v>
      </c>
      <c r="M1107" s="7">
        <f t="shared" ca="1" si="42"/>
        <v>4.7966255207522547E-2</v>
      </c>
      <c r="N1107" s="7">
        <f ca="1">SUM($M$4:M1107)</f>
        <v>-0.73826323232447755</v>
      </c>
    </row>
    <row r="1108" spans="1:14" x14ac:dyDescent="0.3">
      <c r="A1108" s="3">
        <v>45068</v>
      </c>
      <c r="B1108" s="4">
        <v>12.16</v>
      </c>
      <c r="D1108" s="11">
        <v>1105</v>
      </c>
      <c r="E1108" s="3">
        <v>45069</v>
      </c>
      <c r="F1108" s="7">
        <f t="shared" si="41"/>
        <v>-3.9418101054044009E-2</v>
      </c>
      <c r="G1108" s="7">
        <f>SUM($F$4:F1108)</f>
        <v>-0.79280283162377485</v>
      </c>
      <c r="L1108" s="11">
        <v>1105</v>
      </c>
      <c r="M1108" s="7">
        <f t="shared" ca="1" si="42"/>
        <v>2.0854893568488064E-3</v>
      </c>
      <c r="N1108" s="7">
        <f ca="1">SUM($M$4:M1108)</f>
        <v>-0.73617774296762872</v>
      </c>
    </row>
    <row r="1109" spans="1:14" x14ac:dyDescent="0.3">
      <c r="A1109" s="3">
        <v>45069</v>
      </c>
      <c r="B1109" s="4">
        <v>11.69</v>
      </c>
      <c r="D1109" s="11">
        <v>1106</v>
      </c>
      <c r="E1109" s="3">
        <v>45070</v>
      </c>
      <c r="F1109" s="7">
        <f t="shared" si="41"/>
        <v>-2.5695945616306497E-3</v>
      </c>
      <c r="G1109" s="7">
        <f>SUM($F$4:F1109)</f>
        <v>-0.79537242618540549</v>
      </c>
      <c r="L1109" s="11">
        <v>1106</v>
      </c>
      <c r="M1109" s="7">
        <f t="shared" ca="1" si="42"/>
        <v>1.6683914854790451E-2</v>
      </c>
      <c r="N1109" s="7">
        <f ca="1">SUM($M$4:M1109)</f>
        <v>-0.71949382811283824</v>
      </c>
    </row>
    <row r="1110" spans="1:14" x14ac:dyDescent="0.3">
      <c r="A1110" s="3">
        <v>45070</v>
      </c>
      <c r="B1110" s="4">
        <v>11.66</v>
      </c>
      <c r="D1110" s="11">
        <v>1107</v>
      </c>
      <c r="E1110" s="3">
        <v>45071</v>
      </c>
      <c r="F1110" s="7">
        <f t="shared" si="41"/>
        <v>-5.012037956007067E-2</v>
      </c>
      <c r="G1110" s="7">
        <f>SUM($F$4:F1110)</f>
        <v>-0.84549280574547614</v>
      </c>
      <c r="L1110" s="11">
        <v>1107</v>
      </c>
      <c r="M1110" s="7">
        <f t="shared" ca="1" si="42"/>
        <v>1.4598425497941644E-2</v>
      </c>
      <c r="N1110" s="7">
        <f ca="1">SUM($M$4:M1110)</f>
        <v>-0.70489540261489658</v>
      </c>
    </row>
    <row r="1111" spans="1:14" x14ac:dyDescent="0.3">
      <c r="A1111" s="3">
        <v>45071</v>
      </c>
      <c r="B1111" s="4">
        <v>11.09</v>
      </c>
      <c r="D1111" s="11">
        <v>1108</v>
      </c>
      <c r="E1111" s="3">
        <v>45072</v>
      </c>
      <c r="F1111" s="7">
        <f t="shared" si="41"/>
        <v>3.1072184589376248E-2</v>
      </c>
      <c r="G1111" s="7">
        <f>SUM($F$4:F1111)</f>
        <v>-0.81442062115609992</v>
      </c>
      <c r="L1111" s="11">
        <v>1108</v>
      </c>
      <c r="M1111" s="7">
        <f t="shared" ca="1" si="42"/>
        <v>-4.5880765850673744E-2</v>
      </c>
      <c r="N1111" s="7">
        <f ca="1">SUM($M$4:M1111)</f>
        <v>-0.75077616846557027</v>
      </c>
    </row>
    <row r="1112" spans="1:14" x14ac:dyDescent="0.3">
      <c r="A1112" s="3">
        <v>45072</v>
      </c>
      <c r="B1112" s="4">
        <v>11.44</v>
      </c>
      <c r="D1112" s="11">
        <v>1109</v>
      </c>
      <c r="E1112" s="3">
        <v>45076</v>
      </c>
      <c r="F1112" s="7">
        <f t="shared" si="41"/>
        <v>-1.2313260233356901E-2</v>
      </c>
      <c r="G1112" s="7">
        <f>SUM($F$4:F1112)</f>
        <v>-0.8267338813894568</v>
      </c>
      <c r="L1112" s="11">
        <v>1109</v>
      </c>
      <c r="M1112" s="7">
        <f t="shared" ca="1" si="42"/>
        <v>-1.2512936141092838E-2</v>
      </c>
      <c r="N1112" s="7">
        <f ca="1">SUM($M$4:M1112)</f>
        <v>-0.7632891046066631</v>
      </c>
    </row>
    <row r="1113" spans="1:14" x14ac:dyDescent="0.3">
      <c r="A1113" s="3">
        <v>45076</v>
      </c>
      <c r="B1113" s="4">
        <v>11.3</v>
      </c>
      <c r="D1113" s="11">
        <v>1110</v>
      </c>
      <c r="E1113" s="3">
        <v>45077</v>
      </c>
      <c r="F1113" s="7">
        <f t="shared" si="41"/>
        <v>-1.7714796483821156E-3</v>
      </c>
      <c r="G1113" s="7">
        <f>SUM($F$4:F1113)</f>
        <v>-0.82850536103783889</v>
      </c>
      <c r="L1113" s="11">
        <v>1110</v>
      </c>
      <c r="M1113" s="7">
        <f t="shared" ca="1" si="42"/>
        <v>3.5453319066429706E-2</v>
      </c>
      <c r="N1113" s="7">
        <f ca="1">SUM($M$4:M1113)</f>
        <v>-0.72783578554023343</v>
      </c>
    </row>
    <row r="1114" spans="1:14" x14ac:dyDescent="0.3">
      <c r="A1114" s="3">
        <v>45077</v>
      </c>
      <c r="B1114" s="4">
        <v>11.28</v>
      </c>
      <c r="D1114" s="11">
        <v>1111</v>
      </c>
      <c r="E1114" s="3">
        <v>45078</v>
      </c>
      <c r="F1114" s="7">
        <f t="shared" si="41"/>
        <v>6.1864978574989763E-3</v>
      </c>
      <c r="G1114" s="7">
        <f>SUM($F$4:F1114)</f>
        <v>-0.82231886318033987</v>
      </c>
      <c r="L1114" s="11">
        <v>1111</v>
      </c>
      <c r="M1114" s="7">
        <f t="shared" ca="1" si="42"/>
        <v>-1.6683914854790451E-2</v>
      </c>
      <c r="N1114" s="7">
        <f ca="1">SUM($M$4:M1114)</f>
        <v>-0.74451970039502391</v>
      </c>
    </row>
    <row r="1115" spans="1:14" x14ac:dyDescent="0.3">
      <c r="A1115" s="3">
        <v>45078</v>
      </c>
      <c r="B1115" s="4">
        <v>11.35</v>
      </c>
      <c r="D1115" s="11">
        <v>1112</v>
      </c>
      <c r="E1115" s="3">
        <v>45079</v>
      </c>
      <c r="F1115" s="7">
        <f t="shared" si="41"/>
        <v>3.4635496662756338E-2</v>
      </c>
      <c r="G1115" s="7">
        <f>SUM($F$4:F1115)</f>
        <v>-0.78768336651758353</v>
      </c>
      <c r="L1115" s="11">
        <v>1112</v>
      </c>
      <c r="M1115" s="7">
        <f t="shared" ca="1" si="42"/>
        <v>6.2564680705464188E-3</v>
      </c>
      <c r="N1115" s="7">
        <f ca="1">SUM($M$4:M1115)</f>
        <v>-0.73826323232447744</v>
      </c>
    </row>
    <row r="1116" spans="1:14" x14ac:dyDescent="0.3">
      <c r="A1116" s="3">
        <v>45079</v>
      </c>
      <c r="B1116" s="4">
        <v>11.75</v>
      </c>
      <c r="D1116" s="11">
        <v>1113</v>
      </c>
      <c r="E1116" s="3">
        <v>45082</v>
      </c>
      <c r="F1116" s="7">
        <f t="shared" si="41"/>
        <v>-1.0265274059594792E-2</v>
      </c>
      <c r="G1116" s="7">
        <f>SUM($F$4:F1116)</f>
        <v>-0.79794864057717829</v>
      </c>
      <c r="L1116" s="11">
        <v>1113</v>
      </c>
      <c r="M1116" s="7">
        <f t="shared" ca="1" si="42"/>
        <v>2.7111361639034482E-2</v>
      </c>
      <c r="N1116" s="7">
        <f ca="1">SUM($M$4:M1116)</f>
        <v>-0.71115187068544294</v>
      </c>
    </row>
    <row r="1117" spans="1:14" x14ac:dyDescent="0.3">
      <c r="A1117" s="3">
        <v>45082</v>
      </c>
      <c r="B1117" s="4">
        <v>11.63</v>
      </c>
      <c r="D1117" s="11">
        <v>1114</v>
      </c>
      <c r="E1117" s="3">
        <v>45083</v>
      </c>
      <c r="F1117" s="7">
        <f t="shared" si="41"/>
        <v>3.9617486072122302E-2</v>
      </c>
      <c r="G1117" s="7">
        <f>SUM($F$4:F1117)</f>
        <v>-0.75833115450505595</v>
      </c>
      <c r="L1117" s="11">
        <v>1114</v>
      </c>
      <c r="M1117" s="7">
        <f t="shared" ca="1" si="42"/>
        <v>3.7538808423278516E-2</v>
      </c>
      <c r="N1117" s="7">
        <f ca="1">SUM($M$4:M1117)</f>
        <v>-0.67361306226216444</v>
      </c>
    </row>
    <row r="1118" spans="1:14" x14ac:dyDescent="0.3">
      <c r="A1118" s="3">
        <v>45083</v>
      </c>
      <c r="B1118" s="4">
        <v>12.1</v>
      </c>
      <c r="D1118" s="11">
        <v>1115</v>
      </c>
      <c r="E1118" s="3">
        <v>45084</v>
      </c>
      <c r="F1118" s="7">
        <f t="shared" si="41"/>
        <v>8.0932330913247488E-2</v>
      </c>
      <c r="G1118" s="7">
        <f>SUM($F$4:F1118)</f>
        <v>-0.67739882359180847</v>
      </c>
      <c r="L1118" s="11">
        <v>1115</v>
      </c>
      <c r="M1118" s="7">
        <f t="shared" ca="1" si="42"/>
        <v>1.4598425497941644E-2</v>
      </c>
      <c r="N1118" s="7">
        <f ca="1">SUM($M$4:M1118)</f>
        <v>-0.65901463676422278</v>
      </c>
    </row>
    <row r="1119" spans="1:14" x14ac:dyDescent="0.3">
      <c r="A1119" s="3">
        <v>45084</v>
      </c>
      <c r="B1119" s="4">
        <v>13.12</v>
      </c>
      <c r="D1119" s="11">
        <v>1116</v>
      </c>
      <c r="E1119" s="3">
        <v>45085</v>
      </c>
      <c r="F1119" s="7">
        <f t="shared" si="41"/>
        <v>6.6347098090501058E-2</v>
      </c>
      <c r="G1119" s="7">
        <f>SUM($F$4:F1119)</f>
        <v>-0.61105172550130737</v>
      </c>
      <c r="L1119" s="11">
        <v>1116</v>
      </c>
      <c r="M1119" s="7">
        <f t="shared" ca="1" si="42"/>
        <v>-2.7111361639034482E-2</v>
      </c>
      <c r="N1119" s="7">
        <f ca="1">SUM($M$4:M1119)</f>
        <v>-0.68612599840325728</v>
      </c>
    </row>
    <row r="1120" spans="1:14" x14ac:dyDescent="0.3">
      <c r="A1120" s="3">
        <v>45085</v>
      </c>
      <c r="B1120" s="4">
        <v>14.02</v>
      </c>
      <c r="D1120" s="11">
        <v>1117</v>
      </c>
      <c r="E1120" s="3">
        <v>45086</v>
      </c>
      <c r="F1120" s="7">
        <f t="shared" si="41"/>
        <v>-1.2921931416920449E-2</v>
      </c>
      <c r="G1120" s="7">
        <f>SUM($F$4:F1120)</f>
        <v>-0.62397365691822781</v>
      </c>
      <c r="L1120" s="11">
        <v>1117</v>
      </c>
      <c r="M1120" s="7">
        <f t="shared" ca="1" si="42"/>
        <v>4.170978713697613E-2</v>
      </c>
      <c r="N1120" s="7">
        <f ca="1">SUM($M$4:M1120)</f>
        <v>-0.64441621126628112</v>
      </c>
    </row>
    <row r="1121" spans="1:14" x14ac:dyDescent="0.3">
      <c r="A1121" s="3">
        <v>45086</v>
      </c>
      <c r="B1121" s="4">
        <v>13.84</v>
      </c>
      <c r="D1121" s="11">
        <v>1118</v>
      </c>
      <c r="E1121" s="3">
        <v>45089</v>
      </c>
      <c r="F1121" s="7">
        <f t="shared" si="41"/>
        <v>9.3492230793469997E-3</v>
      </c>
      <c r="G1121" s="7">
        <f>SUM($F$4:F1121)</f>
        <v>-0.61462443383888077</v>
      </c>
      <c r="L1121" s="11">
        <v>1118</v>
      </c>
      <c r="M1121" s="7">
        <f t="shared" ca="1" si="42"/>
        <v>7.7163106203405843E-2</v>
      </c>
      <c r="N1121" s="7">
        <f ca="1">SUM($M$4:M1121)</f>
        <v>-0.5672531050628753</v>
      </c>
    </row>
    <row r="1122" spans="1:14" x14ac:dyDescent="0.3">
      <c r="A1122" s="3">
        <v>45089</v>
      </c>
      <c r="B1122" s="4">
        <v>13.97</v>
      </c>
      <c r="D1122" s="11">
        <v>1119</v>
      </c>
      <c r="E1122" s="3">
        <v>45090</v>
      </c>
      <c r="F1122" s="7">
        <f t="shared" si="41"/>
        <v>-1.2968481463660114E-2</v>
      </c>
      <c r="G1122" s="7">
        <f>SUM($F$4:F1122)</f>
        <v>-0.62759291530254091</v>
      </c>
      <c r="L1122" s="11">
        <v>1119</v>
      </c>
      <c r="M1122" s="7">
        <f t="shared" ca="1" si="42"/>
        <v>-5.005174456437135E-2</v>
      </c>
      <c r="N1122" s="7">
        <f ca="1">SUM($M$4:M1122)</f>
        <v>-0.61730484962724663</v>
      </c>
    </row>
    <row r="1123" spans="1:14" x14ac:dyDescent="0.3">
      <c r="A1123" s="3">
        <v>45090</v>
      </c>
      <c r="B1123" s="4">
        <v>13.79</v>
      </c>
      <c r="D1123" s="11">
        <v>1120</v>
      </c>
      <c r="E1123" s="3">
        <v>45091</v>
      </c>
      <c r="F1123" s="7">
        <f t="shared" si="41"/>
        <v>-8.7400410693521495E-3</v>
      </c>
      <c r="G1123" s="7">
        <f>SUM($F$4:F1123)</f>
        <v>-0.63633295637189302</v>
      </c>
      <c r="L1123" s="11">
        <v>1120</v>
      </c>
      <c r="M1123" s="7">
        <f t="shared" ca="1" si="42"/>
        <v>-5.2137233921220161E-2</v>
      </c>
      <c r="N1123" s="7">
        <f ca="1">SUM($M$4:M1123)</f>
        <v>-0.66944208354846679</v>
      </c>
    </row>
    <row r="1124" spans="1:14" x14ac:dyDescent="0.3">
      <c r="A1124" s="3">
        <v>45091</v>
      </c>
      <c r="B1124" s="4">
        <v>13.67</v>
      </c>
      <c r="D1124" s="11">
        <v>1121</v>
      </c>
      <c r="E1124" s="3">
        <v>45092</v>
      </c>
      <c r="F1124" s="7">
        <f t="shared" si="41"/>
        <v>-4.030396242115325E-2</v>
      </c>
      <c r="G1124" s="7">
        <f>SUM($F$4:F1124)</f>
        <v>-0.67663691879304633</v>
      </c>
      <c r="L1124" s="11">
        <v>1121</v>
      </c>
      <c r="M1124" s="7">
        <f t="shared" ca="1" si="42"/>
        <v>-4.1709787136976128E-3</v>
      </c>
      <c r="N1124" s="7">
        <f ca="1">SUM($M$4:M1124)</f>
        <v>-0.67361306226216444</v>
      </c>
    </row>
    <row r="1125" spans="1:14" x14ac:dyDescent="0.3">
      <c r="A1125" s="3">
        <v>45092</v>
      </c>
      <c r="B1125" s="4">
        <v>13.13</v>
      </c>
      <c r="D1125" s="11">
        <v>1122</v>
      </c>
      <c r="E1125" s="3">
        <v>45093</v>
      </c>
      <c r="F1125" s="7">
        <f t="shared" si="41"/>
        <v>-2.5454517389133343E-2</v>
      </c>
      <c r="G1125" s="7">
        <f>SUM($F$4:F1125)</f>
        <v>-0.70209143618217962</v>
      </c>
      <c r="L1125" s="11">
        <v>1122</v>
      </c>
      <c r="M1125" s="7">
        <f t="shared" ca="1" si="42"/>
        <v>-8.3419574273952257E-3</v>
      </c>
      <c r="N1125" s="7">
        <f ca="1">SUM($M$4:M1125)</f>
        <v>-0.68195501968955963</v>
      </c>
    </row>
    <row r="1126" spans="1:14" x14ac:dyDescent="0.3">
      <c r="A1126" s="3">
        <v>45093</v>
      </c>
      <c r="B1126" s="4">
        <v>12.8</v>
      </c>
      <c r="D1126" s="11">
        <v>1123</v>
      </c>
      <c r="E1126" s="3">
        <v>45097</v>
      </c>
      <c r="F1126" s="7">
        <f t="shared" si="41"/>
        <v>-4.8829227432391396E-2</v>
      </c>
      <c r="G1126" s="7">
        <f>SUM($F$4:F1126)</f>
        <v>-0.75092066361457099</v>
      </c>
      <c r="L1126" s="11">
        <v>1123</v>
      </c>
      <c r="M1126" s="7">
        <f t="shared" ca="1" si="42"/>
        <v>3.1282340352732099E-2</v>
      </c>
      <c r="N1126" s="7">
        <f ca="1">SUM($M$4:M1126)</f>
        <v>-0.65067267933682749</v>
      </c>
    </row>
    <row r="1127" spans="1:14" x14ac:dyDescent="0.3">
      <c r="A1127" s="3">
        <v>45097</v>
      </c>
      <c r="B1127" s="4">
        <v>12.19</v>
      </c>
      <c r="D1127" s="11">
        <v>1124</v>
      </c>
      <c r="E1127" s="3">
        <v>45098</v>
      </c>
      <c r="F1127" s="7">
        <f t="shared" si="41"/>
        <v>1.4658242911216448E-2</v>
      </c>
      <c r="G1127" s="7">
        <f>SUM($F$4:F1127)</f>
        <v>-0.73626242070335457</v>
      </c>
      <c r="L1127" s="11">
        <v>1124</v>
      </c>
      <c r="M1127" s="7">
        <f t="shared" ca="1" si="42"/>
        <v>2.5025872282185675E-2</v>
      </c>
      <c r="N1127" s="7">
        <f ca="1">SUM($M$4:M1127)</f>
        <v>-0.62564680705464182</v>
      </c>
    </row>
    <row r="1128" spans="1:14" x14ac:dyDescent="0.3">
      <c r="A1128" s="3">
        <v>45098</v>
      </c>
      <c r="B1128" s="4">
        <v>12.37</v>
      </c>
      <c r="D1128" s="11">
        <v>1125</v>
      </c>
      <c r="E1128" s="3">
        <v>45099</v>
      </c>
      <c r="F1128" s="7">
        <f t="shared" si="41"/>
        <v>-2.2895521777695192E-2</v>
      </c>
      <c r="G1128" s="7">
        <f>SUM($F$4:F1128)</f>
        <v>-0.75915794248104973</v>
      </c>
      <c r="L1128" s="11">
        <v>1125</v>
      </c>
      <c r="M1128" s="7">
        <f t="shared" ca="1" si="42"/>
        <v>-4.5880765850673744E-2</v>
      </c>
      <c r="N1128" s="7">
        <f ca="1">SUM($M$4:M1128)</f>
        <v>-0.67152757290531562</v>
      </c>
    </row>
    <row r="1129" spans="1:14" x14ac:dyDescent="0.3">
      <c r="A1129" s="3">
        <v>45099</v>
      </c>
      <c r="B1129" s="4">
        <v>12.09</v>
      </c>
      <c r="D1129" s="11">
        <v>1126</v>
      </c>
      <c r="E1129" s="3">
        <v>45100</v>
      </c>
      <c r="F1129" s="7">
        <f t="shared" si="41"/>
        <v>-2.5126950077421759E-2</v>
      </c>
      <c r="G1129" s="7">
        <f>SUM($F$4:F1129)</f>
        <v>-0.78428489255847145</v>
      </c>
      <c r="L1129" s="11">
        <v>1126</v>
      </c>
      <c r="M1129" s="7">
        <f t="shared" ca="1" si="42"/>
        <v>3.962429778012732E-2</v>
      </c>
      <c r="N1129" s="7">
        <f ca="1">SUM($M$4:M1129)</f>
        <v>-0.63190327512518829</v>
      </c>
    </row>
    <row r="1130" spans="1:14" x14ac:dyDescent="0.3">
      <c r="A1130" s="3">
        <v>45100</v>
      </c>
      <c r="B1130" s="4">
        <v>11.79</v>
      </c>
      <c r="D1130" s="11">
        <v>1127</v>
      </c>
      <c r="E1130" s="3">
        <v>45103</v>
      </c>
      <c r="F1130" s="7">
        <f t="shared" si="41"/>
        <v>-8.4853632583886359E-4</v>
      </c>
      <c r="G1130" s="7">
        <f>SUM($F$4:F1130)</f>
        <v>-0.78513342888431026</v>
      </c>
      <c r="L1130" s="11">
        <v>1127</v>
      </c>
      <c r="M1130" s="7">
        <f t="shared" ca="1" si="42"/>
        <v>-5.4222723278068964E-2</v>
      </c>
      <c r="N1130" s="7">
        <f ca="1">SUM($M$4:M1130)</f>
        <v>-0.68612599840325728</v>
      </c>
    </row>
    <row r="1131" spans="1:14" x14ac:dyDescent="0.3">
      <c r="A1131" s="3">
        <v>45103</v>
      </c>
      <c r="B1131" s="4">
        <v>11.78</v>
      </c>
      <c r="D1131" s="11">
        <v>1128</v>
      </c>
      <c r="E1131" s="3">
        <v>45104</v>
      </c>
      <c r="F1131" s="7">
        <f t="shared" si="41"/>
        <v>4.0754080499379529E-2</v>
      </c>
      <c r="G1131" s="7">
        <f>SUM($F$4:F1131)</f>
        <v>-0.74437934838493069</v>
      </c>
      <c r="L1131" s="11">
        <v>1128</v>
      </c>
      <c r="M1131" s="7">
        <f t="shared" ca="1" si="42"/>
        <v>8.3419574273952257E-3</v>
      </c>
      <c r="N1131" s="7">
        <f ca="1">SUM($M$4:M1131)</f>
        <v>-0.67778404097586209</v>
      </c>
    </row>
    <row r="1132" spans="1:14" x14ac:dyDescent="0.3">
      <c r="A1132" s="3">
        <v>45104</v>
      </c>
      <c r="B1132" s="4">
        <v>12.27</v>
      </c>
      <c r="D1132" s="11">
        <v>1129</v>
      </c>
      <c r="E1132" s="3">
        <v>45105</v>
      </c>
      <c r="F1132" s="7">
        <f t="shared" si="41"/>
        <v>1.456336418789651E-2</v>
      </c>
      <c r="G1132" s="7">
        <f>SUM($F$4:F1132)</f>
        <v>-0.7298159841970342</v>
      </c>
      <c r="L1132" s="11">
        <v>1129</v>
      </c>
      <c r="M1132" s="7">
        <f t="shared" ca="1" si="42"/>
        <v>-1.6683914854790451E-2</v>
      </c>
      <c r="N1132" s="7">
        <f ca="1">SUM($M$4:M1132)</f>
        <v>-0.69446795583065257</v>
      </c>
    </row>
    <row r="1133" spans="1:14" x14ac:dyDescent="0.3">
      <c r="A1133" s="3">
        <v>45105</v>
      </c>
      <c r="B1133" s="4">
        <v>12.45</v>
      </c>
      <c r="D1133" s="11">
        <v>1130</v>
      </c>
      <c r="E1133" s="3">
        <v>45106</v>
      </c>
      <c r="F1133" s="7">
        <f t="shared" si="41"/>
        <v>-2.4125464053838782E-3</v>
      </c>
      <c r="G1133" s="7">
        <f>SUM($F$4:F1133)</f>
        <v>-0.7322285306024181</v>
      </c>
      <c r="L1133" s="11">
        <v>1130</v>
      </c>
      <c r="M1133" s="7">
        <f t="shared" ca="1" si="42"/>
        <v>1.2512936141092838E-2</v>
      </c>
      <c r="N1133" s="7">
        <f ca="1">SUM($M$4:M1133)</f>
        <v>-0.68195501968955974</v>
      </c>
    </row>
    <row r="1134" spans="1:14" x14ac:dyDescent="0.3">
      <c r="A1134" s="3">
        <v>45106</v>
      </c>
      <c r="B1134" s="4">
        <v>12.42</v>
      </c>
      <c r="D1134" s="11">
        <v>1131</v>
      </c>
      <c r="E1134" s="3">
        <v>45107</v>
      </c>
      <c r="F1134" s="7">
        <f t="shared" si="41"/>
        <v>9.6154586994419734E-3</v>
      </c>
      <c r="G1134" s="7">
        <f>SUM($F$4:F1134)</f>
        <v>-0.72261307190297608</v>
      </c>
      <c r="L1134" s="11">
        <v>1131</v>
      </c>
      <c r="M1134" s="7">
        <f t="shared" ca="1" si="42"/>
        <v>-4.7966255207522547E-2</v>
      </c>
      <c r="N1134" s="7">
        <f ca="1">SUM($M$4:M1134)</f>
        <v>-0.72992127489708225</v>
      </c>
    </row>
    <row r="1135" spans="1:14" x14ac:dyDescent="0.3">
      <c r="A1135" s="3">
        <v>45107</v>
      </c>
      <c r="B1135" s="4">
        <v>12.54</v>
      </c>
      <c r="D1135" s="11">
        <v>1132</v>
      </c>
      <c r="E1135" s="3">
        <v>45110</v>
      </c>
      <c r="F1135" s="7">
        <f t="shared" si="41"/>
        <v>3.6794757319639229E-2</v>
      </c>
      <c r="G1135" s="7">
        <f>SUM($F$4:F1135)</f>
        <v>-0.68581831458333686</v>
      </c>
      <c r="L1135" s="11">
        <v>1132</v>
      </c>
      <c r="M1135" s="7">
        <f t="shared" ca="1" si="42"/>
        <v>-8.9676042344498677E-2</v>
      </c>
      <c r="N1135" s="7">
        <f ca="1">SUM($M$4:M1135)</f>
        <v>-0.81959731724158091</v>
      </c>
    </row>
    <row r="1136" spans="1:14" x14ac:dyDescent="0.3">
      <c r="A1136" s="3">
        <v>45110</v>
      </c>
      <c r="B1136" s="4">
        <v>13.01</v>
      </c>
      <c r="D1136" s="11">
        <v>1133</v>
      </c>
      <c r="E1136" s="3">
        <v>45112</v>
      </c>
      <c r="F1136" s="7">
        <f t="shared" si="41"/>
        <v>-1.3932113896868796E-2</v>
      </c>
      <c r="G1136" s="7">
        <f>SUM($F$4:F1136)</f>
        <v>-0.69975042848020563</v>
      </c>
      <c r="L1136" s="11">
        <v>1133</v>
      </c>
      <c r="M1136" s="7">
        <f t="shared" ca="1" si="42"/>
        <v>-2.0854893568488065E-2</v>
      </c>
      <c r="N1136" s="7">
        <f ca="1">SUM($M$4:M1136)</f>
        <v>-0.84045221081006893</v>
      </c>
    </row>
    <row r="1137" spans="1:14" x14ac:dyDescent="0.3">
      <c r="A1137" s="3">
        <v>45112</v>
      </c>
      <c r="B1137" s="4">
        <v>12.83</v>
      </c>
      <c r="D1137" s="11">
        <v>1134</v>
      </c>
      <c r="E1137" s="3">
        <v>45113</v>
      </c>
      <c r="F1137" s="7">
        <f t="shared" si="41"/>
        <v>-1.2549184294497402E-2</v>
      </c>
      <c r="G1137" s="7">
        <f>SUM($F$4:F1137)</f>
        <v>-0.71229961277470299</v>
      </c>
      <c r="L1137" s="11">
        <v>1134</v>
      </c>
      <c r="M1137" s="7">
        <f t="shared" ca="1" si="42"/>
        <v>-1.2512936141092838E-2</v>
      </c>
      <c r="N1137" s="7">
        <f ca="1">SUM($M$4:M1137)</f>
        <v>-0.85296514695116177</v>
      </c>
    </row>
    <row r="1138" spans="1:14" x14ac:dyDescent="0.3">
      <c r="A1138" s="3">
        <v>45113</v>
      </c>
      <c r="B1138" s="4">
        <v>12.67</v>
      </c>
      <c r="D1138" s="11">
        <v>1135</v>
      </c>
      <c r="E1138" s="3">
        <v>45114</v>
      </c>
      <c r="F1138" s="7">
        <f t="shared" si="41"/>
        <v>-1.0313459128273101E-2</v>
      </c>
      <c r="G1138" s="7">
        <f>SUM($F$4:F1138)</f>
        <v>-0.72261307190297608</v>
      </c>
      <c r="L1138" s="11">
        <v>1135</v>
      </c>
      <c r="M1138" s="7">
        <f t="shared" ca="1" si="42"/>
        <v>3.962429778012732E-2</v>
      </c>
      <c r="N1138" s="7">
        <f ca="1">SUM($M$4:M1138)</f>
        <v>-0.81334084917103444</v>
      </c>
    </row>
    <row r="1139" spans="1:14" x14ac:dyDescent="0.3">
      <c r="A1139" s="3">
        <v>45114</v>
      </c>
      <c r="B1139" s="4">
        <v>12.54</v>
      </c>
      <c r="D1139" s="11">
        <v>1136</v>
      </c>
      <c r="E1139" s="3">
        <v>45117</v>
      </c>
      <c r="F1139" s="7">
        <f t="shared" si="41"/>
        <v>3.217225294077216E-2</v>
      </c>
      <c r="G1139" s="7">
        <f>SUM($F$4:F1139)</f>
        <v>-0.69044081896220388</v>
      </c>
      <c r="L1139" s="11">
        <v>1136</v>
      </c>
      <c r="M1139" s="7">
        <f t="shared" ca="1" si="42"/>
        <v>-1.8769404211639258E-2</v>
      </c>
      <c r="N1139" s="7">
        <f ca="1">SUM($M$4:M1139)</f>
        <v>-0.83211025338267375</v>
      </c>
    </row>
    <row r="1140" spans="1:14" x14ac:dyDescent="0.3">
      <c r="A1140" s="3">
        <v>45117</v>
      </c>
      <c r="B1140" s="4">
        <v>12.95</v>
      </c>
      <c r="D1140" s="11">
        <v>1137</v>
      </c>
      <c r="E1140" s="3">
        <v>45118</v>
      </c>
      <c r="F1140" s="7">
        <f t="shared" si="41"/>
        <v>2.6668247082161489E-2</v>
      </c>
      <c r="G1140" s="7">
        <f>SUM($F$4:F1140)</f>
        <v>-0.66377257188004235</v>
      </c>
      <c r="L1140" s="11">
        <v>1137</v>
      </c>
      <c r="M1140" s="7">
        <f t="shared" ca="1" si="42"/>
        <v>1.2512936141092838E-2</v>
      </c>
      <c r="N1140" s="7">
        <f ca="1">SUM($M$4:M1140)</f>
        <v>-0.81959731724158091</v>
      </c>
    </row>
    <row r="1141" spans="1:14" x14ac:dyDescent="0.3">
      <c r="A1141" s="3">
        <v>45118</v>
      </c>
      <c r="B1141" s="4">
        <v>13.3</v>
      </c>
      <c r="D1141" s="11">
        <v>1138</v>
      </c>
      <c r="E1141" s="3">
        <v>45119</v>
      </c>
      <c r="F1141" s="7">
        <f t="shared" si="41"/>
        <v>-1.0582109330536972E-2</v>
      </c>
      <c r="G1141" s="7">
        <f>SUM($F$4:F1141)</f>
        <v>-0.67435468121057929</v>
      </c>
      <c r="L1141" s="11">
        <v>1138</v>
      </c>
      <c r="M1141" s="7">
        <f t="shared" ca="1" si="42"/>
        <v>2.9196850995883289E-2</v>
      </c>
      <c r="N1141" s="7">
        <f ca="1">SUM($M$4:M1141)</f>
        <v>-0.7904004662456976</v>
      </c>
    </row>
    <row r="1142" spans="1:14" x14ac:dyDescent="0.3">
      <c r="A1142" s="3">
        <v>45119</v>
      </c>
      <c r="B1142" s="4">
        <v>13.16</v>
      </c>
      <c r="D1142" s="11">
        <v>1139</v>
      </c>
      <c r="E1142" s="3">
        <v>45120</v>
      </c>
      <c r="F1142" s="7">
        <f t="shared" si="41"/>
        <v>-4.5696956900652969E-3</v>
      </c>
      <c r="G1142" s="7">
        <f>SUM($F$4:F1142)</f>
        <v>-0.67892437690064456</v>
      </c>
      <c r="L1142" s="11">
        <v>1139</v>
      </c>
      <c r="M1142" s="7">
        <f t="shared" ca="1" si="42"/>
        <v>1.6683914854790451E-2</v>
      </c>
      <c r="N1142" s="7">
        <f ca="1">SUM($M$4:M1142)</f>
        <v>-0.77371655139090711</v>
      </c>
    </row>
    <row r="1143" spans="1:14" x14ac:dyDescent="0.3">
      <c r="A1143" s="3">
        <v>45120</v>
      </c>
      <c r="B1143" s="4">
        <v>13.1</v>
      </c>
      <c r="D1143" s="11">
        <v>1140</v>
      </c>
      <c r="E1143" s="3">
        <v>45121</v>
      </c>
      <c r="F1143" s="7">
        <f t="shared" si="41"/>
        <v>-5.4915757596114653E-2</v>
      </c>
      <c r="G1143" s="7">
        <f>SUM($F$4:F1143)</f>
        <v>-0.73384013449675922</v>
      </c>
      <c r="L1143" s="11">
        <v>1140</v>
      </c>
      <c r="M1143" s="7">
        <f t="shared" ca="1" si="42"/>
        <v>-6.6735659419161805E-2</v>
      </c>
      <c r="N1143" s="7">
        <f ca="1">SUM($M$4:M1143)</f>
        <v>-0.84045221081006893</v>
      </c>
    </row>
    <row r="1144" spans="1:14" x14ac:dyDescent="0.3">
      <c r="A1144" s="3">
        <v>45121</v>
      </c>
      <c r="B1144" s="4">
        <v>12.4</v>
      </c>
      <c r="D1144" s="11">
        <v>1141</v>
      </c>
      <c r="E1144" s="3">
        <v>45124</v>
      </c>
      <c r="F1144" s="7">
        <f t="shared" si="41"/>
        <v>-7.2845324146289872E-3</v>
      </c>
      <c r="G1144" s="7">
        <f>SUM($F$4:F1144)</f>
        <v>-0.74112466691138823</v>
      </c>
      <c r="L1144" s="11">
        <v>1141</v>
      </c>
      <c r="M1144" s="7">
        <f t="shared" ca="1" si="42"/>
        <v>-5.6308212634917774E-2</v>
      </c>
      <c r="N1144" s="7">
        <f ca="1">SUM($M$4:M1144)</f>
        <v>-0.89676042344498674</v>
      </c>
    </row>
    <row r="1145" spans="1:14" x14ac:dyDescent="0.3">
      <c r="A1145" s="3">
        <v>45124</v>
      </c>
      <c r="B1145" s="4">
        <v>12.31</v>
      </c>
      <c r="D1145" s="11">
        <v>1142</v>
      </c>
      <c r="E1145" s="3">
        <v>45125</v>
      </c>
      <c r="F1145" s="7">
        <f t="shared" si="41"/>
        <v>3.6686729848085811E-2</v>
      </c>
      <c r="G1145" s="7">
        <f>SUM($F$4:F1145)</f>
        <v>-0.70443793706330238</v>
      </c>
      <c r="L1145" s="11">
        <v>1142</v>
      </c>
      <c r="M1145" s="7">
        <f t="shared" ca="1" si="42"/>
        <v>2.0854893568488064E-3</v>
      </c>
      <c r="N1145" s="7">
        <f ca="1">SUM($M$4:M1145)</f>
        <v>-0.89467493408813792</v>
      </c>
    </row>
    <row r="1146" spans="1:14" x14ac:dyDescent="0.3">
      <c r="A1146" s="3">
        <v>45125</v>
      </c>
      <c r="B1146" s="4">
        <v>12.77</v>
      </c>
      <c r="D1146" s="11">
        <v>1143</v>
      </c>
      <c r="E1146" s="3">
        <v>45126</v>
      </c>
      <c r="F1146" s="7">
        <f t="shared" si="41"/>
        <v>3.9160474003839894E-2</v>
      </c>
      <c r="G1146" s="7">
        <f>SUM($F$4:F1146)</f>
        <v>-0.66527746305946245</v>
      </c>
      <c r="L1146" s="11">
        <v>1143</v>
      </c>
      <c r="M1146" s="7">
        <f t="shared" ca="1" si="42"/>
        <v>2.0854893568488065E-2</v>
      </c>
      <c r="N1146" s="7">
        <f ca="1">SUM($M$4:M1146)</f>
        <v>-0.8738200405196499</v>
      </c>
    </row>
    <row r="1147" spans="1:14" x14ac:dyDescent="0.3">
      <c r="A1147" s="3">
        <v>45126</v>
      </c>
      <c r="B1147" s="4">
        <v>13.28</v>
      </c>
      <c r="D1147" s="11">
        <v>1144</v>
      </c>
      <c r="E1147" s="3">
        <v>45127</v>
      </c>
      <c r="F1147" s="7">
        <f t="shared" si="41"/>
        <v>-1.2883846272679368E-2</v>
      </c>
      <c r="G1147" s="7">
        <f>SUM($F$4:F1147)</f>
        <v>-0.6781613093321418</v>
      </c>
      <c r="L1147" s="11">
        <v>1144</v>
      </c>
      <c r="M1147" s="7">
        <f t="shared" ca="1" si="42"/>
        <v>2.5025872282185675E-2</v>
      </c>
      <c r="N1147" s="7">
        <f ca="1">SUM($M$4:M1147)</f>
        <v>-0.84879416823746423</v>
      </c>
    </row>
    <row r="1148" spans="1:14" x14ac:dyDescent="0.3">
      <c r="A1148" s="3">
        <v>45127</v>
      </c>
      <c r="B1148" s="4">
        <v>13.11</v>
      </c>
      <c r="D1148" s="11">
        <v>1145</v>
      </c>
      <c r="E1148" s="3">
        <v>45128</v>
      </c>
      <c r="F1148" s="7">
        <f t="shared" si="41"/>
        <v>-1.3825104991842318E-2</v>
      </c>
      <c r="G1148" s="7">
        <f>SUM($F$4:F1148)</f>
        <v>-0.69198641432398411</v>
      </c>
      <c r="L1148" s="11">
        <v>1145</v>
      </c>
      <c r="M1148" s="7">
        <f t="shared" ca="1" si="42"/>
        <v>-2.2940382925336872E-2</v>
      </c>
      <c r="N1148" s="7">
        <f ca="1">SUM($M$4:M1148)</f>
        <v>-0.87173455116280107</v>
      </c>
    </row>
    <row r="1149" spans="1:14" x14ac:dyDescent="0.3">
      <c r="A1149" s="3">
        <v>45128</v>
      </c>
      <c r="B1149" s="4">
        <v>12.93</v>
      </c>
      <c r="D1149" s="11">
        <v>1146</v>
      </c>
      <c r="E1149" s="3">
        <v>45131</v>
      </c>
      <c r="F1149" s="7">
        <f t="shared" si="41"/>
        <v>-2.5060042806937959E-2</v>
      </c>
      <c r="G1149" s="7">
        <f>SUM($F$4:F1149)</f>
        <v>-0.71704645713092208</v>
      </c>
      <c r="L1149" s="11">
        <v>1146</v>
      </c>
      <c r="M1149" s="7">
        <f t="shared" ca="1" si="42"/>
        <v>-1.0427446784244032E-2</v>
      </c>
      <c r="N1149" s="7">
        <f ca="1">SUM($M$4:M1149)</f>
        <v>-0.88216199794704508</v>
      </c>
    </row>
    <row r="1150" spans="1:14" x14ac:dyDescent="0.3">
      <c r="A1150" s="3">
        <v>45131</v>
      </c>
      <c r="B1150" s="4">
        <v>12.61</v>
      </c>
      <c r="D1150" s="11">
        <v>1147</v>
      </c>
      <c r="E1150" s="3">
        <v>45132</v>
      </c>
      <c r="F1150" s="7">
        <f t="shared" si="41"/>
        <v>-6.3643810688512343E-3</v>
      </c>
      <c r="G1150" s="7">
        <f>SUM($F$4:F1150)</f>
        <v>-0.72341083819977336</v>
      </c>
      <c r="L1150" s="11">
        <v>1147</v>
      </c>
      <c r="M1150" s="7">
        <f t="shared" ca="1" si="42"/>
        <v>-5.005174456437135E-2</v>
      </c>
      <c r="N1150" s="7">
        <f ca="1">SUM($M$4:M1150)</f>
        <v>-0.93221374251141642</v>
      </c>
    </row>
    <row r="1151" spans="1:14" x14ac:dyDescent="0.3">
      <c r="A1151" s="3">
        <v>45132</v>
      </c>
      <c r="B1151" s="4">
        <v>12.53</v>
      </c>
      <c r="D1151" s="11">
        <v>1148</v>
      </c>
      <c r="E1151" s="3">
        <v>45133</v>
      </c>
      <c r="F1151" s="7">
        <f t="shared" si="41"/>
        <v>1.8189509008666831E-2</v>
      </c>
      <c r="G1151" s="7">
        <f>SUM($F$4:F1151)</f>
        <v>-0.70522132919110658</v>
      </c>
      <c r="L1151" s="11">
        <v>1148</v>
      </c>
      <c r="M1151" s="7">
        <f t="shared" ca="1" si="42"/>
        <v>-1.0427446784244032E-2</v>
      </c>
      <c r="N1151" s="7">
        <f ca="1">SUM($M$4:M1151)</f>
        <v>-0.94264118929566043</v>
      </c>
    </row>
    <row r="1152" spans="1:14" x14ac:dyDescent="0.3">
      <c r="A1152" s="3">
        <v>45133</v>
      </c>
      <c r="B1152" s="4">
        <v>12.76</v>
      </c>
      <c r="D1152" s="11">
        <v>1149</v>
      </c>
      <c r="E1152" s="3">
        <v>45134</v>
      </c>
      <c r="F1152" s="7">
        <f t="shared" si="41"/>
        <v>-3.7529354338700367E-2</v>
      </c>
      <c r="G1152" s="7">
        <f>SUM($F$4:F1152)</f>
        <v>-0.742750683529807</v>
      </c>
      <c r="L1152" s="11">
        <v>1149</v>
      </c>
      <c r="M1152" s="7">
        <f t="shared" ca="1" si="42"/>
        <v>-2.0854893568488065E-2</v>
      </c>
      <c r="N1152" s="7">
        <f ca="1">SUM($M$4:M1152)</f>
        <v>-0.96349608286414845</v>
      </c>
    </row>
    <row r="1153" spans="1:14" x14ac:dyDescent="0.3">
      <c r="A1153" s="3">
        <v>45134</v>
      </c>
      <c r="B1153" s="4">
        <v>12.29</v>
      </c>
      <c r="D1153" s="11">
        <v>1150</v>
      </c>
      <c r="E1153" s="3">
        <v>45135</v>
      </c>
      <c r="F1153" s="7">
        <f t="shared" si="41"/>
        <v>3.9877692012807782E-2</v>
      </c>
      <c r="G1153" s="7">
        <f>SUM($F$4:F1153)</f>
        <v>-0.70287299151699922</v>
      </c>
      <c r="L1153" s="11">
        <v>1150</v>
      </c>
      <c r="M1153" s="7">
        <f t="shared" ca="1" si="42"/>
        <v>2.9196850995883289E-2</v>
      </c>
      <c r="N1153" s="7">
        <f ca="1">SUM($M$4:M1153)</f>
        <v>-0.93429923186826513</v>
      </c>
    </row>
    <row r="1154" spans="1:14" x14ac:dyDescent="0.3">
      <c r="A1154" s="3">
        <v>45135</v>
      </c>
      <c r="B1154" s="4">
        <v>12.79</v>
      </c>
      <c r="D1154" s="11">
        <v>1151</v>
      </c>
      <c r="E1154" s="3">
        <v>45138</v>
      </c>
      <c r="F1154" s="7">
        <f t="shared" si="41"/>
        <v>2.1655912045379259E-2</v>
      </c>
      <c r="G1154" s="7">
        <f>SUM($F$4:F1154)</f>
        <v>-0.68121707947161991</v>
      </c>
      <c r="L1154" s="11">
        <v>1151</v>
      </c>
      <c r="M1154" s="7">
        <f t="shared" ca="1" si="42"/>
        <v>-2.7111361639034482E-2</v>
      </c>
      <c r="N1154" s="7">
        <f ca="1">SUM($M$4:M1154)</f>
        <v>-0.96141059350729963</v>
      </c>
    </row>
    <row r="1155" spans="1:14" x14ac:dyDescent="0.3">
      <c r="A1155" s="3">
        <v>45138</v>
      </c>
      <c r="B1155" s="4">
        <v>13.07</v>
      </c>
      <c r="D1155" s="11">
        <v>1152</v>
      </c>
      <c r="E1155" s="3">
        <v>45139</v>
      </c>
      <c r="F1155" s="7">
        <f t="shared" si="41"/>
        <v>-1.5420506028095355E-2</v>
      </c>
      <c r="G1155" s="7">
        <f>SUM($F$4:F1155)</f>
        <v>-0.69663758549971522</v>
      </c>
      <c r="L1155" s="11">
        <v>1152</v>
      </c>
      <c r="M1155" s="7">
        <f t="shared" ca="1" si="42"/>
        <v>-1.0427446784244032E-2</v>
      </c>
      <c r="N1155" s="7">
        <f ca="1">SUM($M$4:M1155)</f>
        <v>-0.97183804029154364</v>
      </c>
    </row>
    <row r="1156" spans="1:14" x14ac:dyDescent="0.3">
      <c r="A1156" s="3">
        <v>45139</v>
      </c>
      <c r="B1156" s="4">
        <v>12.87</v>
      </c>
      <c r="D1156" s="11">
        <v>1153</v>
      </c>
      <c r="E1156" s="3">
        <v>45140</v>
      </c>
      <c r="F1156" s="7">
        <f t="shared" ref="F1156:F1219" si="43">LN(B1157/B1156)</f>
        <v>-2.5178356030242259E-2</v>
      </c>
      <c r="G1156" s="7">
        <f>SUM($F$4:F1156)</f>
        <v>-0.72181594152995743</v>
      </c>
      <c r="L1156" s="11">
        <v>1153</v>
      </c>
      <c r="M1156" s="7">
        <f t="shared" ca="1" si="42"/>
        <v>-2.2940382925336872E-2</v>
      </c>
      <c r="N1156" s="7">
        <f ca="1">SUM($M$4:M1156)</f>
        <v>-0.99477842321688048</v>
      </c>
    </row>
    <row r="1157" spans="1:14" x14ac:dyDescent="0.3">
      <c r="A1157" s="3">
        <v>45140</v>
      </c>
      <c r="B1157" s="4">
        <v>12.55</v>
      </c>
      <c r="D1157" s="11">
        <v>1154</v>
      </c>
      <c r="E1157" s="3">
        <v>45141</v>
      </c>
      <c r="F1157" s="7">
        <f t="shared" si="43"/>
        <v>2.6731151373303189E-2</v>
      </c>
      <c r="G1157" s="7">
        <f>SUM($F$4:F1157)</f>
        <v>-0.69508479015665425</v>
      </c>
      <c r="L1157" s="11">
        <v>1154</v>
      </c>
      <c r="M1157" s="7">
        <f t="shared" ref="M1157:M1220" ca="1" si="44">(2*_xlfn.BINOM.INV($J$4,$J$12,RAND())-$J$4)*$J$11</f>
        <v>-2.0854893568488064E-3</v>
      </c>
      <c r="N1157" s="7">
        <f ca="1">SUM($M$4:M1157)</f>
        <v>-0.9968639125737293</v>
      </c>
    </row>
    <row r="1158" spans="1:14" x14ac:dyDescent="0.3">
      <c r="A1158" s="3">
        <v>45141</v>
      </c>
      <c r="B1158" s="4">
        <v>12.89</v>
      </c>
      <c r="D1158" s="11">
        <v>1155</v>
      </c>
      <c r="E1158" s="3">
        <v>45142</v>
      </c>
      <c r="F1158" s="7">
        <f t="shared" si="43"/>
        <v>8.0460356317774359E-2</v>
      </c>
      <c r="G1158" s="7">
        <f>SUM($F$4:F1158)</f>
        <v>-0.61462443383887988</v>
      </c>
      <c r="L1158" s="11">
        <v>1155</v>
      </c>
      <c r="M1158" s="7">
        <f t="shared" ca="1" si="44"/>
        <v>2.9196850995883289E-2</v>
      </c>
      <c r="N1158" s="7">
        <f ca="1">SUM($M$4:M1158)</f>
        <v>-0.96766706157784599</v>
      </c>
    </row>
    <row r="1159" spans="1:14" x14ac:dyDescent="0.3">
      <c r="A1159" s="3">
        <v>45142</v>
      </c>
      <c r="B1159" s="4">
        <v>13.97</v>
      </c>
      <c r="D1159" s="11">
        <v>1156</v>
      </c>
      <c r="E1159" s="3">
        <v>45145</v>
      </c>
      <c r="F1159" s="7">
        <f t="shared" si="43"/>
        <v>3.5165367374522062E-2</v>
      </c>
      <c r="G1159" s="7">
        <f>SUM($F$4:F1159)</f>
        <v>-0.57945906646435785</v>
      </c>
      <c r="L1159" s="11">
        <v>1156</v>
      </c>
      <c r="M1159" s="7">
        <f t="shared" ca="1" si="44"/>
        <v>3.962429778012732E-2</v>
      </c>
      <c r="N1159" s="7">
        <f ca="1">SUM($M$4:M1159)</f>
        <v>-0.92804276379771866</v>
      </c>
    </row>
    <row r="1160" spans="1:14" x14ac:dyDescent="0.3">
      <c r="A1160" s="3">
        <v>45145</v>
      </c>
      <c r="B1160" s="4">
        <v>14.47</v>
      </c>
      <c r="D1160" s="11">
        <v>1157</v>
      </c>
      <c r="E1160" s="3">
        <v>45146</v>
      </c>
      <c r="F1160" s="7">
        <f t="shared" si="43"/>
        <v>-3.4614087865894871E-3</v>
      </c>
      <c r="G1160" s="7">
        <f>SUM($F$4:F1160)</f>
        <v>-0.58292047525094737</v>
      </c>
      <c r="L1160" s="11">
        <v>1157</v>
      </c>
      <c r="M1160" s="7">
        <f t="shared" ca="1" si="44"/>
        <v>2.0854893568488065E-2</v>
      </c>
      <c r="N1160" s="7">
        <f ca="1">SUM($M$4:M1160)</f>
        <v>-0.90718787022923064</v>
      </c>
    </row>
    <row r="1161" spans="1:14" x14ac:dyDescent="0.3">
      <c r="A1161" s="3">
        <v>45146</v>
      </c>
      <c r="B1161" s="4">
        <v>14.42</v>
      </c>
      <c r="D1161" s="11">
        <v>1158</v>
      </c>
      <c r="E1161" s="3">
        <v>45147</v>
      </c>
      <c r="F1161" s="7">
        <f t="shared" si="43"/>
        <v>-2.1732365992080373E-2</v>
      </c>
      <c r="G1161" s="7">
        <f>SUM($F$4:F1161)</f>
        <v>-0.60465284124302776</v>
      </c>
      <c r="L1161" s="11">
        <v>1158</v>
      </c>
      <c r="M1161" s="7">
        <f t="shared" ca="1" si="44"/>
        <v>-2.0854893568488064E-3</v>
      </c>
      <c r="N1161" s="7">
        <f ca="1">SUM($M$4:M1161)</f>
        <v>-0.90927335958607947</v>
      </c>
    </row>
    <row r="1162" spans="1:14" x14ac:dyDescent="0.3">
      <c r="A1162" s="3">
        <v>45147</v>
      </c>
      <c r="B1162" s="4">
        <v>14.11</v>
      </c>
      <c r="D1162" s="11">
        <v>1159</v>
      </c>
      <c r="E1162" s="3">
        <v>45148</v>
      </c>
      <c r="F1162" s="7">
        <f t="shared" si="43"/>
        <v>7.0846620037341745E-4</v>
      </c>
      <c r="G1162" s="7">
        <f>SUM($F$4:F1162)</f>
        <v>-0.6039443750426543</v>
      </c>
      <c r="L1162" s="11">
        <v>1159</v>
      </c>
      <c r="M1162" s="7">
        <f t="shared" ca="1" si="44"/>
        <v>-2.2940382925336872E-2</v>
      </c>
      <c r="N1162" s="7">
        <f ca="1">SUM($M$4:M1162)</f>
        <v>-0.93221374251141631</v>
      </c>
    </row>
    <row r="1163" spans="1:14" x14ac:dyDescent="0.3">
      <c r="A1163" s="3">
        <v>45148</v>
      </c>
      <c r="B1163" s="4">
        <v>14.12</v>
      </c>
      <c r="D1163" s="11">
        <v>1160</v>
      </c>
      <c r="E1163" s="3">
        <v>45149</v>
      </c>
      <c r="F1163" s="7">
        <f t="shared" si="43"/>
        <v>-3.0196399231016812E-2</v>
      </c>
      <c r="G1163" s="7">
        <f>SUM($F$4:F1163)</f>
        <v>-0.6341407742736711</v>
      </c>
      <c r="L1163" s="11">
        <v>1160</v>
      </c>
      <c r="M1163" s="7">
        <f t="shared" ca="1" si="44"/>
        <v>-8.3419574273952257E-3</v>
      </c>
      <c r="N1163" s="7">
        <f ca="1">SUM($M$4:M1163)</f>
        <v>-0.9405556999388115</v>
      </c>
    </row>
    <row r="1164" spans="1:14" x14ac:dyDescent="0.3">
      <c r="A1164" s="3">
        <v>45149</v>
      </c>
      <c r="B1164" s="4">
        <v>13.7</v>
      </c>
      <c r="D1164" s="11">
        <v>1161</v>
      </c>
      <c r="E1164" s="3">
        <v>45152</v>
      </c>
      <c r="F1164" s="7">
        <f t="shared" si="43"/>
        <v>-1.2486390651382533E-2</v>
      </c>
      <c r="G1164" s="7">
        <f>SUM($F$4:F1164)</f>
        <v>-0.64662716492505368</v>
      </c>
      <c r="L1164" s="11">
        <v>1161</v>
      </c>
      <c r="M1164" s="7">
        <f t="shared" ca="1" si="44"/>
        <v>1.4598425497941644E-2</v>
      </c>
      <c r="N1164" s="7">
        <f ca="1">SUM($M$4:M1164)</f>
        <v>-0.92595727444086984</v>
      </c>
    </row>
    <row r="1165" spans="1:14" x14ac:dyDescent="0.3">
      <c r="A1165" s="3">
        <v>45152</v>
      </c>
      <c r="B1165" s="4">
        <v>13.53</v>
      </c>
      <c r="D1165" s="11">
        <v>1162</v>
      </c>
      <c r="E1165" s="3">
        <v>45153</v>
      </c>
      <c r="F1165" s="7">
        <f t="shared" si="43"/>
        <v>-8.1633106391608701E-3</v>
      </c>
      <c r="G1165" s="7">
        <f>SUM($F$4:F1165)</f>
        <v>-0.65479047556421455</v>
      </c>
      <c r="L1165" s="11">
        <v>1162</v>
      </c>
      <c r="M1165" s="7">
        <f t="shared" ca="1" si="44"/>
        <v>4.3795276493824933E-2</v>
      </c>
      <c r="N1165" s="7">
        <f ca="1">SUM($M$4:M1165)</f>
        <v>-0.88216199794704486</v>
      </c>
    </row>
    <row r="1166" spans="1:14" x14ac:dyDescent="0.3">
      <c r="A1166" s="3">
        <v>45153</v>
      </c>
      <c r="B1166" s="4">
        <v>13.42</v>
      </c>
      <c r="D1166" s="11">
        <v>1163</v>
      </c>
      <c r="E1166" s="3">
        <v>45154</v>
      </c>
      <c r="F1166" s="7">
        <f t="shared" si="43"/>
        <v>-1.7287164814312563E-2</v>
      </c>
      <c r="G1166" s="7">
        <f>SUM($F$4:F1166)</f>
        <v>-0.67207764037852713</v>
      </c>
      <c r="L1166" s="11">
        <v>1163</v>
      </c>
      <c r="M1166" s="7">
        <f t="shared" ca="1" si="44"/>
        <v>2.7111361639034482E-2</v>
      </c>
      <c r="N1166" s="7">
        <f ca="1">SUM($M$4:M1166)</f>
        <v>-0.85505063630801037</v>
      </c>
    </row>
    <row r="1167" spans="1:14" x14ac:dyDescent="0.3">
      <c r="A1167" s="3">
        <v>45154</v>
      </c>
      <c r="B1167" s="4">
        <v>13.19</v>
      </c>
      <c r="D1167" s="11">
        <v>1164</v>
      </c>
      <c r="E1167" s="3">
        <v>45155</v>
      </c>
      <c r="F1167" s="7">
        <f t="shared" si="43"/>
        <v>-3.3143688812579418E-2</v>
      </c>
      <c r="G1167" s="7">
        <f>SUM($F$4:F1167)</f>
        <v>-0.70522132919110658</v>
      </c>
      <c r="L1167" s="11">
        <v>1164</v>
      </c>
      <c r="M1167" s="7">
        <f t="shared" ca="1" si="44"/>
        <v>0</v>
      </c>
      <c r="N1167" s="7">
        <f ca="1">SUM($M$4:M1167)</f>
        <v>-0.85505063630801037</v>
      </c>
    </row>
    <row r="1168" spans="1:14" x14ac:dyDescent="0.3">
      <c r="A1168" s="3">
        <v>45155</v>
      </c>
      <c r="B1168" s="4">
        <v>12.76</v>
      </c>
      <c r="D1168" s="11">
        <v>1165</v>
      </c>
      <c r="E1168" s="3">
        <v>45156</v>
      </c>
      <c r="F1168" s="7">
        <f t="shared" si="43"/>
        <v>1.5661710327448761E-3</v>
      </c>
      <c r="G1168" s="7">
        <f>SUM($F$4:F1168)</f>
        <v>-0.70365515815836166</v>
      </c>
      <c r="L1168" s="11">
        <v>1165</v>
      </c>
      <c r="M1168" s="7">
        <f t="shared" ca="1" si="44"/>
        <v>4.1709787136976128E-3</v>
      </c>
      <c r="N1168" s="7">
        <f ca="1">SUM($M$4:M1168)</f>
        <v>-0.85087965759431272</v>
      </c>
    </row>
    <row r="1169" spans="1:14" x14ac:dyDescent="0.3">
      <c r="A1169" s="3">
        <v>45156</v>
      </c>
      <c r="B1169" s="4">
        <v>12.78</v>
      </c>
      <c r="D1169" s="11">
        <v>1166</v>
      </c>
      <c r="E1169" s="3">
        <v>45159</v>
      </c>
      <c r="F1169" s="7">
        <f t="shared" si="43"/>
        <v>-1.0224233775859428E-2</v>
      </c>
      <c r="G1169" s="7">
        <f>SUM($F$4:F1169)</f>
        <v>-0.71387939193422112</v>
      </c>
      <c r="L1169" s="11">
        <v>1166</v>
      </c>
      <c r="M1169" s="7">
        <f t="shared" ca="1" si="44"/>
        <v>9.5932510415045094E-2</v>
      </c>
      <c r="N1169" s="7">
        <f ca="1">SUM($M$4:M1169)</f>
        <v>-0.75494714717926759</v>
      </c>
    </row>
    <row r="1170" spans="1:14" x14ac:dyDescent="0.3">
      <c r="A1170" s="3">
        <v>45159</v>
      </c>
      <c r="B1170" s="4">
        <v>12.65</v>
      </c>
      <c r="D1170" s="11">
        <v>1167</v>
      </c>
      <c r="E1170" s="3">
        <v>45160</v>
      </c>
      <c r="F1170" s="7">
        <f t="shared" si="43"/>
        <v>-8.7336799687546662E-3</v>
      </c>
      <c r="G1170" s="7">
        <f>SUM($F$4:F1170)</f>
        <v>-0.72261307190297575</v>
      </c>
      <c r="L1170" s="11">
        <v>1167</v>
      </c>
      <c r="M1170" s="7">
        <f t="shared" ca="1" si="44"/>
        <v>-4.1709787136976128E-3</v>
      </c>
      <c r="N1170" s="7">
        <f ca="1">SUM($M$4:M1170)</f>
        <v>-0.75911812589296523</v>
      </c>
    </row>
    <row r="1171" spans="1:14" x14ac:dyDescent="0.3">
      <c r="A1171" s="3">
        <v>45160</v>
      </c>
      <c r="B1171" s="4">
        <v>12.54</v>
      </c>
      <c r="D1171" s="11">
        <v>1168</v>
      </c>
      <c r="E1171" s="3">
        <v>45161</v>
      </c>
      <c r="F1171" s="7">
        <f t="shared" si="43"/>
        <v>1.2678458259770872E-2</v>
      </c>
      <c r="G1171" s="7">
        <f>SUM($F$4:F1171)</f>
        <v>-0.70993461364320487</v>
      </c>
      <c r="L1171" s="11">
        <v>1168</v>
      </c>
      <c r="M1171" s="7">
        <f t="shared" ca="1" si="44"/>
        <v>2.7111361639034482E-2</v>
      </c>
      <c r="N1171" s="7">
        <f ca="1">SUM($M$4:M1171)</f>
        <v>-0.73200676425393074</v>
      </c>
    </row>
    <row r="1172" spans="1:14" x14ac:dyDescent="0.3">
      <c r="A1172" s="3">
        <v>45161</v>
      </c>
      <c r="B1172" s="4">
        <v>12.7</v>
      </c>
      <c r="D1172" s="11">
        <v>1169</v>
      </c>
      <c r="E1172" s="3">
        <v>45162</v>
      </c>
      <c r="F1172" s="7">
        <f t="shared" si="43"/>
        <v>0</v>
      </c>
      <c r="G1172" s="7">
        <f>SUM($F$4:F1172)</f>
        <v>-0.70993461364320487</v>
      </c>
      <c r="L1172" s="11">
        <v>1169</v>
      </c>
      <c r="M1172" s="7">
        <f t="shared" ca="1" si="44"/>
        <v>3.5453319066429706E-2</v>
      </c>
      <c r="N1172" s="7">
        <f ca="1">SUM($M$4:M1172)</f>
        <v>-0.69655344518750106</v>
      </c>
    </row>
    <row r="1173" spans="1:14" x14ac:dyDescent="0.3">
      <c r="A1173" s="3">
        <v>45162</v>
      </c>
      <c r="B1173" s="4">
        <v>12.7</v>
      </c>
      <c r="D1173" s="11">
        <v>1170</v>
      </c>
      <c r="E1173" s="3">
        <v>45163</v>
      </c>
      <c r="F1173" s="7">
        <f t="shared" si="43"/>
        <v>-3.4444734741725526E-2</v>
      </c>
      <c r="G1173" s="7">
        <f>SUM($F$4:F1173)</f>
        <v>-0.74437934838493036</v>
      </c>
      <c r="L1173" s="11">
        <v>1170</v>
      </c>
      <c r="M1173" s="7">
        <f t="shared" ca="1" si="44"/>
        <v>4.1709787136976128E-3</v>
      </c>
      <c r="N1173" s="7">
        <f ca="1">SUM($M$4:M1173)</f>
        <v>-0.69238246647380342</v>
      </c>
    </row>
    <row r="1174" spans="1:14" x14ac:dyDescent="0.3">
      <c r="A1174" s="3">
        <v>45163</v>
      </c>
      <c r="B1174" s="4">
        <v>12.27</v>
      </c>
      <c r="D1174" s="11">
        <v>1171</v>
      </c>
      <c r="E1174" s="3">
        <v>45166</v>
      </c>
      <c r="F1174" s="7">
        <f t="shared" si="43"/>
        <v>4.1506356867931228E-2</v>
      </c>
      <c r="G1174" s="7">
        <f>SUM($F$4:F1174)</f>
        <v>-0.70287299151699911</v>
      </c>
      <c r="L1174" s="11">
        <v>1171</v>
      </c>
      <c r="M1174" s="7">
        <f t="shared" ca="1" si="44"/>
        <v>1.4598425497941644E-2</v>
      </c>
      <c r="N1174" s="7">
        <f ca="1">SUM($M$4:M1174)</f>
        <v>-0.67778404097586176</v>
      </c>
    </row>
    <row r="1175" spans="1:14" x14ac:dyDescent="0.3">
      <c r="A1175" s="3">
        <v>45166</v>
      </c>
      <c r="B1175" s="4">
        <v>12.79</v>
      </c>
      <c r="D1175" s="11">
        <v>1172</v>
      </c>
      <c r="E1175" s="3">
        <v>45167</v>
      </c>
      <c r="F1175" s="7">
        <f t="shared" si="43"/>
        <v>1.2432172554795402E-2</v>
      </c>
      <c r="G1175" s="7">
        <f>SUM($F$4:F1175)</f>
        <v>-0.69044081896220366</v>
      </c>
      <c r="L1175" s="11">
        <v>1172</v>
      </c>
      <c r="M1175" s="7">
        <f t="shared" ca="1" si="44"/>
        <v>-6.0479191348615388E-2</v>
      </c>
      <c r="N1175" s="7">
        <f ca="1">SUM($M$4:M1175)</f>
        <v>-0.7382632323244771</v>
      </c>
    </row>
    <row r="1176" spans="1:14" x14ac:dyDescent="0.3">
      <c r="A1176" s="3">
        <v>45167</v>
      </c>
      <c r="B1176" s="4">
        <v>12.95</v>
      </c>
      <c r="D1176" s="11">
        <v>1173</v>
      </c>
      <c r="E1176" s="3">
        <v>45168</v>
      </c>
      <c r="F1176" s="7">
        <f t="shared" si="43"/>
        <v>1.2279509630061781E-2</v>
      </c>
      <c r="G1176" s="7">
        <f>SUM($F$4:F1176)</f>
        <v>-0.67816130933214192</v>
      </c>
      <c r="L1176" s="11">
        <v>1173</v>
      </c>
      <c r="M1176" s="7">
        <f t="shared" ca="1" si="44"/>
        <v>-6.2564680705464188E-3</v>
      </c>
      <c r="N1176" s="7">
        <f ca="1">SUM($M$4:M1176)</f>
        <v>-0.74451970039502358</v>
      </c>
    </row>
    <row r="1177" spans="1:14" x14ac:dyDescent="0.3">
      <c r="A1177" s="3">
        <v>45168</v>
      </c>
      <c r="B1177" s="4">
        <v>13.11</v>
      </c>
      <c r="D1177" s="11">
        <v>1174</v>
      </c>
      <c r="E1177" s="3">
        <v>45169</v>
      </c>
      <c r="F1177" s="7">
        <f t="shared" si="43"/>
        <v>2.2857152808560825E-3</v>
      </c>
      <c r="G1177" s="7">
        <f>SUM($F$4:F1177)</f>
        <v>-0.67587559405128583</v>
      </c>
      <c r="L1177" s="11">
        <v>1174</v>
      </c>
      <c r="M1177" s="7">
        <f t="shared" ca="1" si="44"/>
        <v>-1.6683914854790451E-2</v>
      </c>
      <c r="N1177" s="7">
        <f ca="1">SUM($M$4:M1177)</f>
        <v>-0.76120361524981406</v>
      </c>
    </row>
    <row r="1178" spans="1:14" x14ac:dyDescent="0.3">
      <c r="A1178" s="3">
        <v>45169</v>
      </c>
      <c r="B1178" s="4">
        <v>13.14</v>
      </c>
      <c r="D1178" s="11">
        <v>1175</v>
      </c>
      <c r="E1178" s="3">
        <v>45170</v>
      </c>
      <c r="F1178" s="7">
        <f t="shared" si="43"/>
        <v>-0.12811014981223309</v>
      </c>
      <c r="G1178" s="7">
        <f>SUM($F$4:F1178)</f>
        <v>-0.80398574386351895</v>
      </c>
      <c r="L1178" s="11">
        <v>1175</v>
      </c>
      <c r="M1178" s="7">
        <f t="shared" ca="1" si="44"/>
        <v>2.2940382925336872E-2</v>
      </c>
      <c r="N1178" s="7">
        <f ca="1">SUM($M$4:M1178)</f>
        <v>-0.73826323232447721</v>
      </c>
    </row>
    <row r="1179" spans="1:14" x14ac:dyDescent="0.3">
      <c r="A1179" s="3">
        <v>45170</v>
      </c>
      <c r="B1179" s="4">
        <v>11.56</v>
      </c>
      <c r="D1179" s="11">
        <v>1176</v>
      </c>
      <c r="E1179" s="3">
        <v>45174</v>
      </c>
      <c r="F1179" s="7">
        <f t="shared" si="43"/>
        <v>6.8965790590604587E-3</v>
      </c>
      <c r="G1179" s="7">
        <f>SUM($F$4:F1179)</f>
        <v>-0.79708916480445846</v>
      </c>
      <c r="L1179" s="11">
        <v>1176</v>
      </c>
      <c r="M1179" s="7">
        <f t="shared" ca="1" si="44"/>
        <v>-1.2512936141092838E-2</v>
      </c>
      <c r="N1179" s="7">
        <f ca="1">SUM($M$4:M1179)</f>
        <v>-0.75077616846557005</v>
      </c>
    </row>
    <row r="1180" spans="1:14" x14ac:dyDescent="0.3">
      <c r="A1180" s="3">
        <v>45174</v>
      </c>
      <c r="B1180" s="4">
        <v>11.64</v>
      </c>
      <c r="D1180" s="11">
        <v>1177</v>
      </c>
      <c r="E1180" s="3">
        <v>45175</v>
      </c>
      <c r="F1180" s="7">
        <f t="shared" si="43"/>
        <v>-1.2970350442627517E-2</v>
      </c>
      <c r="G1180" s="7">
        <f>SUM($F$4:F1180)</f>
        <v>-0.81005951524708597</v>
      </c>
      <c r="L1180" s="11">
        <v>1177</v>
      </c>
      <c r="M1180" s="7">
        <f t="shared" ca="1" si="44"/>
        <v>2.0854893568488065E-2</v>
      </c>
      <c r="N1180" s="7">
        <f ca="1">SUM($M$4:M1180)</f>
        <v>-0.72992127489708203</v>
      </c>
    </row>
    <row r="1181" spans="1:14" x14ac:dyDescent="0.3">
      <c r="A1181" s="3">
        <v>45175</v>
      </c>
      <c r="B1181" s="4">
        <v>11.49</v>
      </c>
      <c r="D1181" s="11">
        <v>1178</v>
      </c>
      <c r="E1181" s="3">
        <v>45176</v>
      </c>
      <c r="F1181" s="7">
        <f t="shared" si="43"/>
        <v>-4.0858258595253265E-2</v>
      </c>
      <c r="G1181" s="7">
        <f>SUM($F$4:F1181)</f>
        <v>-0.85091777384233924</v>
      </c>
      <c r="L1181" s="11">
        <v>1178</v>
      </c>
      <c r="M1181" s="7">
        <f t="shared" ca="1" si="44"/>
        <v>1.0427446784244032E-2</v>
      </c>
      <c r="N1181" s="7">
        <f ca="1">SUM($M$4:M1181)</f>
        <v>-0.71949382811283802</v>
      </c>
    </row>
    <row r="1182" spans="1:14" x14ac:dyDescent="0.3">
      <c r="A1182" s="3">
        <v>45176</v>
      </c>
      <c r="B1182" s="4">
        <v>11.03</v>
      </c>
      <c r="D1182" s="11">
        <v>1179</v>
      </c>
      <c r="E1182" s="3">
        <v>45177</v>
      </c>
      <c r="F1182" s="7">
        <f t="shared" si="43"/>
        <v>2.5952239509625837E-2</v>
      </c>
      <c r="G1182" s="7">
        <f>SUM($F$4:F1182)</f>
        <v>-0.82496553433271336</v>
      </c>
      <c r="L1182" s="11">
        <v>1179</v>
      </c>
      <c r="M1182" s="7">
        <f t="shared" ca="1" si="44"/>
        <v>-7.0906638132859412E-2</v>
      </c>
      <c r="N1182" s="7">
        <f ca="1">SUM($M$4:M1182)</f>
        <v>-0.79040046624569738</v>
      </c>
    </row>
    <row r="1183" spans="1:14" x14ac:dyDescent="0.3">
      <c r="A1183" s="3">
        <v>45177</v>
      </c>
      <c r="B1183" s="4">
        <v>11.32</v>
      </c>
      <c r="D1183" s="11">
        <v>1180</v>
      </c>
      <c r="E1183" s="3">
        <v>45180</v>
      </c>
      <c r="F1183" s="7">
        <f t="shared" si="43"/>
        <v>2.2708399369812251E-2</v>
      </c>
      <c r="G1183" s="7">
        <f>SUM($F$4:F1183)</f>
        <v>-0.80225713496290108</v>
      </c>
      <c r="L1183" s="11">
        <v>1180</v>
      </c>
      <c r="M1183" s="7">
        <f t="shared" ca="1" si="44"/>
        <v>2.2940382925336872E-2</v>
      </c>
      <c r="N1183" s="7">
        <f ca="1">SUM($M$4:M1183)</f>
        <v>-0.76746008332036053</v>
      </c>
    </row>
    <row r="1184" spans="1:14" x14ac:dyDescent="0.3">
      <c r="A1184" s="3">
        <v>45180</v>
      </c>
      <c r="B1184" s="4">
        <v>11.58</v>
      </c>
      <c r="D1184" s="11">
        <v>1181</v>
      </c>
      <c r="E1184" s="3">
        <v>45181</v>
      </c>
      <c r="F1184" s="7">
        <f t="shared" si="43"/>
        <v>-2.1825397104934242E-2</v>
      </c>
      <c r="G1184" s="7">
        <f>SUM($F$4:F1184)</f>
        <v>-0.82408253206783533</v>
      </c>
      <c r="L1184" s="11">
        <v>1181</v>
      </c>
      <c r="M1184" s="7">
        <f t="shared" ca="1" si="44"/>
        <v>-8.3419574273952257E-3</v>
      </c>
      <c r="N1184" s="7">
        <f ca="1">SUM($M$4:M1184)</f>
        <v>-0.77580204074775572</v>
      </c>
    </row>
    <row r="1185" spans="1:14" x14ac:dyDescent="0.3">
      <c r="A1185" s="3">
        <v>45181</v>
      </c>
      <c r="B1185" s="4">
        <v>11.33</v>
      </c>
      <c r="D1185" s="11">
        <v>1182</v>
      </c>
      <c r="E1185" s="3">
        <v>45182</v>
      </c>
      <c r="F1185" s="7">
        <f t="shared" si="43"/>
        <v>7.036088834069241E-3</v>
      </c>
      <c r="G1185" s="7">
        <f>SUM($F$4:F1185)</f>
        <v>-0.81704644323376607</v>
      </c>
      <c r="L1185" s="11">
        <v>1182</v>
      </c>
      <c r="M1185" s="7">
        <f t="shared" ca="1" si="44"/>
        <v>2.7111361639034482E-2</v>
      </c>
      <c r="N1185" s="7">
        <f ca="1">SUM($M$4:M1185)</f>
        <v>-0.74869067910872122</v>
      </c>
    </row>
    <row r="1186" spans="1:14" x14ac:dyDescent="0.3">
      <c r="A1186" s="3">
        <v>45182</v>
      </c>
      <c r="B1186" s="4">
        <v>11.41</v>
      </c>
      <c r="D1186" s="11">
        <v>1183</v>
      </c>
      <c r="E1186" s="3">
        <v>45183</v>
      </c>
      <c r="F1186" s="7">
        <f t="shared" si="43"/>
        <v>2.765949879139985E-2</v>
      </c>
      <c r="G1186" s="7">
        <f>SUM($F$4:F1186)</f>
        <v>-0.78938694444236623</v>
      </c>
      <c r="L1186" s="11">
        <v>1183</v>
      </c>
      <c r="M1186" s="7">
        <f t="shared" ca="1" si="44"/>
        <v>2.0854893568488064E-3</v>
      </c>
      <c r="N1186" s="7">
        <f ca="1">SUM($M$4:M1186)</f>
        <v>-0.7466051897518724</v>
      </c>
    </row>
    <row r="1187" spans="1:14" x14ac:dyDescent="0.3">
      <c r="A1187" s="3">
        <v>45183</v>
      </c>
      <c r="B1187" s="4">
        <v>11.73</v>
      </c>
      <c r="D1187" s="11">
        <v>1184</v>
      </c>
      <c r="E1187" s="3">
        <v>45184</v>
      </c>
      <c r="F1187" s="7">
        <f t="shared" si="43"/>
        <v>9.3339667904755053E-3</v>
      </c>
      <c r="G1187" s="7">
        <f>SUM($F$4:F1187)</f>
        <v>-0.78005297765189074</v>
      </c>
      <c r="L1187" s="11">
        <v>1184</v>
      </c>
      <c r="M1187" s="7">
        <f t="shared" ca="1" si="44"/>
        <v>-8.3419574273952257E-3</v>
      </c>
      <c r="N1187" s="7">
        <f ca="1">SUM($M$4:M1187)</f>
        <v>-0.75494714717926759</v>
      </c>
    </row>
    <row r="1188" spans="1:14" x14ac:dyDescent="0.3">
      <c r="A1188" s="3">
        <v>45184</v>
      </c>
      <c r="B1188" s="4">
        <v>11.84</v>
      </c>
      <c r="D1188" s="11">
        <v>1185</v>
      </c>
      <c r="E1188" s="3">
        <v>45187</v>
      </c>
      <c r="F1188" s="7">
        <f t="shared" si="43"/>
        <v>-1.5319448533513231E-2</v>
      </c>
      <c r="G1188" s="7">
        <f>SUM($F$4:F1188)</f>
        <v>-0.79537242618540394</v>
      </c>
      <c r="L1188" s="11">
        <v>1185</v>
      </c>
      <c r="M1188" s="7">
        <f t="shared" ca="1" si="44"/>
        <v>-3.5453319066429706E-2</v>
      </c>
      <c r="N1188" s="7">
        <f ca="1">SUM($M$4:M1188)</f>
        <v>-0.79040046624569726</v>
      </c>
    </row>
    <row r="1189" spans="1:14" x14ac:dyDescent="0.3">
      <c r="A1189" s="3">
        <v>45187</v>
      </c>
      <c r="B1189" s="4">
        <v>11.66</v>
      </c>
      <c r="D1189" s="11">
        <v>1186</v>
      </c>
      <c r="E1189" s="3">
        <v>45188</v>
      </c>
      <c r="F1189" s="7">
        <f t="shared" si="43"/>
        <v>-1.7167386190544741E-3</v>
      </c>
      <c r="G1189" s="7">
        <f>SUM($F$4:F1189)</f>
        <v>-0.79708916480445846</v>
      </c>
      <c r="L1189" s="11">
        <v>1186</v>
      </c>
      <c r="M1189" s="7">
        <f t="shared" ca="1" si="44"/>
        <v>-1.6683914854790451E-2</v>
      </c>
      <c r="N1189" s="7">
        <f ca="1">SUM($M$4:M1189)</f>
        <v>-0.80708438110048775</v>
      </c>
    </row>
    <row r="1190" spans="1:14" x14ac:dyDescent="0.3">
      <c r="A1190" s="3">
        <v>45188</v>
      </c>
      <c r="B1190" s="4">
        <v>11.64</v>
      </c>
      <c r="D1190" s="11">
        <v>1187</v>
      </c>
      <c r="E1190" s="3">
        <v>45189</v>
      </c>
      <c r="F1190" s="7">
        <f t="shared" si="43"/>
        <v>-1.2100406934087453E-2</v>
      </c>
      <c r="G1190" s="7">
        <f>SUM($F$4:F1190)</f>
        <v>-0.80918957173854589</v>
      </c>
      <c r="L1190" s="11">
        <v>1187</v>
      </c>
      <c r="M1190" s="7">
        <f t="shared" ca="1" si="44"/>
        <v>4.5880765850673744E-2</v>
      </c>
      <c r="N1190" s="7">
        <f ca="1">SUM($M$4:M1190)</f>
        <v>-0.76120361524981406</v>
      </c>
    </row>
    <row r="1191" spans="1:14" x14ac:dyDescent="0.3">
      <c r="A1191" s="3">
        <v>45189</v>
      </c>
      <c r="B1191" s="4">
        <v>11.5</v>
      </c>
      <c r="D1191" s="11">
        <v>1188</v>
      </c>
      <c r="E1191" s="3">
        <v>45190</v>
      </c>
      <c r="F1191" s="7">
        <f t="shared" si="43"/>
        <v>8.6918736458693388E-4</v>
      </c>
      <c r="G1191" s="7">
        <f>SUM($F$4:F1191)</f>
        <v>-0.80832038437395892</v>
      </c>
      <c r="L1191" s="11">
        <v>1188</v>
      </c>
      <c r="M1191" s="7">
        <f t="shared" ca="1" si="44"/>
        <v>-1.4598425497941644E-2</v>
      </c>
      <c r="N1191" s="7">
        <f ca="1">SUM($M$4:M1191)</f>
        <v>-0.77580204074775572</v>
      </c>
    </row>
    <row r="1192" spans="1:14" x14ac:dyDescent="0.3">
      <c r="A1192" s="3">
        <v>45190</v>
      </c>
      <c r="B1192" s="4">
        <v>11.51</v>
      </c>
      <c r="D1192" s="11">
        <v>1189</v>
      </c>
      <c r="E1192" s="3">
        <v>45191</v>
      </c>
      <c r="F1192" s="7">
        <f t="shared" si="43"/>
        <v>-3.6271114415502827E-2</v>
      </c>
      <c r="G1192" s="7">
        <f>SUM($F$4:F1192)</f>
        <v>-0.84459149878946171</v>
      </c>
      <c r="L1192" s="11">
        <v>1189</v>
      </c>
      <c r="M1192" s="7">
        <f t="shared" ca="1" si="44"/>
        <v>5.005174456437135E-2</v>
      </c>
      <c r="N1192" s="7">
        <f ca="1">SUM($M$4:M1192)</f>
        <v>-0.72575029618338438</v>
      </c>
    </row>
    <row r="1193" spans="1:14" x14ac:dyDescent="0.3">
      <c r="A1193" s="3">
        <v>45191</v>
      </c>
      <c r="B1193" s="4">
        <v>11.1</v>
      </c>
      <c r="D1193" s="11">
        <v>1190</v>
      </c>
      <c r="E1193" s="3">
        <v>45194</v>
      </c>
      <c r="F1193" s="7">
        <f t="shared" si="43"/>
        <v>-4.0446689580589897E-2</v>
      </c>
      <c r="G1193" s="7">
        <f>SUM($F$4:F1193)</f>
        <v>-0.88503818837005166</v>
      </c>
      <c r="L1193" s="11">
        <v>1190</v>
      </c>
      <c r="M1193" s="7">
        <f t="shared" ca="1" si="44"/>
        <v>-6.6735659419161805E-2</v>
      </c>
      <c r="N1193" s="7">
        <f ca="1">SUM($M$4:M1193)</f>
        <v>-0.7924859556025462</v>
      </c>
    </row>
    <row r="1194" spans="1:14" x14ac:dyDescent="0.3">
      <c r="A1194" s="3">
        <v>45194</v>
      </c>
      <c r="B1194" s="4">
        <v>10.66</v>
      </c>
      <c r="D1194" s="11">
        <v>1191</v>
      </c>
      <c r="E1194" s="3">
        <v>45195</v>
      </c>
      <c r="F1194" s="7">
        <f t="shared" si="43"/>
        <v>2.8103062992553447E-3</v>
      </c>
      <c r="G1194" s="7">
        <f>SUM($F$4:F1194)</f>
        <v>-0.88222788207079628</v>
      </c>
      <c r="L1194" s="11">
        <v>1191</v>
      </c>
      <c r="M1194" s="7">
        <f t="shared" ca="1" si="44"/>
        <v>6.0479191348615388E-2</v>
      </c>
      <c r="N1194" s="7">
        <f ca="1">SUM($M$4:M1194)</f>
        <v>-0.73200676425393085</v>
      </c>
    </row>
    <row r="1195" spans="1:14" x14ac:dyDescent="0.3">
      <c r="A1195" s="3">
        <v>45195</v>
      </c>
      <c r="B1195" s="4">
        <v>10.69</v>
      </c>
      <c r="D1195" s="11">
        <v>1192</v>
      </c>
      <c r="E1195" s="3">
        <v>45196</v>
      </c>
      <c r="F1195" s="7">
        <f t="shared" si="43"/>
        <v>3.1310108228457291E-2</v>
      </c>
      <c r="G1195" s="7">
        <f>SUM($F$4:F1195)</f>
        <v>-0.85091777384233902</v>
      </c>
      <c r="L1195" s="11">
        <v>1192</v>
      </c>
      <c r="M1195" s="7">
        <f t="shared" ca="1" si="44"/>
        <v>1.4598425497941644E-2</v>
      </c>
      <c r="N1195" s="7">
        <f ca="1">SUM($M$4:M1195)</f>
        <v>-0.71740833875598919</v>
      </c>
    </row>
    <row r="1196" spans="1:14" x14ac:dyDescent="0.3">
      <c r="A1196" s="3">
        <v>45196</v>
      </c>
      <c r="B1196" s="4">
        <v>11.03</v>
      </c>
      <c r="D1196" s="11">
        <v>1193</v>
      </c>
      <c r="E1196" s="3">
        <v>45197</v>
      </c>
      <c r="F1196" s="7">
        <f t="shared" si="43"/>
        <v>-3.1310108228457235E-2</v>
      </c>
      <c r="G1196" s="7">
        <f>SUM($F$4:F1196)</f>
        <v>-0.88222788207079628</v>
      </c>
      <c r="L1196" s="11">
        <v>1193</v>
      </c>
      <c r="M1196" s="7">
        <f t="shared" ca="1" si="44"/>
        <v>4.170978713697613E-2</v>
      </c>
      <c r="N1196" s="7">
        <f ca="1">SUM($M$4:M1196)</f>
        <v>-0.67569855161901304</v>
      </c>
    </row>
    <row r="1197" spans="1:14" x14ac:dyDescent="0.3">
      <c r="A1197" s="3">
        <v>45197</v>
      </c>
      <c r="B1197" s="4">
        <v>10.69</v>
      </c>
      <c r="D1197" s="11">
        <v>1194</v>
      </c>
      <c r="E1197" s="3">
        <v>45198</v>
      </c>
      <c r="F1197" s="7">
        <f t="shared" si="43"/>
        <v>1.5777589468835548E-2</v>
      </c>
      <c r="G1197" s="7">
        <f>SUM($F$4:F1197)</f>
        <v>-0.86645029260196071</v>
      </c>
      <c r="L1197" s="11">
        <v>1194</v>
      </c>
      <c r="M1197" s="7">
        <f t="shared" ca="1" si="44"/>
        <v>-2.0854893568488065E-2</v>
      </c>
      <c r="N1197" s="7">
        <f ca="1">SUM($M$4:M1197)</f>
        <v>-0.69655344518750106</v>
      </c>
    </row>
    <row r="1198" spans="1:14" x14ac:dyDescent="0.3">
      <c r="A1198" s="3">
        <v>45198</v>
      </c>
      <c r="B1198" s="4">
        <v>10.86</v>
      </c>
      <c r="D1198" s="11">
        <v>1195</v>
      </c>
      <c r="E1198" s="3">
        <v>45201</v>
      </c>
      <c r="F1198" s="7">
        <f t="shared" si="43"/>
        <v>-3.2759129616929596E-2</v>
      </c>
      <c r="G1198" s="7">
        <f>SUM($F$4:F1198)</f>
        <v>-0.89920942221889033</v>
      </c>
      <c r="L1198" s="11">
        <v>1195</v>
      </c>
      <c r="M1198" s="7">
        <f t="shared" ca="1" si="44"/>
        <v>2.2940382925336872E-2</v>
      </c>
      <c r="N1198" s="7">
        <f ca="1">SUM($M$4:M1198)</f>
        <v>-0.67361306226216422</v>
      </c>
    </row>
    <row r="1199" spans="1:14" x14ac:dyDescent="0.3">
      <c r="A1199" s="3">
        <v>45201</v>
      </c>
      <c r="B1199" s="4">
        <v>10.51</v>
      </c>
      <c r="D1199" s="11">
        <v>1196</v>
      </c>
      <c r="E1199" s="3">
        <v>45202</v>
      </c>
      <c r="F1199" s="7">
        <f t="shared" si="43"/>
        <v>-1.5340665177481652E-2</v>
      </c>
      <c r="G1199" s="7">
        <f>SUM($F$4:F1199)</f>
        <v>-0.914550087396372</v>
      </c>
      <c r="L1199" s="11">
        <v>1196</v>
      </c>
      <c r="M1199" s="7">
        <f t="shared" ca="1" si="44"/>
        <v>-8.3419574273952257E-3</v>
      </c>
      <c r="N1199" s="7">
        <f ca="1">SUM($M$4:M1199)</f>
        <v>-0.68195501968955941</v>
      </c>
    </row>
    <row r="1200" spans="1:14" x14ac:dyDescent="0.3">
      <c r="A1200" s="3">
        <v>45202</v>
      </c>
      <c r="B1200" s="4">
        <v>10.35</v>
      </c>
      <c r="D1200" s="11">
        <v>1197</v>
      </c>
      <c r="E1200" s="3">
        <v>45203</v>
      </c>
      <c r="F1200" s="7">
        <f t="shared" si="43"/>
        <v>-5.8139698654198447E-3</v>
      </c>
      <c r="G1200" s="7">
        <f>SUM($F$4:F1200)</f>
        <v>-0.92036405726179182</v>
      </c>
      <c r="L1200" s="11">
        <v>1197</v>
      </c>
      <c r="M1200" s="7">
        <f t="shared" ca="1" si="44"/>
        <v>7.2992127489708222E-2</v>
      </c>
      <c r="N1200" s="7">
        <f ca="1">SUM($M$4:M1200)</f>
        <v>-0.60896289219985122</v>
      </c>
    </row>
    <row r="1201" spans="1:14" x14ac:dyDescent="0.3">
      <c r="A1201" s="3">
        <v>45203</v>
      </c>
      <c r="B1201" s="4">
        <v>10.29</v>
      </c>
      <c r="D1201" s="11">
        <v>1198</v>
      </c>
      <c r="E1201" s="3">
        <v>45204</v>
      </c>
      <c r="F1201" s="7">
        <f t="shared" si="43"/>
        <v>-1.9627715480440528E-2</v>
      </c>
      <c r="G1201" s="7">
        <f>SUM($F$4:F1201)</f>
        <v>-0.93999177274223233</v>
      </c>
      <c r="L1201" s="11">
        <v>1198</v>
      </c>
      <c r="M1201" s="7">
        <f t="shared" ca="1" si="44"/>
        <v>-1.0427446784244032E-2</v>
      </c>
      <c r="N1201" s="7">
        <f ca="1">SUM($M$4:M1201)</f>
        <v>-0.61939033898409523</v>
      </c>
    </row>
    <row r="1202" spans="1:14" x14ac:dyDescent="0.3">
      <c r="A1202" s="3">
        <v>45204</v>
      </c>
      <c r="B1202" s="4">
        <v>10.09</v>
      </c>
      <c r="D1202" s="11">
        <v>1199</v>
      </c>
      <c r="E1202" s="3">
        <v>45205</v>
      </c>
      <c r="F1202" s="7">
        <f t="shared" si="43"/>
        <v>1.8655425661501305E-2</v>
      </c>
      <c r="G1202" s="7">
        <f>SUM($F$4:F1202)</f>
        <v>-0.92133634708073098</v>
      </c>
      <c r="L1202" s="11">
        <v>1199</v>
      </c>
      <c r="M1202" s="7">
        <f t="shared" ca="1" si="44"/>
        <v>4.1709787136976128E-3</v>
      </c>
      <c r="N1202" s="7">
        <f ca="1">SUM($M$4:M1202)</f>
        <v>-0.61521936027039759</v>
      </c>
    </row>
    <row r="1203" spans="1:14" x14ac:dyDescent="0.3">
      <c r="A1203" s="3">
        <v>45205</v>
      </c>
      <c r="B1203" s="4">
        <v>10.28</v>
      </c>
      <c r="D1203" s="11">
        <v>1200</v>
      </c>
      <c r="E1203" s="3">
        <v>45208</v>
      </c>
      <c r="F1203" s="7">
        <f t="shared" si="43"/>
        <v>2.4028066118864998E-2</v>
      </c>
      <c r="G1203" s="7">
        <f>SUM($F$4:F1203)</f>
        <v>-0.89730828096186599</v>
      </c>
      <c r="L1203" s="11">
        <v>1200</v>
      </c>
      <c r="M1203" s="7">
        <f t="shared" ca="1" si="44"/>
        <v>3.962429778012732E-2</v>
      </c>
      <c r="N1203" s="7">
        <f ca="1">SUM($M$4:M1203)</f>
        <v>-0.57559506249027026</v>
      </c>
    </row>
    <row r="1204" spans="1:14" x14ac:dyDescent="0.3">
      <c r="A1204" s="3">
        <v>45208</v>
      </c>
      <c r="B1204" s="4">
        <v>10.53</v>
      </c>
      <c r="D1204" s="11">
        <v>1201</v>
      </c>
      <c r="E1204" s="3">
        <v>45209</v>
      </c>
      <c r="F1204" s="7">
        <f t="shared" si="43"/>
        <v>1.320773916777794E-2</v>
      </c>
      <c r="G1204" s="7">
        <f>SUM($F$4:F1204)</f>
        <v>-0.88410054179408804</v>
      </c>
      <c r="L1204" s="11">
        <v>1201</v>
      </c>
      <c r="M1204" s="7">
        <f t="shared" ca="1" si="44"/>
        <v>6.2564680705464188E-3</v>
      </c>
      <c r="N1204" s="7">
        <f ca="1">SUM($M$4:M1204)</f>
        <v>-0.56933859441972379</v>
      </c>
    </row>
    <row r="1205" spans="1:14" x14ac:dyDescent="0.3">
      <c r="A1205" s="3">
        <v>45209</v>
      </c>
      <c r="B1205" s="4">
        <v>10.67</v>
      </c>
      <c r="D1205" s="11">
        <v>1202</v>
      </c>
      <c r="E1205" s="3">
        <v>45210</v>
      </c>
      <c r="F1205" s="7">
        <f t="shared" si="43"/>
        <v>2.6816216206207638E-2</v>
      </c>
      <c r="G1205" s="7">
        <f>SUM($F$4:F1205)</f>
        <v>-0.85728432558788037</v>
      </c>
      <c r="L1205" s="11">
        <v>1202</v>
      </c>
      <c r="M1205" s="7">
        <f t="shared" ca="1" si="44"/>
        <v>-2.0854893568488064E-3</v>
      </c>
      <c r="N1205" s="7">
        <f ca="1">SUM($M$4:M1205)</f>
        <v>-0.57142408377657261</v>
      </c>
    </row>
    <row r="1206" spans="1:14" x14ac:dyDescent="0.3">
      <c r="A1206" s="3">
        <v>45210</v>
      </c>
      <c r="B1206" s="4">
        <v>10.96</v>
      </c>
      <c r="D1206" s="11">
        <v>1203</v>
      </c>
      <c r="E1206" s="3">
        <v>45211</v>
      </c>
      <c r="F1206" s="7">
        <f t="shared" si="43"/>
        <v>-6.0168521466452844E-2</v>
      </c>
      <c r="G1206" s="7">
        <f>SUM($F$4:F1206)</f>
        <v>-0.91745284705433316</v>
      </c>
      <c r="L1206" s="11">
        <v>1203</v>
      </c>
      <c r="M1206" s="7">
        <f t="shared" ca="1" si="44"/>
        <v>-1.8769404211639258E-2</v>
      </c>
      <c r="N1206" s="7">
        <f ca="1">SUM($M$4:M1206)</f>
        <v>-0.59019348798821192</v>
      </c>
    </row>
    <row r="1207" spans="1:14" x14ac:dyDescent="0.3">
      <c r="A1207" s="3">
        <v>45211</v>
      </c>
      <c r="B1207" s="4">
        <v>10.32</v>
      </c>
      <c r="D1207" s="11">
        <v>1204</v>
      </c>
      <c r="E1207" s="3">
        <v>45212</v>
      </c>
      <c r="F1207" s="7">
        <f t="shared" si="43"/>
        <v>4.8332621880190739E-3</v>
      </c>
      <c r="G1207" s="7">
        <f>SUM($F$4:F1207)</f>
        <v>-0.91261958486631412</v>
      </c>
      <c r="L1207" s="11">
        <v>1204</v>
      </c>
      <c r="M1207" s="7">
        <f t="shared" ca="1" si="44"/>
        <v>-4.170978713697613E-2</v>
      </c>
      <c r="N1207" s="7">
        <f ca="1">SUM($M$4:M1207)</f>
        <v>-0.63190327512518807</v>
      </c>
    </row>
    <row r="1208" spans="1:14" x14ac:dyDescent="0.3">
      <c r="A1208" s="3">
        <v>45212</v>
      </c>
      <c r="B1208" s="4">
        <v>10.37</v>
      </c>
      <c r="D1208" s="11">
        <v>1205</v>
      </c>
      <c r="E1208" s="3">
        <v>45215</v>
      </c>
      <c r="F1208" s="7">
        <f t="shared" si="43"/>
        <v>4.9845766993662187E-2</v>
      </c>
      <c r="G1208" s="7">
        <f>SUM($F$4:F1208)</f>
        <v>-0.86277381787265195</v>
      </c>
      <c r="L1208" s="11">
        <v>1205</v>
      </c>
      <c r="M1208" s="7">
        <f t="shared" ca="1" si="44"/>
        <v>2.5025872282185675E-2</v>
      </c>
      <c r="N1208" s="7">
        <f ca="1">SUM($M$4:M1208)</f>
        <v>-0.6068774028430024</v>
      </c>
    </row>
    <row r="1209" spans="1:14" x14ac:dyDescent="0.3">
      <c r="A1209" s="3">
        <v>45215</v>
      </c>
      <c r="B1209" s="4">
        <v>10.9</v>
      </c>
      <c r="D1209" s="11">
        <v>1206</v>
      </c>
      <c r="E1209" s="3">
        <v>45216</v>
      </c>
      <c r="F1209" s="7">
        <f t="shared" si="43"/>
        <v>1.8331810816609117E-3</v>
      </c>
      <c r="G1209" s="7">
        <f>SUM($F$4:F1209)</f>
        <v>-0.86094063679099109</v>
      </c>
      <c r="L1209" s="11">
        <v>1206</v>
      </c>
      <c r="M1209" s="7">
        <f t="shared" ca="1" si="44"/>
        <v>1.0427446784244032E-2</v>
      </c>
      <c r="N1209" s="7">
        <f ca="1">SUM($M$4:M1209)</f>
        <v>-0.59644995605875839</v>
      </c>
    </row>
    <row r="1210" spans="1:14" x14ac:dyDescent="0.3">
      <c r="A1210" s="3">
        <v>45216</v>
      </c>
      <c r="B1210" s="4">
        <v>10.92</v>
      </c>
      <c r="D1210" s="11">
        <v>1207</v>
      </c>
      <c r="E1210" s="3">
        <v>45217</v>
      </c>
      <c r="F1210" s="7">
        <f t="shared" si="43"/>
        <v>-3.1630543886605661E-2</v>
      </c>
      <c r="G1210" s="7">
        <f>SUM($F$4:F1210)</f>
        <v>-0.89257118067759678</v>
      </c>
      <c r="L1210" s="11">
        <v>1207</v>
      </c>
      <c r="M1210" s="7">
        <f t="shared" ca="1" si="44"/>
        <v>-2.0854893568488065E-2</v>
      </c>
      <c r="N1210" s="7">
        <f ca="1">SUM($M$4:M1210)</f>
        <v>-0.61730484962724641</v>
      </c>
    </row>
    <row r="1211" spans="1:14" x14ac:dyDescent="0.3">
      <c r="A1211" s="3">
        <v>45217</v>
      </c>
      <c r="B1211" s="4">
        <v>10.58</v>
      </c>
      <c r="D1211" s="11">
        <v>1208</v>
      </c>
      <c r="E1211" s="3">
        <v>45218</v>
      </c>
      <c r="F1211" s="7">
        <f t="shared" si="43"/>
        <v>-1.8121621319017248E-2</v>
      </c>
      <c r="G1211" s="7">
        <f>SUM($F$4:F1211)</f>
        <v>-0.91069280199661407</v>
      </c>
      <c r="L1211" s="11">
        <v>1208</v>
      </c>
      <c r="M1211" s="7">
        <f t="shared" ca="1" si="44"/>
        <v>3.1282340352732099E-2</v>
      </c>
      <c r="N1211" s="7">
        <f ca="1">SUM($M$4:M1211)</f>
        <v>-0.58602250927451427</v>
      </c>
    </row>
    <row r="1212" spans="1:14" x14ac:dyDescent="0.3">
      <c r="A1212" s="3">
        <v>45218</v>
      </c>
      <c r="B1212" s="4">
        <v>10.39</v>
      </c>
      <c r="D1212" s="11">
        <v>1209</v>
      </c>
      <c r="E1212" s="3">
        <v>45219</v>
      </c>
      <c r="F1212" s="7">
        <f t="shared" si="43"/>
        <v>-5.7915219795889369E-3</v>
      </c>
      <c r="G1212" s="7">
        <f>SUM($F$4:F1212)</f>
        <v>-0.91648432397620305</v>
      </c>
      <c r="L1212" s="11">
        <v>1209</v>
      </c>
      <c r="M1212" s="7">
        <f t="shared" ca="1" si="44"/>
        <v>-6.2564680705464188E-3</v>
      </c>
      <c r="N1212" s="7">
        <f ca="1">SUM($M$4:M1212)</f>
        <v>-0.59227897734506074</v>
      </c>
    </row>
    <row r="1213" spans="1:14" x14ac:dyDescent="0.3">
      <c r="A1213" s="3">
        <v>45219</v>
      </c>
      <c r="B1213" s="4">
        <v>10.33</v>
      </c>
      <c r="D1213" s="11">
        <v>1210</v>
      </c>
      <c r="E1213" s="3">
        <v>45222</v>
      </c>
      <c r="F1213" s="7">
        <f t="shared" si="43"/>
        <v>-1.8564284968510043E-2</v>
      </c>
      <c r="G1213" s="7">
        <f>SUM($F$4:F1213)</f>
        <v>-0.93504860894471309</v>
      </c>
      <c r="L1213" s="11">
        <v>1210</v>
      </c>
      <c r="M1213" s="7">
        <f t="shared" ca="1" si="44"/>
        <v>-3.7538808423278516E-2</v>
      </c>
      <c r="N1213" s="7">
        <f ca="1">SUM($M$4:M1213)</f>
        <v>-0.62981778576833924</v>
      </c>
    </row>
    <row r="1214" spans="1:14" x14ac:dyDescent="0.3">
      <c r="A1214" s="3">
        <v>45222</v>
      </c>
      <c r="B1214" s="4">
        <v>10.14</v>
      </c>
      <c r="D1214" s="11">
        <v>1211</v>
      </c>
      <c r="E1214" s="3">
        <v>45223</v>
      </c>
      <c r="F1214" s="7">
        <f t="shared" si="43"/>
        <v>-5.9347355198145777E-3</v>
      </c>
      <c r="G1214" s="7">
        <f>SUM($F$4:F1214)</f>
        <v>-0.94098334446452769</v>
      </c>
      <c r="L1214" s="11">
        <v>1211</v>
      </c>
      <c r="M1214" s="7">
        <f t="shared" ca="1" si="44"/>
        <v>-2.0854893568488064E-3</v>
      </c>
      <c r="N1214" s="7">
        <f ca="1">SUM($M$4:M1214)</f>
        <v>-0.63190327512518807</v>
      </c>
    </row>
    <row r="1215" spans="1:14" x14ac:dyDescent="0.3">
      <c r="A1215" s="3">
        <v>45223</v>
      </c>
      <c r="B1215" s="4">
        <v>10.08</v>
      </c>
      <c r="D1215" s="11">
        <v>1212</v>
      </c>
      <c r="E1215" s="3">
        <v>45224</v>
      </c>
      <c r="F1215" s="7">
        <f t="shared" si="43"/>
        <v>-3.5339366445308849E-2</v>
      </c>
      <c r="G1215" s="7">
        <f>SUM($F$4:F1215)</f>
        <v>-0.97632271090983658</v>
      </c>
      <c r="L1215" s="11">
        <v>1212</v>
      </c>
      <c r="M1215" s="7">
        <f t="shared" ca="1" si="44"/>
        <v>-2.7111361639034482E-2</v>
      </c>
      <c r="N1215" s="7">
        <f ca="1">SUM($M$4:M1215)</f>
        <v>-0.65901463676422256</v>
      </c>
    </row>
    <row r="1216" spans="1:14" x14ac:dyDescent="0.3">
      <c r="A1216" s="3">
        <v>45224</v>
      </c>
      <c r="B1216" s="4">
        <v>9.73</v>
      </c>
      <c r="D1216" s="11">
        <v>1213</v>
      </c>
      <c r="E1216" s="3">
        <v>45225</v>
      </c>
      <c r="F1216" s="7">
        <f t="shared" si="43"/>
        <v>7.168489478612497E-3</v>
      </c>
      <c r="G1216" s="7">
        <f>SUM($F$4:F1216)</f>
        <v>-0.96915422143122409</v>
      </c>
      <c r="L1216" s="11">
        <v>1213</v>
      </c>
      <c r="M1216" s="7">
        <f t="shared" ca="1" si="44"/>
        <v>3.3367829709580903E-2</v>
      </c>
      <c r="N1216" s="7">
        <f ca="1">SUM($M$4:M1216)</f>
        <v>-0.62564680705464171</v>
      </c>
    </row>
    <row r="1217" spans="1:14" x14ac:dyDescent="0.3">
      <c r="A1217" s="3">
        <v>45225</v>
      </c>
      <c r="B1217" s="4">
        <v>9.8000000000000007</v>
      </c>
      <c r="D1217" s="11">
        <v>1214</v>
      </c>
      <c r="E1217" s="3">
        <v>45226</v>
      </c>
      <c r="F1217" s="7">
        <f t="shared" si="43"/>
        <v>-2.5841231183887328E-2</v>
      </c>
      <c r="G1217" s="7">
        <f>SUM($F$4:F1217)</f>
        <v>-0.99499545261511146</v>
      </c>
      <c r="L1217" s="11">
        <v>1214</v>
      </c>
      <c r="M1217" s="7">
        <f t="shared" ca="1" si="44"/>
        <v>4.7966255207522547E-2</v>
      </c>
      <c r="N1217" s="7">
        <f ca="1">SUM($M$4:M1217)</f>
        <v>-0.57768055184711919</v>
      </c>
    </row>
    <row r="1218" spans="1:14" x14ac:dyDescent="0.3">
      <c r="A1218" s="3">
        <v>45226</v>
      </c>
      <c r="B1218" s="4">
        <v>9.5500000000000007</v>
      </c>
      <c r="D1218" s="11">
        <v>1215</v>
      </c>
      <c r="E1218" s="3">
        <v>45229</v>
      </c>
      <c r="F1218" s="7">
        <f t="shared" si="43"/>
        <v>3.0930300691358558E-2</v>
      </c>
      <c r="G1218" s="7">
        <f>SUM($F$4:F1218)</f>
        <v>-0.96406515192375286</v>
      </c>
      <c r="L1218" s="11">
        <v>1215</v>
      </c>
      <c r="M1218" s="7">
        <f t="shared" ca="1" si="44"/>
        <v>-1.4598425497941644E-2</v>
      </c>
      <c r="N1218" s="7">
        <f ca="1">SUM($M$4:M1218)</f>
        <v>-0.59227897734506085</v>
      </c>
    </row>
    <row r="1219" spans="1:14" x14ac:dyDescent="0.3">
      <c r="A1219" s="3">
        <v>45229</v>
      </c>
      <c r="B1219" s="4">
        <v>9.85</v>
      </c>
      <c r="D1219" s="11">
        <v>1216</v>
      </c>
      <c r="E1219" s="3">
        <v>45230</v>
      </c>
      <c r="F1219" s="7">
        <f t="shared" si="43"/>
        <v>9.0955654844851151E-3</v>
      </c>
      <c r="G1219" s="7">
        <f>SUM($F$4:F1219)</f>
        <v>-0.95496958643926777</v>
      </c>
      <c r="L1219" s="11">
        <v>1216</v>
      </c>
      <c r="M1219" s="7">
        <f t="shared" ca="1" si="44"/>
        <v>3.3367829709580903E-2</v>
      </c>
      <c r="N1219" s="7">
        <f ca="1">SUM($M$4:M1219)</f>
        <v>-0.55891114763548</v>
      </c>
    </row>
    <row r="1220" spans="1:14" x14ac:dyDescent="0.3">
      <c r="A1220" s="3">
        <v>45230</v>
      </c>
      <c r="B1220" s="4">
        <v>9.94</v>
      </c>
      <c r="D1220" s="11">
        <v>1217</v>
      </c>
      <c r="E1220" s="3">
        <v>45231</v>
      </c>
      <c r="F1220" s="7">
        <f t="shared" ref="F1220:F1260" si="45">LN(B1221/B1220)</f>
        <v>1.398624197473987E-2</v>
      </c>
      <c r="G1220" s="7">
        <f>SUM($F$4:F1220)</f>
        <v>-0.94098334446452792</v>
      </c>
      <c r="L1220" s="11">
        <v>1217</v>
      </c>
      <c r="M1220" s="7">
        <f t="shared" ca="1" si="44"/>
        <v>-3.1282340352732099E-2</v>
      </c>
      <c r="N1220" s="7">
        <f ca="1">SUM($M$4:M1220)</f>
        <v>-0.59019348798821214</v>
      </c>
    </row>
    <row r="1221" spans="1:14" x14ac:dyDescent="0.3">
      <c r="A1221" s="3">
        <v>45231</v>
      </c>
      <c r="B1221" s="4">
        <v>10.08</v>
      </c>
      <c r="D1221" s="11">
        <v>1218</v>
      </c>
      <c r="E1221" s="3">
        <v>45232</v>
      </c>
      <c r="F1221" s="7">
        <f t="shared" si="45"/>
        <v>9.4588418675915276E-2</v>
      </c>
      <c r="G1221" s="7">
        <f>SUM($F$4:F1221)</f>
        <v>-0.84639492578861264</v>
      </c>
      <c r="L1221" s="11">
        <v>1218</v>
      </c>
      <c r="M1221" s="7">
        <f t="shared" ref="M1221:M1260" ca="1" si="46">(2*_xlfn.BINOM.INV($J$4,$J$12,RAND())-$J$4)*$J$11</f>
        <v>2.0854893568488064E-3</v>
      </c>
      <c r="N1221" s="7">
        <f ca="1">SUM($M$4:M1221)</f>
        <v>-0.58810799863136332</v>
      </c>
    </row>
    <row r="1222" spans="1:14" x14ac:dyDescent="0.3">
      <c r="A1222" s="3">
        <v>45232</v>
      </c>
      <c r="B1222" s="4">
        <v>11.08</v>
      </c>
      <c r="D1222" s="11">
        <v>1219</v>
      </c>
      <c r="E1222" s="3">
        <v>45233</v>
      </c>
      <c r="F1222" s="7">
        <f t="shared" si="45"/>
        <v>6.0412239953047599E-2</v>
      </c>
      <c r="G1222" s="7">
        <f>SUM($F$4:F1222)</f>
        <v>-0.78598268583556508</v>
      </c>
      <c r="L1222" s="11">
        <v>1219</v>
      </c>
      <c r="M1222" s="7">
        <f t="shared" ca="1" si="46"/>
        <v>1.0427446784244032E-2</v>
      </c>
      <c r="N1222" s="7">
        <f ca="1">SUM($M$4:M1222)</f>
        <v>-0.57768055184711931</v>
      </c>
    </row>
    <row r="1223" spans="1:14" x14ac:dyDescent="0.3">
      <c r="A1223" s="3">
        <v>45233</v>
      </c>
      <c r="B1223" s="4">
        <v>11.77</v>
      </c>
      <c r="D1223" s="11">
        <v>1220</v>
      </c>
      <c r="E1223" s="3">
        <v>45236</v>
      </c>
      <c r="F1223" s="7">
        <f t="shared" si="45"/>
        <v>-2.7564191271936666E-2</v>
      </c>
      <c r="G1223" s="7">
        <f>SUM($F$4:F1223)</f>
        <v>-0.81354687710750173</v>
      </c>
      <c r="L1223" s="11">
        <v>1220</v>
      </c>
      <c r="M1223" s="7">
        <f t="shared" ca="1" si="46"/>
        <v>-1.4598425497941644E-2</v>
      </c>
      <c r="N1223" s="7">
        <f ca="1">SUM($M$4:M1223)</f>
        <v>-0.59227897734506096</v>
      </c>
    </row>
    <row r="1224" spans="1:14" x14ac:dyDescent="0.3">
      <c r="A1224" s="3">
        <v>45236</v>
      </c>
      <c r="B1224" s="4">
        <v>11.45</v>
      </c>
      <c r="D1224" s="11">
        <v>1221</v>
      </c>
      <c r="E1224" s="3">
        <v>45237</v>
      </c>
      <c r="F1224" s="7">
        <f t="shared" si="45"/>
        <v>1.3877065709551464E-2</v>
      </c>
      <c r="G1224" s="7">
        <f>SUM($F$4:F1224)</f>
        <v>-0.79966981139795024</v>
      </c>
      <c r="L1224" s="11">
        <v>1221</v>
      </c>
      <c r="M1224" s="7">
        <f t="shared" ca="1" si="46"/>
        <v>1.0427446784244032E-2</v>
      </c>
      <c r="N1224" s="7">
        <f ca="1">SUM($M$4:M1224)</f>
        <v>-0.58185153056081695</v>
      </c>
    </row>
    <row r="1225" spans="1:14" x14ac:dyDescent="0.3">
      <c r="A1225" s="3">
        <v>45237</v>
      </c>
      <c r="B1225" s="4">
        <v>11.61</v>
      </c>
      <c r="D1225" s="11">
        <v>1222</v>
      </c>
      <c r="E1225" s="3">
        <v>45238</v>
      </c>
      <c r="F1225" s="7">
        <f t="shared" si="45"/>
        <v>-0.21115710643384189</v>
      </c>
      <c r="G1225" s="7">
        <f>SUM($F$4:F1225)</f>
        <v>-1.0108269178317921</v>
      </c>
      <c r="L1225" s="11">
        <v>1222</v>
      </c>
      <c r="M1225" s="7">
        <f t="shared" ca="1" si="46"/>
        <v>4.170978713697613E-2</v>
      </c>
      <c r="N1225" s="7">
        <f ca="1">SUM($M$4:M1225)</f>
        <v>-0.5401417434238408</v>
      </c>
    </row>
    <row r="1226" spans="1:14" x14ac:dyDescent="0.3">
      <c r="A1226" s="3">
        <v>45238</v>
      </c>
      <c r="B1226" s="4">
        <v>9.4</v>
      </c>
      <c r="D1226" s="11">
        <v>1223</v>
      </c>
      <c r="E1226" s="3">
        <v>45239</v>
      </c>
      <c r="F1226" s="7">
        <f t="shared" si="45"/>
        <v>2.521141934649607E-2</v>
      </c>
      <c r="G1226" s="7">
        <f>SUM($F$4:F1226)</f>
        <v>-0.98561549848529606</v>
      </c>
      <c r="L1226" s="11">
        <v>1223</v>
      </c>
      <c r="M1226" s="7">
        <f t="shared" ca="1" si="46"/>
        <v>3.1282340352732099E-2</v>
      </c>
      <c r="N1226" s="7">
        <f ca="1">SUM($M$4:M1226)</f>
        <v>-0.50885940307110866</v>
      </c>
    </row>
    <row r="1227" spans="1:14" x14ac:dyDescent="0.3">
      <c r="A1227" s="3">
        <v>45239</v>
      </c>
      <c r="B1227" s="4">
        <v>9.64</v>
      </c>
      <c r="D1227" s="11">
        <v>1224</v>
      </c>
      <c r="E1227" s="3">
        <v>45240</v>
      </c>
      <c r="F1227" s="7">
        <f t="shared" si="45"/>
        <v>4.9580209638137807E-2</v>
      </c>
      <c r="G1227" s="7">
        <f>SUM($F$4:F1227)</f>
        <v>-0.93603528884715825</v>
      </c>
      <c r="L1227" s="11">
        <v>1224</v>
      </c>
      <c r="M1227" s="7">
        <f t="shared" ca="1" si="46"/>
        <v>2.7111361639034482E-2</v>
      </c>
      <c r="N1227" s="7">
        <f ca="1">SUM($M$4:M1227)</f>
        <v>-0.48174804143207417</v>
      </c>
    </row>
    <row r="1228" spans="1:14" x14ac:dyDescent="0.3">
      <c r="A1228" s="3">
        <v>45240</v>
      </c>
      <c r="B1228" s="4">
        <v>10.130000000000001</v>
      </c>
      <c r="D1228" s="11">
        <v>1225</v>
      </c>
      <c r="E1228" s="3">
        <v>45243</v>
      </c>
      <c r="F1228" s="7">
        <f t="shared" si="45"/>
        <v>-2.3977172625971269E-2</v>
      </c>
      <c r="G1228" s="7">
        <f>SUM($F$4:F1228)</f>
        <v>-0.96001246147312957</v>
      </c>
      <c r="L1228" s="11">
        <v>1225</v>
      </c>
      <c r="M1228" s="7">
        <f t="shared" ca="1" si="46"/>
        <v>-3.3367829709580903E-2</v>
      </c>
      <c r="N1228" s="7">
        <f ca="1">SUM($M$4:M1228)</f>
        <v>-0.51511587114165502</v>
      </c>
    </row>
    <row r="1229" spans="1:14" x14ac:dyDescent="0.3">
      <c r="A1229" s="3">
        <v>45243</v>
      </c>
      <c r="B1229" s="4">
        <v>9.89</v>
      </c>
      <c r="D1229" s="11">
        <v>1226</v>
      </c>
      <c r="E1229" s="3">
        <v>45244</v>
      </c>
      <c r="F1229" s="7">
        <f t="shared" si="45"/>
        <v>5.4120436819871887E-2</v>
      </c>
      <c r="G1229" s="7">
        <f>SUM($F$4:F1229)</f>
        <v>-0.90589202465325769</v>
      </c>
      <c r="L1229" s="11">
        <v>1226</v>
      </c>
      <c r="M1229" s="7">
        <f t="shared" ca="1" si="46"/>
        <v>-3.1282340352732099E-2</v>
      </c>
      <c r="N1229" s="7">
        <f ca="1">SUM($M$4:M1229)</f>
        <v>-0.54639821149438716</v>
      </c>
    </row>
    <row r="1230" spans="1:14" x14ac:dyDescent="0.3">
      <c r="A1230" s="3">
        <v>45244</v>
      </c>
      <c r="B1230" s="4">
        <v>10.44</v>
      </c>
      <c r="D1230" s="11">
        <v>1227</v>
      </c>
      <c r="E1230" s="3">
        <v>45245</v>
      </c>
      <c r="F1230" s="7">
        <f t="shared" si="45"/>
        <v>1.142869582362285E-2</v>
      </c>
      <c r="G1230" s="7">
        <f>SUM($F$4:F1230)</f>
        <v>-0.89446332882963486</v>
      </c>
      <c r="L1230" s="11">
        <v>1227</v>
      </c>
      <c r="M1230" s="7">
        <f t="shared" ca="1" si="46"/>
        <v>-3.3367829709580903E-2</v>
      </c>
      <c r="N1230" s="7">
        <f ca="1">SUM($M$4:M1230)</f>
        <v>-0.57976604120396802</v>
      </c>
    </row>
    <row r="1231" spans="1:14" x14ac:dyDescent="0.3">
      <c r="A1231" s="3">
        <v>45245</v>
      </c>
      <c r="B1231" s="4">
        <v>10.56</v>
      </c>
      <c r="D1231" s="11">
        <v>1228</v>
      </c>
      <c r="E1231" s="3">
        <v>45246</v>
      </c>
      <c r="F1231" s="7">
        <f t="shared" si="45"/>
        <v>-2.2989518224698718E-2</v>
      </c>
      <c r="G1231" s="7">
        <f>SUM($F$4:F1231)</f>
        <v>-0.91745284705433361</v>
      </c>
      <c r="L1231" s="11">
        <v>1228</v>
      </c>
      <c r="M1231" s="7">
        <f t="shared" ca="1" si="46"/>
        <v>-6.2564680705464188E-3</v>
      </c>
      <c r="N1231" s="7">
        <f ca="1">SUM($M$4:M1231)</f>
        <v>-0.58602250927451449</v>
      </c>
    </row>
    <row r="1232" spans="1:14" x14ac:dyDescent="0.3">
      <c r="A1232" s="3">
        <v>45246</v>
      </c>
      <c r="B1232" s="4">
        <v>10.32</v>
      </c>
      <c r="D1232" s="11">
        <v>1229</v>
      </c>
      <c r="E1232" s="3">
        <v>45247</v>
      </c>
      <c r="F1232" s="7">
        <f t="shared" si="45"/>
        <v>3.709412440624079E-2</v>
      </c>
      <c r="G1232" s="7">
        <f>SUM($F$4:F1232)</f>
        <v>-0.88035872264809278</v>
      </c>
      <c r="L1232" s="11">
        <v>1229</v>
      </c>
      <c r="M1232" s="7">
        <f t="shared" ca="1" si="46"/>
        <v>-2.7111361639034482E-2</v>
      </c>
      <c r="N1232" s="7">
        <f ca="1">SUM($M$4:M1232)</f>
        <v>-0.61313387091354898</v>
      </c>
    </row>
    <row r="1233" spans="1:14" x14ac:dyDescent="0.3">
      <c r="A1233" s="3">
        <v>45247</v>
      </c>
      <c r="B1233" s="4">
        <v>10.71</v>
      </c>
      <c r="D1233" s="11">
        <v>1230</v>
      </c>
      <c r="E1233" s="3">
        <v>45250</v>
      </c>
      <c r="F1233" s="7">
        <f t="shared" si="45"/>
        <v>2.7972046210612191E-3</v>
      </c>
      <c r="G1233" s="7">
        <f>SUM($F$4:F1233)</f>
        <v>-0.87756151802703153</v>
      </c>
      <c r="L1233" s="11">
        <v>1230</v>
      </c>
      <c r="M1233" s="7">
        <f t="shared" ca="1" si="46"/>
        <v>-1.6683914854790451E-2</v>
      </c>
      <c r="N1233" s="7">
        <f ca="1">SUM($M$4:M1233)</f>
        <v>-0.62981778576833947</v>
      </c>
    </row>
    <row r="1234" spans="1:14" x14ac:dyDescent="0.3">
      <c r="A1234" s="3">
        <v>45250</v>
      </c>
      <c r="B1234" s="4">
        <v>10.74</v>
      </c>
      <c r="D1234" s="11">
        <v>1231</v>
      </c>
      <c r="E1234" s="3">
        <v>45251</v>
      </c>
      <c r="F1234" s="7">
        <f t="shared" si="45"/>
        <v>-1.5009662650565289E-2</v>
      </c>
      <c r="G1234" s="7">
        <f>SUM($F$4:F1234)</f>
        <v>-0.89257118067759678</v>
      </c>
      <c r="L1234" s="11">
        <v>1231</v>
      </c>
      <c r="M1234" s="7">
        <f t="shared" ca="1" si="46"/>
        <v>-5.6308212634917774E-2</v>
      </c>
      <c r="N1234" s="7">
        <f ca="1">SUM($M$4:M1234)</f>
        <v>-0.68612599840325728</v>
      </c>
    </row>
    <row r="1235" spans="1:14" x14ac:dyDescent="0.3">
      <c r="A1235" s="3">
        <v>45251</v>
      </c>
      <c r="B1235" s="4">
        <v>10.58</v>
      </c>
      <c r="D1235" s="11">
        <v>1232</v>
      </c>
      <c r="E1235" s="3">
        <v>45252</v>
      </c>
      <c r="F1235" s="7">
        <f t="shared" si="45"/>
        <v>7.5329923075452302E-3</v>
      </c>
      <c r="G1235" s="7">
        <f>SUM($F$4:F1235)</f>
        <v>-0.88503818837005155</v>
      </c>
      <c r="L1235" s="11">
        <v>1232</v>
      </c>
      <c r="M1235" s="7">
        <f t="shared" ca="1" si="46"/>
        <v>-1.0427446784244032E-2</v>
      </c>
      <c r="N1235" s="7">
        <f ca="1">SUM($M$4:M1235)</f>
        <v>-0.69655344518750129</v>
      </c>
    </row>
    <row r="1236" spans="1:14" x14ac:dyDescent="0.3">
      <c r="A1236" s="3">
        <v>45252</v>
      </c>
      <c r="B1236" s="4">
        <v>10.66</v>
      </c>
      <c r="D1236" s="11">
        <v>1233</v>
      </c>
      <c r="E1236" s="3">
        <v>45254</v>
      </c>
      <c r="F1236" s="7">
        <f t="shared" si="45"/>
        <v>1.7666661248770026E-2</v>
      </c>
      <c r="G1236" s="7">
        <f>SUM($F$4:F1236)</f>
        <v>-0.86737152712128152</v>
      </c>
      <c r="L1236" s="11">
        <v>1233</v>
      </c>
      <c r="M1236" s="7">
        <f t="shared" ca="1" si="46"/>
        <v>1.0427446784244032E-2</v>
      </c>
      <c r="N1236" s="7">
        <f ca="1">SUM($M$4:M1236)</f>
        <v>-0.68612599840325728</v>
      </c>
    </row>
    <row r="1237" spans="1:14" x14ac:dyDescent="0.3">
      <c r="A1237" s="3">
        <v>45254</v>
      </c>
      <c r="B1237" s="4">
        <v>10.85</v>
      </c>
      <c r="D1237" s="11">
        <v>1234</v>
      </c>
      <c r="E1237" s="3">
        <v>45257</v>
      </c>
      <c r="F1237" s="7">
        <f t="shared" si="45"/>
        <v>-6.4725145056174788E-3</v>
      </c>
      <c r="G1237" s="7">
        <f>SUM($F$4:F1237)</f>
        <v>-0.87384404162689899</v>
      </c>
      <c r="L1237" s="11">
        <v>1234</v>
      </c>
      <c r="M1237" s="7">
        <f t="shared" ca="1" si="46"/>
        <v>2.0854893568488064E-3</v>
      </c>
      <c r="N1237" s="7">
        <f ca="1">SUM($M$4:M1237)</f>
        <v>-0.68404050904640845</v>
      </c>
    </row>
    <row r="1238" spans="1:14" x14ac:dyDescent="0.3">
      <c r="A1238" s="3">
        <v>45257</v>
      </c>
      <c r="B1238" s="4">
        <v>10.78</v>
      </c>
      <c r="D1238" s="11">
        <v>1235</v>
      </c>
      <c r="E1238" s="3">
        <v>45258</v>
      </c>
      <c r="F1238" s="7">
        <f t="shared" si="45"/>
        <v>-1.4953549667058358E-2</v>
      </c>
      <c r="G1238" s="7">
        <f>SUM($F$4:F1238)</f>
        <v>-0.8887975912939573</v>
      </c>
      <c r="L1238" s="11">
        <v>1235</v>
      </c>
      <c r="M1238" s="7">
        <f t="shared" ca="1" si="46"/>
        <v>-2.0854893568488064E-3</v>
      </c>
      <c r="N1238" s="7">
        <f ca="1">SUM($M$4:M1238)</f>
        <v>-0.68612599840325728</v>
      </c>
    </row>
    <row r="1239" spans="1:14" x14ac:dyDescent="0.3">
      <c r="A1239" s="3">
        <v>45258</v>
      </c>
      <c r="B1239" s="4">
        <v>10.62</v>
      </c>
      <c r="D1239" s="11">
        <v>1236</v>
      </c>
      <c r="E1239" s="3">
        <v>45259</v>
      </c>
      <c r="F1239" s="7">
        <f t="shared" si="45"/>
        <v>1.4953549667058258E-2</v>
      </c>
      <c r="G1239" s="7">
        <f>SUM($F$4:F1239)</f>
        <v>-0.87384404162689899</v>
      </c>
      <c r="L1239" s="11">
        <v>1236</v>
      </c>
      <c r="M1239" s="7">
        <f t="shared" ca="1" si="46"/>
        <v>4.5880765850673744E-2</v>
      </c>
      <c r="N1239" s="7">
        <f ca="1">SUM($M$4:M1239)</f>
        <v>-0.64024523255258359</v>
      </c>
    </row>
    <row r="1240" spans="1:14" x14ac:dyDescent="0.3">
      <c r="A1240" s="3">
        <v>45259</v>
      </c>
      <c r="B1240" s="4">
        <v>10.78</v>
      </c>
      <c r="D1240" s="11">
        <v>1237</v>
      </c>
      <c r="E1240" s="3">
        <v>45260</v>
      </c>
      <c r="F1240" s="7">
        <f t="shared" si="45"/>
        <v>-3.1090587070031119E-2</v>
      </c>
      <c r="G1240" s="7">
        <f>SUM($F$4:F1240)</f>
        <v>-0.90493462869693009</v>
      </c>
      <c r="L1240" s="11">
        <v>1237</v>
      </c>
      <c r="M1240" s="7">
        <f t="shared" ca="1" si="46"/>
        <v>-2.5025872282185675E-2</v>
      </c>
      <c r="N1240" s="7">
        <f ca="1">SUM($M$4:M1240)</f>
        <v>-0.66527110483476926</v>
      </c>
    </row>
    <row r="1241" spans="1:14" x14ac:dyDescent="0.3">
      <c r="A1241" s="3">
        <v>45260</v>
      </c>
      <c r="B1241" s="4">
        <v>10.45</v>
      </c>
      <c r="D1241" s="11">
        <v>1238</v>
      </c>
      <c r="E1241" s="3">
        <v>45261</v>
      </c>
      <c r="F1241" s="7">
        <f t="shared" si="45"/>
        <v>8.0852096629094969E-2</v>
      </c>
      <c r="G1241" s="7">
        <f>SUM($F$4:F1241)</f>
        <v>-0.82408253206783511</v>
      </c>
      <c r="L1241" s="11">
        <v>1238</v>
      </c>
      <c r="M1241" s="7">
        <f t="shared" ca="1" si="46"/>
        <v>6.2564680705464188E-3</v>
      </c>
      <c r="N1241" s="7">
        <f ca="1">SUM($M$4:M1241)</f>
        <v>-0.65901463676422278</v>
      </c>
    </row>
    <row r="1242" spans="1:14" x14ac:dyDescent="0.3">
      <c r="A1242" s="3">
        <v>45261</v>
      </c>
      <c r="B1242" s="4">
        <v>11.33</v>
      </c>
      <c r="D1242" s="11">
        <v>1239</v>
      </c>
      <c r="E1242" s="3">
        <v>45264</v>
      </c>
      <c r="F1242" s="7">
        <f t="shared" si="45"/>
        <v>5.2817024191757628E-3</v>
      </c>
      <c r="G1242" s="7">
        <f>SUM($F$4:F1242)</f>
        <v>-0.8188008296486593</v>
      </c>
      <c r="L1242" s="11">
        <v>1239</v>
      </c>
      <c r="M1242" s="7">
        <f t="shared" ca="1" si="46"/>
        <v>-7.2992127489708222E-2</v>
      </c>
      <c r="N1242" s="7">
        <f ca="1">SUM($M$4:M1242)</f>
        <v>-0.73200676425393096</v>
      </c>
    </row>
    <row r="1243" spans="1:14" x14ac:dyDescent="0.3">
      <c r="A1243" s="3">
        <v>45264</v>
      </c>
      <c r="B1243" s="4">
        <v>11.39</v>
      </c>
      <c r="D1243" s="11">
        <v>1240</v>
      </c>
      <c r="E1243" s="3">
        <v>45265</v>
      </c>
      <c r="F1243" s="7">
        <f t="shared" si="45"/>
        <v>-4.6729076325972764E-2</v>
      </c>
      <c r="G1243" s="7">
        <f>SUM($F$4:F1243)</f>
        <v>-0.86552990597463209</v>
      </c>
      <c r="L1243" s="11">
        <v>1240</v>
      </c>
      <c r="M1243" s="7">
        <f t="shared" ca="1" si="46"/>
        <v>-1.8769404211639258E-2</v>
      </c>
      <c r="N1243" s="7">
        <f ca="1">SUM($M$4:M1243)</f>
        <v>-0.75077616846557027</v>
      </c>
    </row>
    <row r="1244" spans="1:14" x14ac:dyDescent="0.3">
      <c r="A1244" s="3">
        <v>45265</v>
      </c>
      <c r="B1244" s="4">
        <v>10.87</v>
      </c>
      <c r="D1244" s="11">
        <v>1241</v>
      </c>
      <c r="E1244" s="3">
        <v>45266</v>
      </c>
      <c r="F1244" s="7">
        <f t="shared" si="45"/>
        <v>4.5892691836409054E-3</v>
      </c>
      <c r="G1244" s="7">
        <f>SUM($F$4:F1244)</f>
        <v>-0.8609406367909912</v>
      </c>
      <c r="L1244" s="11">
        <v>1241</v>
      </c>
      <c r="M1244" s="7">
        <f t="shared" ca="1" si="46"/>
        <v>2.0854893568488065E-2</v>
      </c>
      <c r="N1244" s="7">
        <f ca="1">SUM($M$4:M1244)</f>
        <v>-0.72992127489708225</v>
      </c>
    </row>
    <row r="1245" spans="1:14" x14ac:dyDescent="0.3">
      <c r="A1245" s="3">
        <v>45266</v>
      </c>
      <c r="B1245" s="4">
        <v>10.92</v>
      </c>
      <c r="D1245" s="11">
        <v>1242</v>
      </c>
      <c r="E1245" s="3">
        <v>45267</v>
      </c>
      <c r="F1245" s="7">
        <f t="shared" si="45"/>
        <v>-9.1996968984234869E-3</v>
      </c>
      <c r="G1245" s="7">
        <f>SUM($F$4:F1245)</f>
        <v>-0.87014033368941468</v>
      </c>
      <c r="L1245" s="11">
        <v>1242</v>
      </c>
      <c r="M1245" s="7">
        <f t="shared" ca="1" si="46"/>
        <v>6.2564680705464188E-3</v>
      </c>
      <c r="N1245" s="7">
        <f ca="1">SUM($M$4:M1245)</f>
        <v>-0.72366480682653578</v>
      </c>
    </row>
    <row r="1246" spans="1:14" x14ac:dyDescent="0.3">
      <c r="A1246" s="3">
        <v>45267</v>
      </c>
      <c r="B1246" s="4">
        <v>10.82</v>
      </c>
      <c r="D1246" s="11">
        <v>1243</v>
      </c>
      <c r="E1246" s="3">
        <v>45268</v>
      </c>
      <c r="F1246" s="7">
        <f t="shared" si="45"/>
        <v>5.8338657722943846E-2</v>
      </c>
      <c r="G1246" s="7">
        <f>SUM($F$4:F1246)</f>
        <v>-0.81180167596647079</v>
      </c>
      <c r="L1246" s="11">
        <v>1243</v>
      </c>
      <c r="M1246" s="7">
        <f t="shared" ca="1" si="46"/>
        <v>-1.0427446784244032E-2</v>
      </c>
      <c r="N1246" s="7">
        <f ca="1">SUM($M$4:M1246)</f>
        <v>-0.73409225361077979</v>
      </c>
    </row>
    <row r="1247" spans="1:14" x14ac:dyDescent="0.3">
      <c r="A1247" s="3">
        <v>45268</v>
      </c>
      <c r="B1247" s="4">
        <v>11.47</v>
      </c>
      <c r="D1247" s="11">
        <v>1244</v>
      </c>
      <c r="E1247" s="3">
        <v>45271</v>
      </c>
      <c r="F1247" s="7">
        <f t="shared" si="45"/>
        <v>-3.4934533345600885E-3</v>
      </c>
      <c r="G1247" s="7">
        <f>SUM($F$4:F1247)</f>
        <v>-0.81529512930103087</v>
      </c>
      <c r="L1247" s="11">
        <v>1244</v>
      </c>
      <c r="M1247" s="7">
        <f t="shared" ca="1" si="46"/>
        <v>-6.8821148776010616E-2</v>
      </c>
      <c r="N1247" s="7">
        <f ca="1">SUM($M$4:M1247)</f>
        <v>-0.80291340238679043</v>
      </c>
    </row>
    <row r="1248" spans="1:14" x14ac:dyDescent="0.3">
      <c r="A1248" s="3">
        <v>45271</v>
      </c>
      <c r="B1248" s="4">
        <v>11.43</v>
      </c>
      <c r="D1248" s="11">
        <v>1245</v>
      </c>
      <c r="E1248" s="3">
        <v>45272</v>
      </c>
      <c r="F1248" s="7">
        <f t="shared" si="45"/>
        <v>-1.7652709056367382E-2</v>
      </c>
      <c r="G1248" s="7">
        <f>SUM($F$4:F1248)</f>
        <v>-0.83294783835739827</v>
      </c>
      <c r="L1248" s="11">
        <v>1245</v>
      </c>
      <c r="M1248" s="7">
        <f t="shared" ca="1" si="46"/>
        <v>-4.5880765850673744E-2</v>
      </c>
      <c r="N1248" s="7">
        <f ca="1">SUM($M$4:M1248)</f>
        <v>-0.84879416823746423</v>
      </c>
    </row>
    <row r="1249" spans="1:14" x14ac:dyDescent="0.3">
      <c r="A1249" s="3">
        <v>45272</v>
      </c>
      <c r="B1249" s="4">
        <v>11.23</v>
      </c>
      <c r="D1249" s="11">
        <v>1246</v>
      </c>
      <c r="E1249" s="3">
        <v>45273</v>
      </c>
      <c r="F1249" s="7">
        <f t="shared" si="45"/>
        <v>5.6267545184147089E-2</v>
      </c>
      <c r="G1249" s="7">
        <f>SUM($F$4:F1249)</f>
        <v>-0.77668029317325116</v>
      </c>
      <c r="L1249" s="11">
        <v>1246</v>
      </c>
      <c r="M1249" s="7">
        <f t="shared" ca="1" si="46"/>
        <v>7.7163106203405843E-2</v>
      </c>
      <c r="N1249" s="7">
        <f ca="1">SUM($M$4:M1249)</f>
        <v>-0.7716310620340584</v>
      </c>
    </row>
    <row r="1250" spans="1:14" x14ac:dyDescent="0.3">
      <c r="A1250" s="3">
        <v>45273</v>
      </c>
      <c r="B1250" s="4">
        <v>11.88</v>
      </c>
      <c r="D1250" s="11">
        <v>1247</v>
      </c>
      <c r="E1250" s="3">
        <v>45274</v>
      </c>
      <c r="F1250" s="7">
        <f t="shared" si="45"/>
        <v>5.0072010202987349E-2</v>
      </c>
      <c r="G1250" s="7">
        <f>SUM($F$4:F1250)</f>
        <v>-0.72660828297026381</v>
      </c>
      <c r="L1250" s="11">
        <v>1247</v>
      </c>
      <c r="M1250" s="7">
        <f t="shared" ca="1" si="46"/>
        <v>-8.3419574273952257E-3</v>
      </c>
      <c r="N1250" s="7">
        <f ca="1">SUM($M$4:M1250)</f>
        <v>-0.77997301946145359</v>
      </c>
    </row>
    <row r="1251" spans="1:14" x14ac:dyDescent="0.3">
      <c r="A1251" s="3">
        <v>45274</v>
      </c>
      <c r="B1251" s="4">
        <v>12.49</v>
      </c>
      <c r="D1251" s="11">
        <v>1248</v>
      </c>
      <c r="E1251" s="3">
        <v>45275</v>
      </c>
      <c r="F1251" s="7">
        <f t="shared" si="45"/>
        <v>-1.8586393629421032E-2</v>
      </c>
      <c r="G1251" s="7">
        <f>SUM($F$4:F1251)</f>
        <v>-0.74519467659968486</v>
      </c>
      <c r="L1251" s="11">
        <v>1248</v>
      </c>
      <c r="M1251" s="7">
        <f t="shared" ca="1" si="46"/>
        <v>-4.1709787136976128E-3</v>
      </c>
      <c r="N1251" s="7">
        <f ca="1">SUM($M$4:M1251)</f>
        <v>-0.78414399817515124</v>
      </c>
    </row>
    <row r="1252" spans="1:14" x14ac:dyDescent="0.3">
      <c r="A1252" s="3">
        <v>45275</v>
      </c>
      <c r="B1252" s="4">
        <v>12.26</v>
      </c>
      <c r="D1252" s="11">
        <v>1249</v>
      </c>
      <c r="E1252" s="3">
        <v>45278</v>
      </c>
      <c r="F1252" s="7">
        <f t="shared" si="45"/>
        <v>-2.3938410938183531E-2</v>
      </c>
      <c r="G1252" s="7">
        <f>SUM($F$4:F1252)</f>
        <v>-0.76913308753786835</v>
      </c>
      <c r="L1252" s="11">
        <v>1249</v>
      </c>
      <c r="M1252" s="7">
        <f t="shared" ca="1" si="46"/>
        <v>-4.7966255207522547E-2</v>
      </c>
      <c r="N1252" s="7">
        <f ca="1">SUM($M$4:M1252)</f>
        <v>-0.83211025338267375</v>
      </c>
    </row>
    <row r="1253" spans="1:14" x14ac:dyDescent="0.3">
      <c r="A1253" s="3">
        <v>45278</v>
      </c>
      <c r="B1253" s="4">
        <v>11.97</v>
      </c>
      <c r="D1253" s="11">
        <v>1250</v>
      </c>
      <c r="E1253" s="3">
        <v>45279</v>
      </c>
      <c r="F1253" s="7">
        <f t="shared" si="45"/>
        <v>3.2061932459662879E-2</v>
      </c>
      <c r="G1253" s="7">
        <f>SUM($F$4:F1253)</f>
        <v>-0.73707115507820542</v>
      </c>
      <c r="L1253" s="11">
        <v>1250</v>
      </c>
      <c r="M1253" s="7">
        <f t="shared" ca="1" si="46"/>
        <v>-4.3795276493824933E-2</v>
      </c>
      <c r="N1253" s="7">
        <f ca="1">SUM($M$4:M1253)</f>
        <v>-0.87590552987649872</v>
      </c>
    </row>
    <row r="1254" spans="1:14" x14ac:dyDescent="0.3">
      <c r="A1254" s="3">
        <v>45279</v>
      </c>
      <c r="B1254" s="4">
        <v>12.36</v>
      </c>
      <c r="D1254" s="11">
        <v>1251</v>
      </c>
      <c r="E1254" s="3">
        <v>45280</v>
      </c>
      <c r="F1254" s="7">
        <f t="shared" si="45"/>
        <v>-5.8301271107198328E-2</v>
      </c>
      <c r="G1254" s="7">
        <f>SUM($F$4:F1254)</f>
        <v>-0.79537242618540371</v>
      </c>
      <c r="L1254" s="11">
        <v>1251</v>
      </c>
      <c r="M1254" s="7">
        <f t="shared" ca="1" si="46"/>
        <v>-2.5025872282185675E-2</v>
      </c>
      <c r="N1254" s="7">
        <f ca="1">SUM($M$4:M1254)</f>
        <v>-0.90093140215868439</v>
      </c>
    </row>
    <row r="1255" spans="1:14" x14ac:dyDescent="0.3">
      <c r="A1255" s="3">
        <v>45280</v>
      </c>
      <c r="B1255" s="4">
        <v>11.66</v>
      </c>
      <c r="D1255" s="11">
        <v>1252</v>
      </c>
      <c r="E1255" s="3">
        <v>45281</v>
      </c>
      <c r="F1255" s="7">
        <f t="shared" si="45"/>
        <v>-1.4687089061681983E-2</v>
      </c>
      <c r="G1255" s="7">
        <f>SUM($F$4:F1255)</f>
        <v>-0.81005951524708575</v>
      </c>
      <c r="L1255" s="11">
        <v>1252</v>
      </c>
      <c r="M1255" s="7">
        <f t="shared" ca="1" si="46"/>
        <v>3.1282340352732099E-2</v>
      </c>
      <c r="N1255" s="7">
        <f ca="1">SUM($M$4:M1255)</f>
        <v>-0.86964906180595225</v>
      </c>
    </row>
    <row r="1256" spans="1:14" x14ac:dyDescent="0.3">
      <c r="A1256" s="3">
        <v>45281</v>
      </c>
      <c r="B1256" s="4">
        <v>11.49</v>
      </c>
      <c r="D1256" s="11">
        <v>1253</v>
      </c>
      <c r="E1256" s="3">
        <v>45282</v>
      </c>
      <c r="F1256" s="7">
        <f t="shared" si="45"/>
        <v>-1.9332763808979442E-2</v>
      </c>
      <c r="G1256" s="7">
        <f>SUM($F$4:F1256)</f>
        <v>-0.82939227905606516</v>
      </c>
      <c r="L1256" s="11">
        <v>1253</v>
      </c>
      <c r="M1256" s="7">
        <f t="shared" ca="1" si="46"/>
        <v>1.0427446784244032E-2</v>
      </c>
      <c r="N1256" s="7">
        <f ca="1">SUM($M$4:M1256)</f>
        <v>-0.85922161502170824</v>
      </c>
    </row>
    <row r="1257" spans="1:14" x14ac:dyDescent="0.3">
      <c r="A1257" s="3">
        <v>45282</v>
      </c>
      <c r="B1257" s="4">
        <v>11.27</v>
      </c>
      <c r="D1257" s="11">
        <v>1254</v>
      </c>
      <c r="E1257" s="3">
        <v>45286</v>
      </c>
      <c r="F1257" s="7">
        <f t="shared" si="45"/>
        <v>2.0202707317519469E-2</v>
      </c>
      <c r="G1257" s="7">
        <f>SUM($F$4:F1257)</f>
        <v>-0.80918957173854567</v>
      </c>
      <c r="L1257" s="11">
        <v>1254</v>
      </c>
      <c r="M1257" s="7">
        <f t="shared" ca="1" si="46"/>
        <v>2.7111361639034482E-2</v>
      </c>
      <c r="N1257" s="7">
        <f ca="1">SUM($M$4:M1257)</f>
        <v>-0.83211025338267375</v>
      </c>
    </row>
    <row r="1258" spans="1:14" x14ac:dyDescent="0.3">
      <c r="A1258" s="3">
        <v>45286</v>
      </c>
      <c r="B1258" s="4">
        <v>11.5</v>
      </c>
      <c r="D1258" s="11">
        <v>1255</v>
      </c>
      <c r="E1258" s="3">
        <v>45287</v>
      </c>
      <c r="F1258" s="7">
        <f t="shared" si="45"/>
        <v>-8.6994350853999633E-4</v>
      </c>
      <c r="G1258" s="7">
        <f>SUM($F$4:F1258)</f>
        <v>-0.81005951524708564</v>
      </c>
      <c r="L1258" s="11">
        <v>1255</v>
      </c>
      <c r="M1258" s="7">
        <f t="shared" ca="1" si="46"/>
        <v>2.5025872282185675E-2</v>
      </c>
      <c r="N1258" s="7">
        <f ca="1">SUM($M$4:M1258)</f>
        <v>-0.80708438110048808</v>
      </c>
    </row>
    <row r="1259" spans="1:14" x14ac:dyDescent="0.3">
      <c r="A1259" s="3">
        <v>45287</v>
      </c>
      <c r="B1259" s="4">
        <v>11.49</v>
      </c>
      <c r="D1259" s="11">
        <v>1256</v>
      </c>
      <c r="E1259" s="3">
        <v>45288</v>
      </c>
      <c r="F1259" s="7">
        <f t="shared" si="45"/>
        <v>1.7256683623312744E-2</v>
      </c>
      <c r="G1259" s="7">
        <f>SUM($F$4:F1259)</f>
        <v>-0.79280283162377285</v>
      </c>
      <c r="L1259" s="11">
        <v>1256</v>
      </c>
      <c r="M1259" s="7">
        <f t="shared" ca="1" si="46"/>
        <v>3.1282340352732099E-2</v>
      </c>
      <c r="N1259" s="7">
        <f ca="1">SUM($M$4:M1259)</f>
        <v>-0.77580204074775594</v>
      </c>
    </row>
    <row r="1260" spans="1:14" x14ac:dyDescent="0.3">
      <c r="A1260" s="3">
        <v>45288</v>
      </c>
      <c r="B1260" s="4">
        <v>11.69</v>
      </c>
      <c r="D1260" s="11">
        <v>1257</v>
      </c>
      <c r="E1260" s="3">
        <v>45289</v>
      </c>
      <c r="F1260" s="7">
        <f t="shared" si="45"/>
        <v>-2.6876346785792069E-2</v>
      </c>
      <c r="G1260" s="7">
        <f>SUM($F$4:F1260)</f>
        <v>-0.81967917840956495</v>
      </c>
      <c r="L1260" s="11">
        <v>1257</v>
      </c>
      <c r="M1260" s="7">
        <f t="shared" ca="1" si="46"/>
        <v>7.0906638132859412E-2</v>
      </c>
      <c r="N1260" s="7">
        <f ca="1">SUM($M$4:M1260)</f>
        <v>-0.70489540261489658</v>
      </c>
    </row>
    <row r="1261" spans="1:14" x14ac:dyDescent="0.3">
      <c r="A1261" s="3">
        <v>45289</v>
      </c>
      <c r="B1261" s="4">
        <v>11.38</v>
      </c>
    </row>
  </sheetData>
  <mergeCells count="11">
    <mergeCell ref="A2:B2"/>
    <mergeCell ref="I2:J2"/>
    <mergeCell ref="I6:J6"/>
    <mergeCell ref="Y3:AC3"/>
    <mergeCell ref="S2:AC2"/>
    <mergeCell ref="S3:W3"/>
    <mergeCell ref="I10:J10"/>
    <mergeCell ref="D2:G2"/>
    <mergeCell ref="L2:N2"/>
    <mergeCell ref="P2:Q2"/>
    <mergeCell ref="P7:Q7"/>
  </mergeCells>
  <conditionalFormatting sqref="I2:J4 I6:J8 I10:J12 P13:P14">
    <cfRule type="notContainsBlanks" dxfId="4" priority="13">
      <formula>LEN(TRIM(I2))&gt;0</formula>
    </cfRule>
  </conditionalFormatting>
  <conditionalFormatting sqref="P8:P10">
    <cfRule type="notContainsBlanks" dxfId="3" priority="1">
      <formula>LEN(TRIM(P8))&gt;0</formula>
    </cfRule>
  </conditionalFormatting>
  <conditionalFormatting sqref="P2:Q5">
    <cfRule type="notContainsBlanks" dxfId="2" priority="4">
      <formula>LEN(TRIM(P2))&gt;0</formula>
    </cfRule>
  </conditionalFormatting>
  <conditionalFormatting sqref="P7:Q7 Q8:Q9">
    <cfRule type="notContainsBlanks" dxfId="1" priority="9">
      <formula>LEN(TRIM(P7))&gt;0</formula>
    </cfRule>
  </conditionalFormatting>
  <conditionalFormatting sqref="AE1:AG37">
    <cfRule type="notContainsBlanks" dxfId="0" priority="2">
      <formula>LEN(TRIM(AE1))&gt;0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A7C7-DA74-440A-93A0-E14E7D24B936}">
  <dimension ref="B2:V28"/>
  <sheetViews>
    <sheetView showGridLines="0" zoomScale="87" workbookViewId="0">
      <selection activeCell="I25" sqref="I25"/>
    </sheetView>
  </sheetViews>
  <sheetFormatPr defaultRowHeight="14.4" x14ac:dyDescent="0.3"/>
  <sheetData>
    <row r="2" spans="2:22" ht="15" thickBot="1" x14ac:dyDescent="0.35"/>
    <row r="3" spans="2:22" x14ac:dyDescent="0.3">
      <c r="B3" s="31"/>
      <c r="C3" s="32"/>
      <c r="D3" s="32"/>
      <c r="E3" s="32"/>
      <c r="F3" s="32"/>
      <c r="G3" s="32"/>
      <c r="H3" s="32"/>
      <c r="I3" s="32"/>
      <c r="J3" s="32"/>
      <c r="K3" s="33"/>
      <c r="M3" s="31"/>
      <c r="N3" s="32"/>
      <c r="O3" s="32"/>
      <c r="P3" s="32"/>
      <c r="Q3" s="32"/>
      <c r="R3" s="32"/>
      <c r="S3" s="32"/>
      <c r="T3" s="32"/>
      <c r="U3" s="32"/>
      <c r="V3" s="33"/>
    </row>
    <row r="4" spans="2:22" x14ac:dyDescent="0.3">
      <c r="B4" s="34"/>
      <c r="K4" s="35"/>
      <c r="M4" s="34"/>
      <c r="V4" s="35"/>
    </row>
    <row r="5" spans="2:22" x14ac:dyDescent="0.3">
      <c r="B5" s="34"/>
      <c r="K5" s="35"/>
      <c r="M5" s="34"/>
      <c r="V5" s="35"/>
    </row>
    <row r="6" spans="2:22" x14ac:dyDescent="0.3">
      <c r="B6" s="34"/>
      <c r="K6" s="35"/>
      <c r="M6" s="34"/>
      <c r="V6" s="35"/>
    </row>
    <row r="7" spans="2:22" x14ac:dyDescent="0.3">
      <c r="B7" s="34"/>
      <c r="K7" s="35"/>
      <c r="M7" s="34"/>
      <c r="V7" s="35"/>
    </row>
    <row r="8" spans="2:22" x14ac:dyDescent="0.3">
      <c r="B8" s="34"/>
      <c r="K8" s="35"/>
      <c r="M8" s="34"/>
      <c r="V8" s="35"/>
    </row>
    <row r="9" spans="2:22" x14ac:dyDescent="0.3">
      <c r="B9" s="34"/>
      <c r="K9" s="35"/>
      <c r="M9" s="34"/>
      <c r="V9" s="35"/>
    </row>
    <row r="10" spans="2:22" x14ac:dyDescent="0.3">
      <c r="B10" s="34"/>
      <c r="K10" s="35"/>
      <c r="M10" s="34"/>
      <c r="V10" s="35"/>
    </row>
    <row r="11" spans="2:22" x14ac:dyDescent="0.3">
      <c r="B11" s="34"/>
      <c r="K11" s="35"/>
      <c r="M11" s="34"/>
      <c r="V11" s="35"/>
    </row>
    <row r="12" spans="2:22" x14ac:dyDescent="0.3">
      <c r="B12" s="34"/>
      <c r="K12" s="35"/>
      <c r="M12" s="34"/>
      <c r="V12" s="35"/>
    </row>
    <row r="13" spans="2:22" x14ac:dyDescent="0.3">
      <c r="B13" s="34"/>
      <c r="K13" s="35"/>
      <c r="M13" s="34"/>
      <c r="V13" s="35"/>
    </row>
    <row r="14" spans="2:22" x14ac:dyDescent="0.3">
      <c r="B14" s="34"/>
      <c r="K14" s="35"/>
      <c r="M14" s="34"/>
      <c r="V14" s="35"/>
    </row>
    <row r="15" spans="2:22" x14ac:dyDescent="0.3">
      <c r="B15" s="34"/>
      <c r="K15" s="35"/>
      <c r="M15" s="34"/>
      <c r="V15" s="35"/>
    </row>
    <row r="16" spans="2:22" x14ac:dyDescent="0.3">
      <c r="B16" s="34"/>
      <c r="K16" s="35"/>
      <c r="M16" s="34"/>
      <c r="V16" s="35"/>
    </row>
    <row r="17" spans="2:22" x14ac:dyDescent="0.3">
      <c r="B17" s="34"/>
      <c r="K17" s="35"/>
      <c r="M17" s="34"/>
      <c r="V17" s="35"/>
    </row>
    <row r="18" spans="2:22" x14ac:dyDescent="0.3">
      <c r="B18" s="34"/>
      <c r="K18" s="35"/>
      <c r="M18" s="34"/>
      <c r="V18" s="35"/>
    </row>
    <row r="19" spans="2:22" x14ac:dyDescent="0.3">
      <c r="B19" s="34"/>
      <c r="K19" s="35"/>
      <c r="M19" s="34"/>
      <c r="V19" s="35"/>
    </row>
    <row r="20" spans="2:22" ht="15" thickBot="1" x14ac:dyDescent="0.35">
      <c r="B20" s="36"/>
      <c r="C20" s="37"/>
      <c r="D20" s="37"/>
      <c r="E20" s="37"/>
      <c r="F20" s="37"/>
      <c r="G20" s="37"/>
      <c r="H20" s="37"/>
      <c r="I20" s="37"/>
      <c r="J20" s="37"/>
      <c r="K20" s="38"/>
      <c r="M20" s="36"/>
      <c r="N20" s="37"/>
      <c r="O20" s="37"/>
      <c r="P20" s="37"/>
      <c r="Q20" s="37"/>
      <c r="R20" s="37"/>
      <c r="S20" s="37"/>
      <c r="T20" s="37"/>
      <c r="U20" s="37"/>
      <c r="V20" s="38"/>
    </row>
    <row r="22" spans="2:22" ht="15" thickBot="1" x14ac:dyDescent="0.35"/>
    <row r="23" spans="2:22" x14ac:dyDescent="0.3">
      <c r="B23" s="52" t="s">
        <v>29</v>
      </c>
      <c r="C23" s="53"/>
      <c r="D23" s="53"/>
      <c r="E23" s="53"/>
      <c r="F23" s="53"/>
      <c r="G23" s="53"/>
      <c r="H23" s="53"/>
      <c r="I23" s="56">
        <v>1000</v>
      </c>
      <c r="J23" s="58"/>
      <c r="K23" s="58"/>
      <c r="L23" s="58"/>
      <c r="M23" s="58"/>
      <c r="N23" s="58"/>
    </row>
    <row r="24" spans="2:22" ht="13.8" customHeight="1" thickBot="1" x14ac:dyDescent="0.35">
      <c r="B24" s="54"/>
      <c r="C24" s="55"/>
      <c r="D24" s="55"/>
      <c r="E24" s="55"/>
      <c r="F24" s="55"/>
      <c r="G24" s="55"/>
      <c r="H24" s="55"/>
      <c r="I24" s="57"/>
      <c r="J24" s="58"/>
      <c r="K24" s="58"/>
      <c r="L24" s="58"/>
      <c r="M24" s="58"/>
      <c r="N24" s="58"/>
    </row>
    <row r="26" spans="2:22" x14ac:dyDescent="0.3">
      <c r="I26" s="39">
        <f>IF(I23&lt;0,0,I23)</f>
        <v>1000</v>
      </c>
    </row>
    <row r="27" spans="2:22" x14ac:dyDescent="0.3">
      <c r="I27" s="39"/>
    </row>
    <row r="28" spans="2:22" x14ac:dyDescent="0.3">
      <c r="I28" s="39"/>
    </row>
  </sheetData>
  <mergeCells count="3">
    <mergeCell ref="B23:H24"/>
    <mergeCell ref="I23:I24"/>
    <mergeCell ref="J23:N2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Számolások</vt:lpstr>
      <vt:lpstr>Ábrázolás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Szabolcs Szirák</dc:creator>
  <cp:lastModifiedBy>Szabolcs Szirák</cp:lastModifiedBy>
  <dcterms:created xsi:type="dcterms:W3CDTF">2024-03-19T09:23:48Z</dcterms:created>
  <dcterms:modified xsi:type="dcterms:W3CDTF">2024-03-31T17:53:01Z</dcterms:modified>
</cp:coreProperties>
</file>